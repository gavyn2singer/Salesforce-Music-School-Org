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hidePivotFieldList="1" defaultThemeVersion="166925"/>
  <xr:revisionPtr revIDLastSave="0" documentId="8_{4FFA0A61-8D8B-48A7-9136-F352FC6DC483}" xr6:coauthVersionLast="47" xr6:coauthVersionMax="47" xr10:uidLastSave="{00000000-0000-0000-0000-000000000000}"/>
  <bookViews>
    <workbookView xWindow="240" yWindow="105" windowWidth="14805" windowHeight="8010" activeTab="8" xr2:uid="{00000000-000D-0000-FFFF-FFFF00000000}"/>
  </bookViews>
  <sheets>
    <sheet name="Dashboard" sheetId="12" r:id="rId1"/>
    <sheet name="Lessons" sheetId="2" r:id="rId2"/>
    <sheet name="Lesson Health" sheetId="9" r:id="rId3"/>
    <sheet name="Instructors" sheetId="3" r:id="rId4"/>
    <sheet name="Instructor_Load" sheetId="10" r:id="rId5"/>
    <sheet name="EnrollmentInquiries" sheetId="4" r:id="rId6"/>
    <sheet name="MRR by Instrument" sheetId="11" r:id="rId7"/>
    <sheet name="Students" sheetId="5" r:id="rId8"/>
    <sheet name="Data_Audit" sheetId="6" r:id="rId9"/>
    <sheet name="Inquiry Funnel" sheetId="7" r:id="rId10"/>
    <sheet name="Locations" sheetId="8" r:id="rId11"/>
  </sheets>
  <calcPr calcId="191028"/>
  <pivotCaches>
    <pivotCache cacheId="397" r:id="rId12"/>
    <pivotCache cacheId="398" r:id="rId13"/>
    <pivotCache cacheId="399" r:id="rId14"/>
    <pivotCache cacheId="40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2" l="1"/>
  <c r="B4" i="12"/>
  <c r="A4" i="12"/>
  <c r="A1" i="12"/>
  <c r="D2" i="8"/>
  <c r="D3" i="8"/>
  <c r="D4" i="8"/>
  <c r="C2" i="8"/>
  <c r="C3" i="8"/>
  <c r="C4" i="8"/>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2" i="3"/>
  <c r="AC2" i="3"/>
  <c r="AC5" i="3"/>
  <c r="AC7" i="3"/>
  <c r="AC8" i="3"/>
  <c r="AC9" i="3"/>
  <c r="AC10" i="3"/>
  <c r="AC11" i="3"/>
  <c r="AC12" i="3"/>
  <c r="AC13" i="3"/>
  <c r="AC14" i="3"/>
  <c r="AC15" i="3"/>
  <c r="AC16" i="3"/>
  <c r="AC18" i="3"/>
  <c r="AC19" i="3"/>
  <c r="AC20" i="3"/>
  <c r="AC26" i="3"/>
  <c r="AC27" i="3"/>
  <c r="AC28" i="3"/>
  <c r="AC29" i="3"/>
  <c r="AC30" i="3"/>
  <c r="AC31" i="3"/>
  <c r="AC33" i="3"/>
  <c r="AC34" i="3"/>
  <c r="AC37" i="3"/>
  <c r="AC38" i="3"/>
  <c r="AC39" i="3"/>
  <c r="AC40" i="3"/>
  <c r="AC43" i="3"/>
  <c r="AC45" i="3"/>
  <c r="AC46" i="3"/>
  <c r="AC47" i="3"/>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C44" i="3" s="1"/>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4" i="2"/>
  <c r="AE1045" i="2"/>
  <c r="AE1046" i="2"/>
  <c r="AE1047" i="2"/>
  <c r="AE1048" i="2"/>
  <c r="AE1049"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G2" i="4"/>
  <c r="AG3" i="4"/>
  <c r="AG4"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F2" i="4"/>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L12" i="7"/>
  <c r="L10" i="7"/>
  <c r="L4" i="7"/>
  <c r="L5" i="7"/>
  <c r="L6" i="7"/>
  <c r="L7" i="7"/>
  <c r="L8" i="7"/>
  <c r="L9" i="7"/>
  <c r="L3" i="7"/>
  <c r="J12" i="7" a="1"/>
  <c r="J12" i="7"/>
  <c r="C4" i="12" s="1"/>
  <c r="J4" i="7" a="1"/>
  <c r="J4" i="7"/>
  <c r="J5" i="7" a="1"/>
  <c r="J5" i="7"/>
  <c r="J6" i="7" a="1"/>
  <c r="J6" i="7"/>
  <c r="J7" i="7" a="1"/>
  <c r="J7" i="7"/>
  <c r="J8" i="7" a="1"/>
  <c r="J8" i="7"/>
  <c r="J9" i="7" a="1"/>
  <c r="J9" i="7"/>
  <c r="J10" i="7" a="1"/>
  <c r="J10" i="7"/>
  <c r="J3" i="7" a="1"/>
  <c r="J3" i="7"/>
  <c r="B11" i="6"/>
  <c r="F4" i="12" s="1"/>
  <c r="AE2" i="4"/>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A2" i="3"/>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B47" i="3"/>
  <c r="AB2" i="2"/>
  <c r="AB3" i="2"/>
  <c r="AB4" i="2"/>
  <c r="AC4" i="2" s="1"/>
  <c r="AB5" i="2"/>
  <c r="AB6" i="2"/>
  <c r="AB7" i="2"/>
  <c r="AB8" i="2"/>
  <c r="AB9" i="2"/>
  <c r="AB10" i="2"/>
  <c r="AB11" i="2"/>
  <c r="AC11" i="2" s="1"/>
  <c r="AB12" i="2"/>
  <c r="AB13" i="2"/>
  <c r="AC13" i="2" s="1"/>
  <c r="AB14" i="2"/>
  <c r="AB15" i="2"/>
  <c r="AB16" i="2"/>
  <c r="AC16" i="2" s="1"/>
  <c r="AB17" i="2"/>
  <c r="AC17" i="2" s="1"/>
  <c r="AB18" i="2"/>
  <c r="AB19" i="2"/>
  <c r="AB20" i="2"/>
  <c r="AB21" i="2"/>
  <c r="AB22" i="2"/>
  <c r="AC22" i="2" s="1"/>
  <c r="AB23" i="2"/>
  <c r="AB24" i="2"/>
  <c r="AB25" i="2"/>
  <c r="AC25" i="2" s="1"/>
  <c r="AB26" i="2"/>
  <c r="AB27" i="2"/>
  <c r="AB28" i="2"/>
  <c r="AB29" i="2"/>
  <c r="AB30" i="2"/>
  <c r="AB31" i="2"/>
  <c r="AB32" i="2"/>
  <c r="AB33" i="2"/>
  <c r="AB34" i="2"/>
  <c r="AB35" i="2"/>
  <c r="AB36" i="2"/>
  <c r="AB37" i="2"/>
  <c r="AC37" i="2" s="1"/>
  <c r="AB38" i="2"/>
  <c r="AB39" i="2"/>
  <c r="AB40" i="2"/>
  <c r="AC40" i="2" s="1"/>
  <c r="AB41" i="2"/>
  <c r="AB42" i="2"/>
  <c r="AB43" i="2"/>
  <c r="AC43" i="2" s="1"/>
  <c r="AB44" i="2"/>
  <c r="AB45" i="2"/>
  <c r="AB46" i="2"/>
  <c r="AC46" i="2" s="1"/>
  <c r="AB47" i="2"/>
  <c r="AB48" i="2"/>
  <c r="AB49" i="2"/>
  <c r="AB50" i="2"/>
  <c r="AB51" i="2"/>
  <c r="AB52" i="2"/>
  <c r="AB53" i="2"/>
  <c r="AB54" i="2"/>
  <c r="AB55" i="2"/>
  <c r="AB56" i="2"/>
  <c r="AB57" i="2"/>
  <c r="AB58" i="2"/>
  <c r="AB59" i="2"/>
  <c r="AB60" i="2"/>
  <c r="AB61" i="2"/>
  <c r="AB62" i="2"/>
  <c r="AB63" i="2"/>
  <c r="AB64" i="2"/>
  <c r="AB65" i="2"/>
  <c r="AB66" i="2"/>
  <c r="AC66" i="2" s="1"/>
  <c r="AB67" i="2"/>
  <c r="AB68" i="2"/>
  <c r="AB69" i="2"/>
  <c r="AB70" i="2"/>
  <c r="AB71" i="2"/>
  <c r="AB72" i="2"/>
  <c r="AB73" i="2"/>
  <c r="AB74" i="2"/>
  <c r="AB75" i="2"/>
  <c r="AB76" i="2"/>
  <c r="AB77" i="2"/>
  <c r="AB78" i="2"/>
  <c r="AB79" i="2"/>
  <c r="AB80" i="2"/>
  <c r="AC80" i="2" s="1"/>
  <c r="AB81" i="2"/>
  <c r="AB82" i="2"/>
  <c r="AB83" i="2"/>
  <c r="AB84" i="2"/>
  <c r="AB85" i="2"/>
  <c r="AC85" i="2" s="1"/>
  <c r="AB86" i="2"/>
  <c r="AC86" i="2" s="1"/>
  <c r="AB87" i="2"/>
  <c r="AB88" i="2"/>
  <c r="AB89" i="2"/>
  <c r="AB90" i="2"/>
  <c r="AB91" i="2"/>
  <c r="AB92" i="2"/>
  <c r="AB93" i="2"/>
  <c r="AB94" i="2"/>
  <c r="AB95" i="2"/>
  <c r="AB96" i="2"/>
  <c r="AB97" i="2"/>
  <c r="AB98" i="2"/>
  <c r="AB99" i="2"/>
  <c r="AB100" i="2"/>
  <c r="AB101" i="2"/>
  <c r="AB102" i="2"/>
  <c r="AB103" i="2"/>
  <c r="AB104" i="2"/>
  <c r="AC104" i="2" s="1"/>
  <c r="AB105" i="2"/>
  <c r="AB106" i="2"/>
  <c r="AB107" i="2"/>
  <c r="AB108" i="2"/>
  <c r="AB109" i="2"/>
  <c r="AB110" i="2"/>
  <c r="AB111" i="2"/>
  <c r="AB112" i="2"/>
  <c r="AB113" i="2"/>
  <c r="AB114" i="2"/>
  <c r="AB115" i="2"/>
  <c r="AB116" i="2"/>
  <c r="AB117" i="2"/>
  <c r="AB118" i="2"/>
  <c r="AB119" i="2"/>
  <c r="AB120" i="2"/>
  <c r="AC120" i="2" s="1"/>
  <c r="AB121" i="2"/>
  <c r="AB122" i="2"/>
  <c r="AB123" i="2"/>
  <c r="AC123" i="2" s="1"/>
  <c r="AB124" i="2"/>
  <c r="AB125" i="2"/>
  <c r="AC125" i="2" s="1"/>
  <c r="AB126" i="2"/>
  <c r="AB127" i="2"/>
  <c r="AB128" i="2"/>
  <c r="AB129" i="2"/>
  <c r="AB130" i="2"/>
  <c r="AB131" i="2"/>
  <c r="AB132" i="2"/>
  <c r="AB133" i="2"/>
  <c r="AB134" i="2"/>
  <c r="AB135" i="2"/>
  <c r="AB136" i="2"/>
  <c r="AB137" i="2"/>
  <c r="AB138" i="2"/>
  <c r="AB139" i="2"/>
  <c r="AB140" i="2"/>
  <c r="AB141" i="2"/>
  <c r="AB142" i="2"/>
  <c r="AC142" i="2" s="1"/>
  <c r="AB143" i="2"/>
  <c r="AC143" i="2" s="1"/>
  <c r="AB144" i="2"/>
  <c r="AB145" i="2"/>
  <c r="AB146" i="2"/>
  <c r="AB147" i="2"/>
  <c r="AB148" i="2"/>
  <c r="AB149" i="2"/>
  <c r="AB150" i="2"/>
  <c r="AB151" i="2"/>
  <c r="AB152" i="2"/>
  <c r="AC152" i="2" s="1"/>
  <c r="AB153" i="2"/>
  <c r="AB154" i="2"/>
  <c r="AB155" i="2"/>
  <c r="AB156" i="2"/>
  <c r="AC156" i="2" s="1"/>
  <c r="AB157" i="2"/>
  <c r="AC157" i="2" s="1"/>
  <c r="AB158" i="2"/>
  <c r="AB159" i="2"/>
  <c r="AB160" i="2"/>
  <c r="AB161" i="2"/>
  <c r="AB162" i="2"/>
  <c r="AB163" i="2"/>
  <c r="AB164" i="2"/>
  <c r="AB165" i="2"/>
  <c r="AC165" i="2" s="1"/>
  <c r="AB166" i="2"/>
  <c r="AB167" i="2"/>
  <c r="AB168" i="2"/>
  <c r="AC168" i="2" s="1"/>
  <c r="AB169" i="2"/>
  <c r="AC169" i="2" s="1"/>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C200" i="2" s="1"/>
  <c r="AB201" i="2"/>
  <c r="AC201" i="2" s="1"/>
  <c r="AB202" i="2"/>
  <c r="AC202" i="2" s="1"/>
  <c r="AB203" i="2"/>
  <c r="AB204" i="2"/>
  <c r="AB205" i="2"/>
  <c r="AB206" i="2"/>
  <c r="AB207" i="2"/>
  <c r="AB208" i="2"/>
  <c r="AB209" i="2"/>
  <c r="AB210" i="2"/>
  <c r="AB211" i="2"/>
  <c r="AB212" i="2"/>
  <c r="AB213" i="2"/>
  <c r="AB214" i="2"/>
  <c r="AC214" i="2" s="1"/>
  <c r="AB215" i="2"/>
  <c r="AB216" i="2"/>
  <c r="AC216" i="2" s="1"/>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C240" i="2" s="1"/>
  <c r="AB241" i="2"/>
  <c r="AC241" i="2" s="1"/>
  <c r="AB242" i="2"/>
  <c r="AB243" i="2"/>
  <c r="AB244" i="2"/>
  <c r="AB245" i="2"/>
  <c r="AB246" i="2"/>
  <c r="AC246" i="2" s="1"/>
  <c r="AB247" i="2"/>
  <c r="AC247" i="2" s="1"/>
  <c r="AB248" i="2"/>
  <c r="AB249" i="2"/>
  <c r="AB250" i="2"/>
  <c r="AB251" i="2"/>
  <c r="AC251" i="2" s="1"/>
  <c r="AB252" i="2"/>
  <c r="AB253" i="2"/>
  <c r="AB254" i="2"/>
  <c r="AB255" i="2"/>
  <c r="AB256" i="2"/>
  <c r="AB257" i="2"/>
  <c r="AC257" i="2" s="1"/>
  <c r="AB258" i="2"/>
  <c r="AB259" i="2"/>
  <c r="AB260" i="2"/>
  <c r="AB261" i="2"/>
  <c r="AB262" i="2"/>
  <c r="AB263" i="2"/>
  <c r="AB264" i="2"/>
  <c r="AB265" i="2"/>
  <c r="AB266" i="2"/>
  <c r="AB267" i="2"/>
  <c r="AB268" i="2"/>
  <c r="AB269" i="2"/>
  <c r="AB270" i="2"/>
  <c r="AC270" i="2" s="1"/>
  <c r="AB271" i="2"/>
  <c r="AB272" i="2"/>
  <c r="AB273" i="2"/>
  <c r="AB274" i="2"/>
  <c r="AB275" i="2"/>
  <c r="AC275" i="2" s="1"/>
  <c r="AB276" i="2"/>
  <c r="AB277" i="2"/>
  <c r="AB278" i="2"/>
  <c r="AB279" i="2"/>
  <c r="AB280" i="2"/>
  <c r="AB281" i="2"/>
  <c r="AB282" i="2"/>
  <c r="AC282" i="2" s="1"/>
  <c r="AB283" i="2"/>
  <c r="AB284" i="2"/>
  <c r="AB285" i="2"/>
  <c r="AC285" i="2" s="1"/>
  <c r="AB286" i="2"/>
  <c r="AB287" i="2"/>
  <c r="AB288" i="2"/>
  <c r="AB289" i="2"/>
  <c r="AB290" i="2"/>
  <c r="AB291" i="2"/>
  <c r="AB292" i="2"/>
  <c r="AB293" i="2"/>
  <c r="AB294" i="2"/>
  <c r="AB295" i="2"/>
  <c r="AB296" i="2"/>
  <c r="AC296" i="2" s="1"/>
  <c r="AB297" i="2"/>
  <c r="AB298" i="2"/>
  <c r="AB299" i="2"/>
  <c r="AB300" i="2"/>
  <c r="AB301" i="2"/>
  <c r="AC301" i="2" s="1"/>
  <c r="AB302" i="2"/>
  <c r="AC302" i="2" s="1"/>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C331" i="2" s="1"/>
  <c r="AB332" i="2"/>
  <c r="AB333" i="2"/>
  <c r="AC333" i="2" s="1"/>
  <c r="AB334" i="2"/>
  <c r="AB335" i="2"/>
  <c r="AC335" i="2" s="1"/>
  <c r="AB336" i="2"/>
  <c r="AB337" i="2"/>
  <c r="AB338" i="2"/>
  <c r="AB339" i="2"/>
  <c r="AB340" i="2"/>
  <c r="AB341" i="2"/>
  <c r="AB342" i="2"/>
  <c r="AB343" i="2"/>
  <c r="AC343" i="2" s="1"/>
  <c r="AB344" i="2"/>
  <c r="AB345" i="2"/>
  <c r="AB346" i="2"/>
  <c r="AB347" i="2"/>
  <c r="AB348" i="2"/>
  <c r="AB349" i="2"/>
  <c r="AB350" i="2"/>
  <c r="AC350" i="2" s="1"/>
  <c r="AB351" i="2"/>
  <c r="AB352" i="2"/>
  <c r="AB353" i="2"/>
  <c r="AB354" i="2"/>
  <c r="AB355" i="2"/>
  <c r="AC355" i="2" s="1"/>
  <c r="AB356" i="2"/>
  <c r="AB357" i="2"/>
  <c r="AB358" i="2"/>
  <c r="AB359" i="2"/>
  <c r="AB360" i="2"/>
  <c r="AC360" i="2" s="1"/>
  <c r="AB361" i="2"/>
  <c r="AB362" i="2"/>
  <c r="AB363" i="2"/>
  <c r="AB364" i="2"/>
  <c r="AC364" i="2" s="1"/>
  <c r="AB365" i="2"/>
  <c r="AB366" i="2"/>
  <c r="AB367" i="2"/>
  <c r="AB368" i="2"/>
  <c r="AB369" i="2"/>
  <c r="AB370" i="2"/>
  <c r="AB371" i="2"/>
  <c r="AB372" i="2"/>
  <c r="AC372" i="2" s="1"/>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C395" i="2" s="1"/>
  <c r="AB396" i="2"/>
  <c r="AB397" i="2"/>
  <c r="AB398" i="2"/>
  <c r="AB399" i="2"/>
  <c r="AB400" i="2"/>
  <c r="AB401" i="2"/>
  <c r="AB402" i="2"/>
  <c r="AB403" i="2"/>
  <c r="AB404" i="2"/>
  <c r="AB405" i="2"/>
  <c r="AB406" i="2"/>
  <c r="AB407" i="2"/>
  <c r="AB408" i="2"/>
  <c r="AB409" i="2"/>
  <c r="AB410" i="2"/>
  <c r="AB411" i="2"/>
  <c r="AB412" i="2"/>
  <c r="AB413" i="2"/>
  <c r="AC413" i="2" s="1"/>
  <c r="AB414" i="2"/>
  <c r="AB415" i="2"/>
  <c r="AB416" i="2"/>
  <c r="AB417" i="2"/>
  <c r="AB418" i="2"/>
  <c r="AB419" i="2"/>
  <c r="AB420" i="2"/>
  <c r="AB421" i="2"/>
  <c r="AB422" i="2"/>
  <c r="AB423" i="2"/>
  <c r="AC423" i="2" s="1"/>
  <c r="AB424" i="2"/>
  <c r="AB425" i="2"/>
  <c r="AB426" i="2"/>
  <c r="AB427" i="2"/>
  <c r="AB428" i="2"/>
  <c r="AB429" i="2"/>
  <c r="AB430" i="2"/>
  <c r="AB431" i="2"/>
  <c r="AB432" i="2"/>
  <c r="AB433" i="2"/>
  <c r="AB434" i="2"/>
  <c r="AB435" i="2"/>
  <c r="AB436" i="2"/>
  <c r="AB437" i="2"/>
  <c r="AB438" i="2"/>
  <c r="AB439" i="2"/>
  <c r="AB440" i="2"/>
  <c r="AB441" i="2"/>
  <c r="AB442" i="2"/>
  <c r="AB443" i="2"/>
  <c r="AC443" i="2" s="1"/>
  <c r="AB444" i="2"/>
  <c r="AB445" i="2"/>
  <c r="AB446" i="2"/>
  <c r="AB447" i="2"/>
  <c r="AB448" i="2"/>
  <c r="AB449" i="2"/>
  <c r="AB450" i="2"/>
  <c r="AB451" i="2"/>
  <c r="AB452" i="2"/>
  <c r="AB453" i="2"/>
  <c r="AB454" i="2"/>
  <c r="AB455" i="2"/>
  <c r="AB456" i="2"/>
  <c r="AB457" i="2"/>
  <c r="AB458" i="2"/>
  <c r="AC458" i="2" s="1"/>
  <c r="AB459" i="2"/>
  <c r="AB460" i="2"/>
  <c r="AB461" i="2"/>
  <c r="AB462" i="2"/>
  <c r="AB463" i="2"/>
  <c r="AB464" i="2"/>
  <c r="AB465" i="2"/>
  <c r="AB466" i="2"/>
  <c r="AB467" i="2"/>
  <c r="AB468" i="2"/>
  <c r="AB469" i="2"/>
  <c r="AB470" i="2"/>
  <c r="AB471" i="2"/>
  <c r="AB472" i="2"/>
  <c r="AB473" i="2"/>
  <c r="AB474" i="2"/>
  <c r="AB475" i="2"/>
  <c r="AB476" i="2"/>
  <c r="AB477" i="2"/>
  <c r="AB478" i="2"/>
  <c r="AC478" i="2" s="1"/>
  <c r="AB479" i="2"/>
  <c r="AB480" i="2"/>
  <c r="AB481" i="2"/>
  <c r="AB482" i="2"/>
  <c r="AB483" i="2"/>
  <c r="AB484" i="2"/>
  <c r="AC484" i="2" s="1"/>
  <c r="AB485" i="2"/>
  <c r="AB486" i="2"/>
  <c r="AB487" i="2"/>
  <c r="AB488" i="2"/>
  <c r="AB489" i="2"/>
  <c r="AB490" i="2"/>
  <c r="AC490" i="2" s="1"/>
  <c r="AB491" i="2"/>
  <c r="AB492" i="2"/>
  <c r="AB493" i="2"/>
  <c r="AB494" i="2"/>
  <c r="AB495" i="2"/>
  <c r="AB496" i="2"/>
  <c r="AC496" i="2" s="1"/>
  <c r="AB497" i="2"/>
  <c r="AB498" i="2"/>
  <c r="AB499" i="2"/>
  <c r="AB500" i="2"/>
  <c r="AC500" i="2" s="1"/>
  <c r="AB501" i="2"/>
  <c r="AB502" i="2"/>
  <c r="AB503" i="2"/>
  <c r="AB504" i="2"/>
  <c r="AB505" i="2"/>
  <c r="AC505" i="2" s="1"/>
  <c r="AB506" i="2"/>
  <c r="AB507" i="2"/>
  <c r="AB508" i="2"/>
  <c r="AB509" i="2"/>
  <c r="AC509" i="2" s="1"/>
  <c r="AB510" i="2"/>
  <c r="AB511" i="2"/>
  <c r="AB512" i="2"/>
  <c r="AB513" i="2"/>
  <c r="AB514" i="2"/>
  <c r="AB515" i="2"/>
  <c r="AB516" i="2"/>
  <c r="AB517" i="2"/>
  <c r="AB518" i="2"/>
  <c r="AB519" i="2"/>
  <c r="AC519" i="2" s="1"/>
  <c r="AB520" i="2"/>
  <c r="AB521" i="2"/>
  <c r="AB522" i="2"/>
  <c r="AB523" i="2"/>
  <c r="AB524" i="2"/>
  <c r="AB525" i="2"/>
  <c r="AB526" i="2"/>
  <c r="AB527" i="2"/>
  <c r="AB528" i="2"/>
  <c r="AB529" i="2"/>
  <c r="AB530" i="2"/>
  <c r="AB531" i="2"/>
  <c r="AB532" i="2"/>
  <c r="AB533" i="2"/>
  <c r="AB534" i="2"/>
  <c r="AB535" i="2"/>
  <c r="AB536" i="2"/>
  <c r="AB537" i="2"/>
  <c r="AB538" i="2"/>
  <c r="AC538" i="2" s="1"/>
  <c r="AB539" i="2"/>
  <c r="AB540" i="2"/>
  <c r="AB541" i="2"/>
  <c r="AB542" i="2"/>
  <c r="AB543" i="2"/>
  <c r="AB544" i="2"/>
  <c r="AB545" i="2"/>
  <c r="AB546" i="2"/>
  <c r="AC546" i="2" s="1"/>
  <c r="AB547" i="2"/>
  <c r="AB548" i="2"/>
  <c r="AB549" i="2"/>
  <c r="AB550" i="2"/>
  <c r="AB551" i="2"/>
  <c r="AB552" i="2"/>
  <c r="AB553" i="2"/>
  <c r="AB554" i="2"/>
  <c r="AB555" i="2"/>
  <c r="AB556" i="2"/>
  <c r="AC556" i="2" s="1"/>
  <c r="AB557" i="2"/>
  <c r="AB558" i="2"/>
  <c r="AB559" i="2"/>
  <c r="AB560" i="2"/>
  <c r="AB561" i="2"/>
  <c r="AB562" i="2"/>
  <c r="AB563" i="2"/>
  <c r="AC563" i="2" s="1"/>
  <c r="AB564" i="2"/>
  <c r="AB565" i="2"/>
  <c r="AB566" i="2"/>
  <c r="AB567" i="2"/>
  <c r="AB568" i="2"/>
  <c r="AB569" i="2"/>
  <c r="AB570" i="2"/>
  <c r="AB571" i="2"/>
  <c r="AB572" i="2"/>
  <c r="AB573" i="2"/>
  <c r="AB574" i="2"/>
  <c r="AC574" i="2" s="1"/>
  <c r="AB575" i="2"/>
  <c r="AB576" i="2"/>
  <c r="AB577" i="2"/>
  <c r="AB578" i="2"/>
  <c r="AB579" i="2"/>
  <c r="AB580" i="2"/>
  <c r="AB581" i="2"/>
  <c r="AB582" i="2"/>
  <c r="AB583" i="2"/>
  <c r="AB584" i="2"/>
  <c r="AB585" i="2"/>
  <c r="AB586" i="2"/>
  <c r="AB587" i="2"/>
  <c r="AB588" i="2"/>
  <c r="AB589" i="2"/>
  <c r="AC589" i="2" s="1"/>
  <c r="AB590" i="2"/>
  <c r="AB591" i="2"/>
  <c r="AB592" i="2"/>
  <c r="AB593" i="2"/>
  <c r="AB594" i="2"/>
  <c r="AC594" i="2" s="1"/>
  <c r="AB595" i="2"/>
  <c r="AB596" i="2"/>
  <c r="AB597" i="2"/>
  <c r="AB598" i="2"/>
  <c r="AB599" i="2"/>
  <c r="AB600" i="2"/>
  <c r="AC600" i="2" s="1"/>
  <c r="AB601" i="2"/>
  <c r="AB602" i="2"/>
  <c r="AB603" i="2"/>
  <c r="AB604" i="2"/>
  <c r="AB605" i="2"/>
  <c r="AB606" i="2"/>
  <c r="AC606" i="2" s="1"/>
  <c r="AB607" i="2"/>
  <c r="AB608" i="2"/>
  <c r="AB609" i="2"/>
  <c r="AB610" i="2"/>
  <c r="AB611" i="2"/>
  <c r="AB612" i="2"/>
  <c r="AB613" i="2"/>
  <c r="AC613" i="2" s="1"/>
  <c r="AB614" i="2"/>
  <c r="AC614" i="2" s="1"/>
  <c r="AB615" i="2"/>
  <c r="AB616" i="2"/>
  <c r="AB617" i="2"/>
  <c r="AB618" i="2"/>
  <c r="AB619" i="2"/>
  <c r="AB620" i="2"/>
  <c r="AB621" i="2"/>
  <c r="AB622" i="2"/>
  <c r="AB623" i="2"/>
  <c r="AB624" i="2"/>
  <c r="AB625" i="2"/>
  <c r="AC625" i="2" s="1"/>
  <c r="AB626" i="2"/>
  <c r="AB627" i="2"/>
  <c r="AB628" i="2"/>
  <c r="AB629" i="2"/>
  <c r="AC629" i="2" s="1"/>
  <c r="AB630" i="2"/>
  <c r="AB631" i="2"/>
  <c r="AB632" i="2"/>
  <c r="AB633" i="2"/>
  <c r="AB634" i="2"/>
  <c r="AB635" i="2"/>
  <c r="AB636" i="2"/>
  <c r="AC636" i="2" s="1"/>
  <c r="AB637" i="2"/>
  <c r="AB638" i="2"/>
  <c r="AB639" i="2"/>
  <c r="AB640" i="2"/>
  <c r="AC640" i="2" s="1"/>
  <c r="AB641" i="2"/>
  <c r="AB642" i="2"/>
  <c r="AB643" i="2"/>
  <c r="AB644" i="2"/>
  <c r="AB645" i="2"/>
  <c r="AB646" i="2"/>
  <c r="AB647" i="2"/>
  <c r="AB648" i="2"/>
  <c r="AB649" i="2"/>
  <c r="AB650" i="2"/>
  <c r="AB651" i="2"/>
  <c r="AC651" i="2" s="1"/>
  <c r="AB652" i="2"/>
  <c r="AB653" i="2"/>
  <c r="AB654" i="2"/>
  <c r="AB655" i="2"/>
  <c r="AC655" i="2" s="1"/>
  <c r="AB656" i="2"/>
  <c r="AB657" i="2"/>
  <c r="AB658" i="2"/>
  <c r="AB659" i="2"/>
  <c r="AB660" i="2"/>
  <c r="AB661" i="2"/>
  <c r="AB662" i="2"/>
  <c r="AB663" i="2"/>
  <c r="AC663" i="2" s="1"/>
  <c r="AB664" i="2"/>
  <c r="AB665" i="2"/>
  <c r="AB666" i="2"/>
  <c r="AB667" i="2"/>
  <c r="AB668" i="2"/>
  <c r="AB669" i="2"/>
  <c r="AB670" i="2"/>
  <c r="AB671" i="2"/>
  <c r="AB672" i="2"/>
  <c r="AB673" i="2"/>
  <c r="AC673" i="2" s="1"/>
  <c r="AB674" i="2"/>
  <c r="AB675" i="2"/>
  <c r="AB676" i="2"/>
  <c r="AC676" i="2" s="1"/>
  <c r="AB677" i="2"/>
  <c r="AB678" i="2"/>
  <c r="AB679" i="2"/>
  <c r="AB680" i="2"/>
  <c r="AB681" i="2"/>
  <c r="AB682" i="2"/>
  <c r="AB683" i="2"/>
  <c r="AB684" i="2"/>
  <c r="AB685" i="2"/>
  <c r="AB686" i="2"/>
  <c r="AB687" i="2"/>
  <c r="AB688" i="2"/>
  <c r="AC688" i="2" s="1"/>
  <c r="AB689" i="2"/>
  <c r="AB690" i="2"/>
  <c r="AB691" i="2"/>
  <c r="AB692" i="2"/>
  <c r="AB693" i="2"/>
  <c r="AC693" i="2" s="1"/>
  <c r="AB694" i="2"/>
  <c r="AC694" i="2" s="1"/>
  <c r="AB695" i="2"/>
  <c r="AB696" i="2"/>
  <c r="AB697" i="2"/>
  <c r="AC697" i="2" s="1"/>
  <c r="AB698" i="2"/>
  <c r="AB699" i="2"/>
  <c r="AB700" i="2"/>
  <c r="AB701" i="2"/>
  <c r="AB702" i="2"/>
  <c r="AB703" i="2"/>
  <c r="AC703" i="2" s="1"/>
  <c r="AB704" i="2"/>
  <c r="AC704" i="2" s="1"/>
  <c r="AB705" i="2"/>
  <c r="AB706" i="2"/>
  <c r="AC706" i="2" s="1"/>
  <c r="AB707" i="2"/>
  <c r="AB708" i="2"/>
  <c r="AB709" i="2"/>
  <c r="AB710" i="2"/>
  <c r="AB711" i="2"/>
  <c r="AB712" i="2"/>
  <c r="AB713" i="2"/>
  <c r="AC713" i="2" s="1"/>
  <c r="AB714" i="2"/>
  <c r="AB715" i="2"/>
  <c r="AB716" i="2"/>
  <c r="AB717" i="2"/>
  <c r="AC717" i="2" s="1"/>
  <c r="AB718" i="2"/>
  <c r="AB719" i="2"/>
  <c r="AB720" i="2"/>
  <c r="AC720" i="2" s="1"/>
  <c r="AB721" i="2"/>
  <c r="AB722" i="2"/>
  <c r="AB723" i="2"/>
  <c r="AB724" i="2"/>
  <c r="AB725" i="2"/>
  <c r="AB726" i="2"/>
  <c r="AB727" i="2"/>
  <c r="AB728" i="2"/>
  <c r="AB729" i="2"/>
  <c r="AB730" i="2"/>
  <c r="AB731" i="2"/>
  <c r="AB732" i="2"/>
  <c r="AB733" i="2"/>
  <c r="AC733" i="2" s="1"/>
  <c r="AB734" i="2"/>
  <c r="AB735" i="2"/>
  <c r="AC735" i="2" s="1"/>
  <c r="AB736" i="2"/>
  <c r="AB737" i="2"/>
  <c r="AB738" i="2"/>
  <c r="AB739" i="2"/>
  <c r="AB740" i="2"/>
  <c r="AB741" i="2"/>
  <c r="AB742" i="2"/>
  <c r="AB743" i="2"/>
  <c r="AB744" i="2"/>
  <c r="AC744" i="2" s="1"/>
  <c r="AB745" i="2"/>
  <c r="AB746" i="2"/>
  <c r="AB747" i="2"/>
  <c r="AB748" i="2"/>
  <c r="AB749" i="2"/>
  <c r="AB750" i="2"/>
  <c r="AB751" i="2"/>
  <c r="AB752" i="2"/>
  <c r="AC752" i="2" s="1"/>
  <c r="AB753" i="2"/>
  <c r="AB754" i="2"/>
  <c r="AB755" i="2"/>
  <c r="AB756" i="2"/>
  <c r="AB757" i="2"/>
  <c r="AB758" i="2"/>
  <c r="AB759" i="2"/>
  <c r="AC759" i="2" s="1"/>
  <c r="AB760" i="2"/>
  <c r="AC760" i="2" s="1"/>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C785" i="2" s="1"/>
  <c r="AB786" i="2"/>
  <c r="AB787" i="2"/>
  <c r="AC787" i="2" s="1"/>
  <c r="AB788" i="2"/>
  <c r="AB789" i="2"/>
  <c r="AB790" i="2"/>
  <c r="AB791" i="2"/>
  <c r="AB792" i="2"/>
  <c r="AB793" i="2"/>
  <c r="AB794" i="2"/>
  <c r="AB795" i="2"/>
  <c r="AB796" i="2"/>
  <c r="AB797" i="2"/>
  <c r="AB798" i="2"/>
  <c r="AB799" i="2"/>
  <c r="AC799" i="2" s="1"/>
  <c r="AB800" i="2"/>
  <c r="AB801" i="2"/>
  <c r="AB802" i="2"/>
  <c r="AB803" i="2"/>
  <c r="AB804" i="2"/>
  <c r="AB805" i="2"/>
  <c r="AB806" i="2"/>
  <c r="AB807" i="2"/>
  <c r="AB808" i="2"/>
  <c r="AB809" i="2"/>
  <c r="AB810" i="2"/>
  <c r="AB811" i="2"/>
  <c r="AB812" i="2"/>
  <c r="AB813" i="2"/>
  <c r="AB814" i="2"/>
  <c r="AB815" i="2"/>
  <c r="AC815" i="2" s="1"/>
  <c r="AB816" i="2"/>
  <c r="AC816" i="2" s="1"/>
  <c r="AB817" i="2"/>
  <c r="AC817" i="2" s="1"/>
  <c r="AB818" i="2"/>
  <c r="AB819" i="2"/>
  <c r="AB820" i="2"/>
  <c r="AB821" i="2"/>
  <c r="AB822" i="2"/>
  <c r="AB823" i="2"/>
  <c r="AC823" i="2" s="1"/>
  <c r="AB824" i="2"/>
  <c r="AB825" i="2"/>
  <c r="AC825" i="2" s="1"/>
  <c r="AB826" i="2"/>
  <c r="AB827" i="2"/>
  <c r="AC827" i="2" s="1"/>
  <c r="AB828" i="2"/>
  <c r="AB829" i="2"/>
  <c r="AB830" i="2"/>
  <c r="AC830" i="2" s="1"/>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C936" i="2" s="1"/>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C1329" i="2" s="1"/>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2" i="2"/>
  <c r="AA3" i="2"/>
  <c r="B4" i="6"/>
  <c r="AC3"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2" i="4"/>
  <c r="AD141" i="4"/>
  <c r="AN4" i="5"/>
  <c r="AN5" i="5"/>
  <c r="AN6" i="5"/>
  <c r="AN7" i="5"/>
  <c r="AN8" i="5"/>
  <c r="AN9" i="5"/>
  <c r="AN10" i="5"/>
  <c r="AN11" i="5"/>
  <c r="AN12" i="5"/>
  <c r="AN13" i="5"/>
  <c r="AN14" i="5"/>
  <c r="AN15" i="5"/>
  <c r="AN16" i="5"/>
  <c r="AN17" i="5"/>
  <c r="AN18" i="5"/>
  <c r="AN19" i="5"/>
  <c r="AN20" i="5"/>
  <c r="AN21" i="5"/>
  <c r="AN22" i="5"/>
  <c r="AN23" i="5"/>
  <c r="AN24" i="5"/>
  <c r="AN25" i="5"/>
  <c r="AN26" i="5"/>
  <c r="AN27" i="5"/>
  <c r="AN28" i="5"/>
  <c r="AN29" i="5"/>
  <c r="AN30" i="5"/>
  <c r="AN31" i="5"/>
  <c r="AN32" i="5"/>
  <c r="AN33" i="5"/>
  <c r="AN34" i="5"/>
  <c r="AN35" i="5"/>
  <c r="AN36" i="5"/>
  <c r="AN37" i="5"/>
  <c r="AN38" i="5"/>
  <c r="AN39" i="5"/>
  <c r="AN40" i="5"/>
  <c r="AN41" i="5"/>
  <c r="AN42" i="5"/>
  <c r="AN43" i="5"/>
  <c r="AN44" i="5"/>
  <c r="AN45" i="5"/>
  <c r="AN46" i="5"/>
  <c r="AN47" i="5"/>
  <c r="AN48" i="5"/>
  <c r="AN49" i="5"/>
  <c r="AN50" i="5"/>
  <c r="AN51" i="5"/>
  <c r="AN52" i="5"/>
  <c r="AN53" i="5"/>
  <c r="AN54" i="5"/>
  <c r="AN55" i="5"/>
  <c r="AN56" i="5"/>
  <c r="AN57" i="5"/>
  <c r="AN58" i="5"/>
  <c r="AN59" i="5"/>
  <c r="AN60" i="5"/>
  <c r="AN61" i="5"/>
  <c r="AN62" i="5"/>
  <c r="AN63" i="5"/>
  <c r="AN64" i="5"/>
  <c r="AN65" i="5"/>
  <c r="AN66" i="5"/>
  <c r="AN67" i="5"/>
  <c r="AN68" i="5"/>
  <c r="AN69" i="5"/>
  <c r="AN70" i="5"/>
  <c r="AN71" i="5"/>
  <c r="AN72" i="5"/>
  <c r="AN73" i="5"/>
  <c r="AN74" i="5"/>
  <c r="AN75" i="5"/>
  <c r="AN76" i="5"/>
  <c r="AN77" i="5"/>
  <c r="AN78" i="5"/>
  <c r="AN79" i="5"/>
  <c r="AN80" i="5"/>
  <c r="AN81" i="5"/>
  <c r="AN82" i="5"/>
  <c r="AN83" i="5"/>
  <c r="AN84" i="5"/>
  <c r="AN85" i="5"/>
  <c r="AN86" i="5"/>
  <c r="AN87" i="5"/>
  <c r="AN88" i="5"/>
  <c r="AN89" i="5"/>
  <c r="AN90" i="5"/>
  <c r="AN91" i="5"/>
  <c r="AN92" i="5"/>
  <c r="AN93" i="5"/>
  <c r="AN94" i="5"/>
  <c r="AN95" i="5"/>
  <c r="AN96" i="5"/>
  <c r="AN97" i="5"/>
  <c r="AN98" i="5"/>
  <c r="AN99" i="5"/>
  <c r="AN100" i="5"/>
  <c r="AN101" i="5"/>
  <c r="AN102" i="5"/>
  <c r="AN103" i="5"/>
  <c r="AN104" i="5"/>
  <c r="AN105" i="5"/>
  <c r="AN106" i="5"/>
  <c r="AN107" i="5"/>
  <c r="AN108" i="5"/>
  <c r="AN109" i="5"/>
  <c r="AN110" i="5"/>
  <c r="AN111" i="5"/>
  <c r="AN112" i="5"/>
  <c r="AN113" i="5"/>
  <c r="AN114" i="5"/>
  <c r="AN115" i="5"/>
  <c r="AN116" i="5"/>
  <c r="AN117" i="5"/>
  <c r="AN118" i="5"/>
  <c r="AN119" i="5"/>
  <c r="AN120" i="5"/>
  <c r="AN121" i="5"/>
  <c r="AN122" i="5"/>
  <c r="AN123" i="5"/>
  <c r="AN124" i="5"/>
  <c r="AN125" i="5"/>
  <c r="AN126" i="5"/>
  <c r="AN127" i="5"/>
  <c r="AN128" i="5"/>
  <c r="AN129" i="5"/>
  <c r="AN130" i="5"/>
  <c r="AN131" i="5"/>
  <c r="AN132" i="5"/>
  <c r="AN133" i="5"/>
  <c r="AN134" i="5"/>
  <c r="AN135" i="5"/>
  <c r="AN136" i="5"/>
  <c r="AN137" i="5"/>
  <c r="AN138" i="5"/>
  <c r="AN139" i="5"/>
  <c r="AN140" i="5"/>
  <c r="AN141" i="5"/>
  <c r="AN142" i="5"/>
  <c r="AN143" i="5"/>
  <c r="AN144" i="5"/>
  <c r="AN145" i="5"/>
  <c r="AN146" i="5"/>
  <c r="AN147" i="5"/>
  <c r="AN148" i="5"/>
  <c r="AN149" i="5"/>
  <c r="AN150" i="5"/>
  <c r="AN151" i="5"/>
  <c r="AN152" i="5"/>
  <c r="AN153" i="5"/>
  <c r="AN154" i="5"/>
  <c r="AN155" i="5"/>
  <c r="AN156" i="5"/>
  <c r="AN157" i="5"/>
  <c r="AN158" i="5"/>
  <c r="AN159" i="5"/>
  <c r="AN160" i="5"/>
  <c r="AN161" i="5"/>
  <c r="AN162" i="5"/>
  <c r="AN163" i="5"/>
  <c r="AN164" i="5"/>
  <c r="AN165" i="5"/>
  <c r="AN166" i="5"/>
  <c r="AN167" i="5"/>
  <c r="AN168" i="5"/>
  <c r="AN169" i="5"/>
  <c r="AN170" i="5"/>
  <c r="AN171" i="5"/>
  <c r="AN172" i="5"/>
  <c r="AN173" i="5"/>
  <c r="AN174" i="5"/>
  <c r="AN175" i="5"/>
  <c r="AN176" i="5"/>
  <c r="AN177" i="5"/>
  <c r="AN178" i="5"/>
  <c r="AN179" i="5"/>
  <c r="AN180" i="5"/>
  <c r="AN181" i="5"/>
  <c r="AN182" i="5"/>
  <c r="AN183" i="5"/>
  <c r="AN2" i="5"/>
  <c r="AO2" i="5" s="1"/>
  <c r="B10" i="6"/>
  <c r="B2" i="6"/>
  <c r="F1" i="6"/>
  <c r="B3" i="6"/>
  <c r="AC1328" i="2" l="1"/>
  <c r="AC1327" i="2"/>
  <c r="AC1326" i="2"/>
  <c r="AC1325" i="2"/>
  <c r="AC1324" i="2"/>
  <c r="AC1323" i="2"/>
  <c r="AC1322" i="2"/>
  <c r="AC1321" i="2"/>
  <c r="AC1320" i="2"/>
  <c r="AC1319" i="2"/>
  <c r="AC1318" i="2"/>
  <c r="AC1317" i="2"/>
  <c r="AC1316" i="2"/>
  <c r="AC1315" i="2"/>
  <c r="AC1314" i="2"/>
  <c r="AC1313" i="2"/>
  <c r="AC1312" i="2"/>
  <c r="AC1311" i="2"/>
  <c r="AC1310" i="2"/>
  <c r="AC1309" i="2"/>
  <c r="AC1308" i="2"/>
  <c r="AC1307" i="2"/>
  <c r="AC1306" i="2"/>
  <c r="AC1305" i="2"/>
  <c r="AC1304" i="2"/>
  <c r="AC1303" i="2"/>
  <c r="AC1302" i="2"/>
  <c r="AC1301" i="2"/>
  <c r="AC1300" i="2"/>
  <c r="AC1299" i="2"/>
  <c r="AC1298" i="2"/>
  <c r="AC1297" i="2"/>
  <c r="AC1296" i="2"/>
  <c r="AC1295" i="2"/>
  <c r="AC1294" i="2"/>
  <c r="AC1293" i="2"/>
  <c r="AC1292" i="2"/>
  <c r="AC1291" i="2"/>
  <c r="AC1290" i="2"/>
  <c r="AC1289" i="2"/>
  <c r="AC1288" i="2"/>
  <c r="AC1287" i="2"/>
  <c r="AC1286" i="2"/>
  <c r="AC1285" i="2"/>
  <c r="AC1284" i="2"/>
  <c r="AC1283" i="2"/>
  <c r="AC1282" i="2"/>
  <c r="AC1281" i="2"/>
  <c r="AC1280" i="2"/>
  <c r="AC1279" i="2"/>
  <c r="AC1278" i="2"/>
  <c r="AC1277" i="2"/>
  <c r="AC1276" i="2"/>
  <c r="AC1275" i="2"/>
  <c r="AC1274" i="2"/>
  <c r="AC1273" i="2"/>
  <c r="AC1272" i="2"/>
  <c r="AC1271" i="2"/>
  <c r="AC1270" i="2"/>
  <c r="AC1269" i="2"/>
  <c r="AC1268" i="2"/>
  <c r="AC1267" i="2"/>
  <c r="AC1266" i="2"/>
  <c r="AC1265" i="2"/>
  <c r="AC1264" i="2"/>
  <c r="AC1263" i="2"/>
  <c r="AC1262" i="2"/>
  <c r="AC1261" i="2"/>
  <c r="AC1260" i="2"/>
  <c r="AC1259" i="2"/>
  <c r="AC1258" i="2"/>
  <c r="AC1257" i="2"/>
  <c r="AC1256" i="2"/>
  <c r="AC1255" i="2"/>
  <c r="AC1254" i="2"/>
  <c r="AC1253" i="2"/>
  <c r="AC1252" i="2"/>
  <c r="AC1251" i="2"/>
  <c r="AC1250" i="2"/>
  <c r="AC1249" i="2"/>
  <c r="AC1248" i="2"/>
  <c r="AC1247" i="2"/>
  <c r="AC1246" i="2"/>
  <c r="AC1245" i="2"/>
  <c r="AC1244" i="2"/>
  <c r="AC1243" i="2"/>
  <c r="AC1242" i="2"/>
  <c r="AC1241" i="2"/>
  <c r="AC1240" i="2"/>
  <c r="AC1239" i="2"/>
  <c r="AC1238" i="2"/>
  <c r="AC1237" i="2"/>
  <c r="AC1236" i="2"/>
  <c r="AC1235" i="2"/>
  <c r="AC1234" i="2"/>
  <c r="AC1233" i="2"/>
  <c r="AC1232" i="2"/>
  <c r="AC1231" i="2"/>
  <c r="AC1230" i="2"/>
  <c r="AC1229" i="2"/>
  <c r="AC1228" i="2"/>
  <c r="AC1227" i="2"/>
  <c r="AC1226" i="2"/>
  <c r="AC1225" i="2"/>
  <c r="AC1224" i="2"/>
  <c r="AC1223" i="2"/>
  <c r="AC1222" i="2"/>
  <c r="AC1221" i="2"/>
  <c r="AC1220" i="2"/>
  <c r="AC1219" i="2"/>
  <c r="AC1218" i="2"/>
  <c r="AC1217" i="2"/>
  <c r="AC1216" i="2"/>
  <c r="AC1215" i="2"/>
  <c r="AC1214" i="2"/>
  <c r="AC1213" i="2"/>
  <c r="AC1212" i="2"/>
  <c r="AC1211" i="2"/>
  <c r="AC1210" i="2"/>
  <c r="AC1209" i="2"/>
  <c r="AC1208" i="2"/>
  <c r="AC1207" i="2"/>
  <c r="AC1206" i="2"/>
  <c r="AC1205" i="2"/>
  <c r="AC1204" i="2"/>
  <c r="AC1203" i="2"/>
  <c r="AC1202" i="2"/>
  <c r="AC1201" i="2"/>
  <c r="AC1200" i="2"/>
  <c r="AC1199" i="2"/>
  <c r="AC1198" i="2"/>
  <c r="AC1197" i="2"/>
  <c r="AC1196" i="2"/>
  <c r="AC1195" i="2"/>
  <c r="AC1194" i="2"/>
  <c r="AC1193" i="2"/>
  <c r="AC1192" i="2"/>
  <c r="AC1191" i="2"/>
  <c r="AC1190" i="2"/>
  <c r="AC1189" i="2"/>
  <c r="AC1188" i="2"/>
  <c r="AC1187" i="2"/>
  <c r="AC1186" i="2"/>
  <c r="AC1185" i="2"/>
  <c r="AC1184" i="2"/>
  <c r="AC1183" i="2"/>
  <c r="AC1182" i="2"/>
  <c r="AC1181" i="2"/>
  <c r="AC1180" i="2"/>
  <c r="AC1179" i="2"/>
  <c r="AC1178" i="2"/>
  <c r="AC1177" i="2"/>
  <c r="AC1176" i="2"/>
  <c r="AC1175" i="2"/>
  <c r="AC1174" i="2"/>
  <c r="AC1173" i="2"/>
  <c r="AC1172" i="2"/>
  <c r="AC1171" i="2"/>
  <c r="AC1170" i="2"/>
  <c r="AC1169" i="2"/>
  <c r="AC1168" i="2"/>
  <c r="AC1167" i="2"/>
  <c r="AC1166" i="2"/>
  <c r="AC1165" i="2"/>
  <c r="AC1164" i="2"/>
  <c r="AC1163" i="2"/>
  <c r="AC1162" i="2"/>
  <c r="AC1161" i="2"/>
  <c r="AC1160" i="2"/>
  <c r="AC1159" i="2"/>
  <c r="AC1158" i="2"/>
  <c r="AC1157" i="2"/>
  <c r="AC1156" i="2"/>
  <c r="AC1155" i="2"/>
  <c r="AC1154" i="2"/>
  <c r="AC1153" i="2"/>
  <c r="AC1152" i="2"/>
  <c r="AC1151" i="2"/>
  <c r="AC1150" i="2"/>
  <c r="AC1149" i="2"/>
  <c r="AC1148" i="2"/>
  <c r="AC1147" i="2"/>
  <c r="AC1146" i="2"/>
  <c r="AC1145" i="2"/>
  <c r="AC1144" i="2"/>
  <c r="AC1143" i="2"/>
  <c r="AC1142" i="2"/>
  <c r="AC1141" i="2"/>
  <c r="AC1140" i="2"/>
  <c r="AC1139" i="2"/>
  <c r="AC1138" i="2"/>
  <c r="AC1137" i="2"/>
  <c r="AC1136" i="2"/>
  <c r="AC1135" i="2"/>
  <c r="AC1134" i="2"/>
  <c r="AC1133" i="2"/>
  <c r="AC1132" i="2"/>
  <c r="AC1131" i="2"/>
  <c r="AC1130" i="2"/>
  <c r="AC1129" i="2"/>
  <c r="AC1128" i="2"/>
  <c r="AC1127" i="2"/>
  <c r="AC1126" i="2"/>
  <c r="AC1125" i="2"/>
  <c r="AC1124" i="2"/>
  <c r="AC1123" i="2"/>
  <c r="AC1122" i="2"/>
  <c r="AC1121" i="2"/>
  <c r="AC1120" i="2"/>
  <c r="AC1119" i="2"/>
  <c r="AC1118" i="2"/>
  <c r="AC1117" i="2"/>
  <c r="AC1116" i="2"/>
  <c r="AC1115" i="2"/>
  <c r="AC1114" i="2"/>
  <c r="AC1113" i="2"/>
  <c r="AC1112" i="2"/>
  <c r="AC1111" i="2"/>
  <c r="AC1110" i="2"/>
  <c r="AC1109" i="2"/>
  <c r="AC1108" i="2"/>
  <c r="AC1107" i="2"/>
  <c r="AC1106" i="2"/>
  <c r="AC1105" i="2"/>
  <c r="AC1104" i="2"/>
  <c r="AC1103" i="2"/>
  <c r="AC1102" i="2"/>
  <c r="AC1101" i="2"/>
  <c r="AC1100" i="2"/>
  <c r="AC1099" i="2"/>
  <c r="AC1098" i="2"/>
  <c r="AC1097" i="2"/>
  <c r="AC1096" i="2"/>
  <c r="AC1095" i="2"/>
  <c r="AC1094" i="2"/>
  <c r="AC1093" i="2"/>
  <c r="AC1092" i="2"/>
  <c r="AC1091" i="2"/>
  <c r="AC1090" i="2"/>
  <c r="AC1089" i="2"/>
  <c r="AC1088" i="2"/>
  <c r="AC1087" i="2"/>
  <c r="AC1086" i="2"/>
  <c r="AC1085" i="2"/>
  <c r="AC1084" i="2"/>
  <c r="AC1083" i="2"/>
  <c r="AC1082" i="2"/>
  <c r="AC1081" i="2"/>
  <c r="AC1080" i="2"/>
  <c r="AC1079" i="2"/>
  <c r="AC1078" i="2"/>
  <c r="AC1077" i="2"/>
  <c r="AC1076" i="2"/>
  <c r="AC1075" i="2"/>
  <c r="AC1074" i="2"/>
  <c r="AC1073" i="2"/>
  <c r="AC1072" i="2"/>
  <c r="AC1071" i="2"/>
  <c r="AC1070" i="2"/>
  <c r="AC1069" i="2"/>
  <c r="AC1068" i="2"/>
  <c r="AC1067" i="2"/>
  <c r="AC1066" i="2"/>
  <c r="AC1065" i="2"/>
  <c r="AC1064" i="2"/>
  <c r="AC1063" i="2"/>
  <c r="AC1062" i="2"/>
  <c r="AC1061" i="2"/>
  <c r="AC1060" i="2"/>
  <c r="AC1059" i="2"/>
  <c r="AC1058" i="2"/>
  <c r="AC1057" i="2"/>
  <c r="AC1056" i="2"/>
  <c r="AC1055" i="2"/>
  <c r="AC1054" i="2"/>
  <c r="AC1053" i="2"/>
  <c r="AC1052" i="2"/>
  <c r="AC1051" i="2"/>
  <c r="AC1050" i="2"/>
  <c r="AC1049" i="2"/>
  <c r="AC1048" i="2"/>
  <c r="AC1047" i="2"/>
  <c r="AC1046" i="2"/>
  <c r="AC1045" i="2"/>
  <c r="AC1044" i="2"/>
  <c r="AC1043" i="2"/>
  <c r="AC1042" i="2"/>
  <c r="AC1041" i="2"/>
  <c r="AC1040" i="2"/>
  <c r="AC1039" i="2"/>
  <c r="AC1038" i="2"/>
  <c r="AC1037" i="2"/>
  <c r="AC1036" i="2"/>
  <c r="AC1035" i="2"/>
  <c r="AC1034" i="2"/>
  <c r="AC1033" i="2"/>
  <c r="AC1032" i="2"/>
  <c r="AC1031" i="2"/>
  <c r="AC1030" i="2"/>
  <c r="AC1029" i="2"/>
  <c r="AC1028" i="2"/>
  <c r="AC1027" i="2"/>
  <c r="AC1026" i="2"/>
  <c r="AC1025" i="2"/>
  <c r="AC1024" i="2"/>
  <c r="AC1023" i="2"/>
  <c r="AC1022" i="2"/>
  <c r="AC1021" i="2"/>
  <c r="AC1020" i="2"/>
  <c r="AC1019" i="2"/>
  <c r="AC1018" i="2"/>
  <c r="AC1017" i="2"/>
  <c r="AC1016" i="2"/>
  <c r="AC1015" i="2"/>
  <c r="AC1014" i="2"/>
  <c r="AC1013" i="2"/>
  <c r="AC1012" i="2"/>
  <c r="AC1011" i="2"/>
  <c r="AC1010" i="2"/>
  <c r="AC1009" i="2"/>
  <c r="AC1008" i="2"/>
  <c r="AC1007" i="2"/>
  <c r="AC1006" i="2"/>
  <c r="AC1005" i="2"/>
  <c r="AC1004" i="2"/>
  <c r="AC1003" i="2"/>
  <c r="AC1002" i="2"/>
  <c r="AC1001" i="2"/>
  <c r="AC1000" i="2"/>
  <c r="AC999" i="2"/>
  <c r="AC998" i="2"/>
  <c r="AC997" i="2"/>
  <c r="AC996" i="2"/>
  <c r="AC995" i="2"/>
  <c r="AC994" i="2"/>
  <c r="AC993" i="2"/>
  <c r="AC992" i="2"/>
  <c r="AC991" i="2"/>
  <c r="AC990" i="2"/>
  <c r="AC989" i="2"/>
  <c r="AC988" i="2"/>
  <c r="AC987" i="2"/>
  <c r="AC986" i="2"/>
  <c r="AC985" i="2"/>
  <c r="AC984" i="2"/>
  <c r="AC983" i="2"/>
  <c r="AC982" i="2"/>
  <c r="AC981" i="2"/>
  <c r="AC980" i="2"/>
  <c r="AC979" i="2"/>
  <c r="AC978" i="2"/>
  <c r="AC977" i="2"/>
  <c r="AC976" i="2"/>
  <c r="AC975" i="2"/>
  <c r="AC974" i="2"/>
  <c r="AC973" i="2"/>
  <c r="AC972" i="2"/>
  <c r="AC971" i="2"/>
  <c r="AC970" i="2"/>
  <c r="AC969" i="2"/>
  <c r="AC968" i="2"/>
  <c r="AC967" i="2"/>
  <c r="AC966" i="2"/>
  <c r="AC965" i="2"/>
  <c r="AC964" i="2"/>
  <c r="AC963" i="2"/>
  <c r="AC962" i="2"/>
  <c r="AC961" i="2"/>
  <c r="AC960" i="2"/>
  <c r="AC959" i="2"/>
  <c r="AC958" i="2"/>
  <c r="AC957" i="2"/>
  <c r="AC956" i="2"/>
  <c r="AC955" i="2"/>
  <c r="AC954" i="2"/>
  <c r="AC953" i="2"/>
  <c r="AC952" i="2"/>
  <c r="AC951" i="2"/>
  <c r="AC950" i="2"/>
  <c r="AC949" i="2"/>
  <c r="AC948" i="2"/>
  <c r="AC947" i="2"/>
  <c r="AC946" i="2"/>
  <c r="AC945" i="2"/>
  <c r="AC944" i="2"/>
  <c r="AC943" i="2"/>
  <c r="AC942" i="2"/>
  <c r="AC941" i="2"/>
  <c r="AC940" i="2"/>
  <c r="AC939" i="2"/>
  <c r="AC938" i="2"/>
  <c r="AC937" i="2"/>
  <c r="AC935" i="2"/>
  <c r="AC934" i="2"/>
  <c r="AC933" i="2"/>
  <c r="AC932" i="2"/>
  <c r="AC931" i="2"/>
  <c r="AC930" i="2"/>
  <c r="AC929" i="2"/>
  <c r="AC928" i="2"/>
  <c r="AC927" i="2"/>
  <c r="AC926" i="2"/>
  <c r="AC925" i="2"/>
  <c r="AC924" i="2"/>
  <c r="AC923" i="2"/>
  <c r="AC922" i="2"/>
  <c r="AC921" i="2"/>
  <c r="AC920" i="2"/>
  <c r="AC919" i="2"/>
  <c r="AC918" i="2"/>
  <c r="AC917" i="2"/>
  <c r="AC916" i="2"/>
  <c r="AC915" i="2"/>
  <c r="AC914" i="2"/>
  <c r="AC913" i="2"/>
  <c r="AC912" i="2"/>
  <c r="AC911" i="2"/>
  <c r="AC910" i="2"/>
  <c r="AC909" i="2"/>
  <c r="AC908" i="2"/>
  <c r="AC907" i="2"/>
  <c r="AC906" i="2"/>
  <c r="AC905" i="2"/>
  <c r="AC904" i="2"/>
  <c r="AC903" i="2"/>
  <c r="AC902" i="2"/>
  <c r="AC901" i="2"/>
  <c r="AC900" i="2"/>
  <c r="AC899" i="2"/>
  <c r="AC898" i="2"/>
  <c r="AC897" i="2"/>
  <c r="AC896" i="2"/>
  <c r="AC895" i="2"/>
  <c r="AC894" i="2"/>
  <c r="AC893" i="2"/>
  <c r="AC892" i="2"/>
  <c r="AC891" i="2"/>
  <c r="AC890" i="2"/>
  <c r="AC889" i="2"/>
  <c r="AC888" i="2"/>
  <c r="AC887" i="2"/>
  <c r="AC886" i="2"/>
  <c r="AC885" i="2"/>
  <c r="AC884" i="2"/>
  <c r="AC883" i="2"/>
  <c r="AC882" i="2"/>
  <c r="AC881" i="2"/>
  <c r="AC880" i="2"/>
  <c r="AC879" i="2"/>
  <c r="AC878" i="2"/>
  <c r="AC877" i="2"/>
  <c r="AC876" i="2"/>
  <c r="AC875" i="2"/>
  <c r="AC874" i="2"/>
  <c r="AC873" i="2"/>
  <c r="AC872" i="2"/>
  <c r="AC871" i="2"/>
  <c r="AC870" i="2"/>
  <c r="AC869" i="2"/>
  <c r="AC868" i="2"/>
  <c r="AC867" i="2"/>
  <c r="AC866" i="2"/>
  <c r="AC865" i="2"/>
  <c r="AC864" i="2"/>
  <c r="AC863" i="2"/>
  <c r="AC862" i="2"/>
  <c r="AC861" i="2"/>
  <c r="AC860" i="2"/>
  <c r="AC859" i="2"/>
  <c r="AC858" i="2"/>
  <c r="AC857" i="2"/>
  <c r="AC856" i="2"/>
  <c r="AC855" i="2"/>
  <c r="AC854" i="2"/>
  <c r="AC853" i="2"/>
  <c r="AC852" i="2"/>
  <c r="AC851" i="2"/>
  <c r="AC850" i="2"/>
  <c r="AC849" i="2"/>
  <c r="AC848" i="2"/>
  <c r="AC847" i="2"/>
  <c r="AC846" i="2"/>
  <c r="AC845" i="2"/>
  <c r="AC844" i="2"/>
  <c r="AC843" i="2"/>
  <c r="AC842" i="2"/>
  <c r="AC841" i="2"/>
  <c r="AC840" i="2"/>
  <c r="AC839" i="2"/>
  <c r="AC838" i="2"/>
  <c r="AC837" i="2"/>
  <c r="AC836" i="2"/>
  <c r="AC835" i="2"/>
  <c r="AC834" i="2"/>
  <c r="AC833" i="2"/>
  <c r="AC832" i="2"/>
  <c r="AC831" i="2"/>
  <c r="AC829" i="2"/>
  <c r="AC828" i="2"/>
  <c r="AC826" i="2"/>
  <c r="AC824" i="2"/>
  <c r="AC822" i="2"/>
  <c r="AC821" i="2"/>
  <c r="AC820" i="2"/>
  <c r="AC819" i="2"/>
  <c r="AC818" i="2"/>
  <c r="AC814" i="2"/>
  <c r="AC813" i="2"/>
  <c r="AC812" i="2"/>
  <c r="AC811" i="2"/>
  <c r="AC810" i="2"/>
  <c r="AC809" i="2"/>
  <c r="AC808" i="2"/>
  <c r="AC807" i="2"/>
  <c r="AC806" i="2"/>
  <c r="AC805" i="2"/>
  <c r="AC804" i="2"/>
  <c r="AC803" i="2"/>
  <c r="AC802" i="2"/>
  <c r="AC801" i="2"/>
  <c r="AC800" i="2"/>
  <c r="AC798" i="2"/>
  <c r="AC797" i="2"/>
  <c r="AC796" i="2"/>
  <c r="AC795" i="2"/>
  <c r="AC794" i="2"/>
  <c r="AC793" i="2"/>
  <c r="AC792" i="2"/>
  <c r="AC791" i="2"/>
  <c r="AC790" i="2"/>
  <c r="AC789" i="2"/>
  <c r="AC788" i="2"/>
  <c r="AC786" i="2"/>
  <c r="AC784" i="2"/>
  <c r="AC783" i="2"/>
  <c r="AC782" i="2"/>
  <c r="AC781" i="2"/>
  <c r="AC780" i="2"/>
  <c r="AC779" i="2"/>
  <c r="AC778" i="2"/>
  <c r="AC777" i="2"/>
  <c r="AC776" i="2"/>
  <c r="AC775" i="2"/>
  <c r="AC774" i="2"/>
  <c r="AC773" i="2"/>
  <c r="AC772" i="2"/>
  <c r="AC771" i="2"/>
  <c r="AC770" i="2"/>
  <c r="AC769" i="2"/>
  <c r="AC768" i="2"/>
  <c r="AC767" i="2"/>
  <c r="AC766" i="2"/>
  <c r="AC765" i="2"/>
  <c r="AC764" i="2"/>
  <c r="AC763" i="2"/>
  <c r="AC762" i="2"/>
  <c r="AC761" i="2"/>
  <c r="AC758" i="2"/>
  <c r="AC757" i="2"/>
  <c r="AC756" i="2"/>
  <c r="AC755" i="2"/>
  <c r="AC754" i="2"/>
  <c r="AC753" i="2"/>
  <c r="AC751" i="2"/>
  <c r="AC750" i="2"/>
  <c r="AC749" i="2"/>
  <c r="AC748" i="2"/>
  <c r="AC747" i="2"/>
  <c r="AC746" i="2"/>
  <c r="AC745" i="2"/>
  <c r="AC743" i="2"/>
  <c r="AC742" i="2"/>
  <c r="AC741" i="2"/>
  <c r="AC740" i="2"/>
  <c r="AC739" i="2"/>
  <c r="AC738" i="2"/>
  <c r="AC737" i="2"/>
  <c r="AC736" i="2"/>
  <c r="AC734" i="2"/>
  <c r="AC732" i="2"/>
  <c r="AC731" i="2"/>
  <c r="AC730" i="2"/>
  <c r="AC729" i="2"/>
  <c r="AC728" i="2"/>
  <c r="AC727" i="2"/>
  <c r="AC726" i="2"/>
  <c r="AC725" i="2"/>
  <c r="AC724" i="2"/>
  <c r="AC723" i="2"/>
  <c r="AC722" i="2"/>
  <c r="AC721" i="2"/>
  <c r="AC719" i="2"/>
  <c r="AC718" i="2"/>
  <c r="AC716" i="2"/>
  <c r="AC715" i="2"/>
  <c r="AC714" i="2"/>
  <c r="AC712" i="2"/>
  <c r="AC711" i="2"/>
  <c r="AC710" i="2"/>
  <c r="AC709" i="2"/>
  <c r="AC708" i="2"/>
  <c r="AC707" i="2"/>
  <c r="AC705" i="2"/>
  <c r="AC702" i="2"/>
  <c r="AC701" i="2"/>
  <c r="AC700" i="2"/>
  <c r="AC699" i="2"/>
  <c r="AC698" i="2"/>
  <c r="AC696" i="2"/>
  <c r="AC695" i="2"/>
  <c r="AC692" i="2"/>
  <c r="AC691" i="2"/>
  <c r="AC690" i="2"/>
  <c r="AC689" i="2"/>
  <c r="AC687" i="2"/>
  <c r="AC686" i="2"/>
  <c r="AC685" i="2"/>
  <c r="AC684" i="2"/>
  <c r="AC683" i="2"/>
  <c r="AC682" i="2"/>
  <c r="AC681" i="2"/>
  <c r="AC680" i="2"/>
  <c r="AC679" i="2"/>
  <c r="AC678" i="2"/>
  <c r="AC677" i="2"/>
  <c r="AC675" i="2"/>
  <c r="AC674" i="2"/>
  <c r="AC672" i="2"/>
  <c r="AC671" i="2"/>
  <c r="AC670" i="2"/>
  <c r="AC669" i="2"/>
  <c r="AC668" i="2"/>
  <c r="AC667" i="2"/>
  <c r="AC666" i="2"/>
  <c r="AC665" i="2"/>
  <c r="AC664" i="2"/>
  <c r="AC662" i="2"/>
  <c r="AC661" i="2"/>
  <c r="AC660" i="2"/>
  <c r="AC659" i="2"/>
  <c r="AC658" i="2"/>
  <c r="AC657" i="2"/>
  <c r="AC656" i="2"/>
  <c r="AC654" i="2"/>
  <c r="AC653" i="2"/>
  <c r="AC652" i="2"/>
  <c r="AC650" i="2"/>
  <c r="AC649" i="2"/>
  <c r="AC648" i="2"/>
  <c r="AC647" i="2"/>
  <c r="AC646" i="2"/>
  <c r="AC645" i="2"/>
  <c r="AC644" i="2"/>
  <c r="AC643" i="2"/>
  <c r="AC642" i="2"/>
  <c r="AC641" i="2"/>
  <c r="AC639" i="2"/>
  <c r="AC638" i="2"/>
  <c r="AC637" i="2"/>
  <c r="AC635" i="2"/>
  <c r="AC634" i="2"/>
  <c r="AC633" i="2"/>
  <c r="AC632" i="2"/>
  <c r="AC631" i="2"/>
  <c r="AC630" i="2"/>
  <c r="AC628" i="2"/>
  <c r="AC627" i="2"/>
  <c r="AC626" i="2"/>
  <c r="AC624" i="2"/>
  <c r="AC623" i="2"/>
  <c r="AC622" i="2"/>
  <c r="AC621" i="2"/>
  <c r="AC620" i="2"/>
  <c r="AC619" i="2"/>
  <c r="AC618" i="2"/>
  <c r="AC617" i="2"/>
  <c r="AC616" i="2"/>
  <c r="AC615" i="2"/>
  <c r="AC612" i="2"/>
  <c r="AC611" i="2"/>
  <c r="AC610" i="2"/>
  <c r="AC609" i="2"/>
  <c r="AC608" i="2"/>
  <c r="AC607" i="2"/>
  <c r="AC605" i="2"/>
  <c r="AC604" i="2"/>
  <c r="AC603" i="2"/>
  <c r="AC602" i="2"/>
  <c r="AC601" i="2"/>
  <c r="AC599" i="2"/>
  <c r="AC598" i="2"/>
  <c r="AC597" i="2"/>
  <c r="AC596" i="2"/>
  <c r="AC595" i="2"/>
  <c r="AC593" i="2"/>
  <c r="AC592" i="2"/>
  <c r="AC591" i="2"/>
  <c r="AC590" i="2"/>
  <c r="AC588" i="2"/>
  <c r="AC587" i="2"/>
  <c r="AC586" i="2"/>
  <c r="AC585" i="2"/>
  <c r="AC584" i="2"/>
  <c r="AC583" i="2"/>
  <c r="AC582" i="2"/>
  <c r="AC581" i="2"/>
  <c r="AC580" i="2"/>
  <c r="AC579" i="2"/>
  <c r="AC578" i="2"/>
  <c r="AC577" i="2"/>
  <c r="AC576" i="2"/>
  <c r="AC575" i="2"/>
  <c r="AC573" i="2"/>
  <c r="AC572" i="2"/>
  <c r="AC571" i="2"/>
  <c r="AC570" i="2"/>
  <c r="AC569" i="2"/>
  <c r="AC568" i="2"/>
  <c r="AC567" i="2"/>
  <c r="AC566" i="2"/>
  <c r="AC565" i="2"/>
  <c r="AC564" i="2"/>
  <c r="AC562" i="2"/>
  <c r="AC561" i="2"/>
  <c r="AC560" i="2"/>
  <c r="AC559" i="2"/>
  <c r="AC558" i="2"/>
  <c r="AC557" i="2"/>
  <c r="AC555" i="2"/>
  <c r="AC554" i="2"/>
  <c r="AC553" i="2"/>
  <c r="AC552" i="2"/>
  <c r="AC551" i="2"/>
  <c r="AC550" i="2"/>
  <c r="AC549" i="2"/>
  <c r="AC548" i="2"/>
  <c r="AC547" i="2"/>
  <c r="AC545" i="2"/>
  <c r="AC544" i="2"/>
  <c r="AC543" i="2"/>
  <c r="AC542" i="2"/>
  <c r="AC541" i="2"/>
  <c r="AC540" i="2"/>
  <c r="AC539" i="2"/>
  <c r="AC537" i="2"/>
  <c r="AC536" i="2"/>
  <c r="AC535" i="2"/>
  <c r="AC534" i="2"/>
  <c r="AC533" i="2"/>
  <c r="AC532" i="2"/>
  <c r="AC531" i="2"/>
  <c r="AC530" i="2"/>
  <c r="AC529" i="2"/>
  <c r="AC528" i="2"/>
  <c r="AC527" i="2"/>
  <c r="AC526" i="2"/>
  <c r="AC525" i="2"/>
  <c r="AC524" i="2"/>
  <c r="AC523" i="2"/>
  <c r="AC522" i="2"/>
  <c r="AC521" i="2"/>
  <c r="AC520" i="2"/>
  <c r="AC518" i="2"/>
  <c r="AC517" i="2"/>
  <c r="AC516" i="2"/>
  <c r="AC515" i="2"/>
  <c r="AC514" i="2"/>
  <c r="AC513" i="2"/>
  <c r="AC512" i="2"/>
  <c r="AC511" i="2"/>
  <c r="AC510" i="2"/>
  <c r="AC508" i="2"/>
  <c r="AC507" i="2"/>
  <c r="AC506" i="2"/>
  <c r="AC504" i="2"/>
  <c r="AC503" i="2"/>
  <c r="AC502" i="2"/>
  <c r="AC501" i="2"/>
  <c r="AC499" i="2"/>
  <c r="AC498" i="2"/>
  <c r="AC497" i="2"/>
  <c r="AC495" i="2"/>
  <c r="AC494" i="2"/>
  <c r="AC493" i="2"/>
  <c r="AC492" i="2"/>
  <c r="AC491" i="2"/>
  <c r="AC489" i="2"/>
  <c r="AC488" i="2"/>
  <c r="AC487" i="2"/>
  <c r="AC486" i="2"/>
  <c r="AC485" i="2"/>
  <c r="AC483" i="2"/>
  <c r="AC482" i="2"/>
  <c r="AC481" i="2"/>
  <c r="AC480" i="2"/>
  <c r="AC479" i="2"/>
  <c r="AC477" i="2"/>
  <c r="AC476" i="2"/>
  <c r="AC475" i="2"/>
  <c r="AC474" i="2"/>
  <c r="AC473" i="2"/>
  <c r="AC472" i="2"/>
  <c r="AC471" i="2"/>
  <c r="AC470" i="2"/>
  <c r="AC469" i="2"/>
  <c r="AC468" i="2"/>
  <c r="AC467" i="2"/>
  <c r="AC466" i="2"/>
  <c r="AC465" i="2"/>
  <c r="AC464" i="2"/>
  <c r="AC463" i="2"/>
  <c r="AC462" i="2"/>
  <c r="AC461" i="2"/>
  <c r="AC460" i="2"/>
  <c r="AC459" i="2"/>
  <c r="AC457" i="2"/>
  <c r="AC456" i="2"/>
  <c r="AC455" i="2"/>
  <c r="AC454" i="2"/>
  <c r="AC453" i="2"/>
  <c r="AC452" i="2"/>
  <c r="AC451" i="2"/>
  <c r="AC450" i="2"/>
  <c r="AC449" i="2"/>
  <c r="AC448" i="2"/>
  <c r="AC447" i="2"/>
  <c r="AC446" i="2"/>
  <c r="AC445" i="2"/>
  <c r="AC444" i="2"/>
  <c r="AC442" i="2"/>
  <c r="AC441" i="2"/>
  <c r="AC440" i="2"/>
  <c r="AC439" i="2"/>
  <c r="AC438" i="2"/>
  <c r="AC437" i="2"/>
  <c r="AC436" i="2"/>
  <c r="AC435" i="2"/>
  <c r="AC434" i="2"/>
  <c r="AC433" i="2"/>
  <c r="AC432" i="2"/>
  <c r="AC431" i="2"/>
  <c r="AC430" i="2"/>
  <c r="AC429" i="2"/>
  <c r="AC428" i="2"/>
  <c r="AC427" i="2"/>
  <c r="AC426" i="2"/>
  <c r="AC425" i="2"/>
  <c r="AC424" i="2"/>
  <c r="AC422" i="2"/>
  <c r="AC421" i="2"/>
  <c r="AC420" i="2"/>
  <c r="AC419" i="2"/>
  <c r="AC418" i="2"/>
  <c r="AC417" i="2"/>
  <c r="AC416" i="2"/>
  <c r="AC415" i="2"/>
  <c r="AC414" i="2"/>
  <c r="AC412" i="2"/>
  <c r="AC411" i="2"/>
  <c r="AC410" i="2"/>
  <c r="AC409" i="2"/>
  <c r="AC408" i="2"/>
  <c r="AC407" i="2"/>
  <c r="AC406" i="2"/>
  <c r="AC405" i="2"/>
  <c r="AC404" i="2"/>
  <c r="AC403" i="2"/>
  <c r="AC402" i="2"/>
  <c r="AC401" i="2"/>
  <c r="AC400" i="2"/>
  <c r="AC399" i="2"/>
  <c r="AC398" i="2"/>
  <c r="AC397" i="2"/>
  <c r="AC396" i="2"/>
  <c r="AC394" i="2"/>
  <c r="AC393" i="2"/>
  <c r="AC392" i="2"/>
  <c r="AC391" i="2"/>
  <c r="AC390" i="2"/>
  <c r="AC389" i="2"/>
  <c r="AC388" i="2"/>
  <c r="AC387" i="2"/>
  <c r="AC386" i="2"/>
  <c r="AC385" i="2"/>
  <c r="AC384" i="2"/>
  <c r="AC383" i="2"/>
  <c r="AC382" i="2"/>
  <c r="AC381" i="2"/>
  <c r="AC380" i="2"/>
  <c r="AC379" i="2"/>
  <c r="AC378" i="2"/>
  <c r="AC377" i="2"/>
  <c r="AC376" i="2"/>
  <c r="AC375" i="2"/>
  <c r="AC374" i="2"/>
  <c r="AC373" i="2"/>
  <c r="AC371" i="2"/>
  <c r="AC370" i="2"/>
  <c r="AC369" i="2"/>
  <c r="AC368" i="2"/>
  <c r="AC367" i="2"/>
  <c r="AC366" i="2"/>
  <c r="AC365" i="2"/>
  <c r="AC363" i="2"/>
  <c r="AC362" i="2"/>
  <c r="AC361" i="2"/>
  <c r="AC359" i="2"/>
  <c r="AC358" i="2"/>
  <c r="AC357" i="2"/>
  <c r="AC356" i="2"/>
  <c r="AC354" i="2"/>
  <c r="AC353" i="2"/>
  <c r="AC352" i="2"/>
  <c r="AC351" i="2"/>
  <c r="AC349" i="2"/>
  <c r="AC348" i="2"/>
  <c r="AC347" i="2"/>
  <c r="AC346" i="2"/>
  <c r="AC345" i="2"/>
  <c r="AC344" i="2"/>
  <c r="AC342" i="2"/>
  <c r="AC341" i="2"/>
  <c r="AC340" i="2"/>
  <c r="AC339" i="2"/>
  <c r="AC338" i="2"/>
  <c r="AC337" i="2"/>
  <c r="AC336" i="2"/>
  <c r="AC334" i="2"/>
  <c r="AC332" i="2"/>
  <c r="AC330" i="2"/>
  <c r="AC329" i="2"/>
  <c r="AC328" i="2"/>
  <c r="AC327" i="2"/>
  <c r="AC326" i="2"/>
  <c r="AC325" i="2"/>
  <c r="AC324" i="2"/>
  <c r="AC323" i="2"/>
  <c r="AC322" i="2"/>
  <c r="AC321" i="2"/>
  <c r="AC320" i="2"/>
  <c r="AC319" i="2"/>
  <c r="AC318" i="2"/>
  <c r="AC317" i="2"/>
  <c r="AC316" i="2"/>
  <c r="AC315" i="2"/>
  <c r="AC314" i="2"/>
  <c r="AC313" i="2"/>
  <c r="AC312" i="2"/>
  <c r="AC311" i="2"/>
  <c r="AC310" i="2"/>
  <c r="AC309" i="2"/>
  <c r="AC308" i="2"/>
  <c r="AC307" i="2"/>
  <c r="AC306" i="2"/>
  <c r="AC305" i="2"/>
  <c r="AC304" i="2"/>
  <c r="AC303" i="2"/>
  <c r="AC300" i="2"/>
  <c r="AC299" i="2"/>
  <c r="AC298" i="2"/>
  <c r="AC297" i="2"/>
  <c r="AC295" i="2"/>
  <c r="AC294" i="2"/>
  <c r="AC293" i="2"/>
  <c r="AC292" i="2"/>
  <c r="AC291" i="2"/>
  <c r="AC290" i="2"/>
  <c r="AC289" i="2"/>
  <c r="AC288" i="2"/>
  <c r="AC287" i="2"/>
  <c r="AC286" i="2"/>
  <c r="AC284" i="2"/>
  <c r="AC283" i="2"/>
  <c r="AC281" i="2"/>
  <c r="AC280" i="2"/>
  <c r="AC279" i="2"/>
  <c r="AC278" i="2"/>
  <c r="AC277" i="2"/>
  <c r="AC276" i="2"/>
  <c r="AC274" i="2"/>
  <c r="AC273" i="2"/>
  <c r="AC272" i="2"/>
  <c r="AC271" i="2"/>
  <c r="AC269" i="2"/>
  <c r="AC268" i="2"/>
  <c r="AC267" i="2"/>
  <c r="AC266" i="2"/>
  <c r="AC265" i="2"/>
  <c r="AC264" i="2"/>
  <c r="AC263" i="2"/>
  <c r="AC262" i="2"/>
  <c r="AC261" i="2"/>
  <c r="AC260" i="2"/>
  <c r="AC259" i="2"/>
  <c r="AC258" i="2"/>
  <c r="AC256" i="2"/>
  <c r="AC255" i="2"/>
  <c r="AC254" i="2"/>
  <c r="AC253" i="2"/>
  <c r="AC252" i="2"/>
  <c r="AC250" i="2"/>
  <c r="AC249" i="2"/>
  <c r="AC248" i="2"/>
  <c r="AC245" i="2"/>
  <c r="AC244" i="2"/>
  <c r="AC243" i="2"/>
  <c r="AC242" i="2"/>
  <c r="AC239" i="2"/>
  <c r="AC238" i="2"/>
  <c r="AC237" i="2"/>
  <c r="AC236" i="2"/>
  <c r="AC235" i="2"/>
  <c r="AC234" i="2"/>
  <c r="AC233" i="2"/>
  <c r="AC232" i="2"/>
  <c r="AC231" i="2"/>
  <c r="AC230" i="2"/>
  <c r="AC229" i="2"/>
  <c r="AC228" i="2"/>
  <c r="AC227" i="2"/>
  <c r="AC226" i="2"/>
  <c r="AC225" i="2"/>
  <c r="AC224" i="2"/>
  <c r="AC223" i="2"/>
  <c r="AC222" i="2"/>
  <c r="AC221" i="2"/>
  <c r="AC220" i="2"/>
  <c r="AC219" i="2"/>
  <c r="AC218" i="2"/>
  <c r="AC217" i="2"/>
  <c r="AC215" i="2"/>
  <c r="AC213" i="2"/>
  <c r="AC212" i="2"/>
  <c r="AC211" i="2"/>
  <c r="AC210" i="2"/>
  <c r="AC209" i="2"/>
  <c r="AC208" i="2"/>
  <c r="AC207" i="2"/>
  <c r="AC206" i="2"/>
  <c r="AC205" i="2"/>
  <c r="AC204" i="2"/>
  <c r="AC203" i="2"/>
  <c r="AC199" i="2"/>
  <c r="AC198" i="2"/>
  <c r="AC197" i="2"/>
  <c r="AC196" i="2"/>
  <c r="AC195" i="2"/>
  <c r="AC194" i="2"/>
  <c r="AC193" i="2"/>
  <c r="AC192" i="2"/>
  <c r="AC191" i="2"/>
  <c r="AC190" i="2"/>
  <c r="AC189" i="2"/>
  <c r="AC188" i="2"/>
  <c r="AC187" i="2"/>
  <c r="AC186" i="2"/>
  <c r="AC185" i="2"/>
  <c r="AC184" i="2"/>
  <c r="AC183" i="2"/>
  <c r="AC182" i="2"/>
  <c r="AC181" i="2"/>
  <c r="AC180" i="2"/>
  <c r="AC179" i="2"/>
  <c r="AC178" i="2"/>
  <c r="AC177" i="2"/>
  <c r="AC176" i="2"/>
  <c r="AC175" i="2"/>
  <c r="AC174" i="2"/>
  <c r="AC173" i="2"/>
  <c r="AC172" i="2"/>
  <c r="AC171" i="2"/>
  <c r="AC170" i="2"/>
  <c r="AC167" i="2"/>
  <c r="AC166" i="2"/>
  <c r="AC164" i="2"/>
  <c r="AC163" i="2"/>
  <c r="AC162" i="2"/>
  <c r="AC161" i="2"/>
  <c r="AC160" i="2"/>
  <c r="AC159" i="2"/>
  <c r="AC158" i="2"/>
  <c r="AC155" i="2"/>
  <c r="AC154" i="2"/>
  <c r="AC153" i="2"/>
  <c r="AC151" i="2"/>
  <c r="AC150" i="2"/>
  <c r="AC149" i="2"/>
  <c r="AC148" i="2"/>
  <c r="AC147" i="2"/>
  <c r="AC146" i="2"/>
  <c r="AC145" i="2"/>
  <c r="AC144" i="2"/>
  <c r="AC141" i="2"/>
  <c r="AC140" i="2"/>
  <c r="AC139" i="2"/>
  <c r="AC138" i="2"/>
  <c r="AC137" i="2"/>
  <c r="AC136" i="2"/>
  <c r="AC135" i="2"/>
  <c r="AC134" i="2"/>
  <c r="AC133" i="2"/>
  <c r="AC132" i="2"/>
  <c r="AC131" i="2"/>
  <c r="AC130" i="2"/>
  <c r="AC129" i="2"/>
  <c r="AC128" i="2"/>
  <c r="AC127" i="2"/>
  <c r="AC126" i="2"/>
  <c r="AC124" i="2"/>
  <c r="AC122" i="2"/>
  <c r="AC121" i="2"/>
  <c r="AC119" i="2"/>
  <c r="AC118" i="2"/>
  <c r="AC117" i="2"/>
  <c r="AC116" i="2"/>
  <c r="AC115" i="2"/>
  <c r="AC114" i="2"/>
  <c r="AC113" i="2"/>
  <c r="AC112" i="2"/>
  <c r="AC111" i="2"/>
  <c r="AC110" i="2"/>
  <c r="AC109" i="2"/>
  <c r="AC108" i="2"/>
  <c r="AC107" i="2"/>
  <c r="AC106" i="2"/>
  <c r="AC105" i="2"/>
  <c r="AC103" i="2"/>
  <c r="AC102" i="2"/>
  <c r="AC101" i="2"/>
  <c r="AC100" i="2"/>
  <c r="AC99" i="2"/>
  <c r="AC98" i="2"/>
  <c r="AC97" i="2"/>
  <c r="AC96" i="2"/>
  <c r="AC95" i="2"/>
  <c r="AC94" i="2"/>
  <c r="AC93" i="2"/>
  <c r="AC92" i="2"/>
  <c r="AC91" i="2"/>
  <c r="AC90" i="2"/>
  <c r="AC89" i="2"/>
  <c r="AC88" i="2"/>
  <c r="AC87" i="2"/>
  <c r="AC84" i="2"/>
  <c r="AC83" i="2"/>
  <c r="AC82" i="2"/>
  <c r="AC81" i="2"/>
  <c r="AC79" i="2"/>
  <c r="AC78" i="2"/>
  <c r="AC77" i="2"/>
  <c r="AC76" i="2"/>
  <c r="AC75" i="2"/>
  <c r="AC74" i="2"/>
  <c r="AC73" i="2"/>
  <c r="AC72" i="2"/>
  <c r="AC71" i="2"/>
  <c r="AC70" i="2"/>
  <c r="AC69" i="2"/>
  <c r="AC68" i="2"/>
  <c r="AC67" i="2"/>
  <c r="AC65" i="2"/>
  <c r="AC64" i="2"/>
  <c r="AC63" i="2"/>
  <c r="AC62" i="2"/>
  <c r="AC61" i="2"/>
  <c r="AC60" i="2"/>
  <c r="AC59" i="2"/>
  <c r="AC58" i="2"/>
  <c r="AC57" i="2"/>
  <c r="AC56" i="2"/>
  <c r="AC55" i="2"/>
  <c r="AC54" i="2"/>
  <c r="AC53" i="2"/>
  <c r="AC52" i="2"/>
  <c r="AC51" i="2"/>
  <c r="AC50" i="2"/>
  <c r="AC49" i="2"/>
  <c r="AC48" i="2"/>
  <c r="AC47" i="2"/>
  <c r="AC45" i="2"/>
  <c r="AC44" i="2"/>
  <c r="AC42" i="2"/>
  <c r="AC41" i="2"/>
  <c r="AC39" i="2"/>
  <c r="AC38" i="2"/>
  <c r="AC36" i="2"/>
  <c r="AC35" i="2"/>
  <c r="AC34" i="2"/>
  <c r="AC33" i="2"/>
  <c r="AC32" i="2"/>
  <c r="AC31" i="2"/>
  <c r="AC30" i="2"/>
  <c r="AC29" i="2"/>
  <c r="AC28" i="2"/>
  <c r="AC27" i="2"/>
  <c r="AC26" i="2"/>
  <c r="AC24" i="2"/>
  <c r="AC23" i="2"/>
  <c r="AC21" i="2"/>
  <c r="AC20" i="2"/>
  <c r="AC19" i="2"/>
  <c r="AC18" i="2"/>
  <c r="AC15" i="2"/>
  <c r="AC14" i="2"/>
  <c r="AC12" i="2"/>
  <c r="AC10" i="2"/>
  <c r="AC9" i="2"/>
  <c r="AC8" i="2"/>
  <c r="AC7" i="2"/>
  <c r="AC6" i="2"/>
  <c r="AC5" i="2"/>
  <c r="AC3" i="2"/>
  <c r="AC2" i="2"/>
  <c r="Y4" i="7"/>
  <c r="Y5" i="7"/>
  <c r="Y3" i="7"/>
  <c r="AC3" i="3"/>
  <c r="AC23" i="3"/>
  <c r="AC17" i="3"/>
  <c r="AC35" i="3"/>
  <c r="AC22" i="3"/>
  <c r="AC36" i="3"/>
  <c r="AC41" i="3"/>
  <c r="AC32" i="3"/>
  <c r="AC24" i="3"/>
  <c r="AC6" i="3"/>
  <c r="AC42" i="3"/>
  <c r="AC25" i="3"/>
  <c r="AC21" i="3"/>
  <c r="AC4" i="3"/>
  <c r="C5" i="9"/>
  <c r="C6" i="9"/>
  <c r="C7" i="9"/>
  <c r="B5" i="9"/>
  <c r="B6" i="9"/>
  <c r="B7" i="9"/>
  <c r="L16" i="9"/>
  <c r="L8" i="9"/>
  <c r="K8" i="9"/>
  <c r="L14" i="9"/>
  <c r="K14" i="9"/>
  <c r="L6" i="9"/>
  <c r="K6" i="9"/>
  <c r="L15" i="9"/>
  <c r="K15" i="9"/>
  <c r="L5" i="9"/>
  <c r="L7" i="9"/>
  <c r="K7" i="9"/>
  <c r="K16" i="9"/>
  <c r="K5" i="9"/>
  <c r="L13" i="9"/>
  <c r="K13" i="9"/>
  <c r="L10" i="9"/>
  <c r="K10" i="9"/>
  <c r="L9" i="9"/>
  <c r="K9" i="9"/>
  <c r="L12" i="9"/>
  <c r="K12" i="9"/>
  <c r="L17" i="9"/>
  <c r="L11" i="9"/>
  <c r="K17" i="9"/>
  <c r="D4" i="12" s="1"/>
  <c r="K11" i="9"/>
  <c r="K9" i="7"/>
  <c r="K8" i="7"/>
  <c r="K10" i="7"/>
  <c r="K6" i="7"/>
  <c r="K7" i="7"/>
  <c r="K5" i="7"/>
  <c r="K4" i="7"/>
  <c r="K12" i="7"/>
  <c r="K3" i="7"/>
  <c r="B9" i="6"/>
  <c r="AB46" i="3"/>
  <c r="AB45" i="3"/>
  <c r="AB44" i="3"/>
  <c r="AB43" i="3"/>
  <c r="AB42" i="3"/>
  <c r="AB41" i="3"/>
  <c r="AB40" i="3"/>
  <c r="AB39" i="3"/>
  <c r="AB3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AB7" i="3"/>
  <c r="AB6" i="3"/>
  <c r="AB5" i="3"/>
  <c r="AB4" i="3"/>
  <c r="AB3" i="3"/>
  <c r="AB2" i="3"/>
  <c r="B8" i="6" s="1"/>
  <c r="B7" i="6"/>
  <c r="B6" i="6"/>
  <c r="AD140" i="4"/>
  <c r="AD139" i="4"/>
  <c r="AD138" i="4"/>
  <c r="AD137" i="4"/>
  <c r="AD136" i="4"/>
  <c r="AD135" i="4"/>
  <c r="AD134" i="4"/>
  <c r="AD133" i="4"/>
  <c r="AD132" i="4"/>
  <c r="AD131" i="4"/>
  <c r="AD130" i="4"/>
  <c r="AD129" i="4"/>
  <c r="AD128" i="4"/>
  <c r="AD127" i="4"/>
  <c r="AD126" i="4"/>
  <c r="AD125" i="4"/>
  <c r="AD124" i="4"/>
  <c r="AD123" i="4"/>
  <c r="AD122" i="4"/>
  <c r="AD121" i="4"/>
  <c r="AD120" i="4"/>
  <c r="AD119" i="4"/>
  <c r="AD118" i="4"/>
  <c r="AD117" i="4"/>
  <c r="AD116" i="4"/>
  <c r="AD115" i="4"/>
  <c r="AD114" i="4"/>
  <c r="AD113" i="4"/>
  <c r="AD112" i="4"/>
  <c r="AD111" i="4"/>
  <c r="AD110" i="4"/>
  <c r="AD109" i="4"/>
  <c r="AD108" i="4"/>
  <c r="AD107" i="4"/>
  <c r="AD106" i="4"/>
  <c r="AD105" i="4"/>
  <c r="AD104" i="4"/>
  <c r="AD103" i="4"/>
  <c r="AD102" i="4"/>
  <c r="AD101" i="4"/>
  <c r="AD100" i="4"/>
  <c r="AD99" i="4"/>
  <c r="AD98" i="4"/>
  <c r="AD97" i="4"/>
  <c r="AD96" i="4"/>
  <c r="AD95" i="4"/>
  <c r="AD94" i="4"/>
  <c r="AD93" i="4"/>
  <c r="AD92" i="4"/>
  <c r="AD91" i="4"/>
  <c r="AD90" i="4"/>
  <c r="AD89" i="4"/>
  <c r="AD88" i="4"/>
  <c r="AD87" i="4"/>
  <c r="AD86" i="4"/>
  <c r="AD85" i="4"/>
  <c r="AD84" i="4"/>
  <c r="AD83" i="4"/>
  <c r="AD82" i="4"/>
  <c r="AD81" i="4"/>
  <c r="AD80" i="4"/>
  <c r="AD79" i="4"/>
  <c r="AD78" i="4"/>
  <c r="AD77" i="4"/>
  <c r="AD76" i="4"/>
  <c r="AD75" i="4"/>
  <c r="AD74" i="4"/>
  <c r="AD73" i="4"/>
  <c r="AD72" i="4"/>
  <c r="AD71" i="4"/>
  <c r="AD70" i="4"/>
  <c r="AD69" i="4"/>
  <c r="AD68" i="4"/>
  <c r="AD67" i="4"/>
  <c r="AD66" i="4"/>
  <c r="AD65" i="4"/>
  <c r="AD64" i="4"/>
  <c r="AD63" i="4"/>
  <c r="AD62" i="4"/>
  <c r="AD61" i="4"/>
  <c r="AD60" i="4"/>
  <c r="AD59" i="4"/>
  <c r="AD58" i="4"/>
  <c r="AD57" i="4"/>
  <c r="AD56" i="4"/>
  <c r="AD55" i="4"/>
  <c r="AD54" i="4"/>
  <c r="AD53" i="4"/>
  <c r="AD52" i="4"/>
  <c r="AD51" i="4"/>
  <c r="AD50" i="4"/>
  <c r="AD49" i="4"/>
  <c r="AD48" i="4"/>
  <c r="AD47" i="4"/>
  <c r="AD46" i="4"/>
  <c r="AD45" i="4"/>
  <c r="AD44" i="4"/>
  <c r="AD43" i="4"/>
  <c r="AD42" i="4"/>
  <c r="AD41" i="4"/>
  <c r="AD40" i="4"/>
  <c r="AD39" i="4"/>
  <c r="AD38" i="4"/>
  <c r="AD37" i="4"/>
  <c r="AD36" i="4"/>
  <c r="AD35" i="4"/>
  <c r="AD34" i="4"/>
  <c r="AD33" i="4"/>
  <c r="AD32" i="4"/>
  <c r="AD31" i="4"/>
  <c r="AD30" i="4"/>
  <c r="AD29" i="4"/>
  <c r="AD28" i="4"/>
  <c r="AD27" i="4"/>
  <c r="AD26" i="4"/>
  <c r="AD25" i="4"/>
  <c r="AD24" i="4"/>
  <c r="AD23" i="4"/>
  <c r="AD22" i="4"/>
  <c r="AD21" i="4"/>
  <c r="AD20" i="4"/>
  <c r="AD19" i="4"/>
  <c r="AD18" i="4"/>
  <c r="AD17" i="4"/>
  <c r="AD16" i="4"/>
  <c r="AD15" i="4"/>
  <c r="AD14" i="4"/>
  <c r="AD13" i="4"/>
  <c r="AD12" i="4"/>
  <c r="AD11" i="4"/>
  <c r="AD10" i="4"/>
  <c r="AD9" i="4"/>
  <c r="AD8" i="4"/>
  <c r="AD7" i="4"/>
  <c r="AD6" i="4"/>
  <c r="AD5" i="4"/>
  <c r="AD4" i="4"/>
  <c r="AD2" i="4"/>
  <c r="AD3" i="4"/>
  <c r="AO183" i="5"/>
  <c r="AO182" i="5"/>
  <c r="AO181" i="5"/>
  <c r="AO180" i="5"/>
  <c r="AO179" i="5"/>
  <c r="AO178" i="5"/>
  <c r="AO177" i="5"/>
  <c r="AO176" i="5"/>
  <c r="AO175" i="5"/>
  <c r="AO174" i="5"/>
  <c r="AO173" i="5"/>
  <c r="AO172" i="5"/>
  <c r="AO171" i="5"/>
  <c r="AO170" i="5"/>
  <c r="AO169" i="5"/>
  <c r="AO168" i="5"/>
  <c r="AO167" i="5"/>
  <c r="AO166" i="5"/>
  <c r="AO165" i="5"/>
  <c r="AO164" i="5"/>
  <c r="AO163" i="5"/>
  <c r="AO162" i="5"/>
  <c r="AO161" i="5"/>
  <c r="AO160" i="5"/>
  <c r="AO159" i="5"/>
  <c r="AO158" i="5"/>
  <c r="AO157" i="5"/>
  <c r="AO156" i="5"/>
  <c r="AO155" i="5"/>
  <c r="AO154" i="5"/>
  <c r="AO153" i="5"/>
  <c r="AO152" i="5"/>
  <c r="AO151" i="5"/>
  <c r="AO150" i="5"/>
  <c r="AO149" i="5"/>
  <c r="AO148" i="5"/>
  <c r="AO147" i="5"/>
  <c r="AO146" i="5"/>
  <c r="AO145" i="5"/>
  <c r="AO144" i="5"/>
  <c r="AO143" i="5"/>
  <c r="AO142" i="5"/>
  <c r="AO141" i="5"/>
  <c r="AO140" i="5"/>
  <c r="AO139" i="5"/>
  <c r="AO138" i="5"/>
  <c r="AO137" i="5"/>
  <c r="AO136" i="5"/>
  <c r="AO135" i="5"/>
  <c r="AO134" i="5"/>
  <c r="AO133" i="5"/>
  <c r="AO132" i="5"/>
  <c r="AO131" i="5"/>
  <c r="AO130" i="5"/>
  <c r="AO129" i="5"/>
  <c r="AO128" i="5"/>
  <c r="AO127" i="5"/>
  <c r="AO126" i="5"/>
  <c r="AO125" i="5"/>
  <c r="AO124" i="5"/>
  <c r="AO123" i="5"/>
  <c r="AO122" i="5"/>
  <c r="AO121" i="5"/>
  <c r="AO120" i="5"/>
  <c r="AO119" i="5"/>
  <c r="AO118" i="5"/>
  <c r="AO117" i="5"/>
  <c r="AO116" i="5"/>
  <c r="AO115" i="5"/>
  <c r="AO114" i="5"/>
  <c r="AO113" i="5"/>
  <c r="AO112" i="5"/>
  <c r="AO111" i="5"/>
  <c r="AO110" i="5"/>
  <c r="AO109" i="5"/>
  <c r="AO108" i="5"/>
  <c r="AO107" i="5"/>
  <c r="AO106" i="5"/>
  <c r="AO105" i="5"/>
  <c r="AO104" i="5"/>
  <c r="AO103" i="5"/>
  <c r="AO102" i="5"/>
  <c r="AO101" i="5"/>
  <c r="AO100" i="5"/>
  <c r="AO99" i="5"/>
  <c r="AO98" i="5"/>
  <c r="AO97" i="5"/>
  <c r="AO96" i="5"/>
  <c r="AO95" i="5"/>
  <c r="AO94" i="5"/>
  <c r="AO93" i="5"/>
  <c r="AO92" i="5"/>
  <c r="AO91" i="5"/>
  <c r="AO90" i="5"/>
  <c r="AO89" i="5"/>
  <c r="AO88" i="5"/>
  <c r="AO87" i="5"/>
  <c r="AO86" i="5"/>
  <c r="AO85" i="5"/>
  <c r="AO84" i="5"/>
  <c r="AO83" i="5"/>
  <c r="AO82" i="5"/>
  <c r="AO81" i="5"/>
  <c r="AO80" i="5"/>
  <c r="AO79" i="5"/>
  <c r="AO78" i="5"/>
  <c r="AO77" i="5"/>
  <c r="AO76" i="5"/>
  <c r="AO75" i="5"/>
  <c r="AO74" i="5"/>
  <c r="AO73" i="5"/>
  <c r="AO72" i="5"/>
  <c r="AO71" i="5"/>
  <c r="AO70" i="5"/>
  <c r="AO69" i="5"/>
  <c r="AO68" i="5"/>
  <c r="AO67" i="5"/>
  <c r="AO66" i="5"/>
  <c r="AO65" i="5"/>
  <c r="AO64" i="5"/>
  <c r="AO63" i="5"/>
  <c r="AO62" i="5"/>
  <c r="AO61" i="5"/>
  <c r="AO60" i="5"/>
  <c r="AO59" i="5"/>
  <c r="AO58" i="5"/>
  <c r="AO57" i="5"/>
  <c r="AO56" i="5"/>
  <c r="AO55" i="5"/>
  <c r="AO54" i="5"/>
  <c r="AO53" i="5"/>
  <c r="AO52" i="5"/>
  <c r="AO51" i="5"/>
  <c r="AO50" i="5"/>
  <c r="AO49" i="5"/>
  <c r="AO48" i="5"/>
  <c r="AO47" i="5"/>
  <c r="AO46" i="5"/>
  <c r="AO45" i="5"/>
  <c r="AO44" i="5"/>
  <c r="AO43" i="5"/>
  <c r="AO42" i="5"/>
  <c r="AO41" i="5"/>
  <c r="AO40" i="5"/>
  <c r="AO39" i="5"/>
  <c r="AO38" i="5"/>
  <c r="AO37" i="5"/>
  <c r="AO36" i="5"/>
  <c r="AO35" i="5"/>
  <c r="AO34" i="5"/>
  <c r="AO33" i="5"/>
  <c r="AO32" i="5"/>
  <c r="AO31" i="5"/>
  <c r="AO30" i="5"/>
  <c r="AO29" i="5"/>
  <c r="AO28" i="5"/>
  <c r="AO27" i="5"/>
  <c r="AO26" i="5"/>
  <c r="AO25" i="5"/>
  <c r="AO24" i="5"/>
  <c r="AO23" i="5"/>
  <c r="AO22" i="5"/>
  <c r="AO21" i="5"/>
  <c r="AO20" i="5"/>
  <c r="AO19" i="5"/>
  <c r="AO18" i="5"/>
  <c r="AO17" i="5"/>
  <c r="AO16" i="5"/>
  <c r="AO15" i="5"/>
  <c r="AO14" i="5"/>
  <c r="AO13" i="5"/>
  <c r="AO12" i="5"/>
  <c r="AO11" i="5"/>
  <c r="AO10" i="5"/>
  <c r="AO9" i="5"/>
  <c r="AO8" i="5"/>
  <c r="AO7" i="5"/>
  <c r="AO6" i="5"/>
  <c r="AO5" i="5"/>
  <c r="AO4" i="5"/>
  <c r="AO3" i="5"/>
  <c r="B5"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<sst xmlns="http://schemas.openxmlformats.org/spreadsheetml/2006/main" count="31937" uniqueCount="6901">
  <si>
    <t>Active Students</t>
  </si>
  <si>
    <t>Monthly Revenue</t>
  </si>
  <si>
    <t>Inquiry Close Rate</t>
  </si>
  <si>
    <t>Cancellation Rate</t>
  </si>
  <si>
    <t>Records Needing Cleanup</t>
  </si>
  <si>
    <t>Makeups Not Booked</t>
  </si>
  <si>
    <t>What the data says</t>
  </si>
  <si>
    <t>1. September looked like a collapse (31 lessons vs. 90 in July), but most</t>
  </si>
  <si>
    <t xml:space="preserve">    of its lessons were never closed out. Cleaned up, Sept and Aug both hit 64.</t>
  </si>
  <si>
    <t>2. Brick cancels 18% of its lessons, almost double Red Bank's 10%.</t>
  </si>
  <si>
    <t xml:space="preserve">    23 of Brick's cancellations came from our own instructors, not students.</t>
  </si>
  <si>
    <t>3. About 1 in 3 finished inquiries becomes a student (34.5%), not 50%.</t>
  </si>
  <si>
    <t xml:space="preserve">    57 leads sat open for over a month, and 19 never got any response.</t>
  </si>
  <si>
    <t>What I'd fix in Salesforce</t>
  </si>
  <si>
    <t>1. A nightly Flow that flags lessons still marked Scheduled after their date,</t>
  </si>
  <si>
    <t xml:space="preserve">    so they get closed out the next day instead of months later.</t>
  </si>
  <si>
    <t>2. Auto-assign new inquiries with a 48-hour follow-up task, and mark leads</t>
  </si>
  <si>
    <t xml:space="preserve">    Unresponsive automatically after 30 days with no activity.</t>
  </si>
  <si>
    <t>3. Auto-create a makeup task when an instructor cancels (15 are waiting),</t>
  </si>
  <si>
    <t xml:space="preserve">    and look into why Brick's instructors cancel so often.</t>
  </si>
  <si>
    <t>CreatedById</t>
  </si>
  <si>
    <t>CreatedDate</t>
  </si>
  <si>
    <t>Duration_Minutes__c</t>
  </si>
  <si>
    <t>Id</t>
  </si>
  <si>
    <t>Instructor_External_Id__c</t>
  </si>
  <si>
    <t>Instructor_Name__c</t>
  </si>
  <si>
    <t>Instructor_Notes__c</t>
  </si>
  <si>
    <t>Instrument__c</t>
  </si>
  <si>
    <t>IsDeleted</t>
  </si>
  <si>
    <t>LastActivityDate</t>
  </si>
  <si>
    <t>LastModifiedById</t>
  </si>
  <si>
    <t>LastModifiedDate</t>
  </si>
  <si>
    <t>LastReferencedDate</t>
  </si>
  <si>
    <t>LastViewedDate</t>
  </si>
  <si>
    <t>Lesson_Date__c</t>
  </si>
  <si>
    <t>Lesson_External_Id__c</t>
  </si>
  <si>
    <t>Lesson__c</t>
  </si>
  <si>
    <t>Location_External_Id__c</t>
  </si>
  <si>
    <t>Makeup_Required__c</t>
  </si>
  <si>
    <t>Makeup_Scheduled__c</t>
  </si>
  <si>
    <t>Name</t>
  </si>
  <si>
    <t>Start_Time__c</t>
  </si>
  <si>
    <t>Status__c</t>
  </si>
  <si>
    <t>Student_External_Id__c</t>
  </si>
  <si>
    <t>Student_Name__c</t>
  </si>
  <si>
    <t>SystemModstamp</t>
  </si>
  <si>
    <t>Does the Instructor teach that Instrument?</t>
  </si>
  <si>
    <t>Double Booked Key</t>
  </si>
  <si>
    <t>Double Booked?</t>
  </si>
  <si>
    <t>Location Name</t>
  </si>
  <si>
    <t>Lesson Month</t>
  </si>
  <si>
    <t>Is Past</t>
  </si>
  <si>
    <t>005ak00000icyWTAAY</t>
  </si>
  <si>
    <t>2026-09-14T21:01:58.000Z</t>
  </si>
  <si>
    <t>a0Aak00000FtDlZEAV</t>
  </si>
  <si>
    <t>a06ak00000amzC9AAI</t>
  </si>
  <si>
    <t>Kai Okafor</t>
  </si>
  <si>
    <t>Focused on sight reading.</t>
  </si>
  <si>
    <t>Trumpet</t>
  </si>
  <si>
    <t>2026-09-24T17:45:38.000Z</t>
  </si>
  <si>
    <t>2026-09-25T17:55:56.000Z</t>
  </si>
  <si>
    <t>LSN-00001</t>
  </si>
  <si>
    <t>L-0000001</t>
  </si>
  <si>
    <t>131ak000001XjDtAAK</t>
  </si>
  <si>
    <t>11:00:00.000Z</t>
  </si>
  <si>
    <t>Completed</t>
  </si>
  <si>
    <t>a07ak00001rZMp9AAG</t>
  </si>
  <si>
    <t>Aurora White</t>
  </si>
  <si>
    <t>a0Aak00000FtDlaEAF</t>
  </si>
  <si>
    <t>Reviewed last week&amp;#39;s assignment.</t>
  </si>
  <si>
    <t>2026-09-16T17:01:26.000Z</t>
  </si>
  <si>
    <t>2026-09-15T18:03:38.000Z</t>
  </si>
  <si>
    <t>LSN-00002</t>
  </si>
  <si>
    <t>L-0000002</t>
  </si>
  <si>
    <t>16:30:00.000Z</t>
  </si>
  <si>
    <t>a0Aak00000FtDlbEAF</t>
  </si>
  <si>
    <t>a06ak00000amzBgAAI</t>
  </si>
  <si>
    <t>Noah Mitchell</t>
  </si>
  <si>
    <t>Bass Guitar</t>
  </si>
  <si>
    <t>2026-09-23T19:02:24.000Z</t>
  </si>
  <si>
    <t>2026-09-15T17:27:06.000Z</t>
  </si>
  <si>
    <t>LSN-00003</t>
  </si>
  <si>
    <t>L-0000003</t>
  </si>
  <si>
    <t>131ak000001XjDuAAK</t>
  </si>
  <si>
    <t>17:00:00.000Z</t>
  </si>
  <si>
    <t>Cancelled by Student</t>
  </si>
  <si>
    <t>a07ak00001rZMpAAAW</t>
  </si>
  <si>
    <t>Mason Wilson</t>
  </si>
  <si>
    <t>a0Aak00000FtDlcEAF</t>
  </si>
  <si>
    <t>a06ak00000amzCFAAY</t>
  </si>
  <si>
    <t>Valentina Sanchez</t>
  </si>
  <si>
    <t>2026-09-16T16:41:26.000Z</t>
  </si>
  <si>
    <t>LSN-00004</t>
  </si>
  <si>
    <t>L-0000004</t>
  </si>
  <si>
    <t>19:00:00.000Z</t>
  </si>
  <si>
    <t>Scheduled</t>
  </si>
  <si>
    <t>a0Aak00000FtDldEAF</t>
  </si>
  <si>
    <t>a06ak00000amzBvAAI</t>
  </si>
  <si>
    <t>Caroline Okafor</t>
  </si>
  <si>
    <t>Worked on scales and timing.</t>
  </si>
  <si>
    <t>LSN-00005</t>
  </si>
  <si>
    <t>L-0000005</t>
  </si>
  <si>
    <t>16:00:00.000Z</t>
  </si>
  <si>
    <t>a0Aak00000FtDleEAF</t>
  </si>
  <si>
    <t>a06ak00000amzBeAAI</t>
  </si>
  <si>
    <t>Zoey Rodriguez</t>
  </si>
  <si>
    <t>Good progress on technique.</t>
  </si>
  <si>
    <t>Cello</t>
  </si>
  <si>
    <t>LSN-00006</t>
  </si>
  <si>
    <t>L-0000006</t>
  </si>
  <si>
    <t>10:00:00.000Z</t>
  </si>
  <si>
    <t>a07ak00001rZMpBAAW</t>
  </si>
  <si>
    <t>Delilah Adams</t>
  </si>
  <si>
    <t>a0Aak00000FtDlfEAF</t>
  </si>
  <si>
    <t>LSN-00007</t>
  </si>
  <si>
    <t>L-0000007</t>
  </si>
  <si>
    <t>17:30:00.000Z</t>
  </si>
  <si>
    <t>a0Aak00000FtDlgEAF</t>
  </si>
  <si>
    <t>LSN-00008</t>
  </si>
  <si>
    <t>L-0000008</t>
  </si>
  <si>
    <t>18:00:00.000Z</t>
  </si>
  <si>
    <t>No Show</t>
  </si>
  <si>
    <t>a0Aak00000FtDlhEAF</t>
  </si>
  <si>
    <t>LSN-00009</t>
  </si>
  <si>
    <t>L-0000009</t>
  </si>
  <si>
    <t>a0Aak00000FtDliEAF</t>
  </si>
  <si>
    <t>LSN-00010</t>
  </si>
  <si>
    <t>L-0000010</t>
  </si>
  <si>
    <t>18:30:00.000Z</t>
  </si>
  <si>
    <t>a0Aak00000FtDljEAF</t>
  </si>
  <si>
    <t>LSN-00011</t>
  </si>
  <si>
    <t>L-0000011</t>
  </si>
  <si>
    <t>a0Aak00000FtDlkEAF</t>
  </si>
  <si>
    <t>LSN-00012</t>
  </si>
  <si>
    <t>L-0000012</t>
  </si>
  <si>
    <t>15:30:00.000Z</t>
  </si>
  <si>
    <t>Cancelled by Instructor</t>
  </si>
  <si>
    <t>a0Aak00000FtDllEAF</t>
  </si>
  <si>
    <t>LSN-00013</t>
  </si>
  <si>
    <t>L-0000013</t>
  </si>
  <si>
    <t>15:00:00.000Z</t>
  </si>
  <si>
    <t>a0Aak00000FtDlmEAF</t>
  </si>
  <si>
    <t>LSN-00014</t>
  </si>
  <si>
    <t>L-0000014</t>
  </si>
  <si>
    <t>a0Aak00000FtDlnEAF</t>
  </si>
  <si>
    <t>a06ak00000amzBhAAI</t>
  </si>
  <si>
    <t>Layla Sullivan</t>
  </si>
  <si>
    <t>Ukulele</t>
  </si>
  <si>
    <t>LSN-00015</t>
  </si>
  <si>
    <t>L-0000015</t>
  </si>
  <si>
    <t>131ak000001XjDvAAK</t>
  </si>
  <si>
    <t>a07ak00001rZMpCAAW</t>
  </si>
  <si>
    <t>Logan Jackson</t>
  </si>
  <si>
    <t>a0Aak00000FtDloEAF</t>
  </si>
  <si>
    <t>LSN-00016</t>
  </si>
  <si>
    <t>L-0000016</t>
  </si>
  <si>
    <t>a0Aak00000FtDlpEAF</t>
  </si>
  <si>
    <t>LSN-00017</t>
  </si>
  <si>
    <t>L-0000017</t>
  </si>
  <si>
    <t>a0Aak00000FtDlqEAF</t>
  </si>
  <si>
    <t>2026-09-16T16:49:23.000Z</t>
  </si>
  <si>
    <t>LSN-00018</t>
  </si>
  <si>
    <t>L-0000018</t>
  </si>
  <si>
    <t>a0Aak00000FtDlrEAF</t>
  </si>
  <si>
    <t>Started new piece.</t>
  </si>
  <si>
    <t>LSN-00019</t>
  </si>
  <si>
    <t>L-0000019</t>
  </si>
  <si>
    <t>a0Aak00000FtDlsEAF</t>
  </si>
  <si>
    <t>LSN-00020</t>
  </si>
  <si>
    <t>L-0000020</t>
  </si>
  <si>
    <t>a0Aak00000FtDltEAF</t>
  </si>
  <si>
    <t>2026-09-25T18:00:49.000Z</t>
  </si>
  <si>
    <t>LSN-00021</t>
  </si>
  <si>
    <t>L-0000021</t>
  </si>
  <si>
    <t>a0Aak00000FtDluEAF</t>
  </si>
  <si>
    <t>LSN-00022</t>
  </si>
  <si>
    <t>L-0000022</t>
  </si>
  <si>
    <t>a0Aak00000FtDlvEAF</t>
  </si>
  <si>
    <t>LSN-00023</t>
  </si>
  <si>
    <t>L-0000023</t>
  </si>
  <si>
    <t>a0Aak00000FtDlwEAF</t>
  </si>
  <si>
    <t>LSN-00024</t>
  </si>
  <si>
    <t>L-0000024</t>
  </si>
  <si>
    <t>a07ak00001rZMpDAAW</t>
  </si>
  <si>
    <t>Mei Thompson</t>
  </si>
  <si>
    <t>a0Aak00000FtDlxEAF</t>
  </si>
  <si>
    <t>LSN-00025</t>
  </si>
  <si>
    <t>L-0000025</t>
  </si>
  <si>
    <t>a0Aak00000FtDlyEAF</t>
  </si>
  <si>
    <t>LSN-00026</t>
  </si>
  <si>
    <t>L-0000026</t>
  </si>
  <si>
    <t>a0Aak00000FtDlzEAF</t>
  </si>
  <si>
    <t>LSN-00027</t>
  </si>
  <si>
    <t>L-0000027</t>
  </si>
  <si>
    <t>a0Aak00000FtDm0EAF</t>
  </si>
  <si>
    <t>LSN-00028</t>
  </si>
  <si>
    <t>L-0000028</t>
  </si>
  <si>
    <t>a0Aak00000FtDm1EAF</t>
  </si>
  <si>
    <t>LSN-00029</t>
  </si>
  <si>
    <t>L-0000029</t>
  </si>
  <si>
    <t>a0Aak00000FtDm2EAF</t>
  </si>
  <si>
    <t>a06ak00000amzCJAAY</t>
  </si>
  <si>
    <t>Sofia Harris</t>
  </si>
  <si>
    <t>Violin</t>
  </si>
  <si>
    <t>LSN-00030</t>
  </si>
  <si>
    <t>L-0000030</t>
  </si>
  <si>
    <t>a07ak00001rZMpEAAW</t>
  </si>
  <si>
    <t>Kennedy Sullivan</t>
  </si>
  <si>
    <t>a0Aak00000FtDm3EAF</t>
  </si>
  <si>
    <t>LSN-00031</t>
  </si>
  <si>
    <t>L-0000031</t>
  </si>
  <si>
    <t>a0Aak00000FtDm4EAF</t>
  </si>
  <si>
    <t>LSN-00032</t>
  </si>
  <si>
    <t>L-0000032</t>
  </si>
  <si>
    <t>a0Aak00000FtDm5EAF</t>
  </si>
  <si>
    <t>LSN-00033</t>
  </si>
  <si>
    <t>L-0000033</t>
  </si>
  <si>
    <t>a0Aak00000FtDm6EAF</t>
  </si>
  <si>
    <t>LSN-00034</t>
  </si>
  <si>
    <t>L-0000034</t>
  </si>
  <si>
    <t>a07ak00001rZMpFAAW</t>
  </si>
  <si>
    <t>Vincent Jones</t>
  </si>
  <si>
    <t>a0Aak00000FtDm7EAF</t>
  </si>
  <si>
    <t>LSN-00035</t>
  </si>
  <si>
    <t>L-0000035</t>
  </si>
  <si>
    <t>a0Aak00000FtDm8EAF</t>
  </si>
  <si>
    <t>LSN-00036</t>
  </si>
  <si>
    <t>L-0000036</t>
  </si>
  <si>
    <t>a0Aak00000FtDm9EAF</t>
  </si>
  <si>
    <t>LSN-00037</t>
  </si>
  <si>
    <t>L-0000037</t>
  </si>
  <si>
    <t>a0Aak00000FtDmAEAV</t>
  </si>
  <si>
    <t>LSN-00038</t>
  </si>
  <si>
    <t>L-0000038</t>
  </si>
  <si>
    <t>a0Aak00000FtDmBEAV</t>
  </si>
  <si>
    <t>a06ak00000amzC5AAI</t>
  </si>
  <si>
    <t>Penelope Wilson</t>
  </si>
  <si>
    <t>Drums</t>
  </si>
  <si>
    <t>LSN-00039</t>
  </si>
  <si>
    <t>L-0000039</t>
  </si>
  <si>
    <t>a07ak00001rZMpGAAW</t>
  </si>
  <si>
    <t>Noah Wright</t>
  </si>
  <si>
    <t>a0Aak00000FtDmCEAV</t>
  </si>
  <si>
    <t>a06ak00000amzC1AAI</t>
  </si>
  <si>
    <t>Valentina Nakamura</t>
  </si>
  <si>
    <t>LSN-00040</t>
  </si>
  <si>
    <t>L-0000040</t>
  </si>
  <si>
    <t>a0Aak00000FtDmDEAV</t>
  </si>
  <si>
    <t>LSN-00041</t>
  </si>
  <si>
    <t>L-0000041</t>
  </si>
  <si>
    <t>a0Aak00000FtDmEEAV</t>
  </si>
  <si>
    <t>LSN-00042</t>
  </si>
  <si>
    <t>L-0000042</t>
  </si>
  <si>
    <t>a0Aak00000FtDmFEAV</t>
  </si>
  <si>
    <t>LSN-00043</t>
  </si>
  <si>
    <t>L-0000043</t>
  </si>
  <si>
    <t>a0Aak00000FtDmGEAV</t>
  </si>
  <si>
    <t>2026-09-15T17:57:49.000Z</t>
  </si>
  <si>
    <t>LSN-00044</t>
  </si>
  <si>
    <t>L-0000044</t>
  </si>
  <si>
    <t>a0Aak00000FtDmHEAV</t>
  </si>
  <si>
    <t>a06ak00000amzBmAAI</t>
  </si>
  <si>
    <t>Emily Taylor</t>
  </si>
  <si>
    <t>Clarinet</t>
  </si>
  <si>
    <t>2026-09-15T17:47:56.000Z</t>
  </si>
  <si>
    <t>LSN-00045</t>
  </si>
  <si>
    <t>L-0000045</t>
  </si>
  <si>
    <t>a07ak00001rZMpHAAW</t>
  </si>
  <si>
    <t>Ryan Harris</t>
  </si>
  <si>
    <t>a0Aak00000FtDmIEAV</t>
  </si>
  <si>
    <t>LSN-00046</t>
  </si>
  <si>
    <t>L-0000046</t>
  </si>
  <si>
    <t>a0Aak00000FtDmJEAV</t>
  </si>
  <si>
    <t>LSN-00047</t>
  </si>
  <si>
    <t>L-0000047</t>
  </si>
  <si>
    <t>a0Aak00000FtDmKEAV</t>
  </si>
  <si>
    <t>LSN-00048</t>
  </si>
  <si>
    <t>L-0000048</t>
  </si>
  <si>
    <t>a0Aak00000FtDmLEAV</t>
  </si>
  <si>
    <t>LSN-00049</t>
  </si>
  <si>
    <t>L-0000049</t>
  </si>
  <si>
    <t>a0Aak00000FtDmMEAV</t>
  </si>
  <si>
    <t>a06ak00000amzBxAAI</t>
  </si>
  <si>
    <t>Miles Allen</t>
  </si>
  <si>
    <t>Voice</t>
  </si>
  <si>
    <t>LSN-00050</t>
  </si>
  <si>
    <t>L-0000050</t>
  </si>
  <si>
    <t>a07ak00001rZMpIAAW</t>
  </si>
  <si>
    <t>Genesis Lopez</t>
  </si>
  <si>
    <t>a0Aak00000FtDmNEAV</t>
  </si>
  <si>
    <t>LSN-00051</t>
  </si>
  <si>
    <t>L-0000051</t>
  </si>
  <si>
    <t>a0Aak00000FtDmOEAV</t>
  </si>
  <si>
    <t>LSN-00052</t>
  </si>
  <si>
    <t>L-0000052</t>
  </si>
  <si>
    <t>a0Aak00000FtDmPEAV</t>
  </si>
  <si>
    <t>LSN-00053</t>
  </si>
  <si>
    <t>L-0000053</t>
  </si>
  <si>
    <t>a0Aak00000FtDmQEAV</t>
  </si>
  <si>
    <t>LSN-00054</t>
  </si>
  <si>
    <t>L-0000054</t>
  </si>
  <si>
    <t>a0Aak00000FtDmREAV</t>
  </si>
  <si>
    <t>a06ak00000amzC3AAI</t>
  </si>
  <si>
    <t>Isabella Rivera</t>
  </si>
  <si>
    <t>LSN-00055</t>
  </si>
  <si>
    <t>L-0000055</t>
  </si>
  <si>
    <t>a07ak00001rZMpJAAW</t>
  </si>
  <si>
    <t>Josiah Torres</t>
  </si>
  <si>
    <t>a0Aak00000FtDmSEAV</t>
  </si>
  <si>
    <t>LSN-00056</t>
  </si>
  <si>
    <t>L-0000056</t>
  </si>
  <si>
    <t>a0Aak00000FtDmTEAV</t>
  </si>
  <si>
    <t>LSN-00057</t>
  </si>
  <si>
    <t>L-0000057</t>
  </si>
  <si>
    <t>a0Aak00000FtDmUEAV</t>
  </si>
  <si>
    <t>LSN-00058</t>
  </si>
  <si>
    <t>L-0000058</t>
  </si>
  <si>
    <t>a0Aak00000FtDmVEAV</t>
  </si>
  <si>
    <t>a06ak00000amzBzAAI</t>
  </si>
  <si>
    <t>Ezra Garcia</t>
  </si>
  <si>
    <t>LSN-00059</t>
  </si>
  <si>
    <t>L-0000059</t>
  </si>
  <si>
    <t>a0Aak00000FtDmWEAV</t>
  </si>
  <si>
    <t>LSN-00060</t>
  </si>
  <si>
    <t>L-0000060</t>
  </si>
  <si>
    <t>a07ak00001rZMpKAAW</t>
  </si>
  <si>
    <t>Sofia Sullivan</t>
  </si>
  <si>
    <t>a0Aak00000FtDmXEAV</t>
  </si>
  <si>
    <t>LSN-00061</t>
  </si>
  <si>
    <t>L-0000061</t>
  </si>
  <si>
    <t>a0Aak00000FtDmYEAV</t>
  </si>
  <si>
    <t>LSN-00062</t>
  </si>
  <si>
    <t>L-0000062</t>
  </si>
  <si>
    <t>a0Aak00000FtDmZEAV</t>
  </si>
  <si>
    <t>LSN-00063</t>
  </si>
  <si>
    <t>L-0000063</t>
  </si>
  <si>
    <t>a0Aak00000FtDmaEAF</t>
  </si>
  <si>
    <t>a06ak00000amzCIAAY</t>
  </si>
  <si>
    <t>Omar Nelson</t>
  </si>
  <si>
    <t>LSN-00064</t>
  </si>
  <si>
    <t>L-0000064</t>
  </si>
  <si>
    <t>a07ak00001rZMpLAAW</t>
  </si>
  <si>
    <t>Nathan Ahmed</t>
  </si>
  <si>
    <t>a0Aak00000FtDmbEAF</t>
  </si>
  <si>
    <t>LSN-00065</t>
  </si>
  <si>
    <t>L-0000065</t>
  </si>
  <si>
    <t>a0Aak00000FtDmcEAF</t>
  </si>
  <si>
    <t>LSN-00066</t>
  </si>
  <si>
    <t>L-0000066</t>
  </si>
  <si>
    <t>a0Aak00000FtDmdEAF</t>
  </si>
  <si>
    <t>LSN-00067</t>
  </si>
  <si>
    <t>L-0000067</t>
  </si>
  <si>
    <t>a0Aak00000FtDmeEAF</t>
  </si>
  <si>
    <t>LSN-00068</t>
  </si>
  <si>
    <t>L-0000068</t>
  </si>
  <si>
    <t>a0Aak00000FtDmfEAF</t>
  </si>
  <si>
    <t>LSN-00069</t>
  </si>
  <si>
    <t>L-0000069</t>
  </si>
  <si>
    <t>a0Aak00000FtDmgEAF</t>
  </si>
  <si>
    <t>a06ak00000amzBiAAI</t>
  </si>
  <si>
    <t>Zoey Torres</t>
  </si>
  <si>
    <t>LSN-00070</t>
  </si>
  <si>
    <t>L-0000070</t>
  </si>
  <si>
    <t>a07ak00001rZMpMAAW</t>
  </si>
  <si>
    <t>Rowan Carter</t>
  </si>
  <si>
    <t>a0Aak00000FtDmhEAF</t>
  </si>
  <si>
    <t>LSN-00071</t>
  </si>
  <si>
    <t>L-0000071</t>
  </si>
  <si>
    <t>a0Aak00000FtDmiEAF</t>
  </si>
  <si>
    <t>LSN-00072</t>
  </si>
  <si>
    <t>L-0000072</t>
  </si>
  <si>
    <t>a0Aak00000FtDmjEAF</t>
  </si>
  <si>
    <t>LSN-00073</t>
  </si>
  <si>
    <t>L-0000073</t>
  </si>
  <si>
    <t>a0Aak00000FtDmkEAF</t>
  </si>
  <si>
    <t>LSN-00074</t>
  </si>
  <si>
    <t>L-0000074</t>
  </si>
  <si>
    <t>a0Aak00000FtDmlEAF</t>
  </si>
  <si>
    <t>LSN-00075</t>
  </si>
  <si>
    <t>L-0000075</t>
  </si>
  <si>
    <t>a0Aak00000FtDmmEAF</t>
  </si>
  <si>
    <t>LSN-00076</t>
  </si>
  <si>
    <t>L-0000076</t>
  </si>
  <si>
    <t>a0Aak00000FtDmnEAF</t>
  </si>
  <si>
    <t>LSN-00077</t>
  </si>
  <si>
    <t>L-0000077</t>
  </si>
  <si>
    <t>a0Aak00000FtDmoEAF</t>
  </si>
  <si>
    <t>LSN-00078</t>
  </si>
  <si>
    <t>L-0000078</t>
  </si>
  <si>
    <t>a0Aak00000FtDmpEAF</t>
  </si>
  <si>
    <t>a06ak00000amzBpAAI</t>
  </si>
  <si>
    <t>Liam Lopez</t>
  </si>
  <si>
    <t>Flute</t>
  </si>
  <si>
    <t>LSN-00079</t>
  </si>
  <si>
    <t>L-0000079</t>
  </si>
  <si>
    <t>a07ak00001rZMpNAAW</t>
  </si>
  <si>
    <t>Hazel Walker</t>
  </si>
  <si>
    <t>a0Aak00000FtDmqEAF</t>
  </si>
  <si>
    <t>LSN-00080</t>
  </si>
  <si>
    <t>L-0000080</t>
  </si>
  <si>
    <t>a0Aak00000FtDmrEAF</t>
  </si>
  <si>
    <t>a06ak00000amzBfAAI</t>
  </si>
  <si>
    <t>Mia Smith</t>
  </si>
  <si>
    <t>LSN-00081</t>
  </si>
  <si>
    <t>L-0000081</t>
  </si>
  <si>
    <t>a07ak00001rZMpPAAW</t>
  </si>
  <si>
    <t>Aubrey Anderson</t>
  </si>
  <si>
    <t>a0Aak00000FtDmsEAF</t>
  </si>
  <si>
    <t>LSN-00082</t>
  </si>
  <si>
    <t>L-0000082</t>
  </si>
  <si>
    <t>a0Aak00000FtDmtEAF</t>
  </si>
  <si>
    <t>LSN-00083</t>
  </si>
  <si>
    <t>L-0000083</t>
  </si>
  <si>
    <t>a0Aak00000FtDmuEAF</t>
  </si>
  <si>
    <t>LSN-00084</t>
  </si>
  <si>
    <t>L-0000084</t>
  </si>
  <si>
    <t>a07ak00001rZMpQAAW</t>
  </si>
  <si>
    <t>Priya Ramirez</t>
  </si>
  <si>
    <t>a0Aak00000FtDmvEAF</t>
  </si>
  <si>
    <t>LSN-00085</t>
  </si>
  <si>
    <t>L-0000085</t>
  </si>
  <si>
    <t>a0Aak00000FtDmwEAF</t>
  </si>
  <si>
    <t>LSN-00086</t>
  </si>
  <si>
    <t>L-0000086</t>
  </si>
  <si>
    <t>a0Aak00000FtDmxEAF</t>
  </si>
  <si>
    <t>LSN-00087</t>
  </si>
  <si>
    <t>L-0000087</t>
  </si>
  <si>
    <t>a0Aak00000FtDmyEAF</t>
  </si>
  <si>
    <t>LSN-00088</t>
  </si>
  <si>
    <t>L-0000088</t>
  </si>
  <si>
    <t>a0Aak00000FtDmzEAF</t>
  </si>
  <si>
    <t>a06ak00000amzCDAAY</t>
  </si>
  <si>
    <t>Vincent Kelly</t>
  </si>
  <si>
    <t>LSN-00089</t>
  </si>
  <si>
    <t>L-0000089</t>
  </si>
  <si>
    <t>a0Aak00000FtDn0EAF</t>
  </si>
  <si>
    <t>a06ak00000amzC0AAI</t>
  </si>
  <si>
    <t>James Moore</t>
  </si>
  <si>
    <t>2026-10-01T15:53:55.000Z</t>
  </si>
  <si>
    <t>LSN-00090</t>
  </si>
  <si>
    <t>L-0000090</t>
  </si>
  <si>
    <t>a07ak00001rZMpRAAW</t>
  </si>
  <si>
    <t>Rowan Wilson</t>
  </si>
  <si>
    <t>a0Aak00000FtDn1EAF</t>
  </si>
  <si>
    <t>LSN-00091</t>
  </si>
  <si>
    <t>L-0000091</t>
  </si>
  <si>
    <t>a0Aak00000FtDn2EAF</t>
  </si>
  <si>
    <t>LSN-00092</t>
  </si>
  <si>
    <t>L-0000092</t>
  </si>
  <si>
    <t>a0Aak00000FtDn3EAF</t>
  </si>
  <si>
    <t>LSN-00093</t>
  </si>
  <si>
    <t>L-0000093</t>
  </si>
  <si>
    <t>a0Aak00000FtDn4EAF</t>
  </si>
  <si>
    <t>LSN-00094</t>
  </si>
  <si>
    <t>L-0000094</t>
  </si>
  <si>
    <t>a0Aak00000FtDn5EAF</t>
  </si>
  <si>
    <t>LSN-00095</t>
  </si>
  <si>
    <t>L-0000095</t>
  </si>
  <si>
    <t>a0Aak00000FtDn6EAF</t>
  </si>
  <si>
    <t>a06ak00000amzC8AAI</t>
  </si>
  <si>
    <t>Adrian Byrne</t>
  </si>
  <si>
    <t>Saxophone</t>
  </si>
  <si>
    <t>LSN-00096</t>
  </si>
  <si>
    <t>L-0000096</t>
  </si>
  <si>
    <t>a07ak00001rZMpSAAW</t>
  </si>
  <si>
    <t>Julian Flores</t>
  </si>
  <si>
    <t>a0Aak00000FtDn7EAF</t>
  </si>
  <si>
    <t>LSN-00097</t>
  </si>
  <si>
    <t>L-0000097</t>
  </si>
  <si>
    <t>a0Aak00000FtDn8EAF</t>
  </si>
  <si>
    <t>LSN-00098</t>
  </si>
  <si>
    <t>L-0000098</t>
  </si>
  <si>
    <t>a0Aak00000FtDn9EAF</t>
  </si>
  <si>
    <t>LSN-00099</t>
  </si>
  <si>
    <t>L-0000099</t>
  </si>
  <si>
    <t>a0Aak00000FtDnAEAV</t>
  </si>
  <si>
    <t>a06ak00000amzBqAAI</t>
  </si>
  <si>
    <t>Aubrey Miller</t>
  </si>
  <si>
    <t>2026-09-15T17:58:10.000Z</t>
  </si>
  <si>
    <t>LSN-00100</t>
  </si>
  <si>
    <t>L-0000100</t>
  </si>
  <si>
    <t>a07ak00001rZMpTAAW</t>
  </si>
  <si>
    <t>Henry Dubois</t>
  </si>
  <si>
    <t>a0Aak00000FtDnBEAV</t>
  </si>
  <si>
    <t>LSN-00101</t>
  </si>
  <si>
    <t>L-0000101</t>
  </si>
  <si>
    <t>a0Aak00000FtDnCEAV</t>
  </si>
  <si>
    <t>LSN-00102</t>
  </si>
  <si>
    <t>L-0000102</t>
  </si>
  <si>
    <t>a0Aak00000FtDnDEAV</t>
  </si>
  <si>
    <t>a06ak00000amzBrAAI</t>
  </si>
  <si>
    <t>Savannah Silva</t>
  </si>
  <si>
    <t>LSN-00103</t>
  </si>
  <si>
    <t>L-0000103</t>
  </si>
  <si>
    <t>a0Aak00000FtDnEEAV</t>
  </si>
  <si>
    <t>LSN-00104</t>
  </si>
  <si>
    <t>L-0000104</t>
  </si>
  <si>
    <t>a07ak00001rZMpVAAW</t>
  </si>
  <si>
    <t>Tyler Rodriguez</t>
  </si>
  <si>
    <t>a0Aak00000FtDnFEAV</t>
  </si>
  <si>
    <t>LSN-00105</t>
  </si>
  <si>
    <t>L-0000105</t>
  </si>
  <si>
    <t>a0Aak00000FtDnGEAV</t>
  </si>
  <si>
    <t>a06ak00000amzBjAAI</t>
  </si>
  <si>
    <t>Fatima Lewis</t>
  </si>
  <si>
    <t>LSN-00106</t>
  </si>
  <si>
    <t>L-0000106</t>
  </si>
  <si>
    <t>a07ak00001rZMpWAAW</t>
  </si>
  <si>
    <t>Leo Thomas</t>
  </si>
  <si>
    <t>a0Aak00000FtDnHEAV</t>
  </si>
  <si>
    <t>LSN-00107</t>
  </si>
  <si>
    <t>L-0000107</t>
  </si>
  <si>
    <t>a0Aak00000FtDnIEAV</t>
  </si>
  <si>
    <t>LSN-00108</t>
  </si>
  <si>
    <t>L-0000108</t>
  </si>
  <si>
    <t>a0Aak00000FtDnJEAV</t>
  </si>
  <si>
    <t>LSN-00109</t>
  </si>
  <si>
    <t>L-0000109</t>
  </si>
  <si>
    <t>a0Aak00000FtDnKEAV</t>
  </si>
  <si>
    <t>LSN-00110</t>
  </si>
  <si>
    <t>L-0000110</t>
  </si>
  <si>
    <t>a0Aak00000FtDnLEAV</t>
  </si>
  <si>
    <t>LSN-00111</t>
  </si>
  <si>
    <t>L-0000111</t>
  </si>
  <si>
    <t>a0Aak00000FtDnMEAV</t>
  </si>
  <si>
    <t>a06ak00000amzC7AAI</t>
  </si>
  <si>
    <t>Wyatt Hall</t>
  </si>
  <si>
    <t>Piano</t>
  </si>
  <si>
    <t>LSN-00112</t>
  </si>
  <si>
    <t>L-0000112</t>
  </si>
  <si>
    <t>a07ak00001rZMpXAAW</t>
  </si>
  <si>
    <t>Jordan Miller</t>
  </si>
  <si>
    <t>a0Aak00000FtDnNEAV</t>
  </si>
  <si>
    <t>LSN-00113</t>
  </si>
  <si>
    <t>L-0000113</t>
  </si>
  <si>
    <t>a0Aak00000FtDnOEAV</t>
  </si>
  <si>
    <t>LSN-00115</t>
  </si>
  <si>
    <t>L-0000114</t>
  </si>
  <si>
    <t>a0Aak00000FtDnPEAV</t>
  </si>
  <si>
    <t>LSN-00116</t>
  </si>
  <si>
    <t>L-0000115</t>
  </si>
  <si>
    <t>a0Aak00000FtDnQEAV</t>
  </si>
  <si>
    <t>LSN-00117</t>
  </si>
  <si>
    <t>L-0000116</t>
  </si>
  <si>
    <t>a0Aak00000FtDnREAV</t>
  </si>
  <si>
    <t>LSN-00118</t>
  </si>
  <si>
    <t>L-0000117</t>
  </si>
  <si>
    <t>a0Aak00000FtDnSEAV</t>
  </si>
  <si>
    <t>a06ak00000amzCHAAY</t>
  </si>
  <si>
    <t>Liam Flores</t>
  </si>
  <si>
    <t>LSN-00119</t>
  </si>
  <si>
    <t>L-0000118</t>
  </si>
  <si>
    <t>a07ak00001rZMpZAAW</t>
  </si>
  <si>
    <t>Harper Patel</t>
  </si>
  <si>
    <t>a0Aak00000FtDnTEAV</t>
  </si>
  <si>
    <t>LSN-00120</t>
  </si>
  <si>
    <t>L-0000119</t>
  </si>
  <si>
    <t>a0Aak00000FtDnUEAV</t>
  </si>
  <si>
    <t>LSN-00121</t>
  </si>
  <si>
    <t>L-0000120</t>
  </si>
  <si>
    <t>a0Aak00000FtDnVEAV</t>
  </si>
  <si>
    <t>LSN-00122</t>
  </si>
  <si>
    <t>L-0000121</t>
  </si>
  <si>
    <t>a0Aak00000FtDnWEAV</t>
  </si>
  <si>
    <t>LSN-00123</t>
  </si>
  <si>
    <t>L-0000122</t>
  </si>
  <si>
    <t>a0Aak00000FtDnXEAV</t>
  </si>
  <si>
    <t>LSN-00124</t>
  </si>
  <si>
    <t>L-0000123</t>
  </si>
  <si>
    <t>a0Aak00000FtDnYEAV</t>
  </si>
  <si>
    <t>LSN-00125</t>
  </si>
  <si>
    <t>L-0000124</t>
  </si>
  <si>
    <t>a0Aak00000FtDnZEAV</t>
  </si>
  <si>
    <t>a06ak00000amzCCAAY</t>
  </si>
  <si>
    <t>Rowan Jones</t>
  </si>
  <si>
    <t>LSN-00126</t>
  </si>
  <si>
    <t>L-0000125</t>
  </si>
  <si>
    <t>a07ak00001rZMpaAAG</t>
  </si>
  <si>
    <t>Layla Hill</t>
  </si>
  <si>
    <t>a0Aak00000FtDnaEAF</t>
  </si>
  <si>
    <t>LSN-00127</t>
  </si>
  <si>
    <t>L-0000126</t>
  </si>
  <si>
    <t>a0Aak00000FtDnbEAF</t>
  </si>
  <si>
    <t>LSN-00128</t>
  </si>
  <si>
    <t>L-0000127</t>
  </si>
  <si>
    <t>a07ak00001rZMpbAAG</t>
  </si>
  <si>
    <t>Sofia Green</t>
  </si>
  <si>
    <t>a0Aak00000FtDncEAF</t>
  </si>
  <si>
    <t>LSN-00129</t>
  </si>
  <si>
    <t>L-0000128</t>
  </si>
  <si>
    <t>a0Aak00000FtDndEAF</t>
  </si>
  <si>
    <t>LSN-00130</t>
  </si>
  <si>
    <t>L-0000129</t>
  </si>
  <si>
    <t>a0Aak00000FtDneEAF</t>
  </si>
  <si>
    <t>LSN-00131</t>
  </si>
  <si>
    <t>L-0000130</t>
  </si>
  <si>
    <t>a0Aak00000FtDnfEAF</t>
  </si>
  <si>
    <t>LSN-00132</t>
  </si>
  <si>
    <t>L-0000131</t>
  </si>
  <si>
    <t>a0Aak00000FtDngEAF</t>
  </si>
  <si>
    <t>LSN-00133</t>
  </si>
  <si>
    <t>L-0000132</t>
  </si>
  <si>
    <t>a0Aak00000FtDnhEAF</t>
  </si>
  <si>
    <t>LSN-00134</t>
  </si>
  <si>
    <t>L-0000133</t>
  </si>
  <si>
    <t>a0Aak00000FtDniEAF</t>
  </si>
  <si>
    <t>LSN-00135</t>
  </si>
  <si>
    <t>L-0000134</t>
  </si>
  <si>
    <t>a0Aak00000FtDnjEAF</t>
  </si>
  <si>
    <t>LSN-00137</t>
  </si>
  <si>
    <t>L-0000135</t>
  </si>
  <si>
    <t>a07ak00001rZMpcAAG</t>
  </si>
  <si>
    <t>Adrian Sullivan</t>
  </si>
  <si>
    <t>a0Aak00000FtDnkEAF</t>
  </si>
  <si>
    <t>LSN-00138</t>
  </si>
  <si>
    <t>L-0000136</t>
  </si>
  <si>
    <t>a0Aak00000FtDnlEAF</t>
  </si>
  <si>
    <t>a06ak00000amzC2AAI</t>
  </si>
  <si>
    <t>Lily Rossi</t>
  </si>
  <si>
    <t>LSN-00139</t>
  </si>
  <si>
    <t>L-0000137</t>
  </si>
  <si>
    <t>a07ak00001rZMpdAAG</t>
  </si>
  <si>
    <t>Ruby Byrne</t>
  </si>
  <si>
    <t>a0Aak00000FtDnmEAF</t>
  </si>
  <si>
    <t>LSN-00140</t>
  </si>
  <si>
    <t>L-0000138</t>
  </si>
  <si>
    <t>a0Aak00000FtDnnEAF</t>
  </si>
  <si>
    <t>LSN-00141</t>
  </si>
  <si>
    <t>L-0000139</t>
  </si>
  <si>
    <t>a0Aak00000FtDnoEAF</t>
  </si>
  <si>
    <t>LSN-00142</t>
  </si>
  <si>
    <t>L-0000140</t>
  </si>
  <si>
    <t>a07ak00001rZMpeAAG</t>
  </si>
  <si>
    <t>Aubrey Wilson</t>
  </si>
  <si>
    <t>a0Aak00000FtDnpEAF</t>
  </si>
  <si>
    <t>LSN-00143</t>
  </si>
  <si>
    <t>L-0000141</t>
  </si>
  <si>
    <t>a0Aak00000FtDnqEAF</t>
  </si>
  <si>
    <t>LSN-00144</t>
  </si>
  <si>
    <t>L-0000142</t>
  </si>
  <si>
    <t>a0Aak00000FtDnrEAF</t>
  </si>
  <si>
    <t>LSN-00145</t>
  </si>
  <si>
    <t>L-0000143</t>
  </si>
  <si>
    <t>a0Aak00000FtDnsEAF</t>
  </si>
  <si>
    <t>LSN-00146</t>
  </si>
  <si>
    <t>L-0000144</t>
  </si>
  <si>
    <t>a0Aak00000FtDntEAF</t>
  </si>
  <si>
    <t>LSN-00147</t>
  </si>
  <si>
    <t>L-0000145</t>
  </si>
  <si>
    <t>a0Aak00000FtDnuEAF</t>
  </si>
  <si>
    <t>Guitar</t>
  </si>
  <si>
    <t>LSN-00148</t>
  </si>
  <si>
    <t>L-0000146</t>
  </si>
  <si>
    <t>a07ak00001rZMpfAAG</t>
  </si>
  <si>
    <t>Jonah Moore</t>
  </si>
  <si>
    <t>a0Aak00000FtDnvEAF</t>
  </si>
  <si>
    <t>LSN-00149</t>
  </si>
  <si>
    <t>L-0000147</t>
  </si>
  <si>
    <t>a0Aak00000FtDnwEAF</t>
  </si>
  <si>
    <t>LSN-00150</t>
  </si>
  <si>
    <t>L-0000148</t>
  </si>
  <si>
    <t>a0Aak00000FtDnxEAF</t>
  </si>
  <si>
    <t>LSN-00151</t>
  </si>
  <si>
    <t>L-0000149</t>
  </si>
  <si>
    <t>a0Aak00000FtDnyEAF</t>
  </si>
  <si>
    <t>LSN-00152</t>
  </si>
  <si>
    <t>L-0000150</t>
  </si>
  <si>
    <t>a07ak00001rZMpgAAG</t>
  </si>
  <si>
    <t>Micah King</t>
  </si>
  <si>
    <t>a0Aak00000FtDnzEAF</t>
  </si>
  <si>
    <t>LSN-00153</t>
  </si>
  <si>
    <t>L-0000151</t>
  </si>
  <si>
    <t>a0Aak00000FtDo0EAF</t>
  </si>
  <si>
    <t>LSN-00154</t>
  </si>
  <si>
    <t>L-0000152</t>
  </si>
  <si>
    <t>a0Aak00000FtDo1EAF</t>
  </si>
  <si>
    <t>LSN-00155</t>
  </si>
  <si>
    <t>L-0000153</t>
  </si>
  <si>
    <t>a0Aak00000FtDo2EAF</t>
  </si>
  <si>
    <t>LSN-00156</t>
  </si>
  <si>
    <t>L-0000154</t>
  </si>
  <si>
    <t>a07ak00001rZMphAAG</t>
  </si>
  <si>
    <t>Aiden Roberts</t>
  </si>
  <si>
    <t>a0Aak00000FtDo3EAF</t>
  </si>
  <si>
    <t>LSN-00157</t>
  </si>
  <si>
    <t>L-0000155</t>
  </si>
  <si>
    <t>a0Aak00000FtDo4EAF</t>
  </si>
  <si>
    <t>LSN-00158</t>
  </si>
  <si>
    <t>L-0000156</t>
  </si>
  <si>
    <t>a0Aak00000FtDo5EAF</t>
  </si>
  <si>
    <t>LSN-00159</t>
  </si>
  <si>
    <t>L-0000157</t>
  </si>
  <si>
    <t>a0Aak00000FtDo6EAF</t>
  </si>
  <si>
    <t>LSN-00160</t>
  </si>
  <si>
    <t>L-0000158</t>
  </si>
  <si>
    <t>a0Aak00000FtDo7EAF</t>
  </si>
  <si>
    <t>LSN-00161</t>
  </si>
  <si>
    <t>L-0000159</t>
  </si>
  <si>
    <t>a0Aak00000FtDo8EAF</t>
  </si>
  <si>
    <t>LSN-00162</t>
  </si>
  <si>
    <t>L-0000160</t>
  </si>
  <si>
    <t>a0Aak00000FtDo9EAF</t>
  </si>
  <si>
    <t>LSN-00163</t>
  </si>
  <si>
    <t>L-0000161</t>
  </si>
  <si>
    <t>a0Aak00000FtDoAEAV</t>
  </si>
  <si>
    <t>LSN-00164</t>
  </si>
  <si>
    <t>L-0000162</t>
  </si>
  <si>
    <t>a0Aak00000FtDoBEAV</t>
  </si>
  <si>
    <t>LSN-00165</t>
  </si>
  <si>
    <t>L-0000163</t>
  </si>
  <si>
    <t>a07ak00001rZMpiAAG</t>
  </si>
  <si>
    <t>Bella Adams</t>
  </si>
  <si>
    <t>a0Aak00000FtDoCEAV</t>
  </si>
  <si>
    <t>a06ak00000amzC4AAI</t>
  </si>
  <si>
    <t>Logan Davis</t>
  </si>
  <si>
    <t>LSN-00166</t>
  </si>
  <si>
    <t>L-0000164</t>
  </si>
  <si>
    <t>a0Aak00000FtDoDEAV</t>
  </si>
  <si>
    <t>LSN-00167</t>
  </si>
  <si>
    <t>L-0000165</t>
  </si>
  <si>
    <t>a07ak00001rZMpjAAG</t>
  </si>
  <si>
    <t>Genesis Novak</t>
  </si>
  <si>
    <t>a0Aak00000FtDoEEAV</t>
  </si>
  <si>
    <t>LSN-00168</t>
  </si>
  <si>
    <t>L-0000166</t>
  </si>
  <si>
    <t>a0Aak00000FtDoFEAV</t>
  </si>
  <si>
    <t>LSN-00169</t>
  </si>
  <si>
    <t>L-0000167</t>
  </si>
  <si>
    <t>a0Aak00000FtDoGEAV</t>
  </si>
  <si>
    <t>LSN-00170</t>
  </si>
  <si>
    <t>L-0000168</t>
  </si>
  <si>
    <t>a0Aak00000FtDoHEAV</t>
  </si>
  <si>
    <t>LSN-00171</t>
  </si>
  <si>
    <t>L-0000169</t>
  </si>
  <si>
    <t>a0Aak00000FtDoIEAV</t>
  </si>
  <si>
    <t>LSN-00172</t>
  </si>
  <si>
    <t>L-0000170</t>
  </si>
  <si>
    <t>a0Aak00000FtDoJEAV</t>
  </si>
  <si>
    <t>LSN-00173</t>
  </si>
  <si>
    <t>L-0000171</t>
  </si>
  <si>
    <t>a0Aak00000FtDoKEAV</t>
  </si>
  <si>
    <t>LSN-00174</t>
  </si>
  <si>
    <t>L-0000172</t>
  </si>
  <si>
    <t>a07ak00001rZMpkAAG</t>
  </si>
  <si>
    <t>Fatima Jones</t>
  </si>
  <si>
    <t>a0Aak00000FtDoLEAV</t>
  </si>
  <si>
    <t>LSN-00175</t>
  </si>
  <si>
    <t>L-0000173</t>
  </si>
  <si>
    <t>a0Aak00000FtDoMEAV</t>
  </si>
  <si>
    <t>LSN-00176</t>
  </si>
  <si>
    <t>L-0000174</t>
  </si>
  <si>
    <t>a0Aak00000FtDoNEAV</t>
  </si>
  <si>
    <t>LSN-00177</t>
  </si>
  <si>
    <t>L-0000175</t>
  </si>
  <si>
    <t>a0Aak00000FtDoOEAV</t>
  </si>
  <si>
    <t>LSN-00178</t>
  </si>
  <si>
    <t>L-0000176</t>
  </si>
  <si>
    <t>a0Aak00000FtDoPEAV</t>
  </si>
  <si>
    <t>LSN-00179</t>
  </si>
  <si>
    <t>L-0000177</t>
  </si>
  <si>
    <t>a0Aak00000FtDoQEAV</t>
  </si>
  <si>
    <t>LSN-00180</t>
  </si>
  <si>
    <t>L-0000178</t>
  </si>
  <si>
    <t>a0Aak00000FtDoREAV</t>
  </si>
  <si>
    <t>a06ak00000amzBnAAI</t>
  </si>
  <si>
    <t>Charlotte Nakamura</t>
  </si>
  <si>
    <t>LSN-00181</t>
  </si>
  <si>
    <t>L-0000179</t>
  </si>
  <si>
    <t>a07ak00001rZMpmAAG</t>
  </si>
  <si>
    <t>Scarlett Jackson</t>
  </si>
  <si>
    <t>a0Aak00000FtDoSEAV</t>
  </si>
  <si>
    <t>LSN-00182</t>
  </si>
  <si>
    <t>L-0000180</t>
  </si>
  <si>
    <t>a0Aak00000FtDoTEAV</t>
  </si>
  <si>
    <t>LSN-00183</t>
  </si>
  <si>
    <t>L-0000181</t>
  </si>
  <si>
    <t>a0Aak00000FtDoUEAV</t>
  </si>
  <si>
    <t>a06ak00000amzByAAI</t>
  </si>
  <si>
    <t>Vincent Sullivan</t>
  </si>
  <si>
    <t>LSN-00184</t>
  </si>
  <si>
    <t>L-0000182</t>
  </si>
  <si>
    <t>a07ak00001rZMpnAAG</t>
  </si>
  <si>
    <t>Leo Mitchell</t>
  </si>
  <si>
    <t>a0Aak00000FtDoVEAV</t>
  </si>
  <si>
    <t>LSN-00185</t>
  </si>
  <si>
    <t>L-0000183</t>
  </si>
  <si>
    <t>a0Aak00000FtDoWEAV</t>
  </si>
  <si>
    <t>LSN-00186</t>
  </si>
  <si>
    <t>L-0000184</t>
  </si>
  <si>
    <t>a0Aak00000FtDoXEAV</t>
  </si>
  <si>
    <t>LSN-00187</t>
  </si>
  <si>
    <t>L-0000185</t>
  </si>
  <si>
    <t>a0Aak00000FtDoYEAV</t>
  </si>
  <si>
    <t>LSN-00188</t>
  </si>
  <si>
    <t>L-0000186</t>
  </si>
  <si>
    <t>a0Aak00000FtDoZEAV</t>
  </si>
  <si>
    <t>LSN-00189</t>
  </si>
  <si>
    <t>L-0000187</t>
  </si>
  <si>
    <t>a07ak00001rZMpoAAG</t>
  </si>
  <si>
    <t>Naomi Rodriguez</t>
  </si>
  <si>
    <t>a0Aak00000FtDoaEAF</t>
  </si>
  <si>
    <t>LSN-00190</t>
  </si>
  <si>
    <t>L-0000188</t>
  </si>
  <si>
    <t>a0Aak00000FtDobEAF</t>
  </si>
  <si>
    <t>a06ak00000amzCBAAY</t>
  </si>
  <si>
    <t>Aiden Hill</t>
  </si>
  <si>
    <t>LSN-00191</t>
  </si>
  <si>
    <t>L-0000189</t>
  </si>
  <si>
    <t>a07ak00001rZMppAAG</t>
  </si>
  <si>
    <t>Ruby Taylor</t>
  </si>
  <si>
    <t>a0Aak00000FtDocEAF</t>
  </si>
  <si>
    <t>LSN-00192</t>
  </si>
  <si>
    <t>L-0000190</t>
  </si>
  <si>
    <t>a0Aak00000FtDodEAF</t>
  </si>
  <si>
    <t>LSN-00193</t>
  </si>
  <si>
    <t>L-0000191</t>
  </si>
  <si>
    <t>a0Aak00000FtDoeEAF</t>
  </si>
  <si>
    <t>LSN-00194</t>
  </si>
  <si>
    <t>L-0000192</t>
  </si>
  <si>
    <t>a0Aak00000FtDofEAF</t>
  </si>
  <si>
    <t>LSN-00195</t>
  </si>
  <si>
    <t>L-0000193</t>
  </si>
  <si>
    <t>a0Aak00000FtDogEAF</t>
  </si>
  <si>
    <t>LSN-00196</t>
  </si>
  <si>
    <t>L-0000194</t>
  </si>
  <si>
    <t>a0Aak00000FtDohEAF</t>
  </si>
  <si>
    <t>LSN-00197</t>
  </si>
  <si>
    <t>L-0000195</t>
  </si>
  <si>
    <t>a0Aak00000FtDoiEAF</t>
  </si>
  <si>
    <t>LSN-00198</t>
  </si>
  <si>
    <t>L-0000196</t>
  </si>
  <si>
    <t>a07ak00001rZMpqAAG</t>
  </si>
  <si>
    <t>Isaac Harris</t>
  </si>
  <si>
    <t>a0Aak00000FtDojEAF</t>
  </si>
  <si>
    <t>LSN-00199</t>
  </si>
  <si>
    <t>L-0000197</t>
  </si>
  <si>
    <t>a0Aak00000FtDokEAF</t>
  </si>
  <si>
    <t>LSN-00200</t>
  </si>
  <si>
    <t>L-0000198</t>
  </si>
  <si>
    <t>a0Aak00000FtDolEAF</t>
  </si>
  <si>
    <t>a06ak00000amzBlAAI</t>
  </si>
  <si>
    <t>Micah Novak</t>
  </si>
  <si>
    <t>LSN-00201</t>
  </si>
  <si>
    <t>L-0000199</t>
  </si>
  <si>
    <t>a07ak00001rZMprAAG</t>
  </si>
  <si>
    <t>Henry Brown</t>
  </si>
  <si>
    <t>a0Aak00000FtDomEAF</t>
  </si>
  <si>
    <t>LSN-00202</t>
  </si>
  <si>
    <t>L-0000200</t>
  </si>
  <si>
    <t>a0Aak00000FtDonEAF</t>
  </si>
  <si>
    <t>LSN-00203</t>
  </si>
  <si>
    <t>L-0000201</t>
  </si>
  <si>
    <t>a0Aak00000FtDooEAF</t>
  </si>
  <si>
    <t>LSN-00204</t>
  </si>
  <si>
    <t>L-0000202</t>
  </si>
  <si>
    <t>a0Aak00000FtDopEAF</t>
  </si>
  <si>
    <t>LSN-00205</t>
  </si>
  <si>
    <t>L-0000203</t>
  </si>
  <si>
    <t>a0Aak00000FtDoqEAF</t>
  </si>
  <si>
    <t>LSN-00206</t>
  </si>
  <si>
    <t>L-0000204</t>
  </si>
  <si>
    <t>a0Aak00000FtDorEAF</t>
  </si>
  <si>
    <t>a06ak00000amzCLAAY</t>
  </si>
  <si>
    <t>Liam Moore</t>
  </si>
  <si>
    <t>LSN-00207</t>
  </si>
  <si>
    <t>L-0000205</t>
  </si>
  <si>
    <t>a07ak00001rZMpsAAG</t>
  </si>
  <si>
    <t>Aubrey Clark</t>
  </si>
  <si>
    <t>a0Aak00000FtDosEAF</t>
  </si>
  <si>
    <t>LSN-00208</t>
  </si>
  <si>
    <t>L-0000206</t>
  </si>
  <si>
    <t>a0Aak00000FtDotEAF</t>
  </si>
  <si>
    <t>LSN-00209</t>
  </si>
  <si>
    <t>L-0000207</t>
  </si>
  <si>
    <t>a0Aak00000FtDouEAF</t>
  </si>
  <si>
    <t>LSN-00210</t>
  </si>
  <si>
    <t>L-0000208</t>
  </si>
  <si>
    <t>a0Aak00000FtDovEAF</t>
  </si>
  <si>
    <t>LSN-00211</t>
  </si>
  <si>
    <t>L-0000209</t>
  </si>
  <si>
    <t>a0Aak00000FtDowEAF</t>
  </si>
  <si>
    <t>LSN-00212</t>
  </si>
  <si>
    <t>L-0000210</t>
  </si>
  <si>
    <t>a0Aak00000FtDoxEAF</t>
  </si>
  <si>
    <t>LSN-00214</t>
  </si>
  <si>
    <t>L-0000211</t>
  </si>
  <si>
    <t>a0Aak00000FtDoyEAF</t>
  </si>
  <si>
    <t>LSN-00215</t>
  </si>
  <si>
    <t>L-0000212</t>
  </si>
  <si>
    <t>a07ak00001rZMpuAAG</t>
  </si>
  <si>
    <t>Everly Nelson</t>
  </si>
  <si>
    <t>a0Aak00000FtDozEAF</t>
  </si>
  <si>
    <t>LSN-00216</t>
  </si>
  <si>
    <t>L-0000213</t>
  </si>
  <si>
    <t>a0Aak00000FtDp0EAF</t>
  </si>
  <si>
    <t>LSN-00217</t>
  </si>
  <si>
    <t>L-0000214</t>
  </si>
  <si>
    <t>a0Aak00000FtDp1EAF</t>
  </si>
  <si>
    <t>LSN-00218</t>
  </si>
  <si>
    <t>L-0000215</t>
  </si>
  <si>
    <t>a0Aak00000FtDp2EAF</t>
  </si>
  <si>
    <t>a06ak00000amzCMAAY</t>
  </si>
  <si>
    <t>Yusuf Jackson</t>
  </si>
  <si>
    <t>LSN-00219</t>
  </si>
  <si>
    <t>L-0000216</t>
  </si>
  <si>
    <t>a07ak00001rZMpvAAG</t>
  </si>
  <si>
    <t>Anna Roberts</t>
  </si>
  <si>
    <t>a0Aak00000FtDp3EAF</t>
  </si>
  <si>
    <t>LSN-00220</t>
  </si>
  <si>
    <t>L-0000217</t>
  </si>
  <si>
    <t>a0Aak00000FtDp4EAF</t>
  </si>
  <si>
    <t>LSN-00221</t>
  </si>
  <si>
    <t>L-0000218</t>
  </si>
  <si>
    <t>a0Aak00000FtDp5EAF</t>
  </si>
  <si>
    <t>LSN-00222</t>
  </si>
  <si>
    <t>L-0000219</t>
  </si>
  <si>
    <t>a0Aak00000FtDp6EAF</t>
  </si>
  <si>
    <t>LSN-00223</t>
  </si>
  <si>
    <t>L-0000220</t>
  </si>
  <si>
    <t>a0Aak00000FtDp7EAF</t>
  </si>
  <si>
    <t>LSN-00224</t>
  </si>
  <si>
    <t>L-0000221</t>
  </si>
  <si>
    <t>a0Aak00000FtDp8EAF</t>
  </si>
  <si>
    <t>a06ak00000amzCEAAY</t>
  </si>
  <si>
    <t>Caroline Baker</t>
  </si>
  <si>
    <t>LSN-00225</t>
  </si>
  <si>
    <t>L-0000222</t>
  </si>
  <si>
    <t>a07ak00001rZMpwAAG</t>
  </si>
  <si>
    <t>Brooklyn Young</t>
  </si>
  <si>
    <t>a0Aak00000FtDp9EAF</t>
  </si>
  <si>
    <t>LSN-00226</t>
  </si>
  <si>
    <t>L-0000223</t>
  </si>
  <si>
    <t>a0Aak00000FtDpAEAV</t>
  </si>
  <si>
    <t>LSN-00227</t>
  </si>
  <si>
    <t>L-0000224</t>
  </si>
  <si>
    <t>a07ak00001rZMpxAAG</t>
  </si>
  <si>
    <t>Mei White</t>
  </si>
  <si>
    <t>a0Aak00000FtDpBEAV</t>
  </si>
  <si>
    <t>LSN-00228</t>
  </si>
  <si>
    <t>L-0000225</t>
  </si>
  <si>
    <t>a0Aak00000FtDpCEAV</t>
  </si>
  <si>
    <t>LSN-00229</t>
  </si>
  <si>
    <t>L-0000226</t>
  </si>
  <si>
    <t>a0Aak00000FtDpDEAV</t>
  </si>
  <si>
    <t>a06ak00000amzBtAAI</t>
  </si>
  <si>
    <t>Jamal Torres</t>
  </si>
  <si>
    <t>LSN-00230</t>
  </si>
  <si>
    <t>L-0000227</t>
  </si>
  <si>
    <t>a07ak00001rZMpzAAG</t>
  </si>
  <si>
    <t>Skylar Rivera</t>
  </si>
  <si>
    <t>a0Aak00000FtDpEEAV</t>
  </si>
  <si>
    <t>LSN-00231</t>
  </si>
  <si>
    <t>L-0000228</t>
  </si>
  <si>
    <t>a0Aak00000FtDpFEAV</t>
  </si>
  <si>
    <t>LSN-00232</t>
  </si>
  <si>
    <t>L-0000229</t>
  </si>
  <si>
    <t>a0Aak00000FtDpGEAV</t>
  </si>
  <si>
    <t>LSN-00233</t>
  </si>
  <si>
    <t>L-0000230</t>
  </si>
  <si>
    <t>a0Aak00000FtDpHEAV</t>
  </si>
  <si>
    <t>LSN-00234</t>
  </si>
  <si>
    <t>L-0000231</t>
  </si>
  <si>
    <t>a0Aak00000FtDpIEAV</t>
  </si>
  <si>
    <t>LSN-00235</t>
  </si>
  <si>
    <t>L-0000232</t>
  </si>
  <si>
    <t>a07ak00001rZMq0AAG</t>
  </si>
  <si>
    <t>Henry Ryan</t>
  </si>
  <si>
    <t>a0Aak00000FtDpJEAV</t>
  </si>
  <si>
    <t>LSN-00236</t>
  </si>
  <si>
    <t>L-0000233</t>
  </si>
  <si>
    <t>a0Aak00000FtDpKEAV</t>
  </si>
  <si>
    <t>LSN-00237</t>
  </si>
  <si>
    <t>L-0000234</t>
  </si>
  <si>
    <t>a0Aak00000FtDpLEAV</t>
  </si>
  <si>
    <t>LSN-00238</t>
  </si>
  <si>
    <t>L-0000235</t>
  </si>
  <si>
    <t>a0Aak00000FtDpMEAV</t>
  </si>
  <si>
    <t>LSN-00239</t>
  </si>
  <si>
    <t>L-0000236</t>
  </si>
  <si>
    <t>a0Aak00000FtDpNEAV</t>
  </si>
  <si>
    <t>LSN-00240</t>
  </si>
  <si>
    <t>L-0000237</t>
  </si>
  <si>
    <t>a0Aak00000FtDpOEAV</t>
  </si>
  <si>
    <t>a06ak00000amzBoAAI</t>
  </si>
  <si>
    <t>Elijah Johnson</t>
  </si>
  <si>
    <t>LSN-00241</t>
  </si>
  <si>
    <t>L-0000238</t>
  </si>
  <si>
    <t>a07ak00001rZMq1AAG</t>
  </si>
  <si>
    <t>Grace Sanchez</t>
  </si>
  <si>
    <t>a0Aak00000FtDpPEAV</t>
  </si>
  <si>
    <t>LSN-00242</t>
  </si>
  <si>
    <t>L-0000239</t>
  </si>
  <si>
    <t>a0Aak00000FtDpQEAV</t>
  </si>
  <si>
    <t>LSN-00243</t>
  </si>
  <si>
    <t>L-0000240</t>
  </si>
  <si>
    <t>a0Aak00000FtDpREAV</t>
  </si>
  <si>
    <t>LSN-00244</t>
  </si>
  <si>
    <t>L-0000241</t>
  </si>
  <si>
    <t>a0Aak00000FtDpSEAV</t>
  </si>
  <si>
    <t>LSN-00245</t>
  </si>
  <si>
    <t>L-0000242</t>
  </si>
  <si>
    <t>a0Aak00000FtDpTEAV</t>
  </si>
  <si>
    <t>LSN-00246</t>
  </si>
  <si>
    <t>L-0000243</t>
  </si>
  <si>
    <t>a07ak00001rZMq3AAG</t>
  </si>
  <si>
    <t>Anthony Nakamura</t>
  </si>
  <si>
    <t>a0Aak00000FtDpUEAV</t>
  </si>
  <si>
    <t>LSN-00247</t>
  </si>
  <si>
    <t>L-0000244</t>
  </si>
  <si>
    <t>a0Aak00000FtDpVEAV</t>
  </si>
  <si>
    <t>LSN-00248</t>
  </si>
  <si>
    <t>L-0000245</t>
  </si>
  <si>
    <t>a0Aak00000FtDpWEAV</t>
  </si>
  <si>
    <t>LSN-00249</t>
  </si>
  <si>
    <t>L-0000246</t>
  </si>
  <si>
    <t>a0Aak00000FtDpXEAV</t>
  </si>
  <si>
    <t>LSN-00250</t>
  </si>
  <si>
    <t>L-0000247</t>
  </si>
  <si>
    <t>a0Aak00000FtDpYEAV</t>
  </si>
  <si>
    <t>LSN-00251</t>
  </si>
  <si>
    <t>L-0000248</t>
  </si>
  <si>
    <t>a0Aak00000FtDpZEAV</t>
  </si>
  <si>
    <t>LSN-00252</t>
  </si>
  <si>
    <t>L-0000249</t>
  </si>
  <si>
    <t>a0Aak00000FtDpaEAF</t>
  </si>
  <si>
    <t>LSN-00253</t>
  </si>
  <si>
    <t>L-0000250</t>
  </si>
  <si>
    <t>a0Aak00000FtDpbEAF</t>
  </si>
  <si>
    <t>LSN-00254</t>
  </si>
  <si>
    <t>L-0000251</t>
  </si>
  <si>
    <t>a0Aak00000FtDpcEAF</t>
  </si>
  <si>
    <t>LSN-00256</t>
  </si>
  <si>
    <t>L-0000252</t>
  </si>
  <si>
    <t>a07ak00001rZMq4AAG</t>
  </si>
  <si>
    <t>Sofia Johnson</t>
  </si>
  <si>
    <t>a0Aak00000FtDpdEAF</t>
  </si>
  <si>
    <t>LSN-00257</t>
  </si>
  <si>
    <t>L-0000253</t>
  </si>
  <si>
    <t>a0Aak00000FtDpeEAF</t>
  </si>
  <si>
    <t>LSN-00258</t>
  </si>
  <si>
    <t>L-0000254</t>
  </si>
  <si>
    <t>a0Aak00000FtDpfEAF</t>
  </si>
  <si>
    <t>LSN-00259</t>
  </si>
  <si>
    <t>L-0000255</t>
  </si>
  <si>
    <t>a0Aak00000FtDpgEAF</t>
  </si>
  <si>
    <t>LSN-00260</t>
  </si>
  <si>
    <t>L-0000256</t>
  </si>
  <si>
    <t>a07ak00001rZMq5AAG</t>
  </si>
  <si>
    <t>Omar Clark</t>
  </si>
  <si>
    <t>a0Aak00000FtDphEAF</t>
  </si>
  <si>
    <t>LSN-00261</t>
  </si>
  <si>
    <t>L-0000257</t>
  </si>
  <si>
    <t>a0Aak00000FtDpiEAF</t>
  </si>
  <si>
    <t>LSN-00262</t>
  </si>
  <si>
    <t>L-0000258</t>
  </si>
  <si>
    <t>a07ak00001rZMq6AAG</t>
  </si>
  <si>
    <t>Miles Jones</t>
  </si>
  <si>
    <t>a0Aak00000FtDpjEAF</t>
  </si>
  <si>
    <t>LSN-00263</t>
  </si>
  <si>
    <t>L-0000259</t>
  </si>
  <si>
    <t>a0Aak00000FtDpkEAF</t>
  </si>
  <si>
    <t>LSN-00264</t>
  </si>
  <si>
    <t>L-0000260</t>
  </si>
  <si>
    <t>a0Aak00000FtDplEAF</t>
  </si>
  <si>
    <t>LSN-00265</t>
  </si>
  <si>
    <t>L-0000261</t>
  </si>
  <si>
    <t>a0Aak00000FtDpmEAF</t>
  </si>
  <si>
    <t>LSN-00266</t>
  </si>
  <si>
    <t>L-0000262</t>
  </si>
  <si>
    <t>a0Aak00000FtDpnEAF</t>
  </si>
  <si>
    <t>LSN-00267</t>
  </si>
  <si>
    <t>L-0000263</t>
  </si>
  <si>
    <t>a0Aak00000FtDpoEAF</t>
  </si>
  <si>
    <t>LSN-00268</t>
  </si>
  <si>
    <t>L-0000264</t>
  </si>
  <si>
    <t>a0Aak00000FtDppEAF</t>
  </si>
  <si>
    <t>a06ak00000amzBsAAI</t>
  </si>
  <si>
    <t>Leo Perez</t>
  </si>
  <si>
    <t>LSN-00269</t>
  </si>
  <si>
    <t>L-0000265</t>
  </si>
  <si>
    <t>a07ak00001rZMq7AAG</t>
  </si>
  <si>
    <t>Jackson Sullivan</t>
  </si>
  <si>
    <t>a0Aak00000FtDpqEAF</t>
  </si>
  <si>
    <t>LSN-00270</t>
  </si>
  <si>
    <t>L-0000266</t>
  </si>
  <si>
    <t>a0Aak00000FtDprEAF</t>
  </si>
  <si>
    <t>LSN-00271</t>
  </si>
  <si>
    <t>L-0000267</t>
  </si>
  <si>
    <t>a0Aak00000FtDpsEAF</t>
  </si>
  <si>
    <t>LSN-00272</t>
  </si>
  <si>
    <t>L-0000268</t>
  </si>
  <si>
    <t>a0Aak00000FtDptEAF</t>
  </si>
  <si>
    <t>LSN-00273</t>
  </si>
  <si>
    <t>L-0000269</t>
  </si>
  <si>
    <t>a0Aak00000FtDpuEAF</t>
  </si>
  <si>
    <t>LSN-00274</t>
  </si>
  <si>
    <t>L-0000270</t>
  </si>
  <si>
    <t>a0Aak00000FtDpvEAF</t>
  </si>
  <si>
    <t>LSN-00275</t>
  </si>
  <si>
    <t>L-0000271</t>
  </si>
  <si>
    <t>a0Aak00000FtDpwEAF</t>
  </si>
  <si>
    <t>LSN-00276</t>
  </si>
  <si>
    <t>L-0000272</t>
  </si>
  <si>
    <t>a07ak00001rZMq8AAG</t>
  </si>
  <si>
    <t>Evelyn Robinson</t>
  </si>
  <si>
    <t>a0Aak00000FtDpxEAF</t>
  </si>
  <si>
    <t>LSN-00277</t>
  </si>
  <si>
    <t>L-0000273</t>
  </si>
  <si>
    <t>a0Aak00000FtDpyEAF</t>
  </si>
  <si>
    <t>LSN-00278</t>
  </si>
  <si>
    <t>L-0000274</t>
  </si>
  <si>
    <t>a0Aak00000FtDpzEAF</t>
  </si>
  <si>
    <t>LSN-00279</t>
  </si>
  <si>
    <t>L-0000275</t>
  </si>
  <si>
    <t>a07ak00001rZMq9AAG</t>
  </si>
  <si>
    <t>Grace Harris</t>
  </si>
  <si>
    <t>a0Aak00000FtDq0EAF</t>
  </si>
  <si>
    <t>LSN-00280</t>
  </si>
  <si>
    <t>L-0000276</t>
  </si>
  <si>
    <t>a0Aak00000FtDq1EAF</t>
  </si>
  <si>
    <t>LSN-00281</t>
  </si>
  <si>
    <t>L-0000277</t>
  </si>
  <si>
    <t>a0Aak00000FtDq2EAF</t>
  </si>
  <si>
    <t>LSN-00282</t>
  </si>
  <si>
    <t>L-0000278</t>
  </si>
  <si>
    <t>a0Aak00000FtDq3EAF</t>
  </si>
  <si>
    <t>LSN-00283</t>
  </si>
  <si>
    <t>L-0000279</t>
  </si>
  <si>
    <t>a0Aak00000FtDq4EAF</t>
  </si>
  <si>
    <t>LSN-00284</t>
  </si>
  <si>
    <t>L-0000280</t>
  </si>
  <si>
    <t>a0Aak00000FtDq5EAF</t>
  </si>
  <si>
    <t>LSN-00285</t>
  </si>
  <si>
    <t>L-0000281</t>
  </si>
  <si>
    <t>a07ak00001rZMqAAAW</t>
  </si>
  <si>
    <t>Elijah Jones</t>
  </si>
  <si>
    <t>a0Aak00000FtDq6EAF</t>
  </si>
  <si>
    <t>LSN-00286</t>
  </si>
  <si>
    <t>L-0000282</t>
  </si>
  <si>
    <t>a0Aak00000FtDq7EAF</t>
  </si>
  <si>
    <t>LSN-00287</t>
  </si>
  <si>
    <t>L-0000283</t>
  </si>
  <si>
    <t>a07ak00001rZMqCAAW</t>
  </si>
  <si>
    <t>Omar Smith</t>
  </si>
  <si>
    <t>a0Aak00000FtDq8EAF</t>
  </si>
  <si>
    <t>LSN-00288</t>
  </si>
  <si>
    <t>L-0000284</t>
  </si>
  <si>
    <t>a0Aak00000FtDq9EAF</t>
  </si>
  <si>
    <t>LSN-00289</t>
  </si>
  <si>
    <t>L-0000285</t>
  </si>
  <si>
    <t>a0Aak00000FtDqAEAV</t>
  </si>
  <si>
    <t>LSN-00290</t>
  </si>
  <si>
    <t>L-0000286</t>
  </si>
  <si>
    <t>a0Aak00000FtDqBEAV</t>
  </si>
  <si>
    <t>LSN-00291</t>
  </si>
  <si>
    <t>L-0000287</t>
  </si>
  <si>
    <t>a0Aak00000FtDqCEAV</t>
  </si>
  <si>
    <t>LSN-00292</t>
  </si>
  <si>
    <t>L-0000288</t>
  </si>
  <si>
    <t>a0Aak00000FtDqDEAV</t>
  </si>
  <si>
    <t>LSN-00293</t>
  </si>
  <si>
    <t>L-0000289</t>
  </si>
  <si>
    <t>a0Aak00000FtDqEEAV</t>
  </si>
  <si>
    <t>LSN-00294</t>
  </si>
  <si>
    <t>L-0000290</t>
  </si>
  <si>
    <t>a0Aak00000FtDqFEAV</t>
  </si>
  <si>
    <t>LSN-00297</t>
  </si>
  <si>
    <t>L-0000291</t>
  </si>
  <si>
    <t>a07ak00001rZMqDAAW</t>
  </si>
  <si>
    <t>Ryan Lopez</t>
  </si>
  <si>
    <t>a0Aak00000FtDqGEAV</t>
  </si>
  <si>
    <t>LSN-00298</t>
  </si>
  <si>
    <t>L-0000292</t>
  </si>
  <si>
    <t>a0Aak00000FtDqHEAV</t>
  </si>
  <si>
    <t>LSN-00299</t>
  </si>
  <si>
    <t>L-0000293</t>
  </si>
  <si>
    <t>a0Aak00000FtDqIEAV</t>
  </si>
  <si>
    <t>LSN-00300</t>
  </si>
  <si>
    <t>L-0000294</t>
  </si>
  <si>
    <t>a0Aak00000FtDqJEAV</t>
  </si>
  <si>
    <t>LSN-00301</t>
  </si>
  <si>
    <t>L-0000295</t>
  </si>
  <si>
    <t>a0Aak00000FtDqKEAV</t>
  </si>
  <si>
    <t>LSN-00302</t>
  </si>
  <si>
    <t>L-0000296</t>
  </si>
  <si>
    <t>a0Aak00000FtDqLEAV</t>
  </si>
  <si>
    <t>LSN-00303</t>
  </si>
  <si>
    <t>L-0000297</t>
  </si>
  <si>
    <t>a0Aak00000FtDqMEAV</t>
  </si>
  <si>
    <t>LSN-00304</t>
  </si>
  <si>
    <t>L-0000298</t>
  </si>
  <si>
    <t>a0Aak00000FtDqNEAV</t>
  </si>
  <si>
    <t>LSN-00305</t>
  </si>
  <si>
    <t>L-0000299</t>
  </si>
  <si>
    <t>a07ak00001rZMqEAAW</t>
  </si>
  <si>
    <t>Lucas Rodriguez</t>
  </si>
  <si>
    <t>a0Aak00000FtDqOEAV</t>
  </si>
  <si>
    <t>LSN-00306</t>
  </si>
  <si>
    <t>L-0000300</t>
  </si>
  <si>
    <t>a0Aak00000FtDqPEAV</t>
  </si>
  <si>
    <t>LSN-00307</t>
  </si>
  <si>
    <t>L-0000301</t>
  </si>
  <si>
    <t>a0Aak00000FtDqQEAV</t>
  </si>
  <si>
    <t>a06ak00000amzBuAAI</t>
  </si>
  <si>
    <t>Ryan Clark</t>
  </si>
  <si>
    <t>LSN-00308</t>
  </si>
  <si>
    <t>L-0000302</t>
  </si>
  <si>
    <t>a07ak00001rZMqFAAW</t>
  </si>
  <si>
    <t>Nathan Novak</t>
  </si>
  <si>
    <t>a0Aak00000FtDqREAV</t>
  </si>
  <si>
    <t>LSN-00309</t>
  </si>
  <si>
    <t>L-0000303</t>
  </si>
  <si>
    <t>a0Aak00000FtDqSEAV</t>
  </si>
  <si>
    <t>LSN-00310</t>
  </si>
  <si>
    <t>L-0000304</t>
  </si>
  <si>
    <t>a0Aak00000FtDqTEAV</t>
  </si>
  <si>
    <t>a06ak00000amzCKAAY</t>
  </si>
  <si>
    <t>Priya Carter</t>
  </si>
  <si>
    <t>LSN-00311</t>
  </si>
  <si>
    <t>L-0000305</t>
  </si>
  <si>
    <t>a0Aak00000FtDqUEAV</t>
  </si>
  <si>
    <t>LSN-00312</t>
  </si>
  <si>
    <t>L-0000306</t>
  </si>
  <si>
    <t>a07ak00001rZMqGAAW</t>
  </si>
  <si>
    <t>Josiah Clark</t>
  </si>
  <si>
    <t>a0Aak00000FtDqVEAV</t>
  </si>
  <si>
    <t>LSN-00313</t>
  </si>
  <si>
    <t>L-0000307</t>
  </si>
  <si>
    <t>a0Aak00000FtDqWEAV</t>
  </si>
  <si>
    <t>LSN-00314</t>
  </si>
  <si>
    <t>L-0000308</t>
  </si>
  <si>
    <t>a07ak00001rZMqHAAW</t>
  </si>
  <si>
    <t>Skylar Harris</t>
  </si>
  <si>
    <t>a0Aak00000FtDqXEAV</t>
  </si>
  <si>
    <t>LSN-00315</t>
  </si>
  <si>
    <t>L-0000309</t>
  </si>
  <si>
    <t>a0Aak00000FtDqYEAV</t>
  </si>
  <si>
    <t>LSN-00316</t>
  </si>
  <si>
    <t>L-0000310</t>
  </si>
  <si>
    <t>a0Aak00000FtDqZEAV</t>
  </si>
  <si>
    <t>LSN-00317</t>
  </si>
  <si>
    <t>L-0000311</t>
  </si>
  <si>
    <t>a0Aak00000FtDqaEAF</t>
  </si>
  <si>
    <t>LSN-00318</t>
  </si>
  <si>
    <t>L-0000312</t>
  </si>
  <si>
    <t>a0Aak00000FtDqbEAF</t>
  </si>
  <si>
    <t>LSN-00319</t>
  </si>
  <si>
    <t>L-0000313</t>
  </si>
  <si>
    <t>a07ak00001rZMqIAAW</t>
  </si>
  <si>
    <t>Gabriel Baker</t>
  </si>
  <si>
    <t>a0Aak00000FtDqcEAF</t>
  </si>
  <si>
    <t>LSN-00320</t>
  </si>
  <si>
    <t>L-0000314</t>
  </si>
  <si>
    <t>a0Aak00000FtDqdEAF</t>
  </si>
  <si>
    <t>LSN-00321</t>
  </si>
  <si>
    <t>L-0000315</t>
  </si>
  <si>
    <t>a0Aak00000FtDqeEAF</t>
  </si>
  <si>
    <t>LSN-00322</t>
  </si>
  <si>
    <t>L-0000316</t>
  </si>
  <si>
    <t>a0Aak00000FtDqfEAF</t>
  </si>
  <si>
    <t>LSN-00323</t>
  </si>
  <si>
    <t>L-0000317</t>
  </si>
  <si>
    <t>a0Aak00000FtDqgEAF</t>
  </si>
  <si>
    <t>LSN-00324</t>
  </si>
  <si>
    <t>L-0000318</t>
  </si>
  <si>
    <t>a0Aak00000FtDqhEAF</t>
  </si>
  <si>
    <t>LSN-00325</t>
  </si>
  <si>
    <t>L-0000319</t>
  </si>
  <si>
    <t>a07ak00001rZMqJAAW</t>
  </si>
  <si>
    <t>Emma Smith</t>
  </si>
  <si>
    <t>a0Aak00000FtDqiEAF</t>
  </si>
  <si>
    <t>LSN-00326</t>
  </si>
  <si>
    <t>L-0000320</t>
  </si>
  <si>
    <t>a0Aak00000FtDqjEAF</t>
  </si>
  <si>
    <t>LSN-00327</t>
  </si>
  <si>
    <t>L-0000321</t>
  </si>
  <si>
    <t>a0Aak00000FtDqkEAF</t>
  </si>
  <si>
    <t>LSN-00328</t>
  </si>
  <si>
    <t>L-0000322</t>
  </si>
  <si>
    <t>a0Aak00000FtDqlEAF</t>
  </si>
  <si>
    <t>LSN-00329</t>
  </si>
  <si>
    <t>L-0000323</t>
  </si>
  <si>
    <t>a07ak00001rZMqKAAW</t>
  </si>
  <si>
    <t>Kai Mitchell</t>
  </si>
  <si>
    <t>a0Aak00000FtDqmEAF</t>
  </si>
  <si>
    <t>LSN-00330</t>
  </si>
  <si>
    <t>L-0000324</t>
  </si>
  <si>
    <t>a0Aak00000FtDqnEAF</t>
  </si>
  <si>
    <t>LSN-00331</t>
  </si>
  <si>
    <t>L-0000325</t>
  </si>
  <si>
    <t>a0Aak00000FtDqoEAF</t>
  </si>
  <si>
    <t>LSN-00332</t>
  </si>
  <si>
    <t>L-0000326</t>
  </si>
  <si>
    <t>a07ak00001rZMqLAAW</t>
  </si>
  <si>
    <t>Everly Roberts</t>
  </si>
  <si>
    <t>a0Aak00000FtDqpEAF</t>
  </si>
  <si>
    <t>LSN-00333</t>
  </si>
  <si>
    <t>L-0000327</t>
  </si>
  <si>
    <t>a0Aak00000FtDqqEAF</t>
  </si>
  <si>
    <t>LSN-00334</t>
  </si>
  <si>
    <t>L-0000328</t>
  </si>
  <si>
    <t>a0Aak00000FtDqrEAF</t>
  </si>
  <si>
    <t>LSN-00335</t>
  </si>
  <si>
    <t>L-0000329</t>
  </si>
  <si>
    <t>a0Aak00000FtDqsEAF</t>
  </si>
  <si>
    <t>LSN-00336</t>
  </si>
  <si>
    <t>L-0000330</t>
  </si>
  <si>
    <t>a07ak00001rZMqMAAW</t>
  </si>
  <si>
    <t>Adrian Chen</t>
  </si>
  <si>
    <t>a0Aak00000FtDqtEAF</t>
  </si>
  <si>
    <t>LSN-00337</t>
  </si>
  <si>
    <t>L-0000331</t>
  </si>
  <si>
    <t>a0Aak00000FtDquEAF</t>
  </si>
  <si>
    <t>LSN-00338</t>
  </si>
  <si>
    <t>L-0000332</t>
  </si>
  <si>
    <t>a0Aak00000FtDqvEAF</t>
  </si>
  <si>
    <t>LSN-00339</t>
  </si>
  <si>
    <t>L-0000333</t>
  </si>
  <si>
    <t>a0Aak00000FtDqwEAF</t>
  </si>
  <si>
    <t>LSN-00340</t>
  </si>
  <si>
    <t>L-0000334</t>
  </si>
  <si>
    <t>a0Aak00000FtDqxEAF</t>
  </si>
  <si>
    <t>LSN-00341</t>
  </si>
  <si>
    <t>L-0000335</t>
  </si>
  <si>
    <t>a0Aak00000FtDqyEAF</t>
  </si>
  <si>
    <t>LSN-00342</t>
  </si>
  <si>
    <t>L-0000336</t>
  </si>
  <si>
    <t>a0Aak00000FtDqzEAF</t>
  </si>
  <si>
    <t>LSN-00343</t>
  </si>
  <si>
    <t>L-0000337</t>
  </si>
  <si>
    <t>a07ak00001rZMqNAAW</t>
  </si>
  <si>
    <t>Matthew Jackson</t>
  </si>
  <si>
    <t>a0Aak00000FtDr0EAF</t>
  </si>
  <si>
    <t>LSN-00344</t>
  </si>
  <si>
    <t>L-0000338</t>
  </si>
  <si>
    <t>a0Aak00000FtDr1EAF</t>
  </si>
  <si>
    <t>LSN-00345</t>
  </si>
  <si>
    <t>L-0000339</t>
  </si>
  <si>
    <t>a0Aak00000FtDr2EAF</t>
  </si>
  <si>
    <t>LSN-00346</t>
  </si>
  <si>
    <t>L-0000340</t>
  </si>
  <si>
    <t>a0Aak00000FtDr3EAF</t>
  </si>
  <si>
    <t>2026-09-15T18:30:38.000Z</t>
  </si>
  <si>
    <t>LSN-00347</t>
  </si>
  <si>
    <t>L-0000341</t>
  </si>
  <si>
    <t>a0Aak00000FtDr4EAF</t>
  </si>
  <si>
    <t>LSN-00348</t>
  </si>
  <si>
    <t>L-0000342</t>
  </si>
  <si>
    <t>a0Aak00000FtDr5EAF</t>
  </si>
  <si>
    <t>LSN-00349</t>
  </si>
  <si>
    <t>L-0000343</t>
  </si>
  <si>
    <t>a0Aak00000FtDr6EAF</t>
  </si>
  <si>
    <t>LSN-00350</t>
  </si>
  <si>
    <t>L-0000344</t>
  </si>
  <si>
    <t>a0Aak00000FtDr7EAF</t>
  </si>
  <si>
    <t>LSN-00351</t>
  </si>
  <si>
    <t>L-0000345</t>
  </si>
  <si>
    <t>a07ak00001rZMqOAAW</t>
  </si>
  <si>
    <t>Brandon Byrne</t>
  </si>
  <si>
    <t>a0Aak00000FtDr8EAF</t>
  </si>
  <si>
    <t>LSN-00352</t>
  </si>
  <si>
    <t>L-0000346</t>
  </si>
  <si>
    <t>a0Aak00000FtDr9EAF</t>
  </si>
  <si>
    <t>LSN-00353</t>
  </si>
  <si>
    <t>L-0000347</t>
  </si>
  <si>
    <t>a0Aak00000FtDrAEAV</t>
  </si>
  <si>
    <t>LSN-00354</t>
  </si>
  <si>
    <t>L-0000348</t>
  </si>
  <si>
    <t>a0Aak00000FtDrBEAV</t>
  </si>
  <si>
    <t>LSN-00355</t>
  </si>
  <si>
    <t>L-0000349</t>
  </si>
  <si>
    <t>a0Aak00000FtDrCEAV</t>
  </si>
  <si>
    <t>LSN-00356</t>
  </si>
  <si>
    <t>L-0000350</t>
  </si>
  <si>
    <t>a0Aak00000FtDrDEAV</t>
  </si>
  <si>
    <t>LSN-00357</t>
  </si>
  <si>
    <t>L-0000351</t>
  </si>
  <si>
    <t>a07ak00001rZMqPAAW</t>
  </si>
  <si>
    <t>Tyler Byrne</t>
  </si>
  <si>
    <t>a0Aak00000FtDrEEAV</t>
  </si>
  <si>
    <t>LSN-00358</t>
  </si>
  <si>
    <t>L-0000352</t>
  </si>
  <si>
    <t>a0Aak00000FtDrFEAV</t>
  </si>
  <si>
    <t>LSN-00359</t>
  </si>
  <si>
    <t>L-0000353</t>
  </si>
  <si>
    <t>a0Aak00000FtDrGEAV</t>
  </si>
  <si>
    <t>a06ak00000amzC6AAI</t>
  </si>
  <si>
    <t>Omar Perez</t>
  </si>
  <si>
    <t>LSN-00360</t>
  </si>
  <si>
    <t>L-0000354</t>
  </si>
  <si>
    <t>a07ak00001rZMqRAAW</t>
  </si>
  <si>
    <t>Anna Thomas</t>
  </si>
  <si>
    <t>a0Aak00000FtDrHEAV</t>
  </si>
  <si>
    <t>LSN-00361</t>
  </si>
  <si>
    <t>L-0000355</t>
  </si>
  <si>
    <t>a0Aak00000FtDrIEAV</t>
  </si>
  <si>
    <t>LSN-00362</t>
  </si>
  <si>
    <t>L-0000356</t>
  </si>
  <si>
    <t>a0Aak00000FtDrJEAV</t>
  </si>
  <si>
    <t>LSN-00363</t>
  </si>
  <si>
    <t>L-0000357</t>
  </si>
  <si>
    <t>a0Aak00000FtDrKEAV</t>
  </si>
  <si>
    <t>LSN-00364</t>
  </si>
  <si>
    <t>L-0000358</t>
  </si>
  <si>
    <t>a0Aak00000FtDrLEAV</t>
  </si>
  <si>
    <t>LSN-00365</t>
  </si>
  <si>
    <t>L-0000359</t>
  </si>
  <si>
    <t>a0Aak00000FtDrMEAV</t>
  </si>
  <si>
    <t>LSN-00366</t>
  </si>
  <si>
    <t>L-0000360</t>
  </si>
  <si>
    <t>a0Aak00000FtDrNEAV</t>
  </si>
  <si>
    <t>LSN-00367</t>
  </si>
  <si>
    <t>L-0000361</t>
  </si>
  <si>
    <t>a0Aak00000FtDrOEAV</t>
  </si>
  <si>
    <t>LSN-00368</t>
  </si>
  <si>
    <t>L-0000362</t>
  </si>
  <si>
    <t>a0Aak00000FtDrPEAV</t>
  </si>
  <si>
    <t>LSN-00369</t>
  </si>
  <si>
    <t>L-0000363</t>
  </si>
  <si>
    <t>a07ak00001rZMqTAAW</t>
  </si>
  <si>
    <t>Naomi Kowalski</t>
  </si>
  <si>
    <t>a0Aak00000FtDrQEAV</t>
  </si>
  <si>
    <t>LSN-00371</t>
  </si>
  <si>
    <t>L-0000364</t>
  </si>
  <si>
    <t>a0Aak00000FtDrREAV</t>
  </si>
  <si>
    <t>LSN-00372</t>
  </si>
  <si>
    <t>L-0000365</t>
  </si>
  <si>
    <t>a0Aak00000FtDrSEAV</t>
  </si>
  <si>
    <t>LSN-00373</t>
  </si>
  <si>
    <t>L-0000366</t>
  </si>
  <si>
    <t>a0Aak00000FtDrTEAV</t>
  </si>
  <si>
    <t>LSN-00374</t>
  </si>
  <si>
    <t>L-0000367</t>
  </si>
  <si>
    <t>a0Aak00000FtDrUEAV</t>
  </si>
  <si>
    <t>LSN-00375</t>
  </si>
  <si>
    <t>L-0000368</t>
  </si>
  <si>
    <t>a0Aak00000FtDrVEAV</t>
  </si>
  <si>
    <t>LSN-00376</t>
  </si>
  <si>
    <t>L-0000369</t>
  </si>
  <si>
    <t>a0Aak00000FtDrWEAV</t>
  </si>
  <si>
    <t>LSN-00377</t>
  </si>
  <si>
    <t>L-0000370</t>
  </si>
  <si>
    <t>a07ak00001rZMqUAAW</t>
  </si>
  <si>
    <t>Riley Silva</t>
  </si>
  <si>
    <t>a0Aak00000FtDrXEAV</t>
  </si>
  <si>
    <t>LSN-00378</t>
  </si>
  <si>
    <t>L-0000371</t>
  </si>
  <si>
    <t>a0Aak00000FtDrYEAV</t>
  </si>
  <si>
    <t>LSN-00379</t>
  </si>
  <si>
    <t>L-0000372</t>
  </si>
  <si>
    <t>a0Aak00000FtDrZEAV</t>
  </si>
  <si>
    <t>LSN-00380</t>
  </si>
  <si>
    <t>L-0000373</t>
  </si>
  <si>
    <t>a0Aak00000FtDraEAF</t>
  </si>
  <si>
    <t>LSN-00381</t>
  </si>
  <si>
    <t>L-0000374</t>
  </si>
  <si>
    <t>a0Aak00000FtDrbEAF</t>
  </si>
  <si>
    <t>LSN-00382</t>
  </si>
  <si>
    <t>L-0000375</t>
  </si>
  <si>
    <t>a07ak00001rZMqWAAW</t>
  </si>
  <si>
    <t>Jackson Ryan</t>
  </si>
  <si>
    <t>a0Aak00000FtDrcEAF</t>
  </si>
  <si>
    <t>LSN-00383</t>
  </si>
  <si>
    <t>L-0000376</t>
  </si>
  <si>
    <t>a0Aak00000FtDrdEAF</t>
  </si>
  <si>
    <t>LSN-00385</t>
  </si>
  <si>
    <t>L-0000377</t>
  </si>
  <si>
    <t>a0Aak00000FtDreEAF</t>
  </si>
  <si>
    <t>LSN-00386</t>
  </si>
  <si>
    <t>L-0000378</t>
  </si>
  <si>
    <t>a0Aak00000FtDrfEAF</t>
  </si>
  <si>
    <t>LSN-00387</t>
  </si>
  <si>
    <t>L-0000379</t>
  </si>
  <si>
    <t>a0Aak00000FtDrgEAF</t>
  </si>
  <si>
    <t>LSN-00388</t>
  </si>
  <si>
    <t>L-0000380</t>
  </si>
  <si>
    <t>a0Aak00000FtDrhEAF</t>
  </si>
  <si>
    <t>LSN-00389</t>
  </si>
  <si>
    <t>L-0000381</t>
  </si>
  <si>
    <t>a0Aak00000FtDriEAF</t>
  </si>
  <si>
    <t>LSN-00390</t>
  </si>
  <si>
    <t>L-0000382</t>
  </si>
  <si>
    <t>a0Aak00000FtDrjEAF</t>
  </si>
  <si>
    <t>LSN-00391</t>
  </si>
  <si>
    <t>L-0000383</t>
  </si>
  <si>
    <t>a07ak00001rZMqXAAW</t>
  </si>
  <si>
    <t>Malachi Torres</t>
  </si>
  <si>
    <t>a0Aak00000FtDrkEAF</t>
  </si>
  <si>
    <t>LSN-00392</t>
  </si>
  <si>
    <t>L-0000384</t>
  </si>
  <si>
    <t>a0Aak00000FtDrlEAF</t>
  </si>
  <si>
    <t>LSN-00393</t>
  </si>
  <si>
    <t>L-0000385</t>
  </si>
  <si>
    <t>a0Aak00000FtDrmEAF</t>
  </si>
  <si>
    <t>LSN-00394</t>
  </si>
  <si>
    <t>L-0000386</t>
  </si>
  <si>
    <t>a0Aak00000FtDrnEAF</t>
  </si>
  <si>
    <t>LSN-00395</t>
  </si>
  <si>
    <t>L-0000387</t>
  </si>
  <si>
    <t>a0Aak00000FtDroEAF</t>
  </si>
  <si>
    <t>LSN-00396</t>
  </si>
  <si>
    <t>L-0000388</t>
  </si>
  <si>
    <t>a0Aak00000FtDrpEAF</t>
  </si>
  <si>
    <t>LSN-00397</t>
  </si>
  <si>
    <t>L-0000389</t>
  </si>
  <si>
    <t>a0Aak00000FtDrqEAF</t>
  </si>
  <si>
    <t>LSN-00398</t>
  </si>
  <si>
    <t>L-0000390</t>
  </si>
  <si>
    <t>a0Aak00000FtDrrEAF</t>
  </si>
  <si>
    <t>LSN-00399</t>
  </si>
  <si>
    <t>L-0000391</t>
  </si>
  <si>
    <t>a0Aak00000FtDrsEAF</t>
  </si>
  <si>
    <t>LSN-00400</t>
  </si>
  <si>
    <t>L-0000392</t>
  </si>
  <si>
    <t>a07ak00001rZMqYAAW</t>
  </si>
  <si>
    <t>Chen Mitchell</t>
  </si>
  <si>
    <t>a0Aak00000FtDrtEAF</t>
  </si>
  <si>
    <t>2026-09-16T17:01:27.000Z</t>
  </si>
  <si>
    <t>LSN-00401</t>
  </si>
  <si>
    <t>L-0000393</t>
  </si>
  <si>
    <t>a0Aak00000FtDruEAF</t>
  </si>
  <si>
    <t>LSN-00402</t>
  </si>
  <si>
    <t>L-0000394</t>
  </si>
  <si>
    <t>a0Aak00000FtDrvEAF</t>
  </si>
  <si>
    <t>LSN-00403</t>
  </si>
  <si>
    <t>L-0000395</t>
  </si>
  <si>
    <t>a0Aak00000FtDrwEAF</t>
  </si>
  <si>
    <t>LSN-00404</t>
  </si>
  <si>
    <t>L-0000396</t>
  </si>
  <si>
    <t>a0Aak00000FtDrxEAF</t>
  </si>
  <si>
    <t>LSN-00405</t>
  </si>
  <si>
    <t>L-0000397</t>
  </si>
  <si>
    <t>a07ak00001rZMqZAAW</t>
  </si>
  <si>
    <t>Nathan Perez</t>
  </si>
  <si>
    <t>a0Aak00000FtDryEAF</t>
  </si>
  <si>
    <t>LSN-00406</t>
  </si>
  <si>
    <t>L-0000398</t>
  </si>
  <si>
    <t>a0Aak00000FtDrzEAF</t>
  </si>
  <si>
    <t>LSN-00407</t>
  </si>
  <si>
    <t>L-0000399</t>
  </si>
  <si>
    <t>a0Aak00000FtDs0EAF</t>
  </si>
  <si>
    <t>LSN-00408</t>
  </si>
  <si>
    <t>L-0000400</t>
  </si>
  <si>
    <t>a0Aak00000FtDs1EAF</t>
  </si>
  <si>
    <t>LSN-00409</t>
  </si>
  <si>
    <t>L-0000401</t>
  </si>
  <si>
    <t>a0Aak00000FtDs2EAF</t>
  </si>
  <si>
    <t>LSN-00410</t>
  </si>
  <si>
    <t>L-0000402</t>
  </si>
  <si>
    <t>a0Aak00000FtDs3EAF</t>
  </si>
  <si>
    <t>LSN-00411</t>
  </si>
  <si>
    <t>L-0000403</t>
  </si>
  <si>
    <t>a0Aak00000FtDs4EAF</t>
  </si>
  <si>
    <t>LSN-00412</t>
  </si>
  <si>
    <t>L-0000404</t>
  </si>
  <si>
    <t>a0Aak00000FtDs5EAF</t>
  </si>
  <si>
    <t>LSN-00413</t>
  </si>
  <si>
    <t>L-0000405</t>
  </si>
  <si>
    <t>a0Aak00000FtDs6EAF</t>
  </si>
  <si>
    <t>LSN-00414</t>
  </si>
  <si>
    <t>L-0000406</t>
  </si>
  <si>
    <t>a07ak00001rZMqaAAG</t>
  </si>
  <si>
    <t>Theo Anderson</t>
  </si>
  <si>
    <t>a0Aak00000FtDs7EAF</t>
  </si>
  <si>
    <t>LSN-00415</t>
  </si>
  <si>
    <t>L-0000407</t>
  </si>
  <si>
    <t>a0Aak00000FtDs8EAF</t>
  </si>
  <si>
    <t>LSN-00416</t>
  </si>
  <si>
    <t>L-0000408</t>
  </si>
  <si>
    <t>a0Aak00000FtDs9EAF</t>
  </si>
  <si>
    <t>LSN-00417</t>
  </si>
  <si>
    <t>L-0000409</t>
  </si>
  <si>
    <t>a0Aak00000FtDsAEAV</t>
  </si>
  <si>
    <t>LSN-00418</t>
  </si>
  <si>
    <t>L-0000410</t>
  </si>
  <si>
    <t>a0Aak00000FtDsBEAV</t>
  </si>
  <si>
    <t>LSN-00419</t>
  </si>
  <si>
    <t>L-0000411</t>
  </si>
  <si>
    <t>a07ak00001rZMqbAAG</t>
  </si>
  <si>
    <t>Marcus Davis</t>
  </si>
  <si>
    <t>a0Aak00000FtDsCEAV</t>
  </si>
  <si>
    <t>LSN-00420</t>
  </si>
  <si>
    <t>L-0000412</t>
  </si>
  <si>
    <t>a0Aak00000FtDsDEAV</t>
  </si>
  <si>
    <t>LSN-00421</t>
  </si>
  <si>
    <t>L-0000413</t>
  </si>
  <si>
    <t>a0Aak00000FtDsEEAV</t>
  </si>
  <si>
    <t>LSN-00422</t>
  </si>
  <si>
    <t>L-0000414</t>
  </si>
  <si>
    <t>a07ak00001rZMqdAAG</t>
  </si>
  <si>
    <t>Scarlett Scott</t>
  </si>
  <si>
    <t>a0Aak00000FtDsFEAV</t>
  </si>
  <si>
    <t>LSN-00423</t>
  </si>
  <si>
    <t>L-0000415</t>
  </si>
  <si>
    <t>a0Aak00000FtDsGEAV</t>
  </si>
  <si>
    <t>LSN-00424</t>
  </si>
  <si>
    <t>L-0000416</t>
  </si>
  <si>
    <t>a0Aak00000FtDsHEAV</t>
  </si>
  <si>
    <t>LSN-00425</t>
  </si>
  <si>
    <t>L-0000417</t>
  </si>
  <si>
    <t>a0Aak00000FtDsIEAV</t>
  </si>
  <si>
    <t>LSN-00426</t>
  </si>
  <si>
    <t>L-0000418</t>
  </si>
  <si>
    <t>a0Aak00000FtDsJEAV</t>
  </si>
  <si>
    <t>LSN-00427</t>
  </si>
  <si>
    <t>L-0000419</t>
  </si>
  <si>
    <t>a0Aak00000FtDsKEAV</t>
  </si>
  <si>
    <t>LSN-00428</t>
  </si>
  <si>
    <t>L-0000420</t>
  </si>
  <si>
    <t>a07ak00001rZMqeAAG</t>
  </si>
  <si>
    <t>Lily Mitchell</t>
  </si>
  <si>
    <t>a0Aak00000FtDsLEAV</t>
  </si>
  <si>
    <t>LSN-00429</t>
  </si>
  <si>
    <t>L-0000421</t>
  </si>
  <si>
    <t>a0Aak00000FtDsMEAV</t>
  </si>
  <si>
    <t>LSN-00430</t>
  </si>
  <si>
    <t>L-0000422</t>
  </si>
  <si>
    <t>a07ak00001rZMqfAAG</t>
  </si>
  <si>
    <t>Isaac Novak</t>
  </si>
  <si>
    <t>a0Aak00000FtDsNEAV</t>
  </si>
  <si>
    <t>LSN-00431</t>
  </si>
  <si>
    <t>L-0000423</t>
  </si>
  <si>
    <t>a0Aak00000FtDsOEAV</t>
  </si>
  <si>
    <t>LSN-00432</t>
  </si>
  <si>
    <t>L-0000424</t>
  </si>
  <si>
    <t>a07ak00001rZMqgAAG</t>
  </si>
  <si>
    <t>Adrian Lewis</t>
  </si>
  <si>
    <t>a0Aak00000FtDsPEAV</t>
  </si>
  <si>
    <t>LSN-00433</t>
  </si>
  <si>
    <t>L-0000425</t>
  </si>
  <si>
    <t>a0Aak00000FtDsQEAV</t>
  </si>
  <si>
    <t>LSN-00435</t>
  </si>
  <si>
    <t>L-0000426</t>
  </si>
  <si>
    <t>a0Aak00000FtDsREAV</t>
  </si>
  <si>
    <t>LSN-00436</t>
  </si>
  <si>
    <t>L-0000427</t>
  </si>
  <si>
    <t>a0Aak00000FtDsSEAV</t>
  </si>
  <si>
    <t>LSN-00437</t>
  </si>
  <si>
    <t>L-0000428</t>
  </si>
  <si>
    <t>a0Aak00000FtDsTEAV</t>
  </si>
  <si>
    <t>LSN-00438</t>
  </si>
  <si>
    <t>L-0000429</t>
  </si>
  <si>
    <t>a07ak00001rZMqhAAG</t>
  </si>
  <si>
    <t>Chloe Allen</t>
  </si>
  <si>
    <t>a0Aak00000FtDsUEAV</t>
  </si>
  <si>
    <t>LSN-00439</t>
  </si>
  <si>
    <t>L-0000430</t>
  </si>
  <si>
    <t>a0Aak00000FtDsVEAV</t>
  </si>
  <si>
    <t>LSN-00440</t>
  </si>
  <si>
    <t>L-0000431</t>
  </si>
  <si>
    <t>a0Aak00000FtDsWEAV</t>
  </si>
  <si>
    <t>LSN-00441</t>
  </si>
  <si>
    <t>L-0000432</t>
  </si>
  <si>
    <t>a0Aak00000FtDsXEAV</t>
  </si>
  <si>
    <t>LSN-00442</t>
  </si>
  <si>
    <t>L-0000433</t>
  </si>
  <si>
    <t>a0Aak00000FtDsYEAV</t>
  </si>
  <si>
    <t>LSN-00443</t>
  </si>
  <si>
    <t>L-0000434</t>
  </si>
  <si>
    <t>a0Aak00000FtDsZEAV</t>
  </si>
  <si>
    <t>LSN-00444</t>
  </si>
  <si>
    <t>L-0000435</t>
  </si>
  <si>
    <t>a0Aak00000FtDsaEAF</t>
  </si>
  <si>
    <t>LSN-00445</t>
  </si>
  <si>
    <t>L-0000436</t>
  </si>
  <si>
    <t>a07ak00001rZMqiAAG</t>
  </si>
  <si>
    <t>Hazel Perez</t>
  </si>
  <si>
    <t>a0Aak00000FtDsbEAF</t>
  </si>
  <si>
    <t>LSN-00446</t>
  </si>
  <si>
    <t>L-0000437</t>
  </si>
  <si>
    <t>a0Aak00000FtDscEAF</t>
  </si>
  <si>
    <t>LSN-00447</t>
  </si>
  <si>
    <t>L-0000438</t>
  </si>
  <si>
    <t>a0Aak00000FtDsdEAF</t>
  </si>
  <si>
    <t>LSN-00448</t>
  </si>
  <si>
    <t>L-0000439</t>
  </si>
  <si>
    <t>a0Aak00000FtDseEAF</t>
  </si>
  <si>
    <t>LSN-00449</t>
  </si>
  <si>
    <t>L-0000440</t>
  </si>
  <si>
    <t>a0Aak00000FtDsfEAF</t>
  </si>
  <si>
    <t>LSN-00450</t>
  </si>
  <si>
    <t>L-0000441</t>
  </si>
  <si>
    <t>a0Aak00000FtDsgEAF</t>
  </si>
  <si>
    <t>LSN-00451</t>
  </si>
  <si>
    <t>L-0000442</t>
  </si>
  <si>
    <t>a0Aak00000FtDshEAF</t>
  </si>
  <si>
    <t>LSN-00452</t>
  </si>
  <si>
    <t>L-0000443</t>
  </si>
  <si>
    <t>a0Aak00000FtDsiEAF</t>
  </si>
  <si>
    <t>LSN-00453</t>
  </si>
  <si>
    <t>L-0000444</t>
  </si>
  <si>
    <t>a0Aak00000FtDsjEAF</t>
  </si>
  <si>
    <t>LSN-00454</t>
  </si>
  <si>
    <t>L-0000445</t>
  </si>
  <si>
    <t>a07ak00001rZMqjAAG</t>
  </si>
  <si>
    <t>Jamal Sanchez</t>
  </si>
  <si>
    <t>a0Aak00000FtDskEAF</t>
  </si>
  <si>
    <t>LSN-00455</t>
  </si>
  <si>
    <t>L-0000446</t>
  </si>
  <si>
    <t>a0Aak00000FtDslEAF</t>
  </si>
  <si>
    <t>LSN-00456</t>
  </si>
  <si>
    <t>L-0000447</t>
  </si>
  <si>
    <t>a0Aak00000FtDsmEAF</t>
  </si>
  <si>
    <t>LSN-00457</t>
  </si>
  <si>
    <t>L-0000448</t>
  </si>
  <si>
    <t>a0Aak00000FtDsnEAF</t>
  </si>
  <si>
    <t>LSN-00458</t>
  </si>
  <si>
    <t>L-0000449</t>
  </si>
  <si>
    <t>a0Aak00000FtDsoEAF</t>
  </si>
  <si>
    <t>LSN-00459</t>
  </si>
  <si>
    <t>L-0000450</t>
  </si>
  <si>
    <t>a0Aak00000FtDspEAF</t>
  </si>
  <si>
    <t>LSN-00460</t>
  </si>
  <si>
    <t>L-0000451</t>
  </si>
  <si>
    <t>a07ak00001rZMqlAAG</t>
  </si>
  <si>
    <t>Savannah Campbell</t>
  </si>
  <si>
    <t>a0Aak00000FtDsqEAF</t>
  </si>
  <si>
    <t>LSN-00461</t>
  </si>
  <si>
    <t>L-0000452</t>
  </si>
  <si>
    <t>a0Aak00000FtDsrEAF</t>
  </si>
  <si>
    <t>LSN-00462</t>
  </si>
  <si>
    <t>L-0000453</t>
  </si>
  <si>
    <t>a0Aak00000FtDssEAF</t>
  </si>
  <si>
    <t>LSN-00463</t>
  </si>
  <si>
    <t>L-0000454</t>
  </si>
  <si>
    <t>a0Aak00000FtDstEAF</t>
  </si>
  <si>
    <t>LSN-00464</t>
  </si>
  <si>
    <t>L-0000455</t>
  </si>
  <si>
    <t>a07ak00001rZMqmAAG</t>
  </si>
  <si>
    <t>Logan Harris</t>
  </si>
  <si>
    <t>a0Aak00000FtDsuEAF</t>
  </si>
  <si>
    <t>LSN-00465</t>
  </si>
  <si>
    <t>L-0000456</t>
  </si>
  <si>
    <t>a0Aak00000FtDsvEAF</t>
  </si>
  <si>
    <t>LSN-00466</t>
  </si>
  <si>
    <t>L-0000457</t>
  </si>
  <si>
    <t>a0Aak00000FtDswEAF</t>
  </si>
  <si>
    <t>LSN-00467</t>
  </si>
  <si>
    <t>L-0000458</t>
  </si>
  <si>
    <t>a07ak00001rZMqnAAG</t>
  </si>
  <si>
    <t>Dylan Wright</t>
  </si>
  <si>
    <t>a0Aak00000FtDsxEAF</t>
  </si>
  <si>
    <t>LSN-00468</t>
  </si>
  <si>
    <t>L-0000459</t>
  </si>
  <si>
    <t>a0Aak00000FtDsyEAF</t>
  </si>
  <si>
    <t>LSN-00469</t>
  </si>
  <si>
    <t>L-0000460</t>
  </si>
  <si>
    <t>a0Aak00000FtDszEAF</t>
  </si>
  <si>
    <t>LSN-00470</t>
  </si>
  <si>
    <t>L-0000461</t>
  </si>
  <si>
    <t>a07ak00001rZMqoAAG</t>
  </si>
  <si>
    <t>Bella Martin</t>
  </si>
  <si>
    <t>a0Aak00000FtDt0EAF</t>
  </si>
  <si>
    <t>LSN-00471</t>
  </si>
  <si>
    <t>L-0000462</t>
  </si>
  <si>
    <t>a0Aak00000FtDt1EAF</t>
  </si>
  <si>
    <t>LSN-00472</t>
  </si>
  <si>
    <t>L-0000463</t>
  </si>
  <si>
    <t>a0Aak00000FtDt2EAF</t>
  </si>
  <si>
    <t>LSN-00473</t>
  </si>
  <si>
    <t>L-0000464</t>
  </si>
  <si>
    <t>a0Aak00000FtDt3EAF</t>
  </si>
  <si>
    <t>LSN-00474</t>
  </si>
  <si>
    <t>L-0000465</t>
  </si>
  <si>
    <t>a0Aak00000FtDt4EAF</t>
  </si>
  <si>
    <t>LSN-00475</t>
  </si>
  <si>
    <t>L-0000466</t>
  </si>
  <si>
    <t>a07ak00001rZMqpAAG</t>
  </si>
  <si>
    <t>Aiden Byrne</t>
  </si>
  <si>
    <t>a0Aak00000FtDt5EAF</t>
  </si>
  <si>
    <t>LSN-00476</t>
  </si>
  <si>
    <t>L-0000467</t>
  </si>
  <si>
    <t>a0Aak00000FtDt6EAF</t>
  </si>
  <si>
    <t>LSN-00477</t>
  </si>
  <si>
    <t>L-0000468</t>
  </si>
  <si>
    <t>a0Aak00000FtDt7EAF</t>
  </si>
  <si>
    <t>LSN-00478</t>
  </si>
  <si>
    <t>L-0000469</t>
  </si>
  <si>
    <t>a0Aak00000FtDt8EAF</t>
  </si>
  <si>
    <t>LSN-00479</t>
  </si>
  <si>
    <t>L-0000470</t>
  </si>
  <si>
    <t>a0Aak00000FtDt9EAF</t>
  </si>
  <si>
    <t>LSN-00480</t>
  </si>
  <si>
    <t>L-0000471</t>
  </si>
  <si>
    <t>a07ak00001rZMqqAAG</t>
  </si>
  <si>
    <t>Julian Allen</t>
  </si>
  <si>
    <t>a0Aak00000FtDtAEAV</t>
  </si>
  <si>
    <t>LSN-00481</t>
  </si>
  <si>
    <t>L-0000472</t>
  </si>
  <si>
    <t>a0Aak00000FtDtBEAV</t>
  </si>
  <si>
    <t>LSN-00482</t>
  </si>
  <si>
    <t>L-0000473</t>
  </si>
  <si>
    <t>a0Aak00000FtDtCEAV</t>
  </si>
  <si>
    <t>LSN-00483</t>
  </si>
  <si>
    <t>L-0000474</t>
  </si>
  <si>
    <t>a07ak00001rZMqrAAG</t>
  </si>
  <si>
    <t>Ruby Moore</t>
  </si>
  <si>
    <t>a0Aak00000FtDtDEAV</t>
  </si>
  <si>
    <t>LSN-00485</t>
  </si>
  <si>
    <t>L-0000475</t>
  </si>
  <si>
    <t>a0Aak00000FtDtEEAV</t>
  </si>
  <si>
    <t>LSN-00486</t>
  </si>
  <si>
    <t>L-0000476</t>
  </si>
  <si>
    <t>a0Aak00000FtDtFEAV</t>
  </si>
  <si>
    <t>LSN-00487</t>
  </si>
  <si>
    <t>L-0000477</t>
  </si>
  <si>
    <t>a0Aak00000FtDtGEAV</t>
  </si>
  <si>
    <t>LSN-00488</t>
  </si>
  <si>
    <t>L-0000478</t>
  </si>
  <si>
    <t>a0Aak00000FtDtHEAV</t>
  </si>
  <si>
    <t>LSN-00489</t>
  </si>
  <si>
    <t>L-0000479</t>
  </si>
  <si>
    <t>a0Aak00000FtDtIEAV</t>
  </si>
  <si>
    <t>LSN-00490</t>
  </si>
  <si>
    <t>L-0000480</t>
  </si>
  <si>
    <t>a0Aak00000FtDtJEAV</t>
  </si>
  <si>
    <t>LSN-00491</t>
  </si>
  <si>
    <t>L-0000481</t>
  </si>
  <si>
    <t>a07ak00001rZMqsAAG</t>
  </si>
  <si>
    <t>Zoey Kim</t>
  </si>
  <si>
    <t>a0Aak00000FtDtKEAV</t>
  </si>
  <si>
    <t>LSN-00492</t>
  </si>
  <si>
    <t>L-0000482</t>
  </si>
  <si>
    <t>a0Aak00000FtDtLEAV</t>
  </si>
  <si>
    <t>LSN-00493</t>
  </si>
  <si>
    <t>L-0000483</t>
  </si>
  <si>
    <t>a0Aak00000FtDtMEAV</t>
  </si>
  <si>
    <t>LSN-00494</t>
  </si>
  <si>
    <t>L-0000484</t>
  </si>
  <si>
    <t>a0Aak00000FtDtNEAV</t>
  </si>
  <si>
    <t>LSN-00495</t>
  </si>
  <si>
    <t>L-0000485</t>
  </si>
  <si>
    <t>a07ak00001rZMqtAAG</t>
  </si>
  <si>
    <t>Caroline Hall</t>
  </si>
  <si>
    <t>a0Aak00000FtDtOEAV</t>
  </si>
  <si>
    <t>LSN-00496</t>
  </si>
  <si>
    <t>L-0000486</t>
  </si>
  <si>
    <t>a0Aak00000FtDtPEAV</t>
  </si>
  <si>
    <t>LSN-00497</t>
  </si>
  <si>
    <t>L-0000487</t>
  </si>
  <si>
    <t>a0Aak00000FtDtQEAV</t>
  </si>
  <si>
    <t>LSN-00498</t>
  </si>
  <si>
    <t>L-0000488</t>
  </si>
  <si>
    <t>a0Aak00000FtDtREAV</t>
  </si>
  <si>
    <t>LSN-00499</t>
  </si>
  <si>
    <t>L-0000489</t>
  </si>
  <si>
    <t>a0Aak00000FtDtSEAV</t>
  </si>
  <si>
    <t>LSN-00500</t>
  </si>
  <si>
    <t>L-0000490</t>
  </si>
  <si>
    <t>a0Aak00000FtDtTEAV</t>
  </si>
  <si>
    <t>LSN-00501</t>
  </si>
  <si>
    <t>L-0000491</t>
  </si>
  <si>
    <t>a0Aak00000FtDtUEAV</t>
  </si>
  <si>
    <t>LSN-00502</t>
  </si>
  <si>
    <t>L-0000492</t>
  </si>
  <si>
    <t>a0Aak00000FtDtVEAV</t>
  </si>
  <si>
    <t>LSN-00504</t>
  </si>
  <si>
    <t>L-0000493</t>
  </si>
  <si>
    <t>a07ak00001rZMquAAG</t>
  </si>
  <si>
    <t>Audrey Nelson</t>
  </si>
  <si>
    <t>a0Aak00000FtDtWEAV</t>
  </si>
  <si>
    <t>LSN-00505</t>
  </si>
  <si>
    <t>L-0000494</t>
  </si>
  <si>
    <t>a0Aak00000FtDtXEAV</t>
  </si>
  <si>
    <t>LSN-00506</t>
  </si>
  <si>
    <t>L-0000495</t>
  </si>
  <si>
    <t>a0Aak00000FtDtYEAV</t>
  </si>
  <si>
    <t>LSN-00507</t>
  </si>
  <si>
    <t>L-0000496</t>
  </si>
  <si>
    <t>a0Aak00000FtDtZEAV</t>
  </si>
  <si>
    <t>LSN-00508</t>
  </si>
  <si>
    <t>L-0000497</t>
  </si>
  <si>
    <t>a0Aak00000FtDtaEAF</t>
  </si>
  <si>
    <t>LSN-00509</t>
  </si>
  <si>
    <t>L-0000498</t>
  </si>
  <si>
    <t>a0Aak00000FtDtbEAF</t>
  </si>
  <si>
    <t>LSN-00510</t>
  </si>
  <si>
    <t>L-0000499</t>
  </si>
  <si>
    <t>a07ak00001rZMqvAAG</t>
  </si>
  <si>
    <t>Penelope Martin</t>
  </si>
  <si>
    <t>a0Aak00000FtDtcEAF</t>
  </si>
  <si>
    <t>LSN-00511</t>
  </si>
  <si>
    <t>L-0000500</t>
  </si>
  <si>
    <t>a0Aak00000FtDtdEAF</t>
  </si>
  <si>
    <t>LSN-00512</t>
  </si>
  <si>
    <t>L-0000501</t>
  </si>
  <si>
    <t>a07ak00001rZMqwAAG</t>
  </si>
  <si>
    <t>Maria Martinez</t>
  </si>
  <si>
    <t>a0Aak00000FtDteEAF</t>
  </si>
  <si>
    <t>LSN-00513</t>
  </si>
  <si>
    <t>L-0000502</t>
  </si>
  <si>
    <t>a0Aak00000FtDtfEAF</t>
  </si>
  <si>
    <t>LSN-00514</t>
  </si>
  <si>
    <t>L-0000503</t>
  </si>
  <si>
    <t>a07ak00001rZMqxAAG</t>
  </si>
  <si>
    <t>Mei Brown</t>
  </si>
  <si>
    <t>a0Aak00000FtDtgEAF</t>
  </si>
  <si>
    <t>LSN-00515</t>
  </si>
  <si>
    <t>L-0000504</t>
  </si>
  <si>
    <t>a0Aak00000FtDthEAF</t>
  </si>
  <si>
    <t>LSN-00516</t>
  </si>
  <si>
    <t>L-0000505</t>
  </si>
  <si>
    <t>a0Aak00000FtDtiEAF</t>
  </si>
  <si>
    <t>LSN-00517</t>
  </si>
  <si>
    <t>L-0000506</t>
  </si>
  <si>
    <t>a07ak00001rZMqyAAG</t>
  </si>
  <si>
    <t>Owen Silva</t>
  </si>
  <si>
    <t>a0Aak00000FtDtjEAF</t>
  </si>
  <si>
    <t>LSN-00518</t>
  </si>
  <si>
    <t>L-0000507</t>
  </si>
  <si>
    <t>a0Aak00000FtDtkEAF</t>
  </si>
  <si>
    <t>LSN-00519</t>
  </si>
  <si>
    <t>L-0000508</t>
  </si>
  <si>
    <t>a0Aak00000FtDtlEAF</t>
  </si>
  <si>
    <t>LSN-00520</t>
  </si>
  <si>
    <t>L-0000509</t>
  </si>
  <si>
    <t>a0Aak00000FtDtmEAF</t>
  </si>
  <si>
    <t>LSN-00521</t>
  </si>
  <si>
    <t>L-0000510</t>
  </si>
  <si>
    <t>a0Aak00000FtDtnEAF</t>
  </si>
  <si>
    <t>LSN-00522</t>
  </si>
  <si>
    <t>L-0000511</t>
  </si>
  <si>
    <t>a07ak00001rZMqzAAG</t>
  </si>
  <si>
    <t>Gabriel Green</t>
  </si>
  <si>
    <t>a0Aak00000FtDtoEAF</t>
  </si>
  <si>
    <t>LSN-00523</t>
  </si>
  <si>
    <t>L-0000512</t>
  </si>
  <si>
    <t>a0Aak00000FtDtpEAF</t>
  </si>
  <si>
    <t>LSN-00524</t>
  </si>
  <si>
    <t>L-0000513</t>
  </si>
  <si>
    <t>a0Aak00000FtDtqEAF</t>
  </si>
  <si>
    <t>LSN-00525</t>
  </si>
  <si>
    <t>L-0000514</t>
  </si>
  <si>
    <t>a0Aak00000FtDtrEAF</t>
  </si>
  <si>
    <t>LSN-00526</t>
  </si>
  <si>
    <t>L-0000515</t>
  </si>
  <si>
    <t>a07ak00001rZMr0AAG</t>
  </si>
  <si>
    <t>Scarlett Byrne</t>
  </si>
  <si>
    <t>a0Aak00000FtDtsEAF</t>
  </si>
  <si>
    <t>LSN-00527</t>
  </si>
  <si>
    <t>L-0000516</t>
  </si>
  <si>
    <t>a0Aak00000FtDttEAF</t>
  </si>
  <si>
    <t>LSN-00528</t>
  </si>
  <si>
    <t>L-0000517</t>
  </si>
  <si>
    <t>a07ak00001rZMr1AAG</t>
  </si>
  <si>
    <t>Lincoln Scott</t>
  </si>
  <si>
    <t>a0Aak00000FtDtuEAF</t>
  </si>
  <si>
    <t>LSN-00529</t>
  </si>
  <si>
    <t>L-0000518</t>
  </si>
  <si>
    <t>a0Aak00000FtDtvEAF</t>
  </si>
  <si>
    <t>LSN-00530</t>
  </si>
  <si>
    <t>L-0000519</t>
  </si>
  <si>
    <t>a0Aak00000FtDtwEAF</t>
  </si>
  <si>
    <t>LSN-00531</t>
  </si>
  <si>
    <t>L-0000520</t>
  </si>
  <si>
    <t>a0Aak00000FtDtxEAF</t>
  </si>
  <si>
    <t>LSN-00532</t>
  </si>
  <si>
    <t>L-0000521</t>
  </si>
  <si>
    <t>a0Aak00000FtDtyEAF</t>
  </si>
  <si>
    <t>LSN-00533</t>
  </si>
  <si>
    <t>L-0000522</t>
  </si>
  <si>
    <t>a0Aak00000FtDtzEAF</t>
  </si>
  <si>
    <t>LSN-00535</t>
  </si>
  <si>
    <t>L-0000523</t>
  </si>
  <si>
    <t>a07ak00001rZMr2AAG</t>
  </si>
  <si>
    <t>Maria Rodriguez</t>
  </si>
  <si>
    <t>a0Aak00000FtDu0EAF</t>
  </si>
  <si>
    <t>LSN-00536</t>
  </si>
  <si>
    <t>L-0000524</t>
  </si>
  <si>
    <t>a0Aak00000FtDu1EAF</t>
  </si>
  <si>
    <t>LSN-00537</t>
  </si>
  <si>
    <t>L-0000525</t>
  </si>
  <si>
    <t>a0Aak00000FtDu2EAF</t>
  </si>
  <si>
    <t>LSN-00538</t>
  </si>
  <si>
    <t>L-0000526</t>
  </si>
  <si>
    <t>a0Aak00000FtDu3EAF</t>
  </si>
  <si>
    <t>LSN-00539</t>
  </si>
  <si>
    <t>L-0000527</t>
  </si>
  <si>
    <t>a0Aak00000FtDu4EAF</t>
  </si>
  <si>
    <t>LSN-00540</t>
  </si>
  <si>
    <t>L-0000528</t>
  </si>
  <si>
    <t>a0Aak00000FtDu5EAF</t>
  </si>
  <si>
    <t>LSN-00541</t>
  </si>
  <si>
    <t>L-0000529</t>
  </si>
  <si>
    <t>a0Aak00000FtDu6EAF</t>
  </si>
  <si>
    <t>LSN-00542</t>
  </si>
  <si>
    <t>L-0000530</t>
  </si>
  <si>
    <t>a0Aak00000FtDu7EAF</t>
  </si>
  <si>
    <t>LSN-00543</t>
  </si>
  <si>
    <t>L-0000531</t>
  </si>
  <si>
    <t>a07ak00001rZMr4AAG</t>
  </si>
  <si>
    <t>Olivia Baker</t>
  </si>
  <si>
    <t>a0Aak00000FtDu8EAF</t>
  </si>
  <si>
    <t>LSN-00544</t>
  </si>
  <si>
    <t>L-0000532</t>
  </si>
  <si>
    <t>a0Aak00000FtDu9EAF</t>
  </si>
  <si>
    <t>LSN-00545</t>
  </si>
  <si>
    <t>L-0000533</t>
  </si>
  <si>
    <t>a0Aak00000FtDuAEAV</t>
  </si>
  <si>
    <t>LSN-00547</t>
  </si>
  <si>
    <t>L-0000534</t>
  </si>
  <si>
    <t>a0Aak00000FtDuBEAV</t>
  </si>
  <si>
    <t>LSN-00548</t>
  </si>
  <si>
    <t>L-0000535</t>
  </si>
  <si>
    <t>a0Aak00000FtDuCEAV</t>
  </si>
  <si>
    <t>LSN-00549</t>
  </si>
  <si>
    <t>L-0000536</t>
  </si>
  <si>
    <t>a0Aak00000FtDuDEAV</t>
  </si>
  <si>
    <t>LSN-00550</t>
  </si>
  <si>
    <t>L-0000537</t>
  </si>
  <si>
    <t>a0Aak00000FtDuEEAV</t>
  </si>
  <si>
    <t>LSN-00551</t>
  </si>
  <si>
    <t>L-0000538</t>
  </si>
  <si>
    <t>a0Aak00000FtDuFEAV</t>
  </si>
  <si>
    <t>LSN-00552</t>
  </si>
  <si>
    <t>L-0000539</t>
  </si>
  <si>
    <t>a07ak00001rZMr6AAG</t>
  </si>
  <si>
    <t>Priya Roberts</t>
  </si>
  <si>
    <t>a0Aak00000FtDuGEAV</t>
  </si>
  <si>
    <t>LSN-00554</t>
  </si>
  <si>
    <t>L-0000540</t>
  </si>
  <si>
    <t>a0Aak00000FtDuHEAV</t>
  </si>
  <si>
    <t>LSN-00555</t>
  </si>
  <si>
    <t>L-0000541</t>
  </si>
  <si>
    <t>a0Aak00000FtDuIEAV</t>
  </si>
  <si>
    <t>LSN-00556</t>
  </si>
  <si>
    <t>L-0000542</t>
  </si>
  <si>
    <t>a0Aak00000FtDuJEAV</t>
  </si>
  <si>
    <t>LSN-00557</t>
  </si>
  <si>
    <t>L-0000543</t>
  </si>
  <si>
    <t>a0Aak00000FtDuKEAV</t>
  </si>
  <si>
    <t>LSN-00558</t>
  </si>
  <si>
    <t>L-0000544</t>
  </si>
  <si>
    <t>a0Aak00000FtDuLEAV</t>
  </si>
  <si>
    <t>LSN-00559</t>
  </si>
  <si>
    <t>L-0000545</t>
  </si>
  <si>
    <t>a0Aak00000FtDuMEAV</t>
  </si>
  <si>
    <t>LSN-00560</t>
  </si>
  <si>
    <t>L-0000546</t>
  </si>
  <si>
    <t>a07ak00001rZMr7AAG</t>
  </si>
  <si>
    <t>Lucy Dubois</t>
  </si>
  <si>
    <t>a0Aak00000FtDuNEAV</t>
  </si>
  <si>
    <t>LSN-00561</t>
  </si>
  <si>
    <t>L-0000547</t>
  </si>
  <si>
    <t>a0Aak00000FtDuOEAV</t>
  </si>
  <si>
    <t>LSN-00562</t>
  </si>
  <si>
    <t>L-0000548</t>
  </si>
  <si>
    <t>a0Aak00000FtDuPEAV</t>
  </si>
  <si>
    <t>LSN-00563</t>
  </si>
  <si>
    <t>L-0000549</t>
  </si>
  <si>
    <t>a0Aak00000FtDuQEAV</t>
  </si>
  <si>
    <t>LSN-00564</t>
  </si>
  <si>
    <t>L-0000550</t>
  </si>
  <si>
    <t>a0Aak00000FtDuREAV</t>
  </si>
  <si>
    <t>LSN-00565</t>
  </si>
  <si>
    <t>L-0000551</t>
  </si>
  <si>
    <t>a0Aak00000FtDuSEAV</t>
  </si>
  <si>
    <t>LSN-00566</t>
  </si>
  <si>
    <t>L-0000552</t>
  </si>
  <si>
    <t>a0Aak00000FtDuTEAV</t>
  </si>
  <si>
    <t>LSN-00567</t>
  </si>
  <si>
    <t>L-0000553</t>
  </si>
  <si>
    <t>a0Aak00000FtDuUEAV</t>
  </si>
  <si>
    <t>LSN-00568</t>
  </si>
  <si>
    <t>L-0000554</t>
  </si>
  <si>
    <t>a0Aak00000FtDuVEAV</t>
  </si>
  <si>
    <t>LSN-00569</t>
  </si>
  <si>
    <t>L-0000555</t>
  </si>
  <si>
    <t>a07ak00001rZMr8AAG</t>
  </si>
  <si>
    <t>Grace Patel</t>
  </si>
  <si>
    <t>a0Aak00000FtDuWEAV</t>
  </si>
  <si>
    <t>LSN-00570</t>
  </si>
  <si>
    <t>L-0000556</t>
  </si>
  <si>
    <t>a0Aak00000FtDuXEAV</t>
  </si>
  <si>
    <t>LSN-00571</t>
  </si>
  <si>
    <t>L-0000557</t>
  </si>
  <si>
    <t>a0Aak00000FtDuYEAV</t>
  </si>
  <si>
    <t>LSN-00572</t>
  </si>
  <si>
    <t>L-0000558</t>
  </si>
  <si>
    <t>a0Aak00000FtDuZEAV</t>
  </si>
  <si>
    <t>LSN-00573</t>
  </si>
  <si>
    <t>L-0000559</t>
  </si>
  <si>
    <t>a0Aak00000FtDuaEAF</t>
  </si>
  <si>
    <t>LSN-00574</t>
  </si>
  <si>
    <t>L-0000560</t>
  </si>
  <si>
    <t>a0Aak00000FtDubEAF</t>
  </si>
  <si>
    <t>LSN-00575</t>
  </si>
  <si>
    <t>L-0000561</t>
  </si>
  <si>
    <t>a0Aak00000FtDucEAF</t>
  </si>
  <si>
    <t>LSN-00576</t>
  </si>
  <si>
    <t>L-0000562</t>
  </si>
  <si>
    <t>a07ak00001rZMr9AAG</t>
  </si>
  <si>
    <t>Owen Dubois</t>
  </si>
  <si>
    <t>a0Aak00000FtDudEAF</t>
  </si>
  <si>
    <t>LSN-00577</t>
  </si>
  <si>
    <t>L-0000563</t>
  </si>
  <si>
    <t>a0Aak00000FtDueEAF</t>
  </si>
  <si>
    <t>LSN-00578</t>
  </si>
  <si>
    <t>L-0000564</t>
  </si>
  <si>
    <t>a0Aak00000FtDufEAF</t>
  </si>
  <si>
    <t>LSN-00579</t>
  </si>
  <si>
    <t>L-0000565</t>
  </si>
  <si>
    <t>a0Aak00000FtDugEAF</t>
  </si>
  <si>
    <t>LSN-00580</t>
  </si>
  <si>
    <t>L-0000566</t>
  </si>
  <si>
    <t>a0Aak00000FtDuhEAF</t>
  </si>
  <si>
    <t>LSN-00581</t>
  </si>
  <si>
    <t>L-0000567</t>
  </si>
  <si>
    <t>a0Aak00000FtDuiEAF</t>
  </si>
  <si>
    <t>LSN-00582</t>
  </si>
  <si>
    <t>L-0000568</t>
  </si>
  <si>
    <t>a0Aak00000FtDujEAF</t>
  </si>
  <si>
    <t>LSN-00583</t>
  </si>
  <si>
    <t>L-0000569</t>
  </si>
  <si>
    <t>a07ak00001rZMrAAAW</t>
  </si>
  <si>
    <t>Lincoln Garcia</t>
  </si>
  <si>
    <t>a0Aak00000FtDukEAF</t>
  </si>
  <si>
    <t>LSN-00584</t>
  </si>
  <si>
    <t>L-0000570</t>
  </si>
  <si>
    <t>a0Aak00000FtDulEAF</t>
  </si>
  <si>
    <t>LSN-00585</t>
  </si>
  <si>
    <t>L-0000571</t>
  </si>
  <si>
    <t>a07ak00001rZMrBAAW</t>
  </si>
  <si>
    <t>Diego Moore</t>
  </si>
  <si>
    <t>a0Aak00000FtDumEAF</t>
  </si>
  <si>
    <t>LSN-00586</t>
  </si>
  <si>
    <t>L-0000572</t>
  </si>
  <si>
    <t>a0Aak00000FtDunEAF</t>
  </si>
  <si>
    <t>LSN-00587</t>
  </si>
  <si>
    <t>L-0000573</t>
  </si>
  <si>
    <t>a0Aak00000FtDuoEAF</t>
  </si>
  <si>
    <t>LSN-00588</t>
  </si>
  <si>
    <t>L-0000574</t>
  </si>
  <si>
    <t>a0Aak00000FtDupEAF</t>
  </si>
  <si>
    <t>LSN-00589</t>
  </si>
  <si>
    <t>L-0000575</t>
  </si>
  <si>
    <t>a0Aak00000FtDuqEAF</t>
  </si>
  <si>
    <t>LSN-00590</t>
  </si>
  <si>
    <t>L-0000576</t>
  </si>
  <si>
    <t>a0Aak00000FtDurEAF</t>
  </si>
  <si>
    <t>LSN-00591</t>
  </si>
  <si>
    <t>L-0000577</t>
  </si>
  <si>
    <t>a07ak00001rZMrCAAW</t>
  </si>
  <si>
    <t>Levi Gonzalez</t>
  </si>
  <si>
    <t>a0Aak00000FtDusEAF</t>
  </si>
  <si>
    <t>LSN-00592</t>
  </si>
  <si>
    <t>L-0000578</t>
  </si>
  <si>
    <t>a0Aak00000FtDutEAF</t>
  </si>
  <si>
    <t>LSN-00593</t>
  </si>
  <si>
    <t>L-0000579</t>
  </si>
  <si>
    <t>a0Aak00000FtDuuEAF</t>
  </si>
  <si>
    <t>LSN-00594</t>
  </si>
  <si>
    <t>L-0000580</t>
  </si>
  <si>
    <t>a0Aak00000FtDuvEAF</t>
  </si>
  <si>
    <t>LSN-00595</t>
  </si>
  <si>
    <t>L-0000581</t>
  </si>
  <si>
    <t>a0Aak00000FtDuwEAF</t>
  </si>
  <si>
    <t>LSN-00596</t>
  </si>
  <si>
    <t>L-0000582</t>
  </si>
  <si>
    <t>a0Aak00000FtDuxEAF</t>
  </si>
  <si>
    <t>LSN-00597</t>
  </si>
  <si>
    <t>L-0000583</t>
  </si>
  <si>
    <t>a0Aak00000FtDuyEAF</t>
  </si>
  <si>
    <t>LSN-00598</t>
  </si>
  <si>
    <t>L-0000584</t>
  </si>
  <si>
    <t>a07ak00001rZMrDAAW</t>
  </si>
  <si>
    <t>Jackson Lopez</t>
  </si>
  <si>
    <t>a0Aak00000FtDuzEAF</t>
  </si>
  <si>
    <t>LSN-00599</t>
  </si>
  <si>
    <t>L-0000585</t>
  </si>
  <si>
    <t>a0Aak00000FtDv0EAF</t>
  </si>
  <si>
    <t>LSN-00600</t>
  </si>
  <si>
    <t>L-0000586</t>
  </si>
  <si>
    <t>a0Aak00000FtDv1EAF</t>
  </si>
  <si>
    <t>2026-09-16T17:01:29.000Z</t>
  </si>
  <si>
    <t>LSN-00601</t>
  </si>
  <si>
    <t>L-0000587</t>
  </si>
  <si>
    <t>a0Aak00000FtDv2EAF</t>
  </si>
  <si>
    <t>LSN-00602</t>
  </si>
  <si>
    <t>L-0000588</t>
  </si>
  <si>
    <t>a0Aak00000FtDv3EAF</t>
  </si>
  <si>
    <t>LSN-00603</t>
  </si>
  <si>
    <t>L-0000589</t>
  </si>
  <si>
    <t>a0Aak00000FtDv4EAF</t>
  </si>
  <si>
    <t>LSN-00604</t>
  </si>
  <si>
    <t>L-0000590</t>
  </si>
  <si>
    <t>a0Aak00000FtDv5EAF</t>
  </si>
  <si>
    <t>LSN-00605</t>
  </si>
  <si>
    <t>L-0000591</t>
  </si>
  <si>
    <t>a0Aak00000FtDv6EAF</t>
  </si>
  <si>
    <t>LSN-00606</t>
  </si>
  <si>
    <t>L-0000592</t>
  </si>
  <si>
    <t>a0Aak00000FtDv7EAF</t>
  </si>
  <si>
    <t>LSN-00607</t>
  </si>
  <si>
    <t>L-0000593</t>
  </si>
  <si>
    <t>a07ak00001rZMrEAAW</t>
  </si>
  <si>
    <t>Mei Thomas</t>
  </si>
  <si>
    <t>a0Aak00000FtDv8EAF</t>
  </si>
  <si>
    <t>LSN-00608</t>
  </si>
  <si>
    <t>L-0000594</t>
  </si>
  <si>
    <t>a0Aak00000FtDv9EAF</t>
  </si>
  <si>
    <t>LSN-00609</t>
  </si>
  <si>
    <t>L-0000595</t>
  </si>
  <si>
    <t>a0Aak00000FtDvAEAV</t>
  </si>
  <si>
    <t>LSN-00610</t>
  </si>
  <si>
    <t>L-0000596</t>
  </si>
  <si>
    <t>a0Aak00000FtDvBEAV</t>
  </si>
  <si>
    <t>LSN-00611</t>
  </si>
  <si>
    <t>L-0000597</t>
  </si>
  <si>
    <t>a0Aak00000FtDvCEAV</t>
  </si>
  <si>
    <t>LSN-00612</t>
  </si>
  <si>
    <t>L-0000598</t>
  </si>
  <si>
    <t>a0Aak00000FtDvDEAV</t>
  </si>
  <si>
    <t>LSN-00613</t>
  </si>
  <si>
    <t>L-0000599</t>
  </si>
  <si>
    <t>a07ak00001rZMrGAAW</t>
  </si>
  <si>
    <t>Ryan Kelly</t>
  </si>
  <si>
    <t>a0Aak00000FtDvEEAV</t>
  </si>
  <si>
    <t>LSN-00614</t>
  </si>
  <si>
    <t>L-0000600</t>
  </si>
  <si>
    <t>a0Aak00000FtDvFEAV</t>
  </si>
  <si>
    <t>LSN-00615</t>
  </si>
  <si>
    <t>L-0000601</t>
  </si>
  <si>
    <t>a0Aak00000FtDvGEAV</t>
  </si>
  <si>
    <t>LSN-00616</t>
  </si>
  <si>
    <t>L-0000602</t>
  </si>
  <si>
    <t>a0Aak00000FtDvHEAV</t>
  </si>
  <si>
    <t>LSN-00617</t>
  </si>
  <si>
    <t>L-0000603</t>
  </si>
  <si>
    <t>a07ak00001rZMrHAAW</t>
  </si>
  <si>
    <t>Lucas Young</t>
  </si>
  <si>
    <t>a0Aak00000FtDvIEAV</t>
  </si>
  <si>
    <t>LSN-00618</t>
  </si>
  <si>
    <t>L-0000604</t>
  </si>
  <si>
    <t>a0Aak00000FtDvJEAV</t>
  </si>
  <si>
    <t>LSN-00619</t>
  </si>
  <si>
    <t>L-0000605</t>
  </si>
  <si>
    <t>a0Aak00000FtDvKEAV</t>
  </si>
  <si>
    <t>LSN-00620</t>
  </si>
  <si>
    <t>L-0000606</t>
  </si>
  <si>
    <t>a07ak00001rZMrIAAW</t>
  </si>
  <si>
    <t>Sofia Perez</t>
  </si>
  <si>
    <t>a0Aak00000FtDvLEAV</t>
  </si>
  <si>
    <t>LSN-00621</t>
  </si>
  <si>
    <t>L-0000607</t>
  </si>
  <si>
    <t>a0Aak00000FtDvMEAV</t>
  </si>
  <si>
    <t>LSN-00622</t>
  </si>
  <si>
    <t>L-0000608</t>
  </si>
  <si>
    <t>a0Aak00000FtDvNEAV</t>
  </si>
  <si>
    <t>LSN-00623</t>
  </si>
  <si>
    <t>L-0000609</t>
  </si>
  <si>
    <t>a0Aak00000FtDvOEAV</t>
  </si>
  <si>
    <t>LSN-00624</t>
  </si>
  <si>
    <t>L-0000610</t>
  </si>
  <si>
    <t>a0Aak00000FtDvPEAV</t>
  </si>
  <si>
    <t>LSN-00625</t>
  </si>
  <si>
    <t>L-0000611</t>
  </si>
  <si>
    <t>a0Aak00000FtDvQEAV</t>
  </si>
  <si>
    <t>LSN-00626</t>
  </si>
  <si>
    <t>L-0000612</t>
  </si>
  <si>
    <t>a0Aak00000FtDvREAV</t>
  </si>
  <si>
    <t>LSN-00627</t>
  </si>
  <si>
    <t>L-0000613</t>
  </si>
  <si>
    <t>a0Aak00000FtDvSEAV</t>
  </si>
  <si>
    <t>LSN-00628</t>
  </si>
  <si>
    <t>L-0000614</t>
  </si>
  <si>
    <t>a07ak00001rZMrJAAW</t>
  </si>
  <si>
    <t>Chen Sullivan</t>
  </si>
  <si>
    <t>a0Aak00000FtDvTEAV</t>
  </si>
  <si>
    <t>LSN-00629</t>
  </si>
  <si>
    <t>L-0000615</t>
  </si>
  <si>
    <t>a0Aak00000FtDvUEAV</t>
  </si>
  <si>
    <t>LSN-00630</t>
  </si>
  <si>
    <t>L-0000616</t>
  </si>
  <si>
    <t>a0Aak00000FtDvVEAV</t>
  </si>
  <si>
    <t>LSN-00631</t>
  </si>
  <si>
    <t>L-0000617</t>
  </si>
  <si>
    <t>a07ak00001rZMrKAAW</t>
  </si>
  <si>
    <t>Levi Campbell</t>
  </si>
  <si>
    <t>a0Aak00000FtDvWEAV</t>
  </si>
  <si>
    <t>LSN-00632</t>
  </si>
  <si>
    <t>L-0000618</t>
  </si>
  <si>
    <t>a0Aak00000FtDvXEAV</t>
  </si>
  <si>
    <t>LSN-00633</t>
  </si>
  <si>
    <t>L-0000619</t>
  </si>
  <si>
    <t>a0Aak00000FtDvYEAV</t>
  </si>
  <si>
    <t>LSN-00634</t>
  </si>
  <si>
    <t>L-0000620</t>
  </si>
  <si>
    <t>a0Aak00000FtDvZEAV</t>
  </si>
  <si>
    <t>LSN-00635</t>
  </si>
  <si>
    <t>L-0000621</t>
  </si>
  <si>
    <t>a0Aak00000FtDvaEAF</t>
  </si>
  <si>
    <t>LSN-00636</t>
  </si>
  <si>
    <t>L-0000622</t>
  </si>
  <si>
    <t>a07ak00001rZMrLAAW</t>
  </si>
  <si>
    <t>Ryan Ryan</t>
  </si>
  <si>
    <t>a0Aak00000FtDvbEAF</t>
  </si>
  <si>
    <t>LSN-00637</t>
  </si>
  <si>
    <t>L-0000623</t>
  </si>
  <si>
    <t>a0Aak00000FtDvcEAF</t>
  </si>
  <si>
    <t>LSN-00638</t>
  </si>
  <si>
    <t>L-0000624</t>
  </si>
  <si>
    <t>a0Aak00000FtDvdEAF</t>
  </si>
  <si>
    <t>LSN-00639</t>
  </si>
  <si>
    <t>L-0000625</t>
  </si>
  <si>
    <t>a07ak00001rZMrMAAW</t>
  </si>
  <si>
    <t>Declan Martinez</t>
  </si>
  <si>
    <t>a0Aak00000FtDveEAF</t>
  </si>
  <si>
    <t>LSN-00641</t>
  </si>
  <si>
    <t>L-0000626</t>
  </si>
  <si>
    <t>a0Aak00000FtDvfEAF</t>
  </si>
  <si>
    <t>LSN-00642</t>
  </si>
  <si>
    <t>L-0000627</t>
  </si>
  <si>
    <t>a0Aak00000FtDvgEAF</t>
  </si>
  <si>
    <t>LSN-00643</t>
  </si>
  <si>
    <t>L-0000628</t>
  </si>
  <si>
    <t>a0Aak00000FtDvhEAF</t>
  </si>
  <si>
    <t>LSN-00644</t>
  </si>
  <si>
    <t>L-0000629</t>
  </si>
  <si>
    <t>a0Aak00000FtDviEAF</t>
  </si>
  <si>
    <t>LSN-00645</t>
  </si>
  <si>
    <t>L-0000630</t>
  </si>
  <si>
    <t>a0Aak00000FtDvjEAF</t>
  </si>
  <si>
    <t>LSN-00646</t>
  </si>
  <si>
    <t>L-0000631</t>
  </si>
  <si>
    <t>a0Aak00000FtDvkEAF</t>
  </si>
  <si>
    <t>LSN-00647</t>
  </si>
  <si>
    <t>L-0000632</t>
  </si>
  <si>
    <t>a07ak00001rZMrNAAW</t>
  </si>
  <si>
    <t>Skylar Kim</t>
  </si>
  <si>
    <t>a0Aak00000FtDvlEAF</t>
  </si>
  <si>
    <t>LSN-00648</t>
  </si>
  <si>
    <t>L-0000633</t>
  </si>
  <si>
    <t>a0Aak00000FtDvmEAF</t>
  </si>
  <si>
    <t>LSN-00649</t>
  </si>
  <si>
    <t>L-0000634</t>
  </si>
  <si>
    <t>a0Aak00000FtDvnEAF</t>
  </si>
  <si>
    <t>LSN-00650</t>
  </si>
  <si>
    <t>L-0000635</t>
  </si>
  <si>
    <t>a0Aak00000FtDvoEAF</t>
  </si>
  <si>
    <t>LSN-00651</t>
  </si>
  <si>
    <t>L-0000636</t>
  </si>
  <si>
    <t>a0Aak00000FtDvpEAF</t>
  </si>
  <si>
    <t>LSN-00652</t>
  </si>
  <si>
    <t>L-0000637</t>
  </si>
  <si>
    <t>a0Aak00000FtDvqEAF</t>
  </si>
  <si>
    <t>LSN-00653</t>
  </si>
  <si>
    <t>L-0000638</t>
  </si>
  <si>
    <t>a07ak00001rZMrOAAW</t>
  </si>
  <si>
    <t>Evelyn Lee</t>
  </si>
  <si>
    <t>a0Aak00000FtDvrEAF</t>
  </si>
  <si>
    <t>LSN-00654</t>
  </si>
  <si>
    <t>L-0000639</t>
  </si>
  <si>
    <t>a0Aak00000FtDvsEAF</t>
  </si>
  <si>
    <t>LSN-00655</t>
  </si>
  <si>
    <t>L-0000640</t>
  </si>
  <si>
    <t>a07ak00001rZMrPAAW</t>
  </si>
  <si>
    <t>Emily Campbell</t>
  </si>
  <si>
    <t>a0Aak00000FtDvtEAF</t>
  </si>
  <si>
    <t>LSN-00656</t>
  </si>
  <si>
    <t>L-0000641</t>
  </si>
  <si>
    <t>a0Aak00000FtDvuEAF</t>
  </si>
  <si>
    <t>LSN-00657</t>
  </si>
  <si>
    <t>L-0000642</t>
  </si>
  <si>
    <t>a0Aak00000FtDvvEAF</t>
  </si>
  <si>
    <t>LSN-00658</t>
  </si>
  <si>
    <t>L-0000643</t>
  </si>
  <si>
    <t>a0Aak00000FtDvwEAF</t>
  </si>
  <si>
    <t>LSN-00659</t>
  </si>
  <si>
    <t>L-0000644</t>
  </si>
  <si>
    <t>a0Aak00000FtDvxEAF</t>
  </si>
  <si>
    <t>LSN-00660</t>
  </si>
  <si>
    <t>L-0000645</t>
  </si>
  <si>
    <t>a0Aak00000FtDvyEAF</t>
  </si>
  <si>
    <t>LSN-00661</t>
  </si>
  <si>
    <t>L-0000646</t>
  </si>
  <si>
    <t>a0Aak00000FtDvzEAF</t>
  </si>
  <si>
    <t>LSN-00662</t>
  </si>
  <si>
    <t>L-0000647</t>
  </si>
  <si>
    <t>a0Aak00000FtDw0EAF</t>
  </si>
  <si>
    <t>LSN-00663</t>
  </si>
  <si>
    <t>L-0000648</t>
  </si>
  <si>
    <t>a0Aak00000FtDw1EAF</t>
  </si>
  <si>
    <t>LSN-00664</t>
  </si>
  <si>
    <t>L-0000649</t>
  </si>
  <si>
    <t>a07ak00001rZMrQAAW</t>
  </si>
  <si>
    <t>Caroline Byrne</t>
  </si>
  <si>
    <t>a0Aak00000FtDw2EAF</t>
  </si>
  <si>
    <t>LSN-00665</t>
  </si>
  <si>
    <t>L-0000650</t>
  </si>
  <si>
    <t>a0Aak00000FtDw3EAF</t>
  </si>
  <si>
    <t>LSN-00666</t>
  </si>
  <si>
    <t>L-0000651</t>
  </si>
  <si>
    <t>a0Aak00000FtDw4EAF</t>
  </si>
  <si>
    <t>LSN-00667</t>
  </si>
  <si>
    <t>L-0000652</t>
  </si>
  <si>
    <t>a0Aak00000FtDw5EAF</t>
  </si>
  <si>
    <t>LSN-00668</t>
  </si>
  <si>
    <t>L-0000653</t>
  </si>
  <si>
    <t>a0Aak00000FtDw6EAF</t>
  </si>
  <si>
    <t>LSN-00669</t>
  </si>
  <si>
    <t>L-0000654</t>
  </si>
  <si>
    <t>a0Aak00000FtDw7EAF</t>
  </si>
  <si>
    <t>LSN-00670</t>
  </si>
  <si>
    <t>L-0000655</t>
  </si>
  <si>
    <t>a0Aak00000FtDw8EAF</t>
  </si>
  <si>
    <t>LSN-00671</t>
  </si>
  <si>
    <t>L-0000656</t>
  </si>
  <si>
    <t>a0Aak00000FtDw9EAF</t>
  </si>
  <si>
    <t>LSN-00672</t>
  </si>
  <si>
    <t>L-0000657</t>
  </si>
  <si>
    <t>a0Aak00000FtDwAEAV</t>
  </si>
  <si>
    <t>LSN-00673</t>
  </si>
  <si>
    <t>L-0000658</t>
  </si>
  <si>
    <t>a07ak00001rZMrRAAW</t>
  </si>
  <si>
    <t>Amelia Okafor</t>
  </si>
  <si>
    <t>a0Aak00000FtDwBEAV</t>
  </si>
  <si>
    <t>LSN-00674</t>
  </si>
  <si>
    <t>L-0000659</t>
  </si>
  <si>
    <t>a0Aak00000FtDwCEAV</t>
  </si>
  <si>
    <t>LSN-00675</t>
  </si>
  <si>
    <t>L-0000660</t>
  </si>
  <si>
    <t>a07ak00001rZMrSAAW</t>
  </si>
  <si>
    <t>Leo Okafor</t>
  </si>
  <si>
    <t>a0Aak00000FtDwDEAV</t>
  </si>
  <si>
    <t>LSN-00676</t>
  </si>
  <si>
    <t>L-0000661</t>
  </si>
  <si>
    <t>a0Aak00000FtDwEEAV</t>
  </si>
  <si>
    <t>LSN-00677</t>
  </si>
  <si>
    <t>L-0000662</t>
  </si>
  <si>
    <t>a07ak00001rZMrUAAW</t>
  </si>
  <si>
    <t>Daniel Kim</t>
  </si>
  <si>
    <t>a0Aak00000FtDwFEAV</t>
  </si>
  <si>
    <t>LSN-00678</t>
  </si>
  <si>
    <t>L-0000663</t>
  </si>
  <si>
    <t>a0Aak00000FtDwGEAV</t>
  </si>
  <si>
    <t>LSN-00679</t>
  </si>
  <si>
    <t>L-0000664</t>
  </si>
  <si>
    <t>a0Aak00000FtDwHEAV</t>
  </si>
  <si>
    <t>LSN-00680</t>
  </si>
  <si>
    <t>L-0000665</t>
  </si>
  <si>
    <t>a0Aak00000FtDwIEAV</t>
  </si>
  <si>
    <t>LSN-00681</t>
  </si>
  <si>
    <t>L-0000666</t>
  </si>
  <si>
    <t>a0Aak00000FtDwJEAV</t>
  </si>
  <si>
    <t>LSN-00682</t>
  </si>
  <si>
    <t>L-0000667</t>
  </si>
  <si>
    <t>a0Aak00000FtDwKEAV</t>
  </si>
  <si>
    <t>LSN-00683</t>
  </si>
  <si>
    <t>L-0000668</t>
  </si>
  <si>
    <t>a0Aak00000FtDwLEAV</t>
  </si>
  <si>
    <t>LSN-00684</t>
  </si>
  <si>
    <t>L-0000669</t>
  </si>
  <si>
    <t>a0Aak00000FtDwMEAV</t>
  </si>
  <si>
    <t>LSN-00685</t>
  </si>
  <si>
    <t>L-0000670</t>
  </si>
  <si>
    <t>a07ak00001rZMrVAAW</t>
  </si>
  <si>
    <t>Isaac Taylor</t>
  </si>
  <si>
    <t>a0Aak00000FtDwNEAV</t>
  </si>
  <si>
    <t>LSN-00686</t>
  </si>
  <si>
    <t>L-0000671</t>
  </si>
  <si>
    <t>a0Aak00000FtDwOEAV</t>
  </si>
  <si>
    <t>LSN-00687</t>
  </si>
  <si>
    <t>L-0000672</t>
  </si>
  <si>
    <t>a0Aak00000FtDwPEAV</t>
  </si>
  <si>
    <t>LSN-00688</t>
  </si>
  <si>
    <t>L-0000673</t>
  </si>
  <si>
    <t>a0Aak00000FtDwQEAV</t>
  </si>
  <si>
    <t>LSN-00689</t>
  </si>
  <si>
    <t>L-0000674</t>
  </si>
  <si>
    <t>a0Aak00000FtDwREAV</t>
  </si>
  <si>
    <t>LSN-00690</t>
  </si>
  <si>
    <t>L-0000675</t>
  </si>
  <si>
    <t>a0Aak00000FtDwSEAV</t>
  </si>
  <si>
    <t>LSN-00691</t>
  </si>
  <si>
    <t>L-0000676</t>
  </si>
  <si>
    <t>a0Aak00000FtDwTEAV</t>
  </si>
  <si>
    <t>LSN-00692</t>
  </si>
  <si>
    <t>L-0000677</t>
  </si>
  <si>
    <t>a0Aak00000FtDwUEAV</t>
  </si>
  <si>
    <t>LSN-00693</t>
  </si>
  <si>
    <t>L-0000678</t>
  </si>
  <si>
    <t>a07ak00001rZMrWAAW</t>
  </si>
  <si>
    <t>Mei Sullivan</t>
  </si>
  <si>
    <t>a0Aak00000FtDwVEAV</t>
  </si>
  <si>
    <t>LSN-00694</t>
  </si>
  <si>
    <t>L-0000679</t>
  </si>
  <si>
    <t>a0Aak00000FtDwWEAV</t>
  </si>
  <si>
    <t>LSN-00695</t>
  </si>
  <si>
    <t>L-0000680</t>
  </si>
  <si>
    <t>a0Aak00000FtDwXEAV</t>
  </si>
  <si>
    <t>LSN-00696</t>
  </si>
  <si>
    <t>L-0000681</t>
  </si>
  <si>
    <t>a0Aak00000FtDwYEAV</t>
  </si>
  <si>
    <t>LSN-00697</t>
  </si>
  <si>
    <t>L-0000682</t>
  </si>
  <si>
    <t>a0Aak00000FtDwZEAV</t>
  </si>
  <si>
    <t>LSN-00698</t>
  </si>
  <si>
    <t>L-0000683</t>
  </si>
  <si>
    <t>a0Aak00000FtDwaEAF</t>
  </si>
  <si>
    <t>LSN-00699</t>
  </si>
  <si>
    <t>L-0000684</t>
  </si>
  <si>
    <t>a07ak00001rZMrYAAW</t>
  </si>
  <si>
    <t>Victoria Martinez</t>
  </si>
  <si>
    <t>a0Aak00000FtDwbEAF</t>
  </si>
  <si>
    <t>LSN-00700</t>
  </si>
  <si>
    <t>L-0000685</t>
  </si>
  <si>
    <t>a0Aak00000FtDwcEAF</t>
  </si>
  <si>
    <t>LSN-00701</t>
  </si>
  <si>
    <t>L-0000686</t>
  </si>
  <si>
    <t>a07ak00001rZMraAAG</t>
  </si>
  <si>
    <t>Yusuf King</t>
  </si>
  <si>
    <t>a0Aak00000FtDwdEAF</t>
  </si>
  <si>
    <t>LSN-00702</t>
  </si>
  <si>
    <t>L-0000687</t>
  </si>
  <si>
    <t>a0Aak00000FtDweEAF</t>
  </si>
  <si>
    <t>LSN-00703</t>
  </si>
  <si>
    <t>L-0000688</t>
  </si>
  <si>
    <t>a0Aak00000FtDwfEAF</t>
  </si>
  <si>
    <t>LSN-00705</t>
  </si>
  <si>
    <t>L-0000689</t>
  </si>
  <si>
    <t>a07ak00001rZMrbAAG</t>
  </si>
  <si>
    <t>Layla Ramirez</t>
  </si>
  <si>
    <t>a0Aak00000FtDwgEAF</t>
  </si>
  <si>
    <t>LSN-00706</t>
  </si>
  <si>
    <t>L-0000690</t>
  </si>
  <si>
    <t>a0Aak00000FtDwhEAF</t>
  </si>
  <si>
    <t>LSN-00707</t>
  </si>
  <si>
    <t>L-0000691</t>
  </si>
  <si>
    <t>a0Aak00000FtDwiEAF</t>
  </si>
  <si>
    <t>LSN-00708</t>
  </si>
  <si>
    <t>L-0000692</t>
  </si>
  <si>
    <t>a0Aak00000FtDwjEAF</t>
  </si>
  <si>
    <t>LSN-00709</t>
  </si>
  <si>
    <t>L-0000693</t>
  </si>
  <si>
    <t>a0Aak00000FtDwkEAF</t>
  </si>
  <si>
    <t>LSN-00710</t>
  </si>
  <si>
    <t>L-0000694</t>
  </si>
  <si>
    <t>a0Aak00000FtDwlEAF</t>
  </si>
  <si>
    <t>LSN-00711</t>
  </si>
  <si>
    <t>L-0000695</t>
  </si>
  <si>
    <t>a07ak00001rZMrdAAG</t>
  </si>
  <si>
    <t>Declan King</t>
  </si>
  <si>
    <t>a0Aak00000FtDwmEAF</t>
  </si>
  <si>
    <t>LSN-00712</t>
  </si>
  <si>
    <t>L-0000696</t>
  </si>
  <si>
    <t>a0Aak00000FtDwnEAF</t>
  </si>
  <si>
    <t>LSN-00713</t>
  </si>
  <si>
    <t>L-0000697</t>
  </si>
  <si>
    <t>a0Aak00000FtDwoEAF</t>
  </si>
  <si>
    <t>LSN-00714</t>
  </si>
  <si>
    <t>L-0000698</t>
  </si>
  <si>
    <t>a0Aak00000FtDwpEAF</t>
  </si>
  <si>
    <t>LSN-00715</t>
  </si>
  <si>
    <t>L-0000699</t>
  </si>
  <si>
    <t>a0Aak00000FtDwqEAF</t>
  </si>
  <si>
    <t>LSN-00716</t>
  </si>
  <si>
    <t>L-0000700</t>
  </si>
  <si>
    <t>a0Aak00000FtDwrEAF</t>
  </si>
  <si>
    <t>LSN-00717</t>
  </si>
  <si>
    <t>L-0000701</t>
  </si>
  <si>
    <t>a0Aak00000FtDwsEAF</t>
  </si>
  <si>
    <t>LSN-00718</t>
  </si>
  <si>
    <t>L-0000702</t>
  </si>
  <si>
    <t>a0Aak00000FtDwtEAF</t>
  </si>
  <si>
    <t>LSN-00719</t>
  </si>
  <si>
    <t>L-0000703</t>
  </si>
  <si>
    <t>a07ak00001rZMreAAG</t>
  </si>
  <si>
    <t>Josiah Rodriguez</t>
  </si>
  <si>
    <t>a0Aak00000FtDwuEAF</t>
  </si>
  <si>
    <t>LSN-00720</t>
  </si>
  <si>
    <t>L-0000704</t>
  </si>
  <si>
    <t>a0Aak00000FtDwvEAF</t>
  </si>
  <si>
    <t>LSN-00721</t>
  </si>
  <si>
    <t>L-0000705</t>
  </si>
  <si>
    <t>a0Aak00000FtDwwEAF</t>
  </si>
  <si>
    <t>LSN-00722</t>
  </si>
  <si>
    <t>L-0000706</t>
  </si>
  <si>
    <t>a07ak00001rZMrfAAG</t>
  </si>
  <si>
    <t>Marcus Nelson</t>
  </si>
  <si>
    <t>a0Aak00000FtDwxEAF</t>
  </si>
  <si>
    <t>LSN-00723</t>
  </si>
  <si>
    <t>L-0000707</t>
  </si>
  <si>
    <t>a0Aak00000FtDwyEAF</t>
  </si>
  <si>
    <t>LSN-00724</t>
  </si>
  <si>
    <t>L-0000708</t>
  </si>
  <si>
    <t>a0Aak00000FtDwzEAF</t>
  </si>
  <si>
    <t>LSN-00725</t>
  </si>
  <si>
    <t>L-0000709</t>
  </si>
  <si>
    <t>a0Aak00000FtDx0EAF</t>
  </si>
  <si>
    <t>LSN-00726</t>
  </si>
  <si>
    <t>L-0000710</t>
  </si>
  <si>
    <t>a07ak00001rZMrgAAG</t>
  </si>
  <si>
    <t>Isaac Young</t>
  </si>
  <si>
    <t>a0Aak00000FtDx1EAF</t>
  </si>
  <si>
    <t>LSN-00728</t>
  </si>
  <si>
    <t>L-0000711</t>
  </si>
  <si>
    <t>a0Aak00000FtDx2EAF</t>
  </si>
  <si>
    <t>LSN-00729</t>
  </si>
  <si>
    <t>L-0000712</t>
  </si>
  <si>
    <t>a0Aak00000FtDx3EAF</t>
  </si>
  <si>
    <t>LSN-00730</t>
  </si>
  <si>
    <t>L-0000713</t>
  </si>
  <si>
    <t>a0Aak00000FtDx4EAF</t>
  </si>
  <si>
    <t>LSN-00731</t>
  </si>
  <si>
    <t>L-0000714</t>
  </si>
  <si>
    <t>a0Aak00000FtDx5EAF</t>
  </si>
  <si>
    <t>LSN-00732</t>
  </si>
  <si>
    <t>L-0000715</t>
  </si>
  <si>
    <t>a07ak00001rZMrhAAG</t>
  </si>
  <si>
    <t>Lucy Kowalski</t>
  </si>
  <si>
    <t>a0Aak00000FtDx6EAF</t>
  </si>
  <si>
    <t>LSN-00733</t>
  </si>
  <si>
    <t>L-0000716</t>
  </si>
  <si>
    <t>a0Aak00000FtDx7EAF</t>
  </si>
  <si>
    <t>LSN-00734</t>
  </si>
  <si>
    <t>L-0000717</t>
  </si>
  <si>
    <t>a0Aak00000FtDx8EAF</t>
  </si>
  <si>
    <t>LSN-00735</t>
  </si>
  <si>
    <t>L-0000718</t>
  </si>
  <si>
    <t>a07ak00001rZMriAAG</t>
  </si>
  <si>
    <t>Paisley Davis</t>
  </si>
  <si>
    <t>a0Aak00000FtDx9EAF</t>
  </si>
  <si>
    <t>LSN-00736</t>
  </si>
  <si>
    <t>L-0000719</t>
  </si>
  <si>
    <t>a0Aak00000FtDxAEAV</t>
  </si>
  <si>
    <t>LSN-00737</t>
  </si>
  <si>
    <t>L-0000720</t>
  </si>
  <si>
    <t>a07ak00001rZMrjAAG</t>
  </si>
  <si>
    <t>Fatima Nakamura</t>
  </si>
  <si>
    <t>a0Aak00000FtDxBEAV</t>
  </si>
  <si>
    <t>LSN-00738</t>
  </si>
  <si>
    <t>L-0000721</t>
  </si>
  <si>
    <t>a0Aak00000FtDxCEAV</t>
  </si>
  <si>
    <t>LSN-00739</t>
  </si>
  <si>
    <t>L-0000722</t>
  </si>
  <si>
    <t>a0Aak00000FtDxDEAV</t>
  </si>
  <si>
    <t>LSN-00740</t>
  </si>
  <si>
    <t>L-0000723</t>
  </si>
  <si>
    <t>a0Aak00000FtDxEEAV</t>
  </si>
  <si>
    <t>LSN-00741</t>
  </si>
  <si>
    <t>L-0000724</t>
  </si>
  <si>
    <t>a07ak00001rZMrkAAG</t>
  </si>
  <si>
    <t>Camila Roberts</t>
  </si>
  <si>
    <t>a0Aak00000FtDxFEAV</t>
  </si>
  <si>
    <t>LSN-00742</t>
  </si>
  <si>
    <t>L-0000725</t>
  </si>
  <si>
    <t>a0Aak00000FtDxGEAV</t>
  </si>
  <si>
    <t>LSN-00743</t>
  </si>
  <si>
    <t>L-0000726</t>
  </si>
  <si>
    <t>a0Aak00000FtDxHEAV</t>
  </si>
  <si>
    <t>LSN-00744</t>
  </si>
  <si>
    <t>L-0000727</t>
  </si>
  <si>
    <t>a0Aak00000FtDxIEAV</t>
  </si>
  <si>
    <t>LSN-00745</t>
  </si>
  <si>
    <t>L-0000728</t>
  </si>
  <si>
    <t>a0Aak00000FtDxJEAV</t>
  </si>
  <si>
    <t>LSN-00746</t>
  </si>
  <si>
    <t>L-0000729</t>
  </si>
  <si>
    <t>a0Aak00000FtDxKEAV</t>
  </si>
  <si>
    <t>LSN-00747</t>
  </si>
  <si>
    <t>L-0000730</t>
  </si>
  <si>
    <t>a0Aak00000FtDxLEAV</t>
  </si>
  <si>
    <t>LSN-00748</t>
  </si>
  <si>
    <t>L-0000731</t>
  </si>
  <si>
    <t>a0Aak00000FtDxMEAV</t>
  </si>
  <si>
    <t>LSN-00750</t>
  </si>
  <si>
    <t>L-0000732</t>
  </si>
  <si>
    <t>a07ak00001rZMrlAAG</t>
  </si>
  <si>
    <t>Kai Ahmed</t>
  </si>
  <si>
    <t>a0Aak00000FtDxNEAV</t>
  </si>
  <si>
    <t>LSN-00751</t>
  </si>
  <si>
    <t>L-0000733</t>
  </si>
  <si>
    <t>a0Aak00000FtDxOEAV</t>
  </si>
  <si>
    <t>LSN-00752</t>
  </si>
  <si>
    <t>L-0000734</t>
  </si>
  <si>
    <t>a0Aak00000FtDxPEAV</t>
  </si>
  <si>
    <t>LSN-00753</t>
  </si>
  <si>
    <t>L-0000735</t>
  </si>
  <si>
    <t>a0Aak00000FtDxQEAV</t>
  </si>
  <si>
    <t>LSN-00754</t>
  </si>
  <si>
    <t>L-0000736</t>
  </si>
  <si>
    <t>a0Aak00000FtDxREAV</t>
  </si>
  <si>
    <t>LSN-00755</t>
  </si>
  <si>
    <t>L-0000737</t>
  </si>
  <si>
    <t>a0Aak00000FtDxSEAV</t>
  </si>
  <si>
    <t>LSN-00756</t>
  </si>
  <si>
    <t>L-0000738</t>
  </si>
  <si>
    <t>a07ak00001rZMrmAAG</t>
  </si>
  <si>
    <t>Nathan Young</t>
  </si>
  <si>
    <t>a0Aak00000FtDxTEAV</t>
  </si>
  <si>
    <t>LSN-00757</t>
  </si>
  <si>
    <t>L-0000739</t>
  </si>
  <si>
    <t>a0Aak00000FtDxUEAV</t>
  </si>
  <si>
    <t>LSN-00758</t>
  </si>
  <si>
    <t>L-0000740</t>
  </si>
  <si>
    <t>a0Aak00000FtDxVEAV</t>
  </si>
  <si>
    <t>LSN-00759</t>
  </si>
  <si>
    <t>L-0000741</t>
  </si>
  <si>
    <t>a0Aak00000FtDxWEAV</t>
  </si>
  <si>
    <t>LSN-00760</t>
  </si>
  <si>
    <t>L-0000742</t>
  </si>
  <si>
    <t>a0Aak00000FtDxXEAV</t>
  </si>
  <si>
    <t>LSN-00761</t>
  </si>
  <si>
    <t>L-0000743</t>
  </si>
  <si>
    <t>a0Aak00000FtDxYEAV</t>
  </si>
  <si>
    <t>LSN-00762</t>
  </si>
  <si>
    <t>L-0000744</t>
  </si>
  <si>
    <t>a0Aak00000FtDxZEAV</t>
  </si>
  <si>
    <t>LSN-00763</t>
  </si>
  <si>
    <t>L-0000745</t>
  </si>
  <si>
    <t>a0Aak00000FtDxaEAF</t>
  </si>
  <si>
    <t>LSN-00764</t>
  </si>
  <si>
    <t>L-0000746</t>
  </si>
  <si>
    <t>a0Aak00000FtDxbEAF</t>
  </si>
  <si>
    <t>LSN-00765</t>
  </si>
  <si>
    <t>L-0000747</t>
  </si>
  <si>
    <t>a07ak00001rZMrnAAG</t>
  </si>
  <si>
    <t>Camila Jones</t>
  </si>
  <si>
    <t>a0Aak00000FtDxcEAF</t>
  </si>
  <si>
    <t>LSN-00766</t>
  </si>
  <si>
    <t>L-0000748</t>
  </si>
  <si>
    <t>a0Aak00000FtDxdEAF</t>
  </si>
  <si>
    <t>LSN-00767</t>
  </si>
  <si>
    <t>L-0000749</t>
  </si>
  <si>
    <t>a07ak00001rZMroAAG</t>
  </si>
  <si>
    <t>Sebastian Wilson</t>
  </si>
  <si>
    <t>a0Aak00000FtDxeEAF</t>
  </si>
  <si>
    <t>LSN-00768</t>
  </si>
  <si>
    <t>L-0000750</t>
  </si>
  <si>
    <t>a0Aak00000FtDxfEAF</t>
  </si>
  <si>
    <t>LSN-00769</t>
  </si>
  <si>
    <t>L-0000751</t>
  </si>
  <si>
    <t>a0Aak00000FtDxgEAF</t>
  </si>
  <si>
    <t>LSN-00770</t>
  </si>
  <si>
    <t>L-0000752</t>
  </si>
  <si>
    <t>a0Aak00000FtDxhEAF</t>
  </si>
  <si>
    <t>LSN-00771</t>
  </si>
  <si>
    <t>L-0000753</t>
  </si>
  <si>
    <t>a0Aak00000FtDxiEAF</t>
  </si>
  <si>
    <t>LSN-00772</t>
  </si>
  <si>
    <t>L-0000754</t>
  </si>
  <si>
    <t>a0Aak00000FtDxjEAF</t>
  </si>
  <si>
    <t>LSN-00773</t>
  </si>
  <si>
    <t>L-0000755</t>
  </si>
  <si>
    <t>a07ak00001rZMrpAAG</t>
  </si>
  <si>
    <t>Miles Silva</t>
  </si>
  <si>
    <t>a0Aak00000FtDxkEAF</t>
  </si>
  <si>
    <t>LSN-00774</t>
  </si>
  <si>
    <t>L-0000756</t>
  </si>
  <si>
    <t>a0Aak00000FtDxlEAF</t>
  </si>
  <si>
    <t>LSN-00775</t>
  </si>
  <si>
    <t>L-0000757</t>
  </si>
  <si>
    <t>a0Aak00000FtDxmEAF</t>
  </si>
  <si>
    <t>LSN-00776</t>
  </si>
  <si>
    <t>L-0000758</t>
  </si>
  <si>
    <t>a0Aak00000FtDxnEAF</t>
  </si>
  <si>
    <t>LSN-00777</t>
  </si>
  <si>
    <t>L-0000759</t>
  </si>
  <si>
    <t>a0Aak00000FtDxoEAF</t>
  </si>
  <si>
    <t>LSN-00778</t>
  </si>
  <si>
    <t>L-0000760</t>
  </si>
  <si>
    <t>a0Aak00000FtDxpEAF</t>
  </si>
  <si>
    <t>LSN-00779</t>
  </si>
  <si>
    <t>L-0000761</t>
  </si>
  <si>
    <t>a07ak00001rZMrqAAG</t>
  </si>
  <si>
    <t>Matthew Thomas</t>
  </si>
  <si>
    <t>a0Aak00000FtDxqEAF</t>
  </si>
  <si>
    <t>LSN-00780</t>
  </si>
  <si>
    <t>L-0000762</t>
  </si>
  <si>
    <t>a0Aak00000FtDxrEAF</t>
  </si>
  <si>
    <t>LSN-00781</t>
  </si>
  <si>
    <t>L-0000763</t>
  </si>
  <si>
    <t>a0Aak00000FtDxsEAF</t>
  </si>
  <si>
    <t>LSN-00782</t>
  </si>
  <si>
    <t>L-0000764</t>
  </si>
  <si>
    <t>a0Aak00000FtDxtEAF</t>
  </si>
  <si>
    <t>LSN-00783</t>
  </si>
  <si>
    <t>L-0000765</t>
  </si>
  <si>
    <t>a0Aak00000FtDxuEAF</t>
  </si>
  <si>
    <t>LSN-00784</t>
  </si>
  <si>
    <t>L-0000766</t>
  </si>
  <si>
    <t>a0Aak00000FtDxvEAF</t>
  </si>
  <si>
    <t>LSN-00785</t>
  </si>
  <si>
    <t>L-0000767</t>
  </si>
  <si>
    <t>a0Aak00000FtDxwEAF</t>
  </si>
  <si>
    <t>LSN-00786</t>
  </si>
  <si>
    <t>L-0000768</t>
  </si>
  <si>
    <t>a07ak00001rZMrrAAG</t>
  </si>
  <si>
    <t>Emma Lewis</t>
  </si>
  <si>
    <t>a0Aak00000FtDxxEAF</t>
  </si>
  <si>
    <t>LSN-00787</t>
  </si>
  <si>
    <t>L-0000769</t>
  </si>
  <si>
    <t>a0Aak00000FtDxyEAF</t>
  </si>
  <si>
    <t>LSN-00788</t>
  </si>
  <si>
    <t>L-0000770</t>
  </si>
  <si>
    <t>a07ak00001rZMrsAAG</t>
  </si>
  <si>
    <t>Miles Hill</t>
  </si>
  <si>
    <t>a0Aak00000FtDxzEAF</t>
  </si>
  <si>
    <t>LSN-00789</t>
  </si>
  <si>
    <t>L-0000771</t>
  </si>
  <si>
    <t>a0Aak00000FtDy0EAF</t>
  </si>
  <si>
    <t>LSN-00790</t>
  </si>
  <si>
    <t>L-0000772</t>
  </si>
  <si>
    <t>a0Aak00000FtDy1EAF</t>
  </si>
  <si>
    <t>LSN-00791</t>
  </si>
  <si>
    <t>L-0000773</t>
  </si>
  <si>
    <t>a0Aak00000FtDy2EAF</t>
  </si>
  <si>
    <t>LSN-00792</t>
  </si>
  <si>
    <t>L-0000774</t>
  </si>
  <si>
    <t>a0Aak00000FtDy3EAF</t>
  </si>
  <si>
    <t>LSN-00793</t>
  </si>
  <si>
    <t>L-0000775</t>
  </si>
  <si>
    <t>a0Aak00000FtDy4EAF</t>
  </si>
  <si>
    <t>LSN-00794</t>
  </si>
  <si>
    <t>L-0000776</t>
  </si>
  <si>
    <t>a07ak00001rZMruAAG</t>
  </si>
  <si>
    <t>Diego Kelly</t>
  </si>
  <si>
    <t>a0Aak00000FtDy5EAF</t>
  </si>
  <si>
    <t>LSN-00795</t>
  </si>
  <si>
    <t>L-0000777</t>
  </si>
  <si>
    <t>a0Aak00000FtDy6EAF</t>
  </si>
  <si>
    <t>LSN-00796</t>
  </si>
  <si>
    <t>L-0000778</t>
  </si>
  <si>
    <t>a0Aak00000FtDy7EAF</t>
  </si>
  <si>
    <t>LSN-00797</t>
  </si>
  <si>
    <t>L-0000779</t>
  </si>
  <si>
    <t>a0Aak00000FtDy8EAF</t>
  </si>
  <si>
    <t>LSN-00798</t>
  </si>
  <si>
    <t>L-0000780</t>
  </si>
  <si>
    <t>a07ak00001rZMrvAAG</t>
  </si>
  <si>
    <t>Savannah Patel</t>
  </si>
  <si>
    <t>a0Aak00000FtDy9EAF</t>
  </si>
  <si>
    <t>LSN-00799</t>
  </si>
  <si>
    <t>L-0000781</t>
  </si>
  <si>
    <t>a0Aak00000FtDyAEAV</t>
  </si>
  <si>
    <t>LSN-00800</t>
  </si>
  <si>
    <t>L-0000782</t>
  </si>
  <si>
    <t>2026-09-14T21:01:59.000Z</t>
  </si>
  <si>
    <t>a0Aak00000FtDyBEAV</t>
  </si>
  <si>
    <t>LSN-00802</t>
  </si>
  <si>
    <t>L-0000783</t>
  </si>
  <si>
    <t>a07ak00001rZMrwAAG</t>
  </si>
  <si>
    <t>Jonah Clark</t>
  </si>
  <si>
    <t>a0Aak00000FtDyCEAV</t>
  </si>
  <si>
    <t>LSN-00803</t>
  </si>
  <si>
    <t>L-0000784</t>
  </si>
  <si>
    <t>a0Aak00000FtDyDEAV</t>
  </si>
  <si>
    <t>LSN-00804</t>
  </si>
  <si>
    <t>L-0000785</t>
  </si>
  <si>
    <t>a0Aak00000FtDyEEAV</t>
  </si>
  <si>
    <t>LSN-00805</t>
  </si>
  <si>
    <t>L-0000786</t>
  </si>
  <si>
    <t>a0Aak00000FtDyFEAV</t>
  </si>
  <si>
    <t>LSN-00806</t>
  </si>
  <si>
    <t>L-0000787</t>
  </si>
  <si>
    <t>a0Aak00000FtDyGEAV</t>
  </si>
  <si>
    <t>LSN-00807</t>
  </si>
  <si>
    <t>L-0000788</t>
  </si>
  <si>
    <t>a0Aak00000FtDyHEAV</t>
  </si>
  <si>
    <t>LSN-00808</t>
  </si>
  <si>
    <t>L-0000789</t>
  </si>
  <si>
    <t>a0Aak00000FtDyIEAV</t>
  </si>
  <si>
    <t>LSN-00809</t>
  </si>
  <si>
    <t>L-0000790</t>
  </si>
  <si>
    <t>a0Aak00000FtDyJEAV</t>
  </si>
  <si>
    <t>LSN-00810</t>
  </si>
  <si>
    <t>L-0000791</t>
  </si>
  <si>
    <t>a07ak00001rZMrzAAG</t>
  </si>
  <si>
    <t>Penelope Baker</t>
  </si>
  <si>
    <t>a0Aak00000FtDyKEAV</t>
  </si>
  <si>
    <t>LSN-00811</t>
  </si>
  <si>
    <t>L-0000792</t>
  </si>
  <si>
    <t>a0Aak00000FtDyLEAV</t>
  </si>
  <si>
    <t>LSN-00812</t>
  </si>
  <si>
    <t>L-0000793</t>
  </si>
  <si>
    <t>a07ak00001rZMs0AAG</t>
  </si>
  <si>
    <t>Sofia Nelson</t>
  </si>
  <si>
    <t>a0Aak00000FtDyMEAV</t>
  </si>
  <si>
    <t>LSN-00813</t>
  </si>
  <si>
    <t>L-0000794</t>
  </si>
  <si>
    <t>a0Aak00000FtDyNEAV</t>
  </si>
  <si>
    <t>LSN-00814</t>
  </si>
  <si>
    <t>L-0000795</t>
  </si>
  <si>
    <t>a07ak00001rZMs1AAG</t>
  </si>
  <si>
    <t>a0Aak00000FtDyOEAV</t>
  </si>
  <si>
    <t>LSN-00815</t>
  </si>
  <si>
    <t>L-0000796</t>
  </si>
  <si>
    <t>a0Aak00000FtDyPEAV</t>
  </si>
  <si>
    <t>LSN-00816</t>
  </si>
  <si>
    <t>L-0000797</t>
  </si>
  <si>
    <t>a0Aak00000FtDyQEAV</t>
  </si>
  <si>
    <t>LSN-00817</t>
  </si>
  <si>
    <t>L-0000798</t>
  </si>
  <si>
    <t>a0Aak00000FtDyREAV</t>
  </si>
  <si>
    <t>LSN-00818</t>
  </si>
  <si>
    <t>L-0000799</t>
  </si>
  <si>
    <t>a0Aak00000FtDySEAV</t>
  </si>
  <si>
    <t>LSN-00819</t>
  </si>
  <si>
    <t>L-0000800</t>
  </si>
  <si>
    <t>a0Aak00000FtDyTEAV</t>
  </si>
  <si>
    <t>LSN-00820</t>
  </si>
  <si>
    <t>L-0000801</t>
  </si>
  <si>
    <t>a0Aak00000FtDyUEAV</t>
  </si>
  <si>
    <t>LSN-00821</t>
  </si>
  <si>
    <t>L-0000802</t>
  </si>
  <si>
    <t>a07ak00001rZMs2AAG</t>
  </si>
  <si>
    <t>a0Aak00000FtDyVEAV</t>
  </si>
  <si>
    <t>LSN-00822</t>
  </si>
  <si>
    <t>L-0000803</t>
  </si>
  <si>
    <t>a0Aak00000FtDyWEAV</t>
  </si>
  <si>
    <t>LSN-00823</t>
  </si>
  <si>
    <t>L-0000804</t>
  </si>
  <si>
    <t>a0Aak00000FtDyXEAV</t>
  </si>
  <si>
    <t>LSN-00824</t>
  </si>
  <si>
    <t>L-0000805</t>
  </si>
  <si>
    <t>a0Aak00000FtDyYEAV</t>
  </si>
  <si>
    <t>LSN-00825</t>
  </si>
  <si>
    <t>L-0000806</t>
  </si>
  <si>
    <t>a0Aak00000FtDyZEAV</t>
  </si>
  <si>
    <t>LSN-00826</t>
  </si>
  <si>
    <t>L-0000807</t>
  </si>
  <si>
    <t>a07ak00001rZMs3AAG</t>
  </si>
  <si>
    <t>LOGAN Harris</t>
  </si>
  <si>
    <t>a0Aak00000FtDyaEAF</t>
  </si>
  <si>
    <t>LSN-00827</t>
  </si>
  <si>
    <t>L-0000808</t>
  </si>
  <si>
    <t>a0Aak00000FtDybEAF</t>
  </si>
  <si>
    <t>LSN-00828</t>
  </si>
  <si>
    <t>L-0000809</t>
  </si>
  <si>
    <t>a0Aak00000FtDycEAF</t>
  </si>
  <si>
    <t>LSN-00829</t>
  </si>
  <si>
    <t>L-0000810</t>
  </si>
  <si>
    <t>a0Aak00000FtDydEAF</t>
  </si>
  <si>
    <t>LSN-00830</t>
  </si>
  <si>
    <t>L-0000811</t>
  </si>
  <si>
    <t>2026-09-14T21:16:27.000Z</t>
  </si>
  <si>
    <t>a0Aak00000FtFrOEAV</t>
  </si>
  <si>
    <t>LSN-00114</t>
  </si>
  <si>
    <t>L-0000812</t>
  </si>
  <si>
    <t>a0Aak00000FtFrPEAV</t>
  </si>
  <si>
    <t>LSN-00136</t>
  </si>
  <si>
    <t>L-0000813</t>
  </si>
  <si>
    <t>2026-09-14T21:16:29.000Z</t>
  </si>
  <si>
    <t>a0Aak00000FtFxoEAF</t>
  </si>
  <si>
    <t>LSN-00213</t>
  </si>
  <si>
    <t>L-0000814</t>
  </si>
  <si>
    <t>a0Aak00000FtFxpEAF</t>
  </si>
  <si>
    <t>LSN-00255</t>
  </si>
  <si>
    <t>L-0000815</t>
  </si>
  <si>
    <t>a0Aak00000FtFxqEAF</t>
  </si>
  <si>
    <t>LSN-00370</t>
  </si>
  <si>
    <t>L-0000816</t>
  </si>
  <si>
    <t>a0Aak00000FtFxrEAF</t>
  </si>
  <si>
    <t>LSN-00384</t>
  </si>
  <si>
    <t>L-0000817</t>
  </si>
  <si>
    <t>2026-09-14T21:16:31.000Z</t>
  </si>
  <si>
    <t>a0Aak00000FtG4KEAV</t>
  </si>
  <si>
    <t>LSN-00434</t>
  </si>
  <si>
    <t>L-0000818</t>
  </si>
  <si>
    <t>a0Aak00000FtG4LEAV</t>
  </si>
  <si>
    <t>LSN-00484</t>
  </si>
  <si>
    <t>L-0000819</t>
  </si>
  <si>
    <t>a0Aak00000FtG4MEAV</t>
  </si>
  <si>
    <t>LSN-00503</t>
  </si>
  <si>
    <t>L-0000820</t>
  </si>
  <si>
    <t>a0Aak00000FtG4NEAV</t>
  </si>
  <si>
    <t>LSN-00534</t>
  </si>
  <si>
    <t>L-0000821</t>
  </si>
  <si>
    <t>a0Aak00000FtG4OEAV</t>
  </si>
  <si>
    <t>LSN-00546</t>
  </si>
  <si>
    <t>L-0000822</t>
  </si>
  <si>
    <t>a0Aak00000FtG4PEAV</t>
  </si>
  <si>
    <t>LSN-00553</t>
  </si>
  <si>
    <t>L-0000823</t>
  </si>
  <si>
    <t>2026-09-14T21:16:33.000Z</t>
  </si>
  <si>
    <t>a0Aak00000FtGAsEAN</t>
  </si>
  <si>
    <t>LSN-00640</t>
  </si>
  <si>
    <t>L-0000824</t>
  </si>
  <si>
    <t>a0Aak00000FtGAtEAN</t>
  </si>
  <si>
    <t>LSN-00704</t>
  </si>
  <si>
    <t>L-0000825</t>
  </si>
  <si>
    <t>a0Aak00000FtGAuEAN</t>
  </si>
  <si>
    <t>LSN-00727</t>
  </si>
  <si>
    <t>L-0000826</t>
  </si>
  <si>
    <t>a0Aak00000FtGAvEAN</t>
  </si>
  <si>
    <t>LSN-00749</t>
  </si>
  <si>
    <t>L-0000827</t>
  </si>
  <si>
    <t>2026-09-14T21:16:34.000Z</t>
  </si>
  <si>
    <t>a0Aak00000FtGBuEAN</t>
  </si>
  <si>
    <t>LSN-00801</t>
  </si>
  <si>
    <t>L-0000828</t>
  </si>
  <si>
    <t>005ak00000iupxlAAA</t>
  </si>
  <si>
    <t>2026-09-17T17:44:49.000Z</t>
  </si>
  <si>
    <t>a0Aak00000G3LebEAF</t>
  </si>
  <si>
    <t>2026-09-17T17:50:19.000Z</t>
  </si>
  <si>
    <t>L-0000830</t>
  </si>
  <si>
    <t>2026-10-01T15:56:45.000Z</t>
  </si>
  <si>
    <t>a0Aak00000GkO4ZEAV</t>
  </si>
  <si>
    <t>LSN-01041</t>
  </si>
  <si>
    <t>L-0001052</t>
  </si>
  <si>
    <t>a0Aak00000GkO4Z</t>
  </si>
  <si>
    <t>a0Aak00000GkO4aEAF</t>
  </si>
  <si>
    <t>LSN-01042</t>
  </si>
  <si>
    <t>L-0001053</t>
  </si>
  <si>
    <t>a0Aak00000GkO4a</t>
  </si>
  <si>
    <t>a0Aak00000GkO4bEAF</t>
  </si>
  <si>
    <t>LSN-01043</t>
  </si>
  <si>
    <t>L-0001054</t>
  </si>
  <si>
    <t>a0Aak00000GkO4b</t>
  </si>
  <si>
    <t>a0Aak00000GkO4cEAF</t>
  </si>
  <si>
    <t>LSN-01044</t>
  </si>
  <si>
    <t>L-0001055</t>
  </si>
  <si>
    <t>a0Aak00000GkO4c</t>
  </si>
  <si>
    <t>a0Aak00000GkO4dEAF</t>
  </si>
  <si>
    <t>LSN-01045</t>
  </si>
  <si>
    <t>L-0001056</t>
  </si>
  <si>
    <t>a0Aak00000GkO4d</t>
  </si>
  <si>
    <t>a0Aak00000GkO4eEAF</t>
  </si>
  <si>
    <t>LSN-01046</t>
  </si>
  <si>
    <t>L-0001057</t>
  </si>
  <si>
    <t>a0Aak00000GkO4e</t>
  </si>
  <si>
    <t>a0Aak00000GkO4fEAF</t>
  </si>
  <si>
    <t>LSN-01047</t>
  </si>
  <si>
    <t>L-0001058</t>
  </si>
  <si>
    <t>a0Aak00000GkO4f</t>
  </si>
  <si>
    <t>a0Aak00000GkO4gEAF</t>
  </si>
  <si>
    <t>LSN-01048</t>
  </si>
  <si>
    <t>L-0001059</t>
  </si>
  <si>
    <t>a0Aak00000GkO4g</t>
  </si>
  <si>
    <t>a0Aak00000GkO4hEAF</t>
  </si>
  <si>
    <t>LSN-01049</t>
  </si>
  <si>
    <t>L-0001060</t>
  </si>
  <si>
    <t>a0Aak00000GkO4h</t>
  </si>
  <si>
    <t>a0Aak00000GkO4iEAF</t>
  </si>
  <si>
    <t>LSN-01050</t>
  </si>
  <si>
    <t>L-0001061</t>
  </si>
  <si>
    <t>a0Aak00000GkO4i</t>
  </si>
  <si>
    <t>a0Aak00000GkO4jEAF</t>
  </si>
  <si>
    <t>LSN-01051</t>
  </si>
  <si>
    <t>L-0001062</t>
  </si>
  <si>
    <t>a0Aak00000GkO4j</t>
  </si>
  <si>
    <t>a0Aak00000GkO4kEAF</t>
  </si>
  <si>
    <t>LSN-01052</t>
  </si>
  <si>
    <t>L-0001063</t>
  </si>
  <si>
    <t>a0Aak00000GkO4k</t>
  </si>
  <si>
    <t>a0Aak00000GkO4lEAF</t>
  </si>
  <si>
    <t>LSN-01053</t>
  </si>
  <si>
    <t>L-0001064</t>
  </si>
  <si>
    <t>a0Aak00000GkO4l</t>
  </si>
  <si>
    <t>a0Aak00000GkO4mEAF</t>
  </si>
  <si>
    <t>LSN-01054</t>
  </si>
  <si>
    <t>L-0001065</t>
  </si>
  <si>
    <t>a0Aak00000GkO4m</t>
  </si>
  <si>
    <t>a0Aak00000GkO4nEAF</t>
  </si>
  <si>
    <t>LSN-01055</t>
  </si>
  <si>
    <t>L-0001066</t>
  </si>
  <si>
    <t>a0Aak00000GkO4n</t>
  </si>
  <si>
    <t>a0Aak00000GkO4oEAF</t>
  </si>
  <si>
    <t>LSN-01056</t>
  </si>
  <si>
    <t>L-0001067</t>
  </si>
  <si>
    <t>a0Aak00000GkO4o</t>
  </si>
  <si>
    <t>a0Aak00000GkO4pEAF</t>
  </si>
  <si>
    <t>LSN-01057</t>
  </si>
  <si>
    <t>L-0001068</t>
  </si>
  <si>
    <t>a0Aak00000GkO4p</t>
  </si>
  <si>
    <t>a0Aak00000GkO4qEAF</t>
  </si>
  <si>
    <t>LSN-01058</t>
  </si>
  <si>
    <t>L-0001069</t>
  </si>
  <si>
    <t>a0Aak00000GkO4q</t>
  </si>
  <si>
    <t>a0Aak00000GkO4rEAF</t>
  </si>
  <si>
    <t>LSN-01059</t>
  </si>
  <si>
    <t>L-0001070</t>
  </si>
  <si>
    <t>a0Aak00000GkO4r</t>
  </si>
  <si>
    <t>a0Aak00000GkO4sEAF</t>
  </si>
  <si>
    <t>LSN-01060</t>
  </si>
  <si>
    <t>L-0001071</t>
  </si>
  <si>
    <t>a0Aak00000GkO4s</t>
  </si>
  <si>
    <t>a0Aak00000GkO4tEAF</t>
  </si>
  <si>
    <t>LSN-01061</t>
  </si>
  <si>
    <t>L-0001072</t>
  </si>
  <si>
    <t>a0Aak00000GkO4t</t>
  </si>
  <si>
    <t>a0Aak00000GkO4uEAF</t>
  </si>
  <si>
    <t>LSN-01062</t>
  </si>
  <si>
    <t>L-0001073</t>
  </si>
  <si>
    <t>a0Aak00000GkO4u</t>
  </si>
  <si>
    <t>a0Aak00000GkO4vEAF</t>
  </si>
  <si>
    <t>LSN-01063</t>
  </si>
  <si>
    <t>L-0001074</t>
  </si>
  <si>
    <t>a0Aak00000GkO4v</t>
  </si>
  <si>
    <t>a0Aak00000GkO4wEAF</t>
  </si>
  <si>
    <t>LSN-01064</t>
  </si>
  <si>
    <t>L-0001075</t>
  </si>
  <si>
    <t>a0Aak00000GkO4w</t>
  </si>
  <si>
    <t>a0Aak00000GkO4xEAF</t>
  </si>
  <si>
    <t>LSN-01065</t>
  </si>
  <si>
    <t>L-0001076</t>
  </si>
  <si>
    <t>a0Aak00000GkO4x</t>
  </si>
  <si>
    <t>a0Aak00000GkO4yEAF</t>
  </si>
  <si>
    <t>LSN-01066</t>
  </si>
  <si>
    <t>L-0001077</t>
  </si>
  <si>
    <t>a0Aak00000GkO4y</t>
  </si>
  <si>
    <t>a0Aak00000GkO4zEAF</t>
  </si>
  <si>
    <t>LSN-01067</t>
  </si>
  <si>
    <t>L-0001078</t>
  </si>
  <si>
    <t>a0Aak00000GkO4z</t>
  </si>
  <si>
    <t>a0Aak00000GkO50EAF</t>
  </si>
  <si>
    <t>LSN-01068</t>
  </si>
  <si>
    <t>L-0001079</t>
  </si>
  <si>
    <t>a0Aak00000GkO50</t>
  </si>
  <si>
    <t>a0Aak00000GkO51EAF</t>
  </si>
  <si>
    <t>LSN-01069</t>
  </si>
  <si>
    <t>L-0001080</t>
  </si>
  <si>
    <t>a0Aak00000GkO51</t>
  </si>
  <si>
    <t>a0Aak00000GkO52EAF</t>
  </si>
  <si>
    <t>LSN-01070</t>
  </si>
  <si>
    <t>L-0001081</t>
  </si>
  <si>
    <t>a0Aak00000GkO52</t>
  </si>
  <si>
    <t>a0Aak00000GkO53EAF</t>
  </si>
  <si>
    <t>LSN-01071</t>
  </si>
  <si>
    <t>L-0001082</t>
  </si>
  <si>
    <t>a0Aak00000GkO53</t>
  </si>
  <si>
    <t>a0Aak00000GkO54EAF</t>
  </si>
  <si>
    <t>LSN-01072</t>
  </si>
  <si>
    <t>L-0001083</t>
  </si>
  <si>
    <t>a0Aak00000GkO54</t>
  </si>
  <si>
    <t>a0Aak00000GkO55EAF</t>
  </si>
  <si>
    <t>LSN-01073</t>
  </si>
  <si>
    <t>L-0001084</t>
  </si>
  <si>
    <t>a0Aak00000GkO55</t>
  </si>
  <si>
    <t>a0Aak00000GkO56EAF</t>
  </si>
  <si>
    <t>LSN-01074</t>
  </si>
  <si>
    <t>L-0001085</t>
  </si>
  <si>
    <t>a0Aak00000GkO56</t>
  </si>
  <si>
    <t>a0Aak00000GkO57EAF</t>
  </si>
  <si>
    <t>2026-10-01T15:59:24.000Z</t>
  </si>
  <si>
    <t>LSN-01075</t>
  </si>
  <si>
    <t>L-0001086</t>
  </si>
  <si>
    <t>a0Aak00000GkO57</t>
  </si>
  <si>
    <t>a0Aak00000GkO58EAF</t>
  </si>
  <si>
    <t>LSN-01076</t>
  </si>
  <si>
    <t>L-0001087</t>
  </si>
  <si>
    <t>a0Aak00000GkO58</t>
  </si>
  <si>
    <t>a0Aak00000GkO59EAF</t>
  </si>
  <si>
    <t>LSN-01077</t>
  </si>
  <si>
    <t>L-0001088</t>
  </si>
  <si>
    <t>a0Aak00000GkO59</t>
  </si>
  <si>
    <t>a0Aak00000GkO5AEAV</t>
  </si>
  <si>
    <t>LSN-01078</t>
  </si>
  <si>
    <t>L-0001089</t>
  </si>
  <si>
    <t>a0Aak00000GkO5A</t>
  </si>
  <si>
    <t>a0Aak00000GkO5BEAV</t>
  </si>
  <si>
    <t>LSN-01079</t>
  </si>
  <si>
    <t>L-0001090</t>
  </si>
  <si>
    <t>a0Aak00000GkO5B</t>
  </si>
  <si>
    <t>a0Aak00000GkO5CEAV</t>
  </si>
  <si>
    <t>LSN-01080</t>
  </si>
  <si>
    <t>L-0001091</t>
  </si>
  <si>
    <t>a0Aak00000GkO5C</t>
  </si>
  <si>
    <t>a0Aak00000GkO5DEAV</t>
  </si>
  <si>
    <t>LSN-01081</t>
  </si>
  <si>
    <t>L-0001092</t>
  </si>
  <si>
    <t>a0Aak00000GkO5D</t>
  </si>
  <si>
    <t>a0Aak00000GkO5EEAV</t>
  </si>
  <si>
    <t>LSN-01082</t>
  </si>
  <si>
    <t>L-0001093</t>
  </si>
  <si>
    <t>a0Aak00000GkO5E</t>
  </si>
  <si>
    <t>a0Aak00000GkO5FEAV</t>
  </si>
  <si>
    <t>LSN-01083</t>
  </si>
  <si>
    <t>L-0001094</t>
  </si>
  <si>
    <t>a0Aak00000GkO5F</t>
  </si>
  <si>
    <t>a0Aak00000GkO5GEAV</t>
  </si>
  <si>
    <t>LSN-01084</t>
  </si>
  <si>
    <t>L-0001095</t>
  </si>
  <si>
    <t>a0Aak00000GkO5G</t>
  </si>
  <si>
    <t>a0Aak00000GkO5HEAV</t>
  </si>
  <si>
    <t>LSN-01085</t>
  </si>
  <si>
    <t>L-0001096</t>
  </si>
  <si>
    <t>a0Aak00000GkO5H</t>
  </si>
  <si>
    <t>a0Aak00000GkO5IEAV</t>
  </si>
  <si>
    <t>LSN-01086</t>
  </si>
  <si>
    <t>L-0001097</t>
  </si>
  <si>
    <t>a0Aak00000GkO5I</t>
  </si>
  <si>
    <t>a0Aak00000GkO5JEAV</t>
  </si>
  <si>
    <t>LSN-01087</t>
  </si>
  <si>
    <t>L-0001098</t>
  </si>
  <si>
    <t>a0Aak00000GkO5J</t>
  </si>
  <si>
    <t>a0Aak00000GkO5KEAV</t>
  </si>
  <si>
    <t>LSN-01088</t>
  </si>
  <si>
    <t>L-0001099</t>
  </si>
  <si>
    <t>a0Aak00000GkO5K</t>
  </si>
  <si>
    <t>a0Aak00000GkO5LEAV</t>
  </si>
  <si>
    <t>LSN-01089</t>
  </si>
  <si>
    <t>L-0001100</t>
  </si>
  <si>
    <t>a0Aak00000GkO5L</t>
  </si>
  <si>
    <t>a0Aak00000GkO5MEAV</t>
  </si>
  <si>
    <t>LSN-01090</t>
  </si>
  <si>
    <t>L-0001101</t>
  </si>
  <si>
    <t>a0Aak00000GkO5M</t>
  </si>
  <si>
    <t>a0Aak00000GkO5NEAV</t>
  </si>
  <si>
    <t>LSN-01091</t>
  </si>
  <si>
    <t>L-0001102</t>
  </si>
  <si>
    <t>a0Aak00000GkO5N</t>
  </si>
  <si>
    <t>11:30:00.000Z</t>
  </si>
  <si>
    <t>a0Aak00000GkO5OEAV</t>
  </si>
  <si>
    <t>LSN-01092</t>
  </si>
  <si>
    <t>L-0001103</t>
  </si>
  <si>
    <t>a0Aak00000GkO5O</t>
  </si>
  <si>
    <t>12:30:00.000Z</t>
  </si>
  <si>
    <t>a0Aak00000GkO5PEAV</t>
  </si>
  <si>
    <t>LSN-01093</t>
  </si>
  <si>
    <t>L-0001104</t>
  </si>
  <si>
    <t>a0Aak00000GkO5P</t>
  </si>
  <si>
    <t>a0Aak00000GkO5QEAV</t>
  </si>
  <si>
    <t>LSN-01094</t>
  </si>
  <si>
    <t>L-0001105</t>
  </si>
  <si>
    <t>a0Aak00000GkO5Q</t>
  </si>
  <si>
    <t>a0Aak00000GkO5REAV</t>
  </si>
  <si>
    <t>LSN-01095</t>
  </si>
  <si>
    <t>L-0001106</t>
  </si>
  <si>
    <t>a0Aak00000GkO5R</t>
  </si>
  <si>
    <t>a0Aak00000GkO5SEAV</t>
  </si>
  <si>
    <t>LSN-01096</t>
  </si>
  <si>
    <t>L-0001107</t>
  </si>
  <si>
    <t>a0Aak00000GkO5S</t>
  </si>
  <si>
    <t>a0Aak00000GkO5TEAV</t>
  </si>
  <si>
    <t>LSN-01097</t>
  </si>
  <si>
    <t>L-0001108</t>
  </si>
  <si>
    <t>a0Aak00000GkO5T</t>
  </si>
  <si>
    <t>a0Aak00000GkO5UEAV</t>
  </si>
  <si>
    <t>LSN-01098</t>
  </si>
  <si>
    <t>L-0001109</t>
  </si>
  <si>
    <t>a0Aak00000GkO5U</t>
  </si>
  <si>
    <t>a0Aak00000GkO5VEAV</t>
  </si>
  <si>
    <t>LSN-01099</t>
  </si>
  <si>
    <t>L-0001110</t>
  </si>
  <si>
    <t>a0Aak00000GkO5V</t>
  </si>
  <si>
    <t>a0Aak00000GkO5WEAV</t>
  </si>
  <si>
    <t>LSN-01100</t>
  </si>
  <si>
    <t>L-0001111</t>
  </si>
  <si>
    <t>a0Aak00000GkO5W</t>
  </si>
  <si>
    <t>a0Aak00000GkO5XEAV</t>
  </si>
  <si>
    <t>LSN-01101</t>
  </si>
  <si>
    <t>L-0001112</t>
  </si>
  <si>
    <t>a0Aak00000GkO5X</t>
  </si>
  <si>
    <t>a0Aak00000GkO5YEAV</t>
  </si>
  <si>
    <t>LSN-01102</t>
  </si>
  <si>
    <t>L-0001113</t>
  </si>
  <si>
    <t>a0Aak00000GkO5Y</t>
  </si>
  <si>
    <t>a0Aak00000GkO5ZEAV</t>
  </si>
  <si>
    <t>LSN-01103</t>
  </si>
  <si>
    <t>L-0001114</t>
  </si>
  <si>
    <t>a0Aak00000GkO5Z</t>
  </si>
  <si>
    <t>a0Aak00000GkO5aEAF</t>
  </si>
  <si>
    <t>LSN-01104</t>
  </si>
  <si>
    <t>L-0001115</t>
  </si>
  <si>
    <t>a0Aak00000GkO5a</t>
  </si>
  <si>
    <t>a0Aak00000GkO5bEAF</t>
  </si>
  <si>
    <t>LSN-01105</t>
  </si>
  <si>
    <t>L-0001116</t>
  </si>
  <si>
    <t>a0Aak00000GkO5b</t>
  </si>
  <si>
    <t>a0Aak00000GkO5cEAF</t>
  </si>
  <si>
    <t>LSN-01106</t>
  </si>
  <si>
    <t>L-0001117</t>
  </si>
  <si>
    <t>a0Aak00000GkO5c</t>
  </si>
  <si>
    <t>a0Aak00000GkO5dEAF</t>
  </si>
  <si>
    <t>LSN-01107</t>
  </si>
  <si>
    <t>L-0001118</t>
  </si>
  <si>
    <t>a0Aak00000GkO5d</t>
  </si>
  <si>
    <t>a0Aak00000GkO5eEAF</t>
  </si>
  <si>
    <t>LSN-01108</t>
  </si>
  <si>
    <t>L-0001119</t>
  </si>
  <si>
    <t>a0Aak00000GkO5e</t>
  </si>
  <si>
    <t>a0Aak00000GkO5fEAF</t>
  </si>
  <si>
    <t>LSN-01109</t>
  </si>
  <si>
    <t>L-0001120</t>
  </si>
  <si>
    <t>a0Aak00000GkO5f</t>
  </si>
  <si>
    <t>a0Aak00000GkO5gEAF</t>
  </si>
  <si>
    <t>LSN-01110</t>
  </si>
  <si>
    <t>L-0001121</t>
  </si>
  <si>
    <t>a0Aak00000GkO5g</t>
  </si>
  <si>
    <t>a0Aak00000GkO5hEAF</t>
  </si>
  <si>
    <t>LSN-01111</t>
  </si>
  <si>
    <t>L-0001122</t>
  </si>
  <si>
    <t>a0Aak00000GkO5h</t>
  </si>
  <si>
    <t>a0Aak00000GkO5iEAF</t>
  </si>
  <si>
    <t>LSN-01112</t>
  </si>
  <si>
    <t>L-0001123</t>
  </si>
  <si>
    <t>a0Aak00000GkO5i</t>
  </si>
  <si>
    <t>a0Aak00000GkO5jEAF</t>
  </si>
  <si>
    <t>LSN-01113</t>
  </si>
  <si>
    <t>L-0001124</t>
  </si>
  <si>
    <t>a0Aak00000GkO5j</t>
  </si>
  <si>
    <t>a0Aak00000GkO5kEAF</t>
  </si>
  <si>
    <t>LSN-01114</t>
  </si>
  <si>
    <t>L-0001125</t>
  </si>
  <si>
    <t>a0Aak00000GkO5k</t>
  </si>
  <si>
    <t>a0Aak00000GkO5lEAF</t>
  </si>
  <si>
    <t>LSN-01115</t>
  </si>
  <si>
    <t>L-0001126</t>
  </si>
  <si>
    <t>a0Aak00000GkO5l</t>
  </si>
  <si>
    <t>a0Aak00000GkO5mEAF</t>
  </si>
  <si>
    <t>LSN-01116</t>
  </si>
  <si>
    <t>L-0001127</t>
  </si>
  <si>
    <t>a0Aak00000GkO5m</t>
  </si>
  <si>
    <t>a0Aak00000GkO5nEAF</t>
  </si>
  <si>
    <t>LSN-01117</t>
  </si>
  <si>
    <t>L-0001128</t>
  </si>
  <si>
    <t>a0Aak00000GkO5n</t>
  </si>
  <si>
    <t>a0Aak00000GkO5oEAF</t>
  </si>
  <si>
    <t>LSN-01118</t>
  </si>
  <si>
    <t>L-0001129</t>
  </si>
  <si>
    <t>a0Aak00000GkO5o</t>
  </si>
  <si>
    <t>a0Aak00000GkO5pEAF</t>
  </si>
  <si>
    <t>LSN-01119</t>
  </si>
  <si>
    <t>L-0001130</t>
  </si>
  <si>
    <t>a0Aak00000GkO5p</t>
  </si>
  <si>
    <t>a0Aak00000GkO5qEAF</t>
  </si>
  <si>
    <t>LSN-01120</t>
  </si>
  <si>
    <t>L-0001131</t>
  </si>
  <si>
    <t>a0Aak00000GkO5q</t>
  </si>
  <si>
    <t>a0Aak00000GkO5rEAF</t>
  </si>
  <si>
    <t>LSN-01121</t>
  </si>
  <si>
    <t>L-0001132</t>
  </si>
  <si>
    <t>a0Aak00000GkO5r</t>
  </si>
  <si>
    <t>a0Aak00000GkO5sEAF</t>
  </si>
  <si>
    <t>LSN-01122</t>
  </si>
  <si>
    <t>L-0001133</t>
  </si>
  <si>
    <t>a0Aak00000GkO5s</t>
  </si>
  <si>
    <t>a0Aak00000GkO5tEAF</t>
  </si>
  <si>
    <t>LSN-01123</t>
  </si>
  <si>
    <t>L-0001134</t>
  </si>
  <si>
    <t>a0Aak00000GkO5t</t>
  </si>
  <si>
    <t>a0Aak00000GkO5uEAF</t>
  </si>
  <si>
    <t>LSN-01124</t>
  </si>
  <si>
    <t>L-0001135</t>
  </si>
  <si>
    <t>a0Aak00000GkO5u</t>
  </si>
  <si>
    <t>a0Aak00000GkO5vEAF</t>
  </si>
  <si>
    <t>LSN-01125</t>
  </si>
  <si>
    <t>L-0001136</t>
  </si>
  <si>
    <t>a0Aak00000GkO5v</t>
  </si>
  <si>
    <t>a0Aak00000GkO5wEAF</t>
  </si>
  <si>
    <t>LSN-01126</t>
  </si>
  <si>
    <t>L-0001137</t>
  </si>
  <si>
    <t>a0Aak00000GkO5w</t>
  </si>
  <si>
    <t>a0Aak00000GkO5xEAF</t>
  </si>
  <si>
    <t>LSN-01127</t>
  </si>
  <si>
    <t>L-0001138</t>
  </si>
  <si>
    <t>a0Aak00000GkO5x</t>
  </si>
  <si>
    <t>a0Aak00000GkO5yEAF</t>
  </si>
  <si>
    <t>LSN-01128</t>
  </si>
  <si>
    <t>L-0001139</t>
  </si>
  <si>
    <t>a0Aak00000GkO5y</t>
  </si>
  <si>
    <t>a0Aak00000GkO5zEAF</t>
  </si>
  <si>
    <t>LSN-01129</t>
  </si>
  <si>
    <t>L-0001140</t>
  </si>
  <si>
    <t>a0Aak00000GkO5z</t>
  </si>
  <si>
    <t>a0Aak00000GkO60EAF</t>
  </si>
  <si>
    <t>LSN-01130</t>
  </si>
  <si>
    <t>L-0001141</t>
  </si>
  <si>
    <t>a0Aak00000GkO60</t>
  </si>
  <si>
    <t>a0Aak00000GkO61EAF</t>
  </si>
  <si>
    <t>LSN-01131</t>
  </si>
  <si>
    <t>L-0001142</t>
  </si>
  <si>
    <t>a0Aak00000GkO61</t>
  </si>
  <si>
    <t>a0Aak00000GkO62EAF</t>
  </si>
  <si>
    <t>LSN-01132</t>
  </si>
  <si>
    <t>L-0001143</t>
  </si>
  <si>
    <t>a0Aak00000GkO62</t>
  </si>
  <si>
    <t>a0Aak00000GkO63EAF</t>
  </si>
  <si>
    <t>LSN-01133</t>
  </si>
  <si>
    <t>L-0001144</t>
  </si>
  <si>
    <t>a0Aak00000GkO63</t>
  </si>
  <si>
    <t>09:00:00.000Z</t>
  </si>
  <si>
    <t>a0Aak00000GkO64EAF</t>
  </si>
  <si>
    <t>LSN-01134</t>
  </si>
  <si>
    <t>L-0001145</t>
  </si>
  <si>
    <t>a0Aak00000GkO64</t>
  </si>
  <si>
    <t>09:30:00.000Z</t>
  </si>
  <si>
    <t>a0Aak00000GkO65EAF</t>
  </si>
  <si>
    <t>LSN-01135</t>
  </si>
  <si>
    <t>L-0001146</t>
  </si>
  <si>
    <t>a0Aak00000GkO65</t>
  </si>
  <si>
    <t>a0Aak00000GkO66EAF</t>
  </si>
  <si>
    <t>LSN-01136</t>
  </si>
  <si>
    <t>L-0001147</t>
  </si>
  <si>
    <t>a0Aak00000GkO66</t>
  </si>
  <si>
    <t>a0Aak00000GkO67EAF</t>
  </si>
  <si>
    <t>LSN-01137</t>
  </si>
  <si>
    <t>L-0001148</t>
  </si>
  <si>
    <t>a0Aak00000GkO67</t>
  </si>
  <si>
    <t>a0Aak00000GkO68EAF</t>
  </si>
  <si>
    <t>LSN-01138</t>
  </si>
  <si>
    <t>L-0001149</t>
  </si>
  <si>
    <t>a0Aak00000GkO68</t>
  </si>
  <si>
    <t>2026-10-01T15:50:11.000Z</t>
  </si>
  <si>
    <t>a0Aak00000GkUoREAV</t>
  </si>
  <si>
    <t>LSN-00831</t>
  </si>
  <si>
    <t>L-0000842</t>
  </si>
  <si>
    <t>a0Aak00000GkUoR</t>
  </si>
  <si>
    <t>a0Aak00000GkUoSEAV</t>
  </si>
  <si>
    <t>LSN-00832</t>
  </si>
  <si>
    <t>L-0000843</t>
  </si>
  <si>
    <t>a0Aak00000GkUoS</t>
  </si>
  <si>
    <t>a0Aak00000GkUoTEAV</t>
  </si>
  <si>
    <t>LSN-00833</t>
  </si>
  <si>
    <t>L-0000844</t>
  </si>
  <si>
    <t>a0Aak00000GkUoT</t>
  </si>
  <si>
    <t>a0Aak00000GkUoUEAV</t>
  </si>
  <si>
    <t>LSN-00834</t>
  </si>
  <si>
    <t>L-0000845</t>
  </si>
  <si>
    <t>a0Aak00000GkUoU</t>
  </si>
  <si>
    <t>a0Aak00000GkUoVEAV</t>
  </si>
  <si>
    <t>LSN-00835</t>
  </si>
  <si>
    <t>L-0000846</t>
  </si>
  <si>
    <t>a0Aak00000GkUoV</t>
  </si>
  <si>
    <t>a0Aak00000GkUoWEAV</t>
  </si>
  <si>
    <t>LSN-00836</t>
  </si>
  <si>
    <t>L-0000847</t>
  </si>
  <si>
    <t>a0Aak00000GkUoW</t>
  </si>
  <si>
    <t>a0Aak00000GkUoXEAV</t>
  </si>
  <si>
    <t>LSN-00838</t>
  </si>
  <si>
    <t>L-0000848</t>
  </si>
  <si>
    <t>a0Aak00000GkUoX</t>
  </si>
  <si>
    <t>a0Aak00000GkUoYEAV</t>
  </si>
  <si>
    <t>LSN-00839</t>
  </si>
  <si>
    <t>L-0000849</t>
  </si>
  <si>
    <t>a0Aak00000GkUoY</t>
  </si>
  <si>
    <t>a0Aak00000GkUoZEAV</t>
  </si>
  <si>
    <t>LSN-00840</t>
  </si>
  <si>
    <t>L-0000850</t>
  </si>
  <si>
    <t>a0Aak00000GkUoZ</t>
  </si>
  <si>
    <t>2026-10-01T15:55:08.000Z</t>
  </si>
  <si>
    <t>a0Aak00000GkVijEAF</t>
  </si>
  <si>
    <t>LSN-00837</t>
  </si>
  <si>
    <t>L-0000851</t>
  </si>
  <si>
    <t>a0Aak00000GkVij</t>
  </si>
  <si>
    <t>2026-10-01T15:56:44.000Z</t>
  </si>
  <si>
    <t>a0Aak00000GkVu1EAF</t>
  </si>
  <si>
    <t>LSN-00841</t>
  </si>
  <si>
    <t>L-0000852</t>
  </si>
  <si>
    <t>a0Aak00000GkVu1</t>
  </si>
  <si>
    <t>a0Aak00000GkVu2EAF</t>
  </si>
  <si>
    <t>LSN-00842</t>
  </si>
  <si>
    <t>L-0000853</t>
  </si>
  <si>
    <t>a0Aak00000GkVu2</t>
  </si>
  <si>
    <t>a0Aak00000GkVu3EAF</t>
  </si>
  <si>
    <t>LSN-00843</t>
  </si>
  <si>
    <t>L-0000854</t>
  </si>
  <si>
    <t>a0Aak00000GkVu3</t>
  </si>
  <si>
    <t>a0Aak00000GkVu4EAF</t>
  </si>
  <si>
    <t>LSN-00844</t>
  </si>
  <si>
    <t>L-0000855</t>
  </si>
  <si>
    <t>a0Aak00000GkVu4</t>
  </si>
  <si>
    <t>a0Aak00000GkVu5EAF</t>
  </si>
  <si>
    <t>LSN-00845</t>
  </si>
  <si>
    <t>L-0000856</t>
  </si>
  <si>
    <t>a0Aak00000GkVu5</t>
  </si>
  <si>
    <t>a0Aak00000GkVu6EAF</t>
  </si>
  <si>
    <t>LSN-00846</t>
  </si>
  <si>
    <t>L-0000857</t>
  </si>
  <si>
    <t>a0Aak00000GkVu6</t>
  </si>
  <si>
    <t>a0Aak00000GkVu7EAF</t>
  </si>
  <si>
    <t>LSN-00847</t>
  </si>
  <si>
    <t>L-0000858</t>
  </si>
  <si>
    <t>a0Aak00000GkVu7</t>
  </si>
  <si>
    <t>a0Aak00000GkVu8EAF</t>
  </si>
  <si>
    <t>LSN-00848</t>
  </si>
  <si>
    <t>L-0000859</t>
  </si>
  <si>
    <t>a0Aak00000GkVu8</t>
  </si>
  <si>
    <t>a0Aak00000GkVu9EAF</t>
  </si>
  <si>
    <t>LSN-00849</t>
  </si>
  <si>
    <t>L-0000860</t>
  </si>
  <si>
    <t>a0Aak00000GkVu9</t>
  </si>
  <si>
    <t>a0Aak00000GkVuAEAV</t>
  </si>
  <si>
    <t>LSN-00850</t>
  </si>
  <si>
    <t>L-0000861</t>
  </si>
  <si>
    <t>a0Aak00000GkVuA</t>
  </si>
  <si>
    <t>a0Aak00000GkVuBEAV</t>
  </si>
  <si>
    <t>LSN-00851</t>
  </si>
  <si>
    <t>L-0000862</t>
  </si>
  <si>
    <t>a0Aak00000GkVuB</t>
  </si>
  <si>
    <t>a0Aak00000GkVuCEAV</t>
  </si>
  <si>
    <t>LSN-00852</t>
  </si>
  <si>
    <t>L-0000863</t>
  </si>
  <si>
    <t>a0Aak00000GkVuC</t>
  </si>
  <si>
    <t>a0Aak00000GkVuDEAV</t>
  </si>
  <si>
    <t>LSN-00853</t>
  </si>
  <si>
    <t>L-0000864</t>
  </si>
  <si>
    <t>a0Aak00000GkVuD</t>
  </si>
  <si>
    <t>a0Aak00000GkVuEEAV</t>
  </si>
  <si>
    <t>LSN-00854</t>
  </si>
  <si>
    <t>L-0000865</t>
  </si>
  <si>
    <t>a0Aak00000GkVuE</t>
  </si>
  <si>
    <t>a0Aak00000GkVuFEAV</t>
  </si>
  <si>
    <t>LSN-00855</t>
  </si>
  <si>
    <t>L-0000866</t>
  </si>
  <si>
    <t>a0Aak00000GkVuF</t>
  </si>
  <si>
    <t>a0Aak00000GkVuGEAV</t>
  </si>
  <si>
    <t>LSN-00856</t>
  </si>
  <si>
    <t>L-0000867</t>
  </si>
  <si>
    <t>a0Aak00000GkVuG</t>
  </si>
  <si>
    <t>a0Aak00000GkVuHEAV</t>
  </si>
  <si>
    <t>LSN-00857</t>
  </si>
  <si>
    <t>L-0000868</t>
  </si>
  <si>
    <t>a0Aak00000GkVuH</t>
  </si>
  <si>
    <t>a0Aak00000GkVuIEAV</t>
  </si>
  <si>
    <t>LSN-00858</t>
  </si>
  <si>
    <t>L-0000869</t>
  </si>
  <si>
    <t>a0Aak00000GkVuI</t>
  </si>
  <si>
    <t>a0Aak00000GkVuJEAV</t>
  </si>
  <si>
    <t>LSN-00859</t>
  </si>
  <si>
    <t>L-0000870</t>
  </si>
  <si>
    <t>a0Aak00000GkVuJ</t>
  </si>
  <si>
    <t>a0Aak00000GkVuKEAV</t>
  </si>
  <si>
    <t>LSN-00860</t>
  </si>
  <si>
    <t>L-0000871</t>
  </si>
  <si>
    <t>a0Aak00000GkVuK</t>
  </si>
  <si>
    <t>a0Aak00000GkVuLEAV</t>
  </si>
  <si>
    <t>LSN-00861</t>
  </si>
  <si>
    <t>L-0000872</t>
  </si>
  <si>
    <t>a0Aak00000GkVuL</t>
  </si>
  <si>
    <t>a0Aak00000GkVuMEAV</t>
  </si>
  <si>
    <t>LSN-00862</t>
  </si>
  <si>
    <t>L-0000873</t>
  </si>
  <si>
    <t>a0Aak00000GkVuM</t>
  </si>
  <si>
    <t>a0Aak00000GkVuNEAV</t>
  </si>
  <si>
    <t>LSN-00863</t>
  </si>
  <si>
    <t>L-0000874</t>
  </si>
  <si>
    <t>a0Aak00000GkVuN</t>
  </si>
  <si>
    <t>a0Aak00000GkVuOEAV</t>
  </si>
  <si>
    <t>LSN-00864</t>
  </si>
  <si>
    <t>L-0000875</t>
  </si>
  <si>
    <t>a0Aak00000GkVuO</t>
  </si>
  <si>
    <t>a0Aak00000GkVuPEAV</t>
  </si>
  <si>
    <t>LSN-00865</t>
  </si>
  <si>
    <t>L-0000876</t>
  </si>
  <si>
    <t>a0Aak00000GkVuP</t>
  </si>
  <si>
    <t>a0Aak00000GkVuQEAV</t>
  </si>
  <si>
    <t>LSN-00866</t>
  </si>
  <si>
    <t>L-0000877</t>
  </si>
  <si>
    <t>a0Aak00000GkVuQ</t>
  </si>
  <si>
    <t>a0Aak00000GkVuREAV</t>
  </si>
  <si>
    <t>LSN-00867</t>
  </si>
  <si>
    <t>L-0000878</t>
  </si>
  <si>
    <t>a0Aak00000GkVuR</t>
  </si>
  <si>
    <t>a0Aak00000GkVuSEAV</t>
  </si>
  <si>
    <t>LSN-00868</t>
  </si>
  <si>
    <t>L-0000879</t>
  </si>
  <si>
    <t>a0Aak00000GkVuS</t>
  </si>
  <si>
    <t>a0Aak00000GkVuTEAV</t>
  </si>
  <si>
    <t>LSN-00869</t>
  </si>
  <si>
    <t>L-0000880</t>
  </si>
  <si>
    <t>a0Aak00000GkVuT</t>
  </si>
  <si>
    <t>a0Aak00000GkVuUEAV</t>
  </si>
  <si>
    <t>LSN-00870</t>
  </si>
  <si>
    <t>L-0000881</t>
  </si>
  <si>
    <t>a0Aak00000GkVuU</t>
  </si>
  <si>
    <t>a0Aak00000GkVuVEAV</t>
  </si>
  <si>
    <t>LSN-00871</t>
  </si>
  <si>
    <t>L-0000882</t>
  </si>
  <si>
    <t>a0Aak00000GkVuV</t>
  </si>
  <si>
    <t>a0Aak00000GkVuWEAV</t>
  </si>
  <si>
    <t>LSN-00872</t>
  </si>
  <si>
    <t>L-0000883</t>
  </si>
  <si>
    <t>a0Aak00000GkVuW</t>
  </si>
  <si>
    <t>a0Aak00000GkVuXEAV</t>
  </si>
  <si>
    <t>LSN-00873</t>
  </si>
  <si>
    <t>L-0000884</t>
  </si>
  <si>
    <t>a0Aak00000GkVuX</t>
  </si>
  <si>
    <t>a0Aak00000GkVuYEAV</t>
  </si>
  <si>
    <t>LSN-00874</t>
  </si>
  <si>
    <t>L-0000885</t>
  </si>
  <si>
    <t>a0Aak00000GkVuY</t>
  </si>
  <si>
    <t>a0Aak00000GkVuZEAV</t>
  </si>
  <si>
    <t>LSN-00875</t>
  </si>
  <si>
    <t>L-0000886</t>
  </si>
  <si>
    <t>a0Aak00000GkVuZ</t>
  </si>
  <si>
    <t>a0Aak00000GkVuaEAF</t>
  </si>
  <si>
    <t>LSN-00876</t>
  </si>
  <si>
    <t>L-0000887</t>
  </si>
  <si>
    <t>a0Aak00000GkVua</t>
  </si>
  <si>
    <t>a0Aak00000GkVubEAF</t>
  </si>
  <si>
    <t>LSN-00877</t>
  </si>
  <si>
    <t>L-0000888</t>
  </si>
  <si>
    <t>a0Aak00000GkVub</t>
  </si>
  <si>
    <t>a0Aak00000GkVucEAF</t>
  </si>
  <si>
    <t>LSN-00878</t>
  </si>
  <si>
    <t>L-0000889</t>
  </si>
  <si>
    <t>a0Aak00000GkVuc</t>
  </si>
  <si>
    <t>a0Aak00000GkVudEAF</t>
  </si>
  <si>
    <t>LSN-00879</t>
  </si>
  <si>
    <t>L-0000890</t>
  </si>
  <si>
    <t>a0Aak00000GkVud</t>
  </si>
  <si>
    <t>12:00:00.000Z</t>
  </si>
  <si>
    <t>a0Aak00000GkVueEAF</t>
  </si>
  <si>
    <t>LSN-00880</t>
  </si>
  <si>
    <t>L-0000891</t>
  </si>
  <si>
    <t>a0Aak00000GkVue</t>
  </si>
  <si>
    <t>a0Aak00000GkVufEAF</t>
  </si>
  <si>
    <t>LSN-00881</t>
  </si>
  <si>
    <t>L-0000892</t>
  </si>
  <si>
    <t>a0Aak00000GkVuf</t>
  </si>
  <si>
    <t>a0Aak00000GkVugEAF</t>
  </si>
  <si>
    <t>LSN-00882</t>
  </si>
  <si>
    <t>L-0000893</t>
  </si>
  <si>
    <t>a0Aak00000GkVug</t>
  </si>
  <si>
    <t>a0Aak00000GkVuhEAF</t>
  </si>
  <si>
    <t>LSN-00883</t>
  </si>
  <si>
    <t>L-0000894</t>
  </si>
  <si>
    <t>a0Aak00000GkVuh</t>
  </si>
  <si>
    <t>a0Aak00000GkVuiEAF</t>
  </si>
  <si>
    <t>LSN-00884</t>
  </si>
  <si>
    <t>L-0000895</t>
  </si>
  <si>
    <t>a0Aak00000GkVui</t>
  </si>
  <si>
    <t>a0Aak00000GkVujEAF</t>
  </si>
  <si>
    <t>LSN-00885</t>
  </si>
  <si>
    <t>L-0000896</t>
  </si>
  <si>
    <t>a0Aak00000GkVuj</t>
  </si>
  <si>
    <t>a0Aak00000GkVukEAF</t>
  </si>
  <si>
    <t>LSN-00886</t>
  </si>
  <si>
    <t>L-0000897</t>
  </si>
  <si>
    <t>a0Aak00000GkVuk</t>
  </si>
  <si>
    <t>a0Aak00000GkVulEAF</t>
  </si>
  <si>
    <t>LSN-00887</t>
  </si>
  <si>
    <t>L-0000898</t>
  </si>
  <si>
    <t>a0Aak00000GkVul</t>
  </si>
  <si>
    <t>a0Aak00000GkVumEAF</t>
  </si>
  <si>
    <t>LSN-00888</t>
  </si>
  <si>
    <t>L-0000899</t>
  </si>
  <si>
    <t>a0Aak00000GkVum</t>
  </si>
  <si>
    <t>a0Aak00000GkVunEAF</t>
  </si>
  <si>
    <t>LSN-00889</t>
  </si>
  <si>
    <t>L-0000900</t>
  </si>
  <si>
    <t>a0Aak00000GkVun</t>
  </si>
  <si>
    <t>a0Aak00000GkVuoEAF</t>
  </si>
  <si>
    <t>LSN-00890</t>
  </si>
  <si>
    <t>L-0000901</t>
  </si>
  <si>
    <t>a0Aak00000GkVuo</t>
  </si>
  <si>
    <t>a0Aak00000GkVupEAF</t>
  </si>
  <si>
    <t>LSN-00891</t>
  </si>
  <si>
    <t>L-0000902</t>
  </si>
  <si>
    <t>a0Aak00000GkVup</t>
  </si>
  <si>
    <t>a0Aak00000GkVuqEAF</t>
  </si>
  <si>
    <t>LSN-00892</t>
  </si>
  <si>
    <t>L-0000903</t>
  </si>
  <si>
    <t>a0Aak00000GkVuq</t>
  </si>
  <si>
    <t>a0Aak00000GkVurEAF</t>
  </si>
  <si>
    <t>LSN-00893</t>
  </si>
  <si>
    <t>L-0000904</t>
  </si>
  <si>
    <t>a0Aak00000GkVur</t>
  </si>
  <si>
    <t>a0Aak00000GkVusEAF</t>
  </si>
  <si>
    <t>LSN-00894</t>
  </si>
  <si>
    <t>L-0000905</t>
  </si>
  <si>
    <t>a0Aak00000GkVus</t>
  </si>
  <si>
    <t>a0Aak00000GkVutEAF</t>
  </si>
  <si>
    <t>LSN-00895</t>
  </si>
  <si>
    <t>L-0000906</t>
  </si>
  <si>
    <t>a0Aak00000GkVut</t>
  </si>
  <si>
    <t>a0Aak00000GkVuuEAF</t>
  </si>
  <si>
    <t>LSN-00896</t>
  </si>
  <si>
    <t>L-0000907</t>
  </si>
  <si>
    <t>a0Aak00000GkVuu</t>
  </si>
  <si>
    <t>a0Aak00000GkVuvEAF</t>
  </si>
  <si>
    <t>LSN-00897</t>
  </si>
  <si>
    <t>L-0000908</t>
  </si>
  <si>
    <t>a0Aak00000GkVuv</t>
  </si>
  <si>
    <t>a0Aak00000GkVuwEAF</t>
  </si>
  <si>
    <t>LSN-00898</t>
  </si>
  <si>
    <t>L-0000909</t>
  </si>
  <si>
    <t>a0Aak00000GkVuw</t>
  </si>
  <si>
    <t>a0Aak00000GkVuxEAF</t>
  </si>
  <si>
    <t>LSN-00899</t>
  </si>
  <si>
    <t>L-0000910</t>
  </si>
  <si>
    <t>a0Aak00000GkVux</t>
  </si>
  <si>
    <t>a0Aak00000GkVuyEAF</t>
  </si>
  <si>
    <t>LSN-00900</t>
  </si>
  <si>
    <t>L-0000911</t>
  </si>
  <si>
    <t>a0Aak00000GkVuy</t>
  </si>
  <si>
    <t>a0Aak00000GkVuzEAF</t>
  </si>
  <si>
    <t>LSN-00901</t>
  </si>
  <si>
    <t>L-0000912</t>
  </si>
  <si>
    <t>a0Aak00000GkVuz</t>
  </si>
  <si>
    <t>a0Aak00000GkVv0EAF</t>
  </si>
  <si>
    <t>LSN-00902</t>
  </si>
  <si>
    <t>L-0000913</t>
  </si>
  <si>
    <t>a0Aak00000GkVv0</t>
  </si>
  <si>
    <t>a0Aak00000GkVv1EAF</t>
  </si>
  <si>
    <t>LSN-00903</t>
  </si>
  <si>
    <t>L-0000914</t>
  </si>
  <si>
    <t>a0Aak00000GkVv1</t>
  </si>
  <si>
    <t>a0Aak00000GkVv2EAF</t>
  </si>
  <si>
    <t>LSN-00904</t>
  </si>
  <si>
    <t>L-0000915</t>
  </si>
  <si>
    <t>a0Aak00000GkVv2</t>
  </si>
  <si>
    <t>a0Aak00000GkVv3EAF</t>
  </si>
  <si>
    <t>LSN-00905</t>
  </si>
  <si>
    <t>L-0000916</t>
  </si>
  <si>
    <t>a0Aak00000GkVv3</t>
  </si>
  <si>
    <t>a0Aak00000GkVv4EAF</t>
  </si>
  <si>
    <t>LSN-00906</t>
  </si>
  <si>
    <t>L-0000917</t>
  </si>
  <si>
    <t>a0Aak00000GkVv4</t>
  </si>
  <si>
    <t>a0Aak00000GkVv5EAF</t>
  </si>
  <si>
    <t>LSN-00907</t>
  </si>
  <si>
    <t>L-0000918</t>
  </si>
  <si>
    <t>a0Aak00000GkVv5</t>
  </si>
  <si>
    <t>a0Aak00000GkVv6EAF</t>
  </si>
  <si>
    <t>LSN-00908</t>
  </si>
  <si>
    <t>L-0000919</t>
  </si>
  <si>
    <t>a0Aak00000GkVv6</t>
  </si>
  <si>
    <t>a0Aak00000GkVv7EAF</t>
  </si>
  <si>
    <t>LSN-00909</t>
  </si>
  <si>
    <t>L-0000920</t>
  </si>
  <si>
    <t>a0Aak00000GkVv7</t>
  </si>
  <si>
    <t>a0Aak00000GkVv8EAF</t>
  </si>
  <si>
    <t>LSN-00910</t>
  </si>
  <si>
    <t>L-0000921</t>
  </si>
  <si>
    <t>a0Aak00000GkVv8</t>
  </si>
  <si>
    <t>a0Aak00000GkVv9EAF</t>
  </si>
  <si>
    <t>LSN-00911</t>
  </si>
  <si>
    <t>L-0000922</t>
  </si>
  <si>
    <t>a0Aak00000GkVv9</t>
  </si>
  <si>
    <t>a0Aak00000GkVvAEAV</t>
  </si>
  <si>
    <t>LSN-00912</t>
  </si>
  <si>
    <t>L-0000923</t>
  </si>
  <si>
    <t>a0Aak00000GkVvA</t>
  </si>
  <si>
    <t>a0Aak00000GkVvBEAV</t>
  </si>
  <si>
    <t>LSN-00913</t>
  </si>
  <si>
    <t>L-0000924</t>
  </si>
  <si>
    <t>a0Aak00000GkVvB</t>
  </si>
  <si>
    <t>a0Aak00000GkVvCEAV</t>
  </si>
  <si>
    <t>LSN-00914</t>
  </si>
  <si>
    <t>L-0000925</t>
  </si>
  <si>
    <t>a0Aak00000GkVvC</t>
  </si>
  <si>
    <t>a0Aak00000GkVvDEAV</t>
  </si>
  <si>
    <t>LSN-00915</t>
  </si>
  <si>
    <t>L-0000926</t>
  </si>
  <si>
    <t>a0Aak00000GkVvD</t>
  </si>
  <si>
    <t>a0Aak00000GkVvEEAV</t>
  </si>
  <si>
    <t>LSN-00916</t>
  </si>
  <si>
    <t>L-0000927</t>
  </si>
  <si>
    <t>a0Aak00000GkVvE</t>
  </si>
  <si>
    <t>a0Aak00000GkVvFEAV</t>
  </si>
  <si>
    <t>LSN-00917</t>
  </si>
  <si>
    <t>L-0000928</t>
  </si>
  <si>
    <t>a0Aak00000GkVvF</t>
  </si>
  <si>
    <t>a0Aak00000GkVvGEAV</t>
  </si>
  <si>
    <t>LSN-00918</t>
  </si>
  <si>
    <t>L-0000929</t>
  </si>
  <si>
    <t>a0Aak00000GkVvG</t>
  </si>
  <si>
    <t>a0Aak00000GkVvHEAV</t>
  </si>
  <si>
    <t>LSN-00919</t>
  </si>
  <si>
    <t>L-0000930</t>
  </si>
  <si>
    <t>a0Aak00000GkVvH</t>
  </si>
  <si>
    <t>a0Aak00000GkVvIEAV</t>
  </si>
  <si>
    <t>LSN-00920</t>
  </si>
  <si>
    <t>L-0000931</t>
  </si>
  <si>
    <t>a0Aak00000GkVvI</t>
  </si>
  <si>
    <t>a0Aak00000GkVvJEAV</t>
  </si>
  <si>
    <t>LSN-00921</t>
  </si>
  <si>
    <t>L-0000932</t>
  </si>
  <si>
    <t>a0Aak00000GkVvJ</t>
  </si>
  <si>
    <t>a0Aak00000GkVvKEAV</t>
  </si>
  <si>
    <t>LSN-00922</t>
  </si>
  <si>
    <t>L-0000933</t>
  </si>
  <si>
    <t>a0Aak00000GkVvK</t>
  </si>
  <si>
    <t>a0Aak00000GkVvLEAV</t>
  </si>
  <si>
    <t>LSN-00923</t>
  </si>
  <si>
    <t>L-0000934</t>
  </si>
  <si>
    <t>a0Aak00000GkVvL</t>
  </si>
  <si>
    <t>a0Aak00000GkVvMEAV</t>
  </si>
  <si>
    <t>LSN-00924</t>
  </si>
  <si>
    <t>L-0000935</t>
  </si>
  <si>
    <t>a0Aak00000GkVvM</t>
  </si>
  <si>
    <t>a0Aak00000GkVvNEAV</t>
  </si>
  <si>
    <t>LSN-00925</t>
  </si>
  <si>
    <t>L-0000936</t>
  </si>
  <si>
    <t>a0Aak00000GkVvN</t>
  </si>
  <si>
    <t>a0Aak00000GkVvOEAV</t>
  </si>
  <si>
    <t>LSN-00926</t>
  </si>
  <si>
    <t>L-0000937</t>
  </si>
  <si>
    <t>a0Aak00000GkVvO</t>
  </si>
  <si>
    <t>a0Aak00000GkVvPEAV</t>
  </si>
  <si>
    <t>LSN-00927</t>
  </si>
  <si>
    <t>L-0000938</t>
  </si>
  <si>
    <t>a0Aak00000GkVvP</t>
  </si>
  <si>
    <t>a0Aak00000GkVvQEAV</t>
  </si>
  <si>
    <t>LSN-00928</t>
  </si>
  <si>
    <t>L-0000939</t>
  </si>
  <si>
    <t>a0Aak00000GkVvQ</t>
  </si>
  <si>
    <t>a0Aak00000GkVvREAV</t>
  </si>
  <si>
    <t>LSN-00929</t>
  </si>
  <si>
    <t>L-0000940</t>
  </si>
  <si>
    <t>a0Aak00000GkVvR</t>
  </si>
  <si>
    <t>a0Aak00000GkVvSEAV</t>
  </si>
  <si>
    <t>LSN-00930</t>
  </si>
  <si>
    <t>L-0000941</t>
  </si>
  <si>
    <t>a0Aak00000GkVvS</t>
  </si>
  <si>
    <t>a0Aak00000GkVvTEAV</t>
  </si>
  <si>
    <t>LSN-00931</t>
  </si>
  <si>
    <t>L-0000942</t>
  </si>
  <si>
    <t>a0Aak00000GkVvT</t>
  </si>
  <si>
    <t>a0Aak00000GkVvUEAV</t>
  </si>
  <si>
    <t>LSN-00932</t>
  </si>
  <si>
    <t>L-0000943</t>
  </si>
  <si>
    <t>a0Aak00000GkVvU</t>
  </si>
  <si>
    <t>a0Aak00000GkVvVEAV</t>
  </si>
  <si>
    <t>LSN-00933</t>
  </si>
  <si>
    <t>L-0000944</t>
  </si>
  <si>
    <t>a0Aak00000GkVvV</t>
  </si>
  <si>
    <t>a0Aak00000GkVvWEAV</t>
  </si>
  <si>
    <t>LSN-00934</t>
  </si>
  <si>
    <t>L-0000945</t>
  </si>
  <si>
    <t>a0Aak00000GkVvW</t>
  </si>
  <si>
    <t>a0Aak00000GkVvXEAV</t>
  </si>
  <si>
    <t>LSN-00935</t>
  </si>
  <si>
    <t>L-0000946</t>
  </si>
  <si>
    <t>a0Aak00000GkVvX</t>
  </si>
  <si>
    <t>a0Aak00000GkVvYEAV</t>
  </si>
  <si>
    <t>LSN-00936</t>
  </si>
  <si>
    <t>L-0000947</t>
  </si>
  <si>
    <t>a0Aak00000GkVvY</t>
  </si>
  <si>
    <t>a0Aak00000GkVvZEAV</t>
  </si>
  <si>
    <t>LSN-00937</t>
  </si>
  <si>
    <t>L-0000948</t>
  </si>
  <si>
    <t>a0Aak00000GkVvZ</t>
  </si>
  <si>
    <t>a0Aak00000GkVvaEAF</t>
  </si>
  <si>
    <t>LSN-00938</t>
  </si>
  <si>
    <t>L-0000949</t>
  </si>
  <si>
    <t>a0Aak00000GkVva</t>
  </si>
  <si>
    <t>a0Aak00000GkVvbEAF</t>
  </si>
  <si>
    <t>LSN-00939</t>
  </si>
  <si>
    <t>L-0000950</t>
  </si>
  <si>
    <t>a0Aak00000GkVvb</t>
  </si>
  <si>
    <t>a0Aak00000GkVvcEAF</t>
  </si>
  <si>
    <t>LSN-00940</t>
  </si>
  <si>
    <t>L-0000951</t>
  </si>
  <si>
    <t>a0Aak00000GkVvc</t>
  </si>
  <si>
    <t>a0Aak00000GkVvdEAF</t>
  </si>
  <si>
    <t>LSN-00941</t>
  </si>
  <si>
    <t>L-0000952</t>
  </si>
  <si>
    <t>a0Aak00000GkVvd</t>
  </si>
  <si>
    <t>a0Aak00000GkVveEAF</t>
  </si>
  <si>
    <t>LSN-00942</t>
  </si>
  <si>
    <t>L-0000953</t>
  </si>
  <si>
    <t>a0Aak00000GkVve</t>
  </si>
  <si>
    <t>a0Aak00000GkVvfEAF</t>
  </si>
  <si>
    <t>LSN-00943</t>
  </si>
  <si>
    <t>L-0000954</t>
  </si>
  <si>
    <t>a0Aak00000GkVvf</t>
  </si>
  <si>
    <t>a0Aak00000GkVvgEAF</t>
  </si>
  <si>
    <t>LSN-00944</t>
  </si>
  <si>
    <t>L-0000955</t>
  </si>
  <si>
    <t>a0Aak00000GkVvg</t>
  </si>
  <si>
    <t>a0Aak00000GkVvhEAF</t>
  </si>
  <si>
    <t>LSN-00945</t>
  </si>
  <si>
    <t>L-0000956</t>
  </si>
  <si>
    <t>a0Aak00000GkVvh</t>
  </si>
  <si>
    <t>a0Aak00000GkVviEAF</t>
  </si>
  <si>
    <t>LSN-00946</t>
  </si>
  <si>
    <t>L-0000957</t>
  </si>
  <si>
    <t>a0Aak00000GkVvi</t>
  </si>
  <si>
    <t>a0Aak00000GkVvjEAF</t>
  </si>
  <si>
    <t>LSN-00947</t>
  </si>
  <si>
    <t>L-0000958</t>
  </si>
  <si>
    <t>a0Aak00000GkVvj</t>
  </si>
  <si>
    <t>a0Aak00000GkVvkEAF</t>
  </si>
  <si>
    <t>LSN-00948</t>
  </si>
  <si>
    <t>L-0000959</t>
  </si>
  <si>
    <t>a0Aak00000GkVvk</t>
  </si>
  <si>
    <t>a0Aak00000GkVvlEAF</t>
  </si>
  <si>
    <t>LSN-00949</t>
  </si>
  <si>
    <t>L-0000960</t>
  </si>
  <si>
    <t>a0Aak00000GkVvl</t>
  </si>
  <si>
    <t>a0Aak00000GkVvmEAF</t>
  </si>
  <si>
    <t>LSN-00950</t>
  </si>
  <si>
    <t>L-0000961</t>
  </si>
  <si>
    <t>a0Aak00000GkVvm</t>
  </si>
  <si>
    <t>a0Aak00000GkVvnEAF</t>
  </si>
  <si>
    <t>LSN-00951</t>
  </si>
  <si>
    <t>L-0000962</t>
  </si>
  <si>
    <t>a0Aak00000GkVvn</t>
  </si>
  <si>
    <t>a0Aak00000GkVvoEAF</t>
  </si>
  <si>
    <t>LSN-00952</t>
  </si>
  <si>
    <t>L-0000963</t>
  </si>
  <si>
    <t>a0Aak00000GkVvo</t>
  </si>
  <si>
    <t>a0Aak00000GkVvpEAF</t>
  </si>
  <si>
    <t>LSN-00953</t>
  </si>
  <si>
    <t>L-0000964</t>
  </si>
  <si>
    <t>a0Aak00000GkVvp</t>
  </si>
  <si>
    <t>a0Aak00000GkVvqEAF</t>
  </si>
  <si>
    <t>LSN-00954</t>
  </si>
  <si>
    <t>L-0000965</t>
  </si>
  <si>
    <t>a0Aak00000GkVvq</t>
  </si>
  <si>
    <t>a0Aak00000GkVvrEAF</t>
  </si>
  <si>
    <t>LSN-00955</t>
  </si>
  <si>
    <t>L-0000966</t>
  </si>
  <si>
    <t>a0Aak00000GkVvr</t>
  </si>
  <si>
    <t>a0Aak00000GkVvsEAF</t>
  </si>
  <si>
    <t>LSN-00956</t>
  </si>
  <si>
    <t>L-0000967</t>
  </si>
  <si>
    <t>a0Aak00000GkVvs</t>
  </si>
  <si>
    <t>10:30:00.000Z</t>
  </si>
  <si>
    <t>a0Aak00000GkVvtEAF</t>
  </si>
  <si>
    <t>LSN-00957</t>
  </si>
  <si>
    <t>L-0000968</t>
  </si>
  <si>
    <t>a0Aak00000GkVvt</t>
  </si>
  <si>
    <t>a0Aak00000GkVvuEAF</t>
  </si>
  <si>
    <t>LSN-00958</t>
  </si>
  <si>
    <t>L-0000969</t>
  </si>
  <si>
    <t>a0Aak00000GkVvu</t>
  </si>
  <si>
    <t>a0Aak00000GkVvvEAF</t>
  </si>
  <si>
    <t>LSN-00959</t>
  </si>
  <si>
    <t>L-0000970</t>
  </si>
  <si>
    <t>a0Aak00000GkVvv</t>
  </si>
  <si>
    <t>a0Aak00000GkVvwEAF</t>
  </si>
  <si>
    <t>LSN-00960</t>
  </si>
  <si>
    <t>L-0000971</t>
  </si>
  <si>
    <t>a0Aak00000GkVvw</t>
  </si>
  <si>
    <t>a0Aak00000GkVvxEAF</t>
  </si>
  <si>
    <t>LSN-00961</t>
  </si>
  <si>
    <t>L-0000972</t>
  </si>
  <si>
    <t>a0Aak00000GkVvx</t>
  </si>
  <si>
    <t>a0Aak00000GkVvyEAF</t>
  </si>
  <si>
    <t>LSN-00962</t>
  </si>
  <si>
    <t>L-0000973</t>
  </si>
  <si>
    <t>a0Aak00000GkVvy</t>
  </si>
  <si>
    <t>a0Aak00000GkVvzEAF</t>
  </si>
  <si>
    <t>LSN-00963</t>
  </si>
  <si>
    <t>L-0000974</t>
  </si>
  <si>
    <t>a0Aak00000GkVvz</t>
  </si>
  <si>
    <t>a0Aak00000GkVw0EAF</t>
  </si>
  <si>
    <t>LSN-00964</t>
  </si>
  <si>
    <t>L-0000975</t>
  </si>
  <si>
    <t>a0Aak00000GkVw0</t>
  </si>
  <si>
    <t>a0Aak00000GkVw1EAF</t>
  </si>
  <si>
    <t>LSN-00965</t>
  </si>
  <si>
    <t>L-0000976</t>
  </si>
  <si>
    <t>a0Aak00000GkVw1</t>
  </si>
  <si>
    <t>a0Aak00000GkVw2EAF</t>
  </si>
  <si>
    <t>LSN-00966</t>
  </si>
  <si>
    <t>L-0000977</t>
  </si>
  <si>
    <t>a0Aak00000GkVw2</t>
  </si>
  <si>
    <t>a0Aak00000GkVw3EAF</t>
  </si>
  <si>
    <t>LSN-00967</t>
  </si>
  <si>
    <t>L-0000978</t>
  </si>
  <si>
    <t>a0Aak00000GkVw3</t>
  </si>
  <si>
    <t>a0Aak00000GkVw4EAF</t>
  </si>
  <si>
    <t>LSN-00968</t>
  </si>
  <si>
    <t>L-0000979</t>
  </si>
  <si>
    <t>a0Aak00000GkVw4</t>
  </si>
  <si>
    <t>a0Aak00000GkVw5EAF</t>
  </si>
  <si>
    <t>LSN-00969</t>
  </si>
  <si>
    <t>L-0000980</t>
  </si>
  <si>
    <t>a0Aak00000GkVw5</t>
  </si>
  <si>
    <t>a0Aak00000GkVw6EAF</t>
  </si>
  <si>
    <t>LSN-00970</t>
  </si>
  <si>
    <t>L-0000981</t>
  </si>
  <si>
    <t>a0Aak00000GkVw6</t>
  </si>
  <si>
    <t>a0Aak00000GkVw7EAF</t>
  </si>
  <si>
    <t>LSN-00971</t>
  </si>
  <si>
    <t>L-0000982</t>
  </si>
  <si>
    <t>a0Aak00000GkVw7</t>
  </si>
  <si>
    <t>a0Aak00000GkVw8EAF</t>
  </si>
  <si>
    <t>LSN-00972</t>
  </si>
  <si>
    <t>L-0000983</t>
  </si>
  <si>
    <t>a0Aak00000GkVw8</t>
  </si>
  <si>
    <t>a0Aak00000GkVw9EAF</t>
  </si>
  <si>
    <t>LSN-00973</t>
  </si>
  <si>
    <t>L-0000984</t>
  </si>
  <si>
    <t>a0Aak00000GkVw9</t>
  </si>
  <si>
    <t>a0Aak00000GkVwAEAV</t>
  </si>
  <si>
    <t>LSN-00974</t>
  </si>
  <si>
    <t>L-0000985</t>
  </si>
  <si>
    <t>a0Aak00000GkVwA</t>
  </si>
  <si>
    <t>a0Aak00000GkVwBEAV</t>
  </si>
  <si>
    <t>LSN-00975</t>
  </si>
  <si>
    <t>L-0000986</t>
  </si>
  <si>
    <t>a0Aak00000GkVwB</t>
  </si>
  <si>
    <t>a0Aak00000GkVwCEAV</t>
  </si>
  <si>
    <t>LSN-00976</t>
  </si>
  <si>
    <t>L-0000987</t>
  </si>
  <si>
    <t>a0Aak00000GkVwC</t>
  </si>
  <si>
    <t>a0Aak00000GkVwDEAV</t>
  </si>
  <si>
    <t>LSN-00977</t>
  </si>
  <si>
    <t>L-0000988</t>
  </si>
  <si>
    <t>a0Aak00000GkVwD</t>
  </si>
  <si>
    <t>a0Aak00000GkVwEEAV</t>
  </si>
  <si>
    <t>LSN-00978</t>
  </si>
  <si>
    <t>L-0000989</t>
  </si>
  <si>
    <t>a0Aak00000GkVwE</t>
  </si>
  <si>
    <t>a0Aak00000GkVwFEAV</t>
  </si>
  <si>
    <t>LSN-00979</t>
  </si>
  <si>
    <t>L-0000990</t>
  </si>
  <si>
    <t>a0Aak00000GkVwF</t>
  </si>
  <si>
    <t>a0Aak00000GkVwGEAV</t>
  </si>
  <si>
    <t>LSN-00980</t>
  </si>
  <si>
    <t>L-0000991</t>
  </si>
  <si>
    <t>a0Aak00000GkVwG</t>
  </si>
  <si>
    <t>a0Aak00000GkVwHEAV</t>
  </si>
  <si>
    <t>LSN-00981</t>
  </si>
  <si>
    <t>L-0000992</t>
  </si>
  <si>
    <t>a0Aak00000GkVwH</t>
  </si>
  <si>
    <t>a0Aak00000GkVwIEAV</t>
  </si>
  <si>
    <t>LSN-00982</t>
  </si>
  <si>
    <t>L-0000993</t>
  </si>
  <si>
    <t>a0Aak00000GkVwI</t>
  </si>
  <si>
    <t>a0Aak00000GkVwJEAV</t>
  </si>
  <si>
    <t>LSN-00983</t>
  </si>
  <si>
    <t>L-0000994</t>
  </si>
  <si>
    <t>a0Aak00000GkVwJ</t>
  </si>
  <si>
    <t>a0Aak00000GkVwKEAV</t>
  </si>
  <si>
    <t>LSN-00984</t>
  </si>
  <si>
    <t>L-0000995</t>
  </si>
  <si>
    <t>a0Aak00000GkVwK</t>
  </si>
  <si>
    <t>a0Aak00000GkVwLEAV</t>
  </si>
  <si>
    <t>LSN-00985</t>
  </si>
  <si>
    <t>L-0000996</t>
  </si>
  <si>
    <t>a0Aak00000GkVwL</t>
  </si>
  <si>
    <t>a0Aak00000GkVwMEAV</t>
  </si>
  <si>
    <t>LSN-00986</t>
  </si>
  <si>
    <t>L-0000997</t>
  </si>
  <si>
    <t>a0Aak00000GkVwM</t>
  </si>
  <si>
    <t>a0Aak00000GkVwNEAV</t>
  </si>
  <si>
    <t>LSN-00987</t>
  </si>
  <si>
    <t>L-0000998</t>
  </si>
  <si>
    <t>a0Aak00000GkVwN</t>
  </si>
  <si>
    <t>a0Aak00000GkVwOEAV</t>
  </si>
  <si>
    <t>LSN-00988</t>
  </si>
  <si>
    <t>L-0000999</t>
  </si>
  <si>
    <t>a0Aak00000GkVwO</t>
  </si>
  <si>
    <t>a0Aak00000GkVwPEAV</t>
  </si>
  <si>
    <t>LSN-00989</t>
  </si>
  <si>
    <t>L-0001000</t>
  </si>
  <si>
    <t>a0Aak00000GkVwP</t>
  </si>
  <si>
    <t>a0Aak00000GkVwQEAV</t>
  </si>
  <si>
    <t>LSN-00990</t>
  </si>
  <si>
    <t>L-0001001</t>
  </si>
  <si>
    <t>a0Aak00000GkVwQ</t>
  </si>
  <si>
    <t>a0Aak00000GkVwREAV</t>
  </si>
  <si>
    <t>LSN-00991</t>
  </si>
  <si>
    <t>L-0001002</t>
  </si>
  <si>
    <t>a0Aak00000GkVwR</t>
  </si>
  <si>
    <t>a0Aak00000GkVwSEAV</t>
  </si>
  <si>
    <t>LSN-00992</t>
  </si>
  <si>
    <t>L-0001003</t>
  </si>
  <si>
    <t>a0Aak00000GkVwS</t>
  </si>
  <si>
    <t>a0Aak00000GkVwTEAV</t>
  </si>
  <si>
    <t>LSN-00993</t>
  </si>
  <si>
    <t>L-0001004</t>
  </si>
  <si>
    <t>a0Aak00000GkVwT</t>
  </si>
  <si>
    <t>a0Aak00000GkVwUEAV</t>
  </si>
  <si>
    <t>LSN-00994</t>
  </si>
  <si>
    <t>L-0001005</t>
  </si>
  <si>
    <t>a0Aak00000GkVwU</t>
  </si>
  <si>
    <t>a0Aak00000GkVwVEAV</t>
  </si>
  <si>
    <t>LSN-00995</t>
  </si>
  <si>
    <t>L-0001006</t>
  </si>
  <si>
    <t>a0Aak00000GkVwV</t>
  </si>
  <si>
    <t>a0Aak00000GkVwWEAV</t>
  </si>
  <si>
    <t>LSN-00996</t>
  </si>
  <si>
    <t>L-0001007</t>
  </si>
  <si>
    <t>a0Aak00000GkVwW</t>
  </si>
  <si>
    <t>a0Aak00000GkVwXEAV</t>
  </si>
  <si>
    <t>LSN-00997</t>
  </si>
  <si>
    <t>L-0001008</t>
  </si>
  <si>
    <t>a0Aak00000GkVwX</t>
  </si>
  <si>
    <t>a0Aak00000GkVwYEAV</t>
  </si>
  <si>
    <t>LSN-00998</t>
  </si>
  <si>
    <t>L-0001009</t>
  </si>
  <si>
    <t>a0Aak00000GkVwY</t>
  </si>
  <si>
    <t>a0Aak00000GkVwZEAV</t>
  </si>
  <si>
    <t>LSN-00999</t>
  </si>
  <si>
    <t>L-0001010</t>
  </si>
  <si>
    <t>a0Aak00000GkVwZ</t>
  </si>
  <si>
    <t>a0Aak00000GkVwaEAF</t>
  </si>
  <si>
    <t>LSN-01000</t>
  </si>
  <si>
    <t>L-0001011</t>
  </si>
  <si>
    <t>a0Aak00000GkVwa</t>
  </si>
  <si>
    <t>a0Aak00000GkVwbEAF</t>
  </si>
  <si>
    <t>LSN-01001</t>
  </si>
  <si>
    <t>L-0001012</t>
  </si>
  <si>
    <t>a0Aak00000GkVwb</t>
  </si>
  <si>
    <t>a0Aak00000GkVwcEAF</t>
  </si>
  <si>
    <t>LSN-01002</t>
  </si>
  <si>
    <t>L-0001013</t>
  </si>
  <si>
    <t>a0Aak00000GkVwc</t>
  </si>
  <si>
    <t>a0Aak00000GkVwdEAF</t>
  </si>
  <si>
    <t>LSN-01003</t>
  </si>
  <si>
    <t>L-0001014</t>
  </si>
  <si>
    <t>a0Aak00000GkVwd</t>
  </si>
  <si>
    <t>a0Aak00000GkVweEAF</t>
  </si>
  <si>
    <t>LSN-01004</t>
  </si>
  <si>
    <t>L-0001015</t>
  </si>
  <si>
    <t>a0Aak00000GkVwe</t>
  </si>
  <si>
    <t>a0Aak00000GkVwfEAF</t>
  </si>
  <si>
    <t>LSN-01005</t>
  </si>
  <si>
    <t>L-0001016</t>
  </si>
  <si>
    <t>a0Aak00000GkVwf</t>
  </si>
  <si>
    <t>a0Aak00000GkVwgEAF</t>
  </si>
  <si>
    <t>LSN-01006</t>
  </si>
  <si>
    <t>L-0001017</t>
  </si>
  <si>
    <t>a0Aak00000GkVwg</t>
  </si>
  <si>
    <t>a0Aak00000GkVwhEAF</t>
  </si>
  <si>
    <t>LSN-01007</t>
  </si>
  <si>
    <t>L-0001018</t>
  </si>
  <si>
    <t>a0Aak00000GkVwh</t>
  </si>
  <si>
    <t>a0Aak00000GkVwiEAF</t>
  </si>
  <si>
    <t>LSN-01008</t>
  </si>
  <si>
    <t>L-0001019</t>
  </si>
  <si>
    <t>a0Aak00000GkVwi</t>
  </si>
  <si>
    <t>a0Aak00000GkVwjEAF</t>
  </si>
  <si>
    <t>LSN-01009</t>
  </si>
  <si>
    <t>L-0001020</t>
  </si>
  <si>
    <t>a0Aak00000GkVwj</t>
  </si>
  <si>
    <t>a0Aak00000GkVwkEAF</t>
  </si>
  <si>
    <t>LSN-01010</t>
  </si>
  <si>
    <t>L-0001021</t>
  </si>
  <si>
    <t>a0Aak00000GkVwk</t>
  </si>
  <si>
    <t>a0Aak00000GkVwlEAF</t>
  </si>
  <si>
    <t>LSN-01011</t>
  </si>
  <si>
    <t>L-0001022</t>
  </si>
  <si>
    <t>a0Aak00000GkVwl</t>
  </si>
  <si>
    <t>a0Aak00000GkVwmEAF</t>
  </si>
  <si>
    <t>LSN-01012</t>
  </si>
  <si>
    <t>L-0001023</t>
  </si>
  <si>
    <t>a0Aak00000GkVwm</t>
  </si>
  <si>
    <t>a0Aak00000GkVwnEAF</t>
  </si>
  <si>
    <t>LSN-01013</t>
  </si>
  <si>
    <t>L-0001024</t>
  </si>
  <si>
    <t>a0Aak00000GkVwn</t>
  </si>
  <si>
    <t>a0Aak00000GkVwoEAF</t>
  </si>
  <si>
    <t>LSN-01014</t>
  </si>
  <si>
    <t>L-0001025</t>
  </si>
  <si>
    <t>a0Aak00000GkVwo</t>
  </si>
  <si>
    <t>a0Aak00000GkVwpEAF</t>
  </si>
  <si>
    <t>LSN-01015</t>
  </si>
  <si>
    <t>L-0001026</t>
  </si>
  <si>
    <t>a0Aak00000GkVwp</t>
  </si>
  <si>
    <t>a0Aak00000GkVwqEAF</t>
  </si>
  <si>
    <t>LSN-01016</t>
  </si>
  <si>
    <t>L-0001027</t>
  </si>
  <si>
    <t>a0Aak00000GkVwq</t>
  </si>
  <si>
    <t>a0Aak00000GkVwrEAF</t>
  </si>
  <si>
    <t>LSN-01017</t>
  </si>
  <si>
    <t>L-0001028</t>
  </si>
  <si>
    <t>a0Aak00000GkVwr</t>
  </si>
  <si>
    <t>a0Aak00000GkVwsEAF</t>
  </si>
  <si>
    <t>LSN-01018</t>
  </si>
  <si>
    <t>L-0001029</t>
  </si>
  <si>
    <t>a0Aak00000GkVws</t>
  </si>
  <si>
    <t>a0Aak00000GkVwtEAF</t>
  </si>
  <si>
    <t>LSN-01019</t>
  </si>
  <si>
    <t>L-0001030</t>
  </si>
  <si>
    <t>a0Aak00000GkVwt</t>
  </si>
  <si>
    <t>a0Aak00000GkVwuEAF</t>
  </si>
  <si>
    <t>LSN-01020</t>
  </si>
  <si>
    <t>L-0001031</t>
  </si>
  <si>
    <t>a0Aak00000GkVwu</t>
  </si>
  <si>
    <t>a0Aak00000GkVwvEAF</t>
  </si>
  <si>
    <t>LSN-01021</t>
  </si>
  <si>
    <t>L-0001032</t>
  </si>
  <si>
    <t>a0Aak00000GkVwv</t>
  </si>
  <si>
    <t>a0Aak00000GkVwwEAF</t>
  </si>
  <si>
    <t>LSN-01022</t>
  </si>
  <si>
    <t>L-0001033</t>
  </si>
  <si>
    <t>a0Aak00000GkVww</t>
  </si>
  <si>
    <t>a0Aak00000GkVwxEAF</t>
  </si>
  <si>
    <t>LSN-01023</t>
  </si>
  <si>
    <t>L-0001034</t>
  </si>
  <si>
    <t>a0Aak00000GkVwx</t>
  </si>
  <si>
    <t>a0Aak00000GkVwyEAF</t>
  </si>
  <si>
    <t>LSN-01024</t>
  </si>
  <si>
    <t>L-0001035</t>
  </si>
  <si>
    <t>a0Aak00000GkVwy</t>
  </si>
  <si>
    <t>a0Aak00000GkVwzEAF</t>
  </si>
  <si>
    <t>LSN-01025</t>
  </si>
  <si>
    <t>L-0001036</t>
  </si>
  <si>
    <t>a0Aak00000GkVwz</t>
  </si>
  <si>
    <t>a0Aak00000GkVx0EAF</t>
  </si>
  <si>
    <t>LSN-01026</t>
  </si>
  <si>
    <t>L-0001037</t>
  </si>
  <si>
    <t>a0Aak00000GkVx0</t>
  </si>
  <si>
    <t>a0Aak00000GkVx1EAF</t>
  </si>
  <si>
    <t>LSN-01027</t>
  </si>
  <si>
    <t>L-0001038</t>
  </si>
  <si>
    <t>a0Aak00000GkVx1</t>
  </si>
  <si>
    <t>a0Aak00000GkVx2EAF</t>
  </si>
  <si>
    <t>LSN-01028</t>
  </si>
  <si>
    <t>L-0001039</t>
  </si>
  <si>
    <t>a0Aak00000GkVx2</t>
  </si>
  <si>
    <t>a0Aak00000GkVx3EAF</t>
  </si>
  <si>
    <t>LSN-01029</t>
  </si>
  <si>
    <t>L-0001040</t>
  </si>
  <si>
    <t>a0Aak00000GkVx3</t>
  </si>
  <si>
    <t>a0Aak00000GkVx4EAF</t>
  </si>
  <si>
    <t>LSN-01030</t>
  </si>
  <si>
    <t>L-0001041</t>
  </si>
  <si>
    <t>a0Aak00000GkVx4</t>
  </si>
  <si>
    <t>a0Aak00000GkVx5EAF</t>
  </si>
  <si>
    <t>LSN-01031</t>
  </si>
  <si>
    <t>L-0001042</t>
  </si>
  <si>
    <t>a0Aak00000GkVx5</t>
  </si>
  <si>
    <t>a0Aak00000GkVx6EAF</t>
  </si>
  <si>
    <t>LSN-01032</t>
  </si>
  <si>
    <t>L-0001043</t>
  </si>
  <si>
    <t>a0Aak00000GkVx6</t>
  </si>
  <si>
    <t>a0Aak00000GkVx7EAF</t>
  </si>
  <si>
    <t>LSN-01033</t>
  </si>
  <si>
    <t>L-0001044</t>
  </si>
  <si>
    <t>a0Aak00000GkVx7</t>
  </si>
  <si>
    <t>a0Aak00000GkVx8EAF</t>
  </si>
  <si>
    <t>LSN-01034</t>
  </si>
  <si>
    <t>L-0001045</t>
  </si>
  <si>
    <t>a0Aak00000GkVx8</t>
  </si>
  <si>
    <t>a0Aak00000GkVx9EAF</t>
  </si>
  <si>
    <t>LSN-01035</t>
  </si>
  <si>
    <t>L-0001046</t>
  </si>
  <si>
    <t>a0Aak00000GkVx9</t>
  </si>
  <si>
    <t>a0Aak00000GkVxAEAV</t>
  </si>
  <si>
    <t>LSN-01036</t>
  </si>
  <si>
    <t>L-0001047</t>
  </si>
  <si>
    <t>a0Aak00000GkVxA</t>
  </si>
  <si>
    <t>a0Aak00000GkVxBEAV</t>
  </si>
  <si>
    <t>LSN-01037</t>
  </si>
  <si>
    <t>L-0001048</t>
  </si>
  <si>
    <t>a0Aak00000GkVxB</t>
  </si>
  <si>
    <t>a0Aak00000GkVxCEAV</t>
  </si>
  <si>
    <t>LSN-01038</t>
  </si>
  <si>
    <t>L-0001049</t>
  </si>
  <si>
    <t>a0Aak00000GkVxC</t>
  </si>
  <si>
    <t>a0Aak00000GkVxDEAV</t>
  </si>
  <si>
    <t>LSN-01039</t>
  </si>
  <si>
    <t>L-0001050</t>
  </si>
  <si>
    <t>a0Aak00000GkVxD</t>
  </si>
  <si>
    <t>a0Aak00000GkVxEEAV</t>
  </si>
  <si>
    <t>LSN-01040</t>
  </si>
  <si>
    <t>L-0001051</t>
  </si>
  <si>
    <t>a0Aak00000GkVxE</t>
  </si>
  <si>
    <t>a0Aak00000GkVxFEAV</t>
  </si>
  <si>
    <t>LSN-01139</t>
  </si>
  <si>
    <t>L-0001150</t>
  </si>
  <si>
    <t>a0Aak00000GkVxF</t>
  </si>
  <si>
    <t>a0Aak00000GkVxGEAV</t>
  </si>
  <si>
    <t>LSN-01140</t>
  </si>
  <si>
    <t>L-0001151</t>
  </si>
  <si>
    <t>a0Aak00000GkVxG</t>
  </si>
  <si>
    <t>a0Aak00000GkVxHEAV</t>
  </si>
  <si>
    <t>LSN-01141</t>
  </si>
  <si>
    <t>L-0001152</t>
  </si>
  <si>
    <t>a0Aak00000GkVxH</t>
  </si>
  <si>
    <t>a0Aak00000GkVxIEAV</t>
  </si>
  <si>
    <t>LSN-01142</t>
  </si>
  <si>
    <t>L-0001153</t>
  </si>
  <si>
    <t>a0Aak00000GkVxI</t>
  </si>
  <si>
    <t>a0Aak00000GkVxJEAV</t>
  </si>
  <si>
    <t>LSN-01143</t>
  </si>
  <si>
    <t>L-0001154</t>
  </si>
  <si>
    <t>a0Aak00000GkVxJ</t>
  </si>
  <si>
    <t>a0Aak00000GkVxKEAV</t>
  </si>
  <si>
    <t>LSN-01144</t>
  </si>
  <si>
    <t>L-0001155</t>
  </si>
  <si>
    <t>a0Aak00000GkVxK</t>
  </si>
  <si>
    <t>a0Aak00000GkVxLEAV</t>
  </si>
  <si>
    <t>LSN-01145</t>
  </si>
  <si>
    <t>L-0001156</t>
  </si>
  <si>
    <t>a0Aak00000GkVxL</t>
  </si>
  <si>
    <t>a0Aak00000GkVxMEAV</t>
  </si>
  <si>
    <t>LSN-01146</t>
  </si>
  <si>
    <t>L-0001157</t>
  </si>
  <si>
    <t>a0Aak00000GkVxM</t>
  </si>
  <si>
    <t>a0Aak00000GkVxNEAV</t>
  </si>
  <si>
    <t>LSN-01147</t>
  </si>
  <si>
    <t>L-0001158</t>
  </si>
  <si>
    <t>a0Aak00000GkVxN</t>
  </si>
  <si>
    <t>a0Aak00000GkVxOEAV</t>
  </si>
  <si>
    <t>LSN-01148</t>
  </si>
  <si>
    <t>L-0001159</t>
  </si>
  <si>
    <t>a0Aak00000GkVxO</t>
  </si>
  <si>
    <t>a0Aak00000GkVxPEAV</t>
  </si>
  <si>
    <t>LSN-01149</t>
  </si>
  <si>
    <t>L-0001160</t>
  </si>
  <si>
    <t>a0Aak00000GkVxP</t>
  </si>
  <si>
    <t>a0Aak00000GkVxQEAV</t>
  </si>
  <si>
    <t>LSN-01150</t>
  </si>
  <si>
    <t>L-0001161</t>
  </si>
  <si>
    <t>a0Aak00000GkVxQ</t>
  </si>
  <si>
    <t>a0Aak00000GkVxREAV</t>
  </si>
  <si>
    <t>LSN-01151</t>
  </si>
  <si>
    <t>L-0001162</t>
  </si>
  <si>
    <t>a0Aak00000GkVxR</t>
  </si>
  <si>
    <t>a0Aak00000GkVxSEAV</t>
  </si>
  <si>
    <t>LSN-01152</t>
  </si>
  <si>
    <t>L-0001163</t>
  </si>
  <si>
    <t>a0Aak00000GkVxS</t>
  </si>
  <si>
    <t>a0Aak00000GkVxTEAV</t>
  </si>
  <si>
    <t>LSN-01153</t>
  </si>
  <si>
    <t>L-0001164</t>
  </si>
  <si>
    <t>a0Aak00000GkVxT</t>
  </si>
  <si>
    <t>a0Aak00000GkVxUEAV</t>
  </si>
  <si>
    <t>LSN-01154</t>
  </si>
  <si>
    <t>L-0001165</t>
  </si>
  <si>
    <t>a0Aak00000GkVxU</t>
  </si>
  <si>
    <t>a0Aak00000GkVxVEAV</t>
  </si>
  <si>
    <t>LSN-01155</t>
  </si>
  <si>
    <t>L-0001166</t>
  </si>
  <si>
    <t>a0Aak00000GkVxV</t>
  </si>
  <si>
    <t>a0Aak00000GkVxWEAV</t>
  </si>
  <si>
    <t>LSN-01156</t>
  </si>
  <si>
    <t>L-0001167</t>
  </si>
  <si>
    <t>a0Aak00000GkVxW</t>
  </si>
  <si>
    <t>a0Aak00000GkVxXEAV</t>
  </si>
  <si>
    <t>LSN-01157</t>
  </si>
  <si>
    <t>L-0001168</t>
  </si>
  <si>
    <t>a0Aak00000GkVxX</t>
  </si>
  <si>
    <t>a0Aak00000GkVxYEAV</t>
  </si>
  <si>
    <t>LSN-01158</t>
  </si>
  <si>
    <t>L-0001169</t>
  </si>
  <si>
    <t>a0Aak00000GkVxY</t>
  </si>
  <si>
    <t>a0Aak00000GkVxZEAV</t>
  </si>
  <si>
    <t>LSN-01159</t>
  </si>
  <si>
    <t>L-0001170</t>
  </si>
  <si>
    <t>a0Aak00000GkVxZ</t>
  </si>
  <si>
    <t>a0Aak00000GkVxaEAF</t>
  </si>
  <si>
    <t>LSN-01160</t>
  </si>
  <si>
    <t>L-0001171</t>
  </si>
  <si>
    <t>a0Aak00000GkVxa</t>
  </si>
  <si>
    <t>a0Aak00000GkVxbEAF</t>
  </si>
  <si>
    <t>LSN-01161</t>
  </si>
  <si>
    <t>L-0001172</t>
  </si>
  <si>
    <t>a0Aak00000GkVxb</t>
  </si>
  <si>
    <t>a0Aak00000GkVxcEAF</t>
  </si>
  <si>
    <t>LSN-01162</t>
  </si>
  <si>
    <t>L-0001173</t>
  </si>
  <si>
    <t>a0Aak00000GkVxc</t>
  </si>
  <si>
    <t>a0Aak00000GkVxdEAF</t>
  </si>
  <si>
    <t>LSN-01163</t>
  </si>
  <si>
    <t>L-0001174</t>
  </si>
  <si>
    <t>a0Aak00000GkVxd</t>
  </si>
  <si>
    <t>a0Aak00000GkVxeEAF</t>
  </si>
  <si>
    <t>LSN-01164</t>
  </si>
  <si>
    <t>L-0001175</t>
  </si>
  <si>
    <t>a0Aak00000GkVxe</t>
  </si>
  <si>
    <t>a0Aak00000GkVxfEAF</t>
  </si>
  <si>
    <t>LSN-01165</t>
  </si>
  <si>
    <t>L-0001176</t>
  </si>
  <si>
    <t>a0Aak00000GkVxf</t>
  </si>
  <si>
    <t>a0Aak00000GkVxgEAF</t>
  </si>
  <si>
    <t>LSN-01166</t>
  </si>
  <si>
    <t>L-0001177</t>
  </si>
  <si>
    <t>a0Aak00000GkVxg</t>
  </si>
  <si>
    <t>a0Aak00000GkVxhEAF</t>
  </si>
  <si>
    <t>LSN-01167</t>
  </si>
  <si>
    <t>L-0001178</t>
  </si>
  <si>
    <t>a0Aak00000GkVxh</t>
  </si>
  <si>
    <t>a0Aak00000GkVxiEAF</t>
  </si>
  <si>
    <t>LSN-01168</t>
  </si>
  <si>
    <t>L-0001179</t>
  </si>
  <si>
    <t>a0Aak00000GkVxi</t>
  </si>
  <si>
    <t>a0Aak00000GkVxjEAF</t>
  </si>
  <si>
    <t>LSN-01169</t>
  </si>
  <si>
    <t>L-0001180</t>
  </si>
  <si>
    <t>a0Aak00000GkVxj</t>
  </si>
  <si>
    <t>a0Aak00000GkVxkEAF</t>
  </si>
  <si>
    <t>LSN-01170</t>
  </si>
  <si>
    <t>L-0001181</t>
  </si>
  <si>
    <t>a0Aak00000GkVxk</t>
  </si>
  <si>
    <t>a0Aak00000GkVxlEAF</t>
  </si>
  <si>
    <t>LSN-01171</t>
  </si>
  <si>
    <t>L-0001182</t>
  </si>
  <si>
    <t>a0Aak00000GkVxl</t>
  </si>
  <si>
    <t>a0Aak00000GkVxmEAF</t>
  </si>
  <si>
    <t>LSN-01172</t>
  </si>
  <si>
    <t>L-0001183</t>
  </si>
  <si>
    <t>a0Aak00000GkVxm</t>
  </si>
  <si>
    <t>a0Aak00000GkVxnEAF</t>
  </si>
  <si>
    <t>LSN-01173</t>
  </si>
  <si>
    <t>L-0001184</t>
  </si>
  <si>
    <t>a0Aak00000GkVxn</t>
  </si>
  <si>
    <t>a0Aak00000GkVxoEAF</t>
  </si>
  <si>
    <t>LSN-01174</t>
  </si>
  <si>
    <t>L-0001185</t>
  </si>
  <si>
    <t>a0Aak00000GkVxo</t>
  </si>
  <si>
    <t>a0Aak00000GkVxpEAF</t>
  </si>
  <si>
    <t>LSN-01175</t>
  </si>
  <si>
    <t>L-0001186</t>
  </si>
  <si>
    <t>a0Aak00000GkVxp</t>
  </si>
  <si>
    <t>a0Aak00000GkVxqEAF</t>
  </si>
  <si>
    <t>LSN-01176</t>
  </si>
  <si>
    <t>L-0001187</t>
  </si>
  <si>
    <t>a0Aak00000GkVxq</t>
  </si>
  <si>
    <t>a0Aak00000GkVxrEAF</t>
  </si>
  <si>
    <t>LSN-01177</t>
  </si>
  <si>
    <t>L-0001188</t>
  </si>
  <si>
    <t>a0Aak00000GkVxr</t>
  </si>
  <si>
    <t>a0Aak00000GkVxsEAF</t>
  </si>
  <si>
    <t>LSN-01178</t>
  </si>
  <si>
    <t>L-0001189</t>
  </si>
  <si>
    <t>a0Aak00000GkVxs</t>
  </si>
  <si>
    <t>a0Aak00000GkVxtEAF</t>
  </si>
  <si>
    <t>LSN-01179</t>
  </si>
  <si>
    <t>L-0001190</t>
  </si>
  <si>
    <t>a0Aak00000GkVxt</t>
  </si>
  <si>
    <t>a0Aak00000GkVxuEAF</t>
  </si>
  <si>
    <t>LSN-01180</t>
  </si>
  <si>
    <t>L-0001191</t>
  </si>
  <si>
    <t>a0Aak00000GkVxu</t>
  </si>
  <si>
    <t>a0Aak00000GkVxvEAF</t>
  </si>
  <si>
    <t>LSN-01181</t>
  </si>
  <si>
    <t>L-0001192</t>
  </si>
  <si>
    <t>a0Aak00000GkVxv</t>
  </si>
  <si>
    <t>a0Aak00000GkVxwEAF</t>
  </si>
  <si>
    <t>LSN-01182</t>
  </si>
  <si>
    <t>L-0001193</t>
  </si>
  <si>
    <t>a0Aak00000GkVxw</t>
  </si>
  <si>
    <t>a0Aak00000GkVxxEAF</t>
  </si>
  <si>
    <t>LSN-01183</t>
  </si>
  <si>
    <t>L-0001194</t>
  </si>
  <si>
    <t>a0Aak00000GkVxx</t>
  </si>
  <si>
    <t>a0Aak00000GkVxyEAF</t>
  </si>
  <si>
    <t>LSN-01184</t>
  </si>
  <si>
    <t>L-0001195</t>
  </si>
  <si>
    <t>a0Aak00000GkVxy</t>
  </si>
  <si>
    <t>a0Aak00000GkVxzEAF</t>
  </si>
  <si>
    <t>LSN-01185</t>
  </si>
  <si>
    <t>L-0001196</t>
  </si>
  <si>
    <t>a0Aak00000GkVxz</t>
  </si>
  <si>
    <t>a0Aak00000GkVy0EAF</t>
  </si>
  <si>
    <t>LSN-01186</t>
  </si>
  <si>
    <t>L-0001197</t>
  </si>
  <si>
    <t>a0Aak00000GkVy0</t>
  </si>
  <si>
    <t>a0Aak00000GkVy1EAF</t>
  </si>
  <si>
    <t>LSN-01187</t>
  </si>
  <si>
    <t>L-0001198</t>
  </si>
  <si>
    <t>a0Aak00000GkVy1</t>
  </si>
  <si>
    <t>a0Aak00000GkVy2EAF</t>
  </si>
  <si>
    <t>LSN-01188</t>
  </si>
  <si>
    <t>L-0001199</t>
  </si>
  <si>
    <t>a0Aak00000GkVy2</t>
  </si>
  <si>
    <t>a0Aak00000GkVy3EAF</t>
  </si>
  <si>
    <t>LSN-01189</t>
  </si>
  <si>
    <t>L-0001200</t>
  </si>
  <si>
    <t>a0Aak00000GkVy3</t>
  </si>
  <si>
    <t>a0Aak00000GkVy4EAF</t>
  </si>
  <si>
    <t>LSN-01190</t>
  </si>
  <si>
    <t>L-0001201</t>
  </si>
  <si>
    <t>a0Aak00000GkVy4</t>
  </si>
  <si>
    <t>a0Aak00000GkVy5EAF</t>
  </si>
  <si>
    <t>LSN-01191</t>
  </si>
  <si>
    <t>L-0001202</t>
  </si>
  <si>
    <t>a0Aak00000GkVy5</t>
  </si>
  <si>
    <t>a0Aak00000GkVy6EAF</t>
  </si>
  <si>
    <t>LSN-01192</t>
  </si>
  <si>
    <t>L-0001203</t>
  </si>
  <si>
    <t>a0Aak00000GkVy6</t>
  </si>
  <si>
    <t>a0Aak00000GkVy7EAF</t>
  </si>
  <si>
    <t>LSN-01193</t>
  </si>
  <si>
    <t>L-0001204</t>
  </si>
  <si>
    <t>a0Aak00000GkVy7</t>
  </si>
  <si>
    <t>a0Aak00000GkVy8EAF</t>
  </si>
  <si>
    <t>LSN-01194</t>
  </si>
  <si>
    <t>L-0001205</t>
  </si>
  <si>
    <t>a0Aak00000GkVy8</t>
  </si>
  <si>
    <t>a0Aak00000GkVy9EAF</t>
  </si>
  <si>
    <t>LSN-01195</t>
  </si>
  <si>
    <t>L-0001206</t>
  </si>
  <si>
    <t>a0Aak00000GkVy9</t>
  </si>
  <si>
    <t>a0Aak00000GkVyAEAV</t>
  </si>
  <si>
    <t>LSN-01196</t>
  </si>
  <si>
    <t>L-0001207</t>
  </si>
  <si>
    <t>a0Aak00000GkVyA</t>
  </si>
  <si>
    <t>a0Aak00000GkVyBEAV</t>
  </si>
  <si>
    <t>LSN-01197</t>
  </si>
  <si>
    <t>L-0001208</t>
  </si>
  <si>
    <t>a0Aak00000GkVyB</t>
  </si>
  <si>
    <t>a0Aak00000GkVyCEAV</t>
  </si>
  <si>
    <t>LSN-01198</t>
  </si>
  <si>
    <t>L-0001209</t>
  </si>
  <si>
    <t>a0Aak00000GkVyC</t>
  </si>
  <si>
    <t>a0Aak00000GkVyDEAV</t>
  </si>
  <si>
    <t>LSN-01199</t>
  </si>
  <si>
    <t>L-0001210</t>
  </si>
  <si>
    <t>a0Aak00000GkVyD</t>
  </si>
  <si>
    <t>a0Aak00000GkVyEEAV</t>
  </si>
  <si>
    <t>LSN-01200</t>
  </si>
  <si>
    <t>L-0001211</t>
  </si>
  <si>
    <t>a0Aak00000GkVyE</t>
  </si>
  <si>
    <t>a0Aak00000GkVyFEAV</t>
  </si>
  <si>
    <t>LSN-01201</t>
  </si>
  <si>
    <t>L-0001212</t>
  </si>
  <si>
    <t>a0Aak00000GkVyF</t>
  </si>
  <si>
    <t>a0Aak00000GkVyGEAV</t>
  </si>
  <si>
    <t>LSN-01202</t>
  </si>
  <si>
    <t>L-0001213</t>
  </si>
  <si>
    <t>a0Aak00000GkVyG</t>
  </si>
  <si>
    <t>a0Aak00000GkVyHEAV</t>
  </si>
  <si>
    <t>LSN-01203</t>
  </si>
  <si>
    <t>L-0001214</t>
  </si>
  <si>
    <t>a0Aak00000GkVyH</t>
  </si>
  <si>
    <t>a0Aak00000GkVyIEAV</t>
  </si>
  <si>
    <t>LSN-01204</t>
  </si>
  <si>
    <t>L-0001215</t>
  </si>
  <si>
    <t>a0Aak00000GkVyI</t>
  </si>
  <si>
    <t>a0Aak00000GkVyJEAV</t>
  </si>
  <si>
    <t>LSN-01205</t>
  </si>
  <si>
    <t>L-0001216</t>
  </si>
  <si>
    <t>a0Aak00000GkVyJ</t>
  </si>
  <si>
    <t>a0Aak00000GkVyKEAV</t>
  </si>
  <si>
    <t>LSN-01206</t>
  </si>
  <si>
    <t>L-0001217</t>
  </si>
  <si>
    <t>a0Aak00000GkVyK</t>
  </si>
  <si>
    <t>a0Aak00000GkVyLEAV</t>
  </si>
  <si>
    <t>LSN-01207</t>
  </si>
  <si>
    <t>L-0001218</t>
  </si>
  <si>
    <t>a0Aak00000GkVyL</t>
  </si>
  <si>
    <t>a0Aak00000GkVyMEAV</t>
  </si>
  <si>
    <t>LSN-01208</t>
  </si>
  <si>
    <t>L-0001219</t>
  </si>
  <si>
    <t>a0Aak00000GkVyM</t>
  </si>
  <si>
    <t>a0Aak00000GkVyNEAV</t>
  </si>
  <si>
    <t>LSN-01209</t>
  </si>
  <si>
    <t>L-0001220</t>
  </si>
  <si>
    <t>a0Aak00000GkVyN</t>
  </si>
  <si>
    <t>a0Aak00000GkVyOEAV</t>
  </si>
  <si>
    <t>LSN-01210</t>
  </si>
  <si>
    <t>L-0001221</t>
  </si>
  <si>
    <t>a0Aak00000GkVyO</t>
  </si>
  <si>
    <t>a0Aak00000GkVyPEAV</t>
  </si>
  <si>
    <t>LSN-01211</t>
  </si>
  <si>
    <t>L-0001222</t>
  </si>
  <si>
    <t>a0Aak00000GkVyP</t>
  </si>
  <si>
    <t>a0Aak00000GkVyQEAV</t>
  </si>
  <si>
    <t>LSN-01212</t>
  </si>
  <si>
    <t>L-0001223</t>
  </si>
  <si>
    <t>a0Aak00000GkVyQ</t>
  </si>
  <si>
    <t>a0Aak00000GkVyREAV</t>
  </si>
  <si>
    <t>LSN-01213</t>
  </si>
  <si>
    <t>L-0001224</t>
  </si>
  <si>
    <t>a0Aak00000GkVyR</t>
  </si>
  <si>
    <t>a0Aak00000GkVySEAV</t>
  </si>
  <si>
    <t>LSN-01214</t>
  </si>
  <si>
    <t>L-0001225</t>
  </si>
  <si>
    <t>a0Aak00000GkVyS</t>
  </si>
  <si>
    <t>a0Aak00000GkVyTEAV</t>
  </si>
  <si>
    <t>LSN-01215</t>
  </si>
  <si>
    <t>L-0001226</t>
  </si>
  <si>
    <t>a0Aak00000GkVyT</t>
  </si>
  <si>
    <t>a0Aak00000GkVyUEAV</t>
  </si>
  <si>
    <t>LSN-01216</t>
  </si>
  <si>
    <t>L-0001227</t>
  </si>
  <si>
    <t>a0Aak00000GkVyU</t>
  </si>
  <si>
    <t>a0Aak00000GkVyVEAV</t>
  </si>
  <si>
    <t>LSN-01217</t>
  </si>
  <si>
    <t>L-0001228</t>
  </si>
  <si>
    <t>a0Aak00000GkVyV</t>
  </si>
  <si>
    <t>a0Aak00000GkVyWEAV</t>
  </si>
  <si>
    <t>LSN-01218</t>
  </si>
  <si>
    <t>L-0001229</t>
  </si>
  <si>
    <t>a0Aak00000GkVyW</t>
  </si>
  <si>
    <t>a0Aak00000GkVyXEAV</t>
  </si>
  <si>
    <t>LSN-01219</t>
  </si>
  <si>
    <t>L-0001230</t>
  </si>
  <si>
    <t>a0Aak00000GkVyX</t>
  </si>
  <si>
    <t>a0Aak00000GkVyYEAV</t>
  </si>
  <si>
    <t>LSN-01220</t>
  </si>
  <si>
    <t>L-0001231</t>
  </si>
  <si>
    <t>a0Aak00000GkVyY</t>
  </si>
  <si>
    <t>a0Aak00000GkVyZEAV</t>
  </si>
  <si>
    <t>LSN-01221</t>
  </si>
  <si>
    <t>L-0001232</t>
  </si>
  <si>
    <t>a0Aak00000GkVyZ</t>
  </si>
  <si>
    <t>a0Aak00000GkVyaEAF</t>
  </si>
  <si>
    <t>LSN-01222</t>
  </si>
  <si>
    <t>L-0001233</t>
  </si>
  <si>
    <t>a0Aak00000GkVya</t>
  </si>
  <si>
    <t>a0Aak00000GkVybEAF</t>
  </si>
  <si>
    <t>LSN-01223</t>
  </si>
  <si>
    <t>L-0001234</t>
  </si>
  <si>
    <t>a0Aak00000GkVyb</t>
  </si>
  <si>
    <t>a0Aak00000GkVycEAF</t>
  </si>
  <si>
    <t>LSN-01224</t>
  </si>
  <si>
    <t>L-0001235</t>
  </si>
  <si>
    <t>a0Aak00000GkVyc</t>
  </si>
  <si>
    <t>a0Aak00000GkVydEAF</t>
  </si>
  <si>
    <t>LSN-01225</t>
  </si>
  <si>
    <t>L-0001236</t>
  </si>
  <si>
    <t>a0Aak00000GkVyd</t>
  </si>
  <si>
    <t>a0Aak00000GkVyeEAF</t>
  </si>
  <si>
    <t>LSN-01226</t>
  </si>
  <si>
    <t>L-0001237</t>
  </si>
  <si>
    <t>a0Aak00000GkVye</t>
  </si>
  <si>
    <t>a0Aak00000GkVyfEAF</t>
  </si>
  <si>
    <t>LSN-01227</t>
  </si>
  <si>
    <t>L-0001238</t>
  </si>
  <si>
    <t>a0Aak00000GkVyf</t>
  </si>
  <si>
    <t>a0Aak00000GkVygEAF</t>
  </si>
  <si>
    <t>LSN-01228</t>
  </si>
  <si>
    <t>L-0001239</t>
  </si>
  <si>
    <t>a0Aak00000GkVyg</t>
  </si>
  <si>
    <t>a0Aak00000GkVyhEAF</t>
  </si>
  <si>
    <t>LSN-01229</t>
  </si>
  <si>
    <t>L-0001240</t>
  </si>
  <si>
    <t>a0Aak00000GkVyh</t>
  </si>
  <si>
    <t>a0Aak00000GkVyiEAF</t>
  </si>
  <si>
    <t>LSN-01230</t>
  </si>
  <si>
    <t>L-0001241</t>
  </si>
  <si>
    <t>a0Aak00000GkVyi</t>
  </si>
  <si>
    <t>a0Aak00000GkVyjEAF</t>
  </si>
  <si>
    <t>LSN-01231</t>
  </si>
  <si>
    <t>L-0001242</t>
  </si>
  <si>
    <t>a0Aak00000GkVyj</t>
  </si>
  <si>
    <t>a0Aak00000GkVykEAF</t>
  </si>
  <si>
    <t>LSN-01232</t>
  </si>
  <si>
    <t>L-0001243</t>
  </si>
  <si>
    <t>a0Aak00000GkVyk</t>
  </si>
  <si>
    <t>a0Aak00000GkVylEAF</t>
  </si>
  <si>
    <t>LSN-01233</t>
  </si>
  <si>
    <t>L-0001244</t>
  </si>
  <si>
    <t>a0Aak00000GkVyl</t>
  </si>
  <si>
    <t>a0Aak00000GkVymEAF</t>
  </si>
  <si>
    <t>LSN-01234</t>
  </si>
  <si>
    <t>L-0001245</t>
  </si>
  <si>
    <t>a0Aak00000GkVym</t>
  </si>
  <si>
    <t>a0Aak00000GkVynEAF</t>
  </si>
  <si>
    <t>LSN-01235</t>
  </si>
  <si>
    <t>L-0001246</t>
  </si>
  <si>
    <t>a0Aak00000GkVyn</t>
  </si>
  <si>
    <t>a0Aak00000GkVyoEAF</t>
  </si>
  <si>
    <t>LSN-01236</t>
  </si>
  <si>
    <t>L-0001247</t>
  </si>
  <si>
    <t>a0Aak00000GkVyo</t>
  </si>
  <si>
    <t>a0Aak00000GkVypEAF</t>
  </si>
  <si>
    <t>LSN-01237</t>
  </si>
  <si>
    <t>L-0001248</t>
  </si>
  <si>
    <t>a0Aak00000GkVyp</t>
  </si>
  <si>
    <t>a0Aak00000GkVyqEAF</t>
  </si>
  <si>
    <t>LSN-01238</t>
  </si>
  <si>
    <t>L-0001249</t>
  </si>
  <si>
    <t>a0Aak00000GkVyq</t>
  </si>
  <si>
    <t>a0Aak00000GkVyrEAF</t>
  </si>
  <si>
    <t>LSN-01239</t>
  </si>
  <si>
    <t>L-0001250</t>
  </si>
  <si>
    <t>a0Aak00000GkVyr</t>
  </si>
  <si>
    <t>a0Aak00000GkVysEAF</t>
  </si>
  <si>
    <t>LSN-01240</t>
  </si>
  <si>
    <t>L-0001251</t>
  </si>
  <si>
    <t>a0Aak00000GkVys</t>
  </si>
  <si>
    <t>2026-10-01T15:56:46.000Z</t>
  </si>
  <si>
    <t>a0Aak00000GkW0TEAV</t>
  </si>
  <si>
    <t>LSN-01241</t>
  </si>
  <si>
    <t>L-0001252</t>
  </si>
  <si>
    <t>a0Aak00000GkW0T</t>
  </si>
  <si>
    <t>a0Aak00000GkW0UEAV</t>
  </si>
  <si>
    <t>LSN-01242</t>
  </si>
  <si>
    <t>L-0001253</t>
  </si>
  <si>
    <t>a0Aak00000GkW0U</t>
  </si>
  <si>
    <t>a0Aak00000GkW0VEAV</t>
  </si>
  <si>
    <t>LSN-01243</t>
  </si>
  <si>
    <t>L-0001254</t>
  </si>
  <si>
    <t>a0Aak00000GkW0V</t>
  </si>
  <si>
    <t>a0Aak00000GkW0WEAV</t>
  </si>
  <si>
    <t>LSN-01244</t>
  </si>
  <si>
    <t>L-0001255</t>
  </si>
  <si>
    <t>a0Aak00000GkW0W</t>
  </si>
  <si>
    <t>a0Aak00000GkW0XEAV</t>
  </si>
  <si>
    <t>LSN-01245</t>
  </si>
  <si>
    <t>L-0001256</t>
  </si>
  <si>
    <t>a0Aak00000GkW0X</t>
  </si>
  <si>
    <t>a0Aak00000GkW0YEAV</t>
  </si>
  <si>
    <t>LSN-01246</t>
  </si>
  <si>
    <t>L-0001257</t>
  </si>
  <si>
    <t>a0Aak00000GkW0Y</t>
  </si>
  <si>
    <t>a0Aak00000GkW0ZEAV</t>
  </si>
  <si>
    <t>LSN-01247</t>
  </si>
  <si>
    <t>L-0001258</t>
  </si>
  <si>
    <t>a0Aak00000GkW0Z</t>
  </si>
  <si>
    <t>a0Aak00000GkW0aEAF</t>
  </si>
  <si>
    <t>LSN-01248</t>
  </si>
  <si>
    <t>L-0001259</t>
  </si>
  <si>
    <t>a0Aak00000GkW0a</t>
  </si>
  <si>
    <t>a0Aak00000GkW0bEAF</t>
  </si>
  <si>
    <t>LSN-01249</t>
  </si>
  <si>
    <t>L-0001260</t>
  </si>
  <si>
    <t>a0Aak00000GkW0b</t>
  </si>
  <si>
    <t>a0Aak00000GkW0cEAF</t>
  </si>
  <si>
    <t>LSN-01250</t>
  </si>
  <si>
    <t>L-0001261</t>
  </si>
  <si>
    <t>a0Aak00000GkW0c</t>
  </si>
  <si>
    <t>a0Aak00000GkW0dEAF</t>
  </si>
  <si>
    <t>LSN-01251</t>
  </si>
  <si>
    <t>L-0001262</t>
  </si>
  <si>
    <t>a0Aak00000GkW0d</t>
  </si>
  <si>
    <t>a0Aak00000GkW0eEAF</t>
  </si>
  <si>
    <t>LSN-01252</t>
  </si>
  <si>
    <t>L-0001263</t>
  </si>
  <si>
    <t>a0Aak00000GkW0e</t>
  </si>
  <si>
    <t>a0Aak00000GkW0fEAF</t>
  </si>
  <si>
    <t>LSN-01253</t>
  </si>
  <si>
    <t>L-0001264</t>
  </si>
  <si>
    <t>a0Aak00000GkW0f</t>
  </si>
  <si>
    <t>a0Aak00000GkW0gEAF</t>
  </si>
  <si>
    <t>LSN-01254</t>
  </si>
  <si>
    <t>L-0001265</t>
  </si>
  <si>
    <t>a0Aak00000GkW0g</t>
  </si>
  <si>
    <t>a0Aak00000GkW0hEAF</t>
  </si>
  <si>
    <t>LSN-01255</t>
  </si>
  <si>
    <t>L-0001266</t>
  </si>
  <si>
    <t>a0Aak00000GkW0h</t>
  </si>
  <si>
    <t>a0Aak00000GkW0iEAF</t>
  </si>
  <si>
    <t>LSN-01256</t>
  </si>
  <si>
    <t>L-0001267</t>
  </si>
  <si>
    <t>a0Aak00000GkW0i</t>
  </si>
  <si>
    <t>a0Aak00000GkW0jEAF</t>
  </si>
  <si>
    <t>LSN-01257</t>
  </si>
  <si>
    <t>L-0001268</t>
  </si>
  <si>
    <t>a0Aak00000GkW0j</t>
  </si>
  <si>
    <t>a0Aak00000GkW0kEAF</t>
  </si>
  <si>
    <t>LSN-01258</t>
  </si>
  <si>
    <t>L-0001269</t>
  </si>
  <si>
    <t>a0Aak00000GkW0k</t>
  </si>
  <si>
    <t>a0Aak00000GkW0lEAF</t>
  </si>
  <si>
    <t>LSN-01259</t>
  </si>
  <si>
    <t>L-0001270</t>
  </si>
  <si>
    <t>a0Aak00000GkW0l</t>
  </si>
  <si>
    <t>a0Aak00000GkW0mEAF</t>
  </si>
  <si>
    <t>LSN-01260</t>
  </si>
  <si>
    <t>L-0001271</t>
  </si>
  <si>
    <t>a0Aak00000GkW0m</t>
  </si>
  <si>
    <t>a0Aak00000GkW0nEAF</t>
  </si>
  <si>
    <t>LSN-01261</t>
  </si>
  <si>
    <t>L-0001272</t>
  </si>
  <si>
    <t>a0Aak00000GkW0n</t>
  </si>
  <si>
    <t>a0Aak00000GkW0oEAF</t>
  </si>
  <si>
    <t>LSN-01262</t>
  </si>
  <si>
    <t>L-0001273</t>
  </si>
  <si>
    <t>a0Aak00000GkW0o</t>
  </si>
  <si>
    <t>a0Aak00000GkW0pEAF</t>
  </si>
  <si>
    <t>LSN-01263</t>
  </si>
  <si>
    <t>L-0001274</t>
  </si>
  <si>
    <t>a0Aak00000GkW0p</t>
  </si>
  <si>
    <t>a0Aak00000GkW0qEAF</t>
  </si>
  <si>
    <t>LSN-01264</t>
  </si>
  <si>
    <t>L-0001275</t>
  </si>
  <si>
    <t>a0Aak00000GkW0q</t>
  </si>
  <si>
    <t>a0Aak00000GkW0rEAF</t>
  </si>
  <si>
    <t>LSN-01265</t>
  </si>
  <si>
    <t>L-0001276</t>
  </si>
  <si>
    <t>a0Aak00000GkW0r</t>
  </si>
  <si>
    <t>a0Aak00000GkW0sEAF</t>
  </si>
  <si>
    <t>LSN-01266</t>
  </si>
  <si>
    <t>L-0001277</t>
  </si>
  <si>
    <t>a0Aak00000GkW0s</t>
  </si>
  <si>
    <t>a0Aak00000GkW0tEAF</t>
  </si>
  <si>
    <t>LSN-01267</t>
  </si>
  <si>
    <t>L-0001278</t>
  </si>
  <si>
    <t>a0Aak00000GkW0t</t>
  </si>
  <si>
    <t>a0Aak00000GkW0uEAF</t>
  </si>
  <si>
    <t>LSN-01268</t>
  </si>
  <si>
    <t>L-0001279</t>
  </si>
  <si>
    <t>a0Aak00000GkW0u</t>
  </si>
  <si>
    <t>a0Aak00000GkW0vEAF</t>
  </si>
  <si>
    <t>LSN-01269</t>
  </si>
  <si>
    <t>L-0001280</t>
  </si>
  <si>
    <t>a0Aak00000GkW0v</t>
  </si>
  <si>
    <t>a0Aak00000GkW0wEAF</t>
  </si>
  <si>
    <t>LSN-01270</t>
  </si>
  <si>
    <t>L-0001281</t>
  </si>
  <si>
    <t>a0Aak00000GkW0w</t>
  </si>
  <si>
    <t>a0Aak00000GkW0xEAF</t>
  </si>
  <si>
    <t>LSN-01271</t>
  </si>
  <si>
    <t>L-0001282</t>
  </si>
  <si>
    <t>a0Aak00000GkW0x</t>
  </si>
  <si>
    <t>a0Aak00000GkW0yEAF</t>
  </si>
  <si>
    <t>LSN-01272</t>
  </si>
  <si>
    <t>L-0001283</t>
  </si>
  <si>
    <t>a0Aak00000GkW0y</t>
  </si>
  <si>
    <t>a0Aak00000GkW0zEAF</t>
  </si>
  <si>
    <t>LSN-01273</t>
  </si>
  <si>
    <t>L-0001284</t>
  </si>
  <si>
    <t>a0Aak00000GkW0z</t>
  </si>
  <si>
    <t>a0Aak00000GkW10EAF</t>
  </si>
  <si>
    <t>LSN-01274</t>
  </si>
  <si>
    <t>L-0001285</t>
  </si>
  <si>
    <t>a0Aak00000GkW10</t>
  </si>
  <si>
    <t>a0Aak00000GkW11EAF</t>
  </si>
  <si>
    <t>LSN-01275</t>
  </si>
  <si>
    <t>L-0001286</t>
  </si>
  <si>
    <t>a0Aak00000GkW11</t>
  </si>
  <si>
    <t>a0Aak00000GkW12EAF</t>
  </si>
  <si>
    <t>LSN-01276</t>
  </si>
  <si>
    <t>L-0001287</t>
  </si>
  <si>
    <t>a0Aak00000GkW12</t>
  </si>
  <si>
    <t>a0Aak00000GkW13EAF</t>
  </si>
  <si>
    <t>LSN-01277</t>
  </si>
  <si>
    <t>L-0001288</t>
  </si>
  <si>
    <t>a0Aak00000GkW13</t>
  </si>
  <si>
    <t>a0Aak00000GkW14EAF</t>
  </si>
  <si>
    <t>LSN-01278</t>
  </si>
  <si>
    <t>L-0001289</t>
  </si>
  <si>
    <t>a0Aak00000GkW14</t>
  </si>
  <si>
    <t>a0Aak00000GkW15EAF</t>
  </si>
  <si>
    <t>LSN-01279</t>
  </si>
  <si>
    <t>L-0001290</t>
  </si>
  <si>
    <t>a0Aak00000GkW15</t>
  </si>
  <si>
    <t>a0Aak00000GkW16EAF</t>
  </si>
  <si>
    <t>LSN-01280</t>
  </si>
  <si>
    <t>L-0001291</t>
  </si>
  <si>
    <t>a0Aak00000GkW16</t>
  </si>
  <si>
    <t>a0Aak00000GkW17EAF</t>
  </si>
  <si>
    <t>LSN-01281</t>
  </si>
  <si>
    <t>L-0001292</t>
  </si>
  <si>
    <t>a0Aak00000GkW17</t>
  </si>
  <si>
    <t>a0Aak00000GkW18EAF</t>
  </si>
  <si>
    <t>LSN-01282</t>
  </si>
  <si>
    <t>L-0001293</t>
  </si>
  <si>
    <t>a0Aak00000GkW18</t>
  </si>
  <si>
    <t>a0Aak00000GkW19EAF</t>
  </si>
  <si>
    <t>LSN-01283</t>
  </si>
  <si>
    <t>L-0001294</t>
  </si>
  <si>
    <t>a0Aak00000GkW19</t>
  </si>
  <si>
    <t>a0Aak00000GkW1AEAV</t>
  </si>
  <si>
    <t>LSN-01284</t>
  </si>
  <si>
    <t>L-0001295</t>
  </si>
  <si>
    <t>a0Aak00000GkW1A</t>
  </si>
  <si>
    <t>a0Aak00000GkW1BEAV</t>
  </si>
  <si>
    <t>LSN-01285</t>
  </si>
  <si>
    <t>L-0001296</t>
  </si>
  <si>
    <t>a0Aak00000GkW1B</t>
  </si>
  <si>
    <t>a0Aak00000GkW1CEAV</t>
  </si>
  <si>
    <t>LSN-01286</t>
  </si>
  <si>
    <t>L-0001297</t>
  </si>
  <si>
    <t>a0Aak00000GkW1C</t>
  </si>
  <si>
    <t>a0Aak00000GkW1DEAV</t>
  </si>
  <si>
    <t>LSN-01287</t>
  </si>
  <si>
    <t>L-0001298</t>
  </si>
  <si>
    <t>a0Aak00000GkW1D</t>
  </si>
  <si>
    <t>a0Aak00000GkW1EEAV</t>
  </si>
  <si>
    <t>LSN-01288</t>
  </si>
  <si>
    <t>L-0001299</t>
  </si>
  <si>
    <t>a0Aak00000GkW1E</t>
  </si>
  <si>
    <t>a0Aak00000GkW1FEAV</t>
  </si>
  <si>
    <t>LSN-01289</t>
  </si>
  <si>
    <t>L-0001300</t>
  </si>
  <si>
    <t>a0Aak00000GkW1F</t>
  </si>
  <si>
    <t>a0Aak00000GkW1GEAV</t>
  </si>
  <si>
    <t>LSN-01290</t>
  </si>
  <si>
    <t>L-0001301</t>
  </si>
  <si>
    <t>a0Aak00000GkW1G</t>
  </si>
  <si>
    <t>a0Aak00000GkW1HEAV</t>
  </si>
  <si>
    <t>LSN-01291</t>
  </si>
  <si>
    <t>L-0001302</t>
  </si>
  <si>
    <t>a0Aak00000GkW1H</t>
  </si>
  <si>
    <t>a0Aak00000GkW1IEAV</t>
  </si>
  <si>
    <t>LSN-01292</t>
  </si>
  <si>
    <t>L-0001303</t>
  </si>
  <si>
    <t>a0Aak00000GkW1I</t>
  </si>
  <si>
    <t>a0Aak00000GkW1JEAV</t>
  </si>
  <si>
    <t>LSN-01293</t>
  </si>
  <si>
    <t>L-0001304</t>
  </si>
  <si>
    <t>a0Aak00000GkW1J</t>
  </si>
  <si>
    <t>a0Aak00000GkW1KEAV</t>
  </si>
  <si>
    <t>LSN-01294</t>
  </si>
  <si>
    <t>L-0001305</t>
  </si>
  <si>
    <t>a0Aak00000GkW1K</t>
  </si>
  <si>
    <t>a0Aak00000GkW1LEAV</t>
  </si>
  <si>
    <t>LSN-01295</t>
  </si>
  <si>
    <t>L-0001306</t>
  </si>
  <si>
    <t>a0Aak00000GkW1L</t>
  </si>
  <si>
    <t>a0Aak00000GkW1MEAV</t>
  </si>
  <si>
    <t>LSN-01296</t>
  </si>
  <si>
    <t>L-0001307</t>
  </si>
  <si>
    <t>a0Aak00000GkW1M</t>
  </si>
  <si>
    <t>a0Aak00000GkW1NEAV</t>
  </si>
  <si>
    <t>LSN-01297</t>
  </si>
  <si>
    <t>L-0001308</t>
  </si>
  <si>
    <t>a0Aak00000GkW1N</t>
  </si>
  <si>
    <t>a0Aak00000GkW1OEAV</t>
  </si>
  <si>
    <t>LSN-01298</t>
  </si>
  <si>
    <t>L-0001309</t>
  </si>
  <si>
    <t>a0Aak00000GkW1O</t>
  </si>
  <si>
    <t>a0Aak00000GkW1PEAV</t>
  </si>
  <si>
    <t>LSN-01299</t>
  </si>
  <si>
    <t>L-0001310</t>
  </si>
  <si>
    <t>a0Aak00000GkW1P</t>
  </si>
  <si>
    <t>a0Aak00000GkW1QEAV</t>
  </si>
  <si>
    <t>LSN-01300</t>
  </si>
  <si>
    <t>L-0001311</t>
  </si>
  <si>
    <t>a0Aak00000GkW1Q</t>
  </si>
  <si>
    <t>a0Aak00000GkW1REAV</t>
  </si>
  <si>
    <t>LSN-01301</t>
  </si>
  <si>
    <t>L-0001312</t>
  </si>
  <si>
    <t>a0Aak00000GkW1R</t>
  </si>
  <si>
    <t>a0Aak00000GkW1SEAV</t>
  </si>
  <si>
    <t>LSN-01302</t>
  </si>
  <si>
    <t>L-0001313</t>
  </si>
  <si>
    <t>a0Aak00000GkW1S</t>
  </si>
  <si>
    <t>a0Aak00000GkW1TEAV</t>
  </si>
  <si>
    <t>LSN-01303</t>
  </si>
  <si>
    <t>L-0001314</t>
  </si>
  <si>
    <t>a0Aak00000GkW1T</t>
  </si>
  <si>
    <t>a0Aak00000GkW1UEAV</t>
  </si>
  <si>
    <t>LSN-01304</t>
  </si>
  <si>
    <t>L-0001315</t>
  </si>
  <si>
    <t>a0Aak00000GkW1U</t>
  </si>
  <si>
    <t>a0Aak00000GkW1VEAV</t>
  </si>
  <si>
    <t>LSN-01305</t>
  </si>
  <si>
    <t>L-0001316</t>
  </si>
  <si>
    <t>a0Aak00000GkW1V</t>
  </si>
  <si>
    <t>a0Aak00000GkW1WEAV</t>
  </si>
  <si>
    <t>LSN-01306</t>
  </si>
  <si>
    <t>L-0001317</t>
  </si>
  <si>
    <t>a0Aak00000GkW1W</t>
  </si>
  <si>
    <t>a0Aak00000GkW1XEAV</t>
  </si>
  <si>
    <t>LSN-01307</t>
  </si>
  <si>
    <t>L-0001318</t>
  </si>
  <si>
    <t>a0Aak00000GkW1X</t>
  </si>
  <si>
    <t>a0Aak00000GkW1YEAV</t>
  </si>
  <si>
    <t>LSN-01308</t>
  </si>
  <si>
    <t>L-0001319</t>
  </si>
  <si>
    <t>a0Aak00000GkW1Y</t>
  </si>
  <si>
    <t>a0Aak00000GkW1ZEAV</t>
  </si>
  <si>
    <t>LSN-01309</t>
  </si>
  <si>
    <t>L-0001320</t>
  </si>
  <si>
    <t>a0Aak00000GkW1Z</t>
  </si>
  <si>
    <t>a0Aak00000GkW1aEAF</t>
  </si>
  <si>
    <t>LSN-01310</t>
  </si>
  <si>
    <t>L-0001321</t>
  </si>
  <si>
    <t>a0Aak00000GkW1a</t>
  </si>
  <si>
    <t>a0Aak00000GkW1bEAF</t>
  </si>
  <si>
    <t>LSN-01311</t>
  </si>
  <si>
    <t>L-0001322</t>
  </si>
  <si>
    <t>a0Aak00000GkW1b</t>
  </si>
  <si>
    <t>a0Aak00000GkW1cEAF</t>
  </si>
  <si>
    <t>LSN-01312</t>
  </si>
  <si>
    <t>L-0001323</t>
  </si>
  <si>
    <t>a0Aak00000GkW1c</t>
  </si>
  <si>
    <t>a0Aak00000GkW1dEAF</t>
  </si>
  <si>
    <t>LSN-01313</t>
  </si>
  <si>
    <t>L-0001324</t>
  </si>
  <si>
    <t>a0Aak00000GkW1d</t>
  </si>
  <si>
    <t>a0Aak00000GkW1eEAF</t>
  </si>
  <si>
    <t>LSN-01314</t>
  </si>
  <si>
    <t>L-0001325</t>
  </si>
  <si>
    <t>a0Aak00000GkW1e</t>
  </si>
  <si>
    <t>a0Aak00000GkW1fEAF</t>
  </si>
  <si>
    <t>LSN-01315</t>
  </si>
  <si>
    <t>L-0001326</t>
  </si>
  <si>
    <t>a0Aak00000GkW1f</t>
  </si>
  <si>
    <t>a0Aak00000GkW1gEAF</t>
  </si>
  <si>
    <t>LSN-01316</t>
  </si>
  <si>
    <t>L-0001327</t>
  </si>
  <si>
    <t>a0Aak00000GkW1g</t>
  </si>
  <si>
    <t>a0Aak00000GkW1hEAF</t>
  </si>
  <si>
    <t>2026-10-01T15:59:34.000Z</t>
  </si>
  <si>
    <t>LSN-01317</t>
  </si>
  <si>
    <t>L-0001328</t>
  </si>
  <si>
    <t>a0Aak00000GkW1h</t>
  </si>
  <si>
    <t>a0Aak00000GkW1iEAF</t>
  </si>
  <si>
    <t>LSN-01318</t>
  </si>
  <si>
    <t>L-0001329</t>
  </si>
  <si>
    <t>a0Aak00000GkW1i</t>
  </si>
  <si>
    <t>a0Aak00000GkW1jEAF</t>
  </si>
  <si>
    <t>LSN-01319</t>
  </si>
  <si>
    <t>L-0001330</t>
  </si>
  <si>
    <t>a0Aak00000GkW1j</t>
  </si>
  <si>
    <t>a0Aak00000GkW1kEAF</t>
  </si>
  <si>
    <t>LSN-01320</t>
  </si>
  <si>
    <t>L-0001331</t>
  </si>
  <si>
    <t>a0Aak00000GkW1k</t>
  </si>
  <si>
    <t>a0Aak00000GkW1lEAF</t>
  </si>
  <si>
    <t>LSN-01321</t>
  </si>
  <si>
    <t>L-0001332</t>
  </si>
  <si>
    <t>a0Aak00000GkW1l</t>
  </si>
  <si>
    <t>a0Aak00000GkW1mEAF</t>
  </si>
  <si>
    <t>LSN-01322</t>
  </si>
  <si>
    <t>L-0001333</t>
  </si>
  <si>
    <t>a0Aak00000GkW1m</t>
  </si>
  <si>
    <t>a0Aak00000GkW1nEAF</t>
  </si>
  <si>
    <t>LSN-01323</t>
  </si>
  <si>
    <t>L-0001334</t>
  </si>
  <si>
    <t>a0Aak00000GkW1n</t>
  </si>
  <si>
    <t>a0Aak00000GkW1oEAF</t>
  </si>
  <si>
    <t>LSN-01324</t>
  </si>
  <si>
    <t>L-0001335</t>
  </si>
  <si>
    <t>a0Aak00000GkW1o</t>
  </si>
  <si>
    <t>a0Aak00000GkW1pEAF</t>
  </si>
  <si>
    <t>LSN-01325</t>
  </si>
  <si>
    <t>L-0001336</t>
  </si>
  <si>
    <t>a0Aak00000GkW1p</t>
  </si>
  <si>
    <t>a0Aak00000GkW1qEAF</t>
  </si>
  <si>
    <t>LSN-01326</t>
  </si>
  <si>
    <t>L-0001337</t>
  </si>
  <si>
    <t>a0Aak00000GkW1q</t>
  </si>
  <si>
    <t>a0Aak00000GkW1rEAF</t>
  </si>
  <si>
    <t>LSN-01327</t>
  </si>
  <si>
    <t>L-0001338</t>
  </si>
  <si>
    <t>a0Aak00000GkW1r</t>
  </si>
  <si>
    <t>a0Aak00000GkW1sEAF</t>
  </si>
  <si>
    <t>LSN-01328</t>
  </si>
  <si>
    <t>L-0001339</t>
  </si>
  <si>
    <t>a0Aak00000GkW1s</t>
  </si>
  <si>
    <t>a0Aak00000GkW1tEAF</t>
  </si>
  <si>
    <t>LSN-01329</t>
  </si>
  <si>
    <t>L-0001340</t>
  </si>
  <si>
    <t>a0Aak00000GkW1t</t>
  </si>
  <si>
    <t>Yes</t>
  </si>
  <si>
    <t>Count of Id</t>
  </si>
  <si>
    <t>Location</t>
  </si>
  <si>
    <t>Cancellation Rate(By Location)</t>
  </si>
  <si>
    <t>No-Show Rate(By Location)</t>
  </si>
  <si>
    <t>Grand Total</t>
  </si>
  <si>
    <t>Cancellation Rate(By Instrument)</t>
  </si>
  <si>
    <t>No-Show Rate(By Instrument)</t>
  </si>
  <si>
    <t>Toms River</t>
  </si>
  <si>
    <t>2026-01</t>
  </si>
  <si>
    <t>Brick</t>
  </si>
  <si>
    <t>2026-02</t>
  </si>
  <si>
    <t>Red Bank</t>
  </si>
  <si>
    <t>2026-03</t>
  </si>
  <si>
    <t>2026-04</t>
  </si>
  <si>
    <t>2026-05</t>
  </si>
  <si>
    <t>2026-06</t>
  </si>
  <si>
    <t>2026-07</t>
  </si>
  <si>
    <t>2026-08</t>
  </si>
  <si>
    <t>2026-09</t>
  </si>
  <si>
    <t>Active__c</t>
  </si>
  <si>
    <t>Background_Check_Date__c</t>
  </si>
  <si>
    <t>Email__c</t>
  </si>
  <si>
    <t>First_Name__c</t>
  </si>
  <si>
    <t>Full_Name__c</t>
  </si>
  <si>
    <t>Hire_Date__c</t>
  </si>
  <si>
    <t>Hourly_Rate__c</t>
  </si>
  <si>
    <t>Instruments_Taught__c</t>
  </si>
  <si>
    <t>Last_Name__c</t>
  </si>
  <si>
    <t>Lesson_Count__c</t>
  </si>
  <si>
    <t>Max_Weekly_Students__c</t>
  </si>
  <si>
    <t>OwnerId</t>
  </si>
  <si>
    <t>Phone__c</t>
  </si>
  <si>
    <t>Primary_Location__c</t>
  </si>
  <si>
    <t>Dup Email Key</t>
  </si>
  <si>
    <t>Dup Email Count</t>
  </si>
  <si>
    <t>Completed Lessons</t>
  </si>
  <si>
    <t>Upcoming Lessons</t>
  </si>
  <si>
    <t>Inactive</t>
  </si>
  <si>
    <t>2026-09-14T19:36:36.000Z</t>
  </si>
  <si>
    <t>zoeyrodriguez66@hotmail.com</t>
  </si>
  <si>
    <t>Zoey</t>
  </si>
  <si>
    <t>INS-001</t>
  </si>
  <si>
    <t>Cello;Trumpet;Bass Guitar</t>
  </si>
  <si>
    <t>2026-09-23T19:01:04.000Z</t>
  </si>
  <si>
    <t>2026-09-17T17:32:40.000Z</t>
  </si>
  <si>
    <t>Rodriguez</t>
  </si>
  <si>
    <t>(732) 555-1670</t>
  </si>
  <si>
    <t>Active</t>
  </si>
  <si>
    <t>miasmith41@yahoo.com</t>
  </si>
  <si>
    <t>Mia</t>
  </si>
  <si>
    <t>INS-002</t>
  </si>
  <si>
    <t>Clarinet;Flute</t>
  </si>
  <si>
    <t>2026-09-16T15:14:19.000Z</t>
  </si>
  <si>
    <t>Smith</t>
  </si>
  <si>
    <t>(732) 555-4895</t>
  </si>
  <si>
    <t>noah.mitchell@yahoo.com</t>
  </si>
  <si>
    <t>Noah</t>
  </si>
  <si>
    <t>INS-003</t>
  </si>
  <si>
    <t>Bass Guitar;Flute;Trumpet</t>
  </si>
  <si>
    <t>2026-09-15T17:23:31.000Z</t>
  </si>
  <si>
    <t>Mitchell</t>
  </si>
  <si>
    <t>(732) 555-6471</t>
  </si>
  <si>
    <t>lsullivan@yahoo.com</t>
  </si>
  <si>
    <t>Layla</t>
  </si>
  <si>
    <t>INS-004</t>
  </si>
  <si>
    <t>Sullivan</t>
  </si>
  <si>
    <t>(732) 555-8717</t>
  </si>
  <si>
    <t>INS-005</t>
  </si>
  <si>
    <t>Voice;Bass Guitar;Flute</t>
  </si>
  <si>
    <t>2026-09-17T17:32:36.000Z</t>
  </si>
  <si>
    <t>Torres</t>
  </si>
  <si>
    <t>(732) 555-7479</t>
  </si>
  <si>
    <t>fatimalewis@hotmail.com</t>
  </si>
  <si>
    <t>Fatima</t>
  </si>
  <si>
    <t>INS-006</t>
  </si>
  <si>
    <t>2026-09-17T17:49:03.000Z</t>
  </si>
  <si>
    <t>Lewis</t>
  </si>
  <si>
    <t>(732) 555-1248</t>
  </si>
  <si>
    <t>fatimahernandez61@outlook.com</t>
  </si>
  <si>
    <t>Fatima Hernandez</t>
  </si>
  <si>
    <t>a06ak00000amzBkAAI</t>
  </si>
  <si>
    <t>INS-007</t>
  </si>
  <si>
    <t>Flute;Trumpet</t>
  </si>
  <si>
    <t>Hernandez</t>
  </si>
  <si>
    <t>(732) 555-1543</t>
  </si>
  <si>
    <t>mnovak@hotmail.com</t>
  </si>
  <si>
    <t>Micah</t>
  </si>
  <si>
    <t>INS-008</t>
  </si>
  <si>
    <t>Novak</t>
  </si>
  <si>
    <t>(732) 555-4014</t>
  </si>
  <si>
    <t>emilytaylor45@gmail.com</t>
  </si>
  <si>
    <t>Emily</t>
  </si>
  <si>
    <t>INS-009</t>
  </si>
  <si>
    <t>Taylor</t>
  </si>
  <si>
    <t>(732) 555-5372</t>
  </si>
  <si>
    <t>charlottenakamura@icloud.com</t>
  </si>
  <si>
    <t>Charlotte</t>
  </si>
  <si>
    <t>INS-010</t>
  </si>
  <si>
    <t>Piano;Voice</t>
  </si>
  <si>
    <t>Nakamura</t>
  </si>
  <si>
    <t>(732) 555-9044</t>
  </si>
  <si>
    <t>elijah.johnson@icloud.com</t>
  </si>
  <si>
    <t>Elijah</t>
  </si>
  <si>
    <t>INS-011</t>
  </si>
  <si>
    <t>Johnson</t>
  </si>
  <si>
    <t>(732) 555-4842</t>
  </si>
  <si>
    <t>liamlopez@icloud.com</t>
  </si>
  <si>
    <t>Liam</t>
  </si>
  <si>
    <t>INS-012</t>
  </si>
  <si>
    <t>Lopez</t>
  </si>
  <si>
    <t>aubreymiller73@icloud.com</t>
  </si>
  <si>
    <t>Aubrey</t>
  </si>
  <si>
    <t>INS-013</t>
  </si>
  <si>
    <t>Saxophone;Bass Guitar</t>
  </si>
  <si>
    <t>2026-09-23T18:49:48.000Z</t>
  </si>
  <si>
    <t>Miller</t>
  </si>
  <si>
    <t>(732) 555-3288</t>
  </si>
  <si>
    <t>savannahsilva37@icloud.com</t>
  </si>
  <si>
    <t>Savannah</t>
  </si>
  <si>
    <t>INS-014</t>
  </si>
  <si>
    <t>Trumpet;Flute</t>
  </si>
  <si>
    <t>Silva</t>
  </si>
  <si>
    <t>(732) 555-2869</t>
  </si>
  <si>
    <t>leoperez86@hotmail.com</t>
  </si>
  <si>
    <t>Leo</t>
  </si>
  <si>
    <t>INS-015</t>
  </si>
  <si>
    <t>Perez</t>
  </si>
  <si>
    <t>(732) 555-5534</t>
  </si>
  <si>
    <t>jamal.torres@icloud.com</t>
  </si>
  <si>
    <t>Jamal</t>
  </si>
  <si>
    <t>INS-016</t>
  </si>
  <si>
    <t>Flute;Cello</t>
  </si>
  <si>
    <t>(732) 555-8820</t>
  </si>
  <si>
    <t>rclark@icloud.com</t>
  </si>
  <si>
    <t>Ryan</t>
  </si>
  <si>
    <t>INS-017</t>
  </si>
  <si>
    <t>Clark</t>
  </si>
  <si>
    <t>(732) 555-6900</t>
  </si>
  <si>
    <t>carolineokafor8@outlook.com</t>
  </si>
  <si>
    <t>Caroline</t>
  </si>
  <si>
    <t>INS-018</t>
  </si>
  <si>
    <t>Okafor</t>
  </si>
  <si>
    <t>(732) 555-5167</t>
  </si>
  <si>
    <t>savannahhill20@gmail.com</t>
  </si>
  <si>
    <t>Savannah Hill</t>
  </si>
  <si>
    <t>a06ak00000amzBwAAI</t>
  </si>
  <si>
    <t>INS-019</t>
  </si>
  <si>
    <t>Bass Guitar;Ukulele</t>
  </si>
  <si>
    <t>Hill</t>
  </si>
  <si>
    <t>(732) 555-1450</t>
  </si>
  <si>
    <t>milesallen22@outlook.com</t>
  </si>
  <si>
    <t>Miles</t>
  </si>
  <si>
    <t>INS-020</t>
  </si>
  <si>
    <t>2026-09-23T19:04:11.000Z</t>
  </si>
  <si>
    <t>Allen</t>
  </si>
  <si>
    <t>(732) 555-9151</t>
  </si>
  <si>
    <t>vincentsullivan87@icloud.com</t>
  </si>
  <si>
    <t>Vincent</t>
  </si>
  <si>
    <t>INS-021</t>
  </si>
  <si>
    <t>Flute;Piano</t>
  </si>
  <si>
    <t>(732) 555-8566</t>
  </si>
  <si>
    <t>ezra.garcia@yahoo.com</t>
  </si>
  <si>
    <t>Ezra</t>
  </si>
  <si>
    <t>INS-022</t>
  </si>
  <si>
    <t>Drums;Trumpet;Guitar</t>
  </si>
  <si>
    <t>Garcia</t>
  </si>
  <si>
    <t>(732) 555-8564</t>
  </si>
  <si>
    <t>jamesmoore95@outlook.com</t>
  </si>
  <si>
    <t>James</t>
  </si>
  <si>
    <t>INS-023</t>
  </si>
  <si>
    <t>Saxophone;Piano;Clarinet</t>
  </si>
  <si>
    <t>2026-10-01T15:59:57.000Z</t>
  </si>
  <si>
    <t>Moore</t>
  </si>
  <si>
    <t>(732) 555-3006</t>
  </si>
  <si>
    <t>valentinanakamura61@icloud.com</t>
  </si>
  <si>
    <t>Valentina</t>
  </si>
  <si>
    <t>INS-024</t>
  </si>
  <si>
    <t>Guitar;Trumpet;Drums</t>
  </si>
  <si>
    <t>(732) 555-2535</t>
  </si>
  <si>
    <t>lilyrossi92@outlook.com</t>
  </si>
  <si>
    <t>Lily</t>
  </si>
  <si>
    <t>INS-025</t>
  </si>
  <si>
    <t>Saxophone;Guitar</t>
  </si>
  <si>
    <t>Rossi</t>
  </si>
  <si>
    <t>(732) 555-2717</t>
  </si>
  <si>
    <t>isabellarivera@icloud.com</t>
  </si>
  <si>
    <t>Isabella</t>
  </si>
  <si>
    <t>INS-026</t>
  </si>
  <si>
    <t>Trumpet;Guitar</t>
  </si>
  <si>
    <t>Rivera</t>
  </si>
  <si>
    <t>(732) 555-5221</t>
  </si>
  <si>
    <t>logandavis52@gmail.com</t>
  </si>
  <si>
    <t>Logan</t>
  </si>
  <si>
    <t>INS-027</t>
  </si>
  <si>
    <t>Davis</t>
  </si>
  <si>
    <t>(732) 555-7546</t>
  </si>
  <si>
    <t>penelopewilson@yahoo.com</t>
  </si>
  <si>
    <t>Penelope</t>
  </si>
  <si>
    <t>INS-028</t>
  </si>
  <si>
    <t>Wilson</t>
  </si>
  <si>
    <t>(732) 555-2310</t>
  </si>
  <si>
    <t>operez@gmail.com</t>
  </si>
  <si>
    <t>Omar</t>
  </si>
  <si>
    <t>INS-029</t>
  </si>
  <si>
    <t>(732) 555-7793</t>
  </si>
  <si>
    <t>wyatthall@outlook.com</t>
  </si>
  <si>
    <t>Wyatt</t>
  </si>
  <si>
    <t>INS-030</t>
  </si>
  <si>
    <t>Guitar;Piano</t>
  </si>
  <si>
    <t>Hall</t>
  </si>
  <si>
    <t>(732) 555-2489</t>
  </si>
  <si>
    <t>adrianbyrne87@hotmail.com</t>
  </si>
  <si>
    <t>Adrian</t>
  </si>
  <si>
    <t>INS-031</t>
  </si>
  <si>
    <t>Flute;Saxophone;Cello</t>
  </si>
  <si>
    <t>Byrne</t>
  </si>
  <si>
    <t>(732) 555-1371</t>
  </si>
  <si>
    <t>kaiokafor43@gmail.com</t>
  </si>
  <si>
    <t>Kai</t>
  </si>
  <si>
    <t>INS-032</t>
  </si>
  <si>
    <t>(732) 555-6467</t>
  </si>
  <si>
    <t>calebnovak4@outlook.com</t>
  </si>
  <si>
    <t>Caleb</t>
  </si>
  <si>
    <t>Caleb Novak</t>
  </si>
  <si>
    <t>a06ak00000amzCAAAY</t>
  </si>
  <si>
    <t>INS-033</t>
  </si>
  <si>
    <t>(732) 555-3326</t>
  </si>
  <si>
    <t>aidenhill@outlook.com</t>
  </si>
  <si>
    <t>Aiden</t>
  </si>
  <si>
    <t>INS-034</t>
  </si>
  <si>
    <t>Ukulele;Piano;Voice</t>
  </si>
  <si>
    <t>(732) 555-7073</t>
  </si>
  <si>
    <t>rowanjones55@outlook.com</t>
  </si>
  <si>
    <t>Rowan</t>
  </si>
  <si>
    <t>INS-035</t>
  </si>
  <si>
    <t>Ukulele;Voice;Saxophone</t>
  </si>
  <si>
    <t>Jones</t>
  </si>
  <si>
    <t>(732) 555-9155</t>
  </si>
  <si>
    <t>INS-036</t>
  </si>
  <si>
    <t>Saxophone;Piano</t>
  </si>
  <si>
    <t>Kelly</t>
  </si>
  <si>
    <t>(732) 555-7010</t>
  </si>
  <si>
    <t>caroline.baker@yahoo.com</t>
  </si>
  <si>
    <t>INS-037</t>
  </si>
  <si>
    <t>2026-09-29T05:11:32.000Z</t>
  </si>
  <si>
    <t>Baker</t>
  </si>
  <si>
    <t>(732) 555-4354</t>
  </si>
  <si>
    <t>valentina.sanchez@outlook.com</t>
  </si>
  <si>
    <t>INS-038</t>
  </si>
  <si>
    <t>Sanchez</t>
  </si>
  <si>
    <t>(732) 555-9739</t>
  </si>
  <si>
    <t>calebramirez76@outlook.com</t>
  </si>
  <si>
    <t>Caleb Ramirez</t>
  </si>
  <si>
    <t>a06ak00000amzCGAAY</t>
  </si>
  <si>
    <t>INS-039</t>
  </si>
  <si>
    <t>Piano;Ukulele</t>
  </si>
  <si>
    <t>Ramirez</t>
  </si>
  <si>
    <t>(732) 555-9808</t>
  </si>
  <si>
    <t>liam.flores@hotmail.com</t>
  </si>
  <si>
    <t>INS-040</t>
  </si>
  <si>
    <t>Violin;Flute;Trumpet</t>
  </si>
  <si>
    <t>Flores</t>
  </si>
  <si>
    <t>(732) 555-8602</t>
  </si>
  <si>
    <t>omar.nelson@hotmail.com</t>
  </si>
  <si>
    <t>INS-042</t>
  </si>
  <si>
    <t>Nelson</t>
  </si>
  <si>
    <t>(732) 555-7184</t>
  </si>
  <si>
    <t>sofiaharris55@hotmail.com</t>
  </si>
  <si>
    <t>Sofia</t>
  </si>
  <si>
    <t>INS-043</t>
  </si>
  <si>
    <t>Violin;Guitar;Piano</t>
  </si>
  <si>
    <t>Harris</t>
  </si>
  <si>
    <t>(732) 555-3090</t>
  </si>
  <si>
    <t>priya.carter@gmail.com</t>
  </si>
  <si>
    <t>Priya</t>
  </si>
  <si>
    <t>INS-044</t>
  </si>
  <si>
    <t>Voice;Ukulele</t>
  </si>
  <si>
    <t>2026-10-01T15:52:51.000Z</t>
  </si>
  <si>
    <t>Carter</t>
  </si>
  <si>
    <t>(732) 555-4956</t>
  </si>
  <si>
    <t>liammoore78@icloud.com</t>
  </si>
  <si>
    <t>INS-045</t>
  </si>
  <si>
    <t>Drums;Trumpet;Voice</t>
  </si>
  <si>
    <t>(732) 555-8996</t>
  </si>
  <si>
    <t>yusufjackson79@hotmail.com</t>
  </si>
  <si>
    <t>Yusuf</t>
  </si>
  <si>
    <t>INS-046</t>
  </si>
  <si>
    <t>Jackson</t>
  </si>
  <si>
    <t>(732) 555-8546</t>
  </si>
  <si>
    <t>2026-09-14T21:06:00.000Z</t>
  </si>
  <si>
    <t>jpatel@gmail.com</t>
  </si>
  <si>
    <t>Jordan</t>
  </si>
  <si>
    <t>Jordan Patel</t>
  </si>
  <si>
    <t>a06ak00000anAQOAA2</t>
  </si>
  <si>
    <t>INS-041</t>
  </si>
  <si>
    <t>Patel</t>
  </si>
  <si>
    <t>(732) 555-8237</t>
  </si>
  <si>
    <t>Sum of Completed Lessons</t>
  </si>
  <si>
    <t>Sum of Upcoming Lessons</t>
  </si>
  <si>
    <t>ConvertedStudentId__c</t>
  </si>
  <si>
    <t>First_Response_Date__c</t>
  </si>
  <si>
    <t>Inquiry_Date__c</t>
  </si>
  <si>
    <t>Inquiry_External_Id__c</t>
  </si>
  <si>
    <t>Interested_Instrument__c</t>
  </si>
  <si>
    <t>Lead_Source__c</t>
  </si>
  <si>
    <t>Notes__c</t>
  </si>
  <si>
    <t>Requested_Location__c</t>
  </si>
  <si>
    <t>Student_Age__c</t>
  </si>
  <si>
    <t>Assigned_To__c</t>
  </si>
  <si>
    <t>Dup Key</t>
  </si>
  <si>
    <t>Dup Count</t>
  </si>
  <si>
    <t>Days to First Response</t>
  </si>
  <si>
    <t>Inquiry by Month</t>
  </si>
  <si>
    <t>Requested Location by Name</t>
  </si>
  <si>
    <t>2026-09-14T19:53:20.000Z</t>
  </si>
  <si>
    <t>mcarter@yahoo.com</t>
  </si>
  <si>
    <t>Malachi</t>
  </si>
  <si>
    <t>Malachi Carter</t>
  </si>
  <si>
    <t>a09ak00002KAZXtAAP</t>
  </si>
  <si>
    <t>INQ-0001</t>
  </si>
  <si>
    <t>2026-09-29T16:18:43.000Z</t>
  </si>
  <si>
    <t>2026-09-25T19:29:45.000Z</t>
  </si>
  <si>
    <t>Event</t>
  </si>
  <si>
    <t>Beginner, no experience.</t>
  </si>
  <si>
    <t>(732) 555-1801</t>
  </si>
  <si>
    <t>Converted</t>
  </si>
  <si>
    <t>avascott@gmail.com</t>
  </si>
  <si>
    <t>Ava</t>
  </si>
  <si>
    <t>Ava Scott</t>
  </si>
  <si>
    <t>a09ak00002KAZXuAAP</t>
  </si>
  <si>
    <t>INQ-0002</t>
  </si>
  <si>
    <t>2026-09-29T02:51:37.000Z</t>
  </si>
  <si>
    <t>Scott</t>
  </si>
  <si>
    <t>Facebook</t>
  </si>
  <si>
    <t>Asked about pricing.</t>
  </si>
  <si>
    <t>(732) 555-7657</t>
  </si>
  <si>
    <t>Not Interested</t>
  </si>
  <si>
    <t>owenadams@gmail.com</t>
  </si>
  <si>
    <t>Owen</t>
  </si>
  <si>
    <t>Owen Adams</t>
  </si>
  <si>
    <t>a09ak00002KAZXvAAP</t>
  </si>
  <si>
    <t>INQ-0003</t>
  </si>
  <si>
    <t>Adams</t>
  </si>
  <si>
    <t>Google Search</t>
  </si>
  <si>
    <t>Sibling already enrolled.</t>
  </si>
  <si>
    <t>(732) 555-2734</t>
  </si>
  <si>
    <t>isaacsilva88@gmail.com</t>
  </si>
  <si>
    <t>Isaac</t>
  </si>
  <si>
    <t>Isaac Silva</t>
  </si>
  <si>
    <t>a09ak00002KAZXwAAP</t>
  </si>
  <si>
    <t>INQ-0004</t>
  </si>
  <si>
    <t>Phone Call</t>
  </si>
  <si>
    <t>(732) 555-3411</t>
  </si>
  <si>
    <t>Unresponsive</t>
  </si>
  <si>
    <t>sofia.thompson@icloud.com</t>
  </si>
  <si>
    <t>Sofia Thompson</t>
  </si>
  <si>
    <t>a09ak00002KAZXxAAP</t>
  </si>
  <si>
    <t>INQ-0005</t>
  </si>
  <si>
    <t>2026-09-29T01:34:40.000Z</t>
  </si>
  <si>
    <t>Thompson</t>
  </si>
  <si>
    <t>(732) 555-3825</t>
  </si>
  <si>
    <t>New</t>
  </si>
  <si>
    <t>jtorres@icloud.com</t>
  </si>
  <si>
    <t>Julian</t>
  </si>
  <si>
    <t>Julian Torres</t>
  </si>
  <si>
    <t>a09ak00002KAZXyAAP</t>
  </si>
  <si>
    <t>INQ-0006</t>
  </si>
  <si>
    <t>(732) 555-3159</t>
  </si>
  <si>
    <t>Caroline Martin</t>
  </si>
  <si>
    <t>a09ak00002KAZXzAAP</t>
  </si>
  <si>
    <t>INQ-0007</t>
  </si>
  <si>
    <t>Martin</t>
  </si>
  <si>
    <t>paisleywalker37@gmail.com</t>
  </si>
  <si>
    <t>Paisley</t>
  </si>
  <si>
    <t>Paisley Walker</t>
  </si>
  <si>
    <t>a09ak00002KAZY0AAP</t>
  </si>
  <si>
    <t>INQ-0008</t>
  </si>
  <si>
    <t>Walker</t>
  </si>
  <si>
    <t>Transferring from another school.</t>
  </si>
  <si>
    <t>(732) 555-1536</t>
  </si>
  <si>
    <t>rubyanderson69@hotmail.com</t>
  </si>
  <si>
    <t>Ruby</t>
  </si>
  <si>
    <t>Ruby Anderson</t>
  </si>
  <si>
    <t>a09ak00002KAZY1AAP</t>
  </si>
  <si>
    <t>INQ-0009</t>
  </si>
  <si>
    <t>Anderson</t>
  </si>
  <si>
    <t>Instagram</t>
  </si>
  <si>
    <t>(732) 555-1697</t>
  </si>
  <si>
    <t>smoore@icloud.com</t>
  </si>
  <si>
    <t>Santiago</t>
  </si>
  <si>
    <t>Santiago Moore</t>
  </si>
  <si>
    <t>a09ak00002KAZY2AAP</t>
  </si>
  <si>
    <t>INQ-0010</t>
  </si>
  <si>
    <t>Website Form</t>
  </si>
  <si>
    <t>(732) 555-4380</t>
  </si>
  <si>
    <t>sofiajones56@gmail.com</t>
  </si>
  <si>
    <t>Sofia Jones</t>
  </si>
  <si>
    <t>a09ak00002KAZY3AAP</t>
  </si>
  <si>
    <t>INQ-0011</t>
  </si>
  <si>
    <t>(732) 555-8023</t>
  </si>
  <si>
    <t>hazel.martin@hotmail.com</t>
  </si>
  <si>
    <t>Hazel</t>
  </si>
  <si>
    <t>Hazel Martin</t>
  </si>
  <si>
    <t>a09ak00002KAZY4AAP</t>
  </si>
  <si>
    <t>INQ-0012</t>
  </si>
  <si>
    <t>(732) 555-5461</t>
  </si>
  <si>
    <t>rohannakamura@yahoo.com</t>
  </si>
  <si>
    <t>Rohan</t>
  </si>
  <si>
    <t>Rohan Nakamura</t>
  </si>
  <si>
    <t>a09ak00002KAZY5AAP</t>
  </si>
  <si>
    <t>INQ-0013</t>
  </si>
  <si>
    <t>(732) 555-8612</t>
  </si>
  <si>
    <t>janderson@outlook.com</t>
  </si>
  <si>
    <t>Jonah</t>
  </si>
  <si>
    <t>Jonah Anderson</t>
  </si>
  <si>
    <t>a09ak00002KAZY6AAP</t>
  </si>
  <si>
    <t>INQ-0014</t>
  </si>
  <si>
    <t>(732) 555-5378</t>
  </si>
  <si>
    <t>zoeyhill79@icloud.com</t>
  </si>
  <si>
    <t>Zoey Hill</t>
  </si>
  <si>
    <t>a09ak00002KAZY7AAP</t>
  </si>
  <si>
    <t>INQ-0015</t>
  </si>
  <si>
    <t>(732) 555-9753</t>
  </si>
  <si>
    <t>naomiadams@gmail.com</t>
  </si>
  <si>
    <t>Naomi</t>
  </si>
  <si>
    <t>Naomi Adams</t>
  </si>
  <si>
    <t>a09ak00002KAZY8AAP</t>
  </si>
  <si>
    <t>INQ-0016</t>
  </si>
  <si>
    <t>Referral</t>
  </si>
  <si>
    <t>(732) 555-6541</t>
  </si>
  <si>
    <t>owen.brown@icloud.com</t>
  </si>
  <si>
    <t>Owen Brown</t>
  </si>
  <si>
    <t>a09ak00002KAZY9AAP</t>
  </si>
  <si>
    <t>INQ-0017</t>
  </si>
  <si>
    <t>Brown</t>
  </si>
  <si>
    <t>(732) 555-3881</t>
  </si>
  <si>
    <t>ivyking@yahoo.com</t>
  </si>
  <si>
    <t>Ivy</t>
  </si>
  <si>
    <t>Ivy King</t>
  </si>
  <si>
    <t>a09ak00002KAZYAAA5</t>
  </si>
  <si>
    <t>INQ-0018</t>
  </si>
  <si>
    <t>King</t>
  </si>
  <si>
    <t>Wants evening slots only.</t>
  </si>
  <si>
    <t>(732) 555-8969</t>
  </si>
  <si>
    <t>nnakamura@icloud.com</t>
  </si>
  <si>
    <t>Nathan</t>
  </si>
  <si>
    <t>Nathan Nakamura</t>
  </si>
  <si>
    <t>a09ak00002KAZYBAA5</t>
  </si>
  <si>
    <t>INQ-0019</t>
  </si>
  <si>
    <t>(732) 555-8259</t>
  </si>
  <si>
    <t>emily.thomas@hotmail.com</t>
  </si>
  <si>
    <t>Emily Thomas</t>
  </si>
  <si>
    <t>a09ak00002KAZYCAA5</t>
  </si>
  <si>
    <t>INQ-0020</t>
  </si>
  <si>
    <t>Thomas</t>
  </si>
  <si>
    <t>(732) 555-8799</t>
  </si>
  <si>
    <t>adriannakamura@icloud.com</t>
  </si>
  <si>
    <t>Adrian Nakamura</t>
  </si>
  <si>
    <t>a09ak00002KAZYDAA5</t>
  </si>
  <si>
    <t>INQ-0021</t>
  </si>
  <si>
    <t>2026-10-01T17:19:13.000Z</t>
  </si>
  <si>
    <t>(732) 555-3507</t>
  </si>
  <si>
    <t>ninaallen@gmail.com</t>
  </si>
  <si>
    <t>Nina</t>
  </si>
  <si>
    <t>Nina Allen</t>
  </si>
  <si>
    <t>a09ak00002KAZYEAA5</t>
  </si>
  <si>
    <t>INQ-0022</t>
  </si>
  <si>
    <t>(732) 555-4585</t>
  </si>
  <si>
    <t>carolinemiller54@icloud.com</t>
  </si>
  <si>
    <t>Caroline Miller</t>
  </si>
  <si>
    <t>a09ak00002KAZYFAA5</t>
  </si>
  <si>
    <t>INQ-0023</t>
  </si>
  <si>
    <t>2026-10-01T17:19:23.000Z</t>
  </si>
  <si>
    <t>(732) 555-8364</t>
  </si>
  <si>
    <t>liamdavis@gmail.com</t>
  </si>
  <si>
    <t>Liam Davis</t>
  </si>
  <si>
    <t>a09ak00002KAZYGAA5</t>
  </si>
  <si>
    <t>INQ-0024</t>
  </si>
  <si>
    <t>Walk-In</t>
  </si>
  <si>
    <t>(732) 555-5472</t>
  </si>
  <si>
    <t>yusuf.rossi@hotmail.com</t>
  </si>
  <si>
    <t>Yusuf Rossi</t>
  </si>
  <si>
    <t>a09ak00002KAZYHAA5</t>
  </si>
  <si>
    <t>INQ-0025</t>
  </si>
  <si>
    <t>(732) 555-1188</t>
  </si>
  <si>
    <t>lpatel@gmail.com</t>
  </si>
  <si>
    <t>Levi</t>
  </si>
  <si>
    <t>Levi Patel</t>
  </si>
  <si>
    <t>a09ak00002KAZYIAA5</t>
  </si>
  <si>
    <t>INQ-0026</t>
  </si>
  <si>
    <t>(732) 555-9978</t>
  </si>
  <si>
    <t>gabrielgarcia@outlook.com</t>
  </si>
  <si>
    <t>Gabriel</t>
  </si>
  <si>
    <t>Gabriel Garcia</t>
  </si>
  <si>
    <t>a09ak00002KAZYJAA5</t>
  </si>
  <si>
    <t>INQ-0027</t>
  </si>
  <si>
    <t>(732) 555-2378</t>
  </si>
  <si>
    <t>evelynhernandez43@hotmail.com</t>
  </si>
  <si>
    <t>Evelyn</t>
  </si>
  <si>
    <t>Evelyn Hernandez</t>
  </si>
  <si>
    <t>a09ak00002KAZYKAA5</t>
  </si>
  <si>
    <t>INQ-0028</t>
  </si>
  <si>
    <t>(732) 555-2849</t>
  </si>
  <si>
    <t>jonahjohnson68@yahoo.com</t>
  </si>
  <si>
    <t>Jonah Johnson</t>
  </si>
  <si>
    <t>a09ak00002KAZYLAA5</t>
  </si>
  <si>
    <t>INQ-0029</t>
  </si>
  <si>
    <t>(732) 555-3484</t>
  </si>
  <si>
    <t>ethanmiller12@hotmail.com</t>
  </si>
  <si>
    <t>Ethan</t>
  </si>
  <si>
    <t>Ethan Miller</t>
  </si>
  <si>
    <t>a09ak00002KAZYMAA5</t>
  </si>
  <si>
    <t>INQ-0030</t>
  </si>
  <si>
    <t>(732) 555-2517</t>
  </si>
  <si>
    <t>ryankelly30@yahoo.com</t>
  </si>
  <si>
    <t>a09ak00002KAZYNAA5</t>
  </si>
  <si>
    <t>INQ-0031</t>
  </si>
  <si>
    <t>(732) 555-1277</t>
  </si>
  <si>
    <t>oliviahall66@gmail.com</t>
  </si>
  <si>
    <t>Olivia</t>
  </si>
  <si>
    <t>Olivia Hall</t>
  </si>
  <si>
    <t>a09ak00002KAZYOAA5</t>
  </si>
  <si>
    <t>INQ-0032</t>
  </si>
  <si>
    <t>(732) 555-2394</t>
  </si>
  <si>
    <t>noahcampbell12@hotmail.com</t>
  </si>
  <si>
    <t>Noah Campbell</t>
  </si>
  <si>
    <t>a09ak00002KAZYPAA5</t>
  </si>
  <si>
    <t>INQ-0033</t>
  </si>
  <si>
    <t>Campbell</t>
  </si>
  <si>
    <t>(732) 555-7623</t>
  </si>
  <si>
    <t>sebastianahmed67@outlook.com</t>
  </si>
  <si>
    <t>Sebastian</t>
  </si>
  <si>
    <t>Sebastian Ahmed</t>
  </si>
  <si>
    <t>a09ak00002KAZYQAA5</t>
  </si>
  <si>
    <t>INQ-0034</t>
  </si>
  <si>
    <t>Ahmed</t>
  </si>
  <si>
    <t>(732) 555-5878</t>
  </si>
  <si>
    <t>jdavis@yahoo.com</t>
  </si>
  <si>
    <t>Jamal Davis</t>
  </si>
  <si>
    <t>a09ak00002KAZYRAA5</t>
  </si>
  <si>
    <t>INQ-0035</t>
  </si>
  <si>
    <t>(732) 555-5749</t>
  </si>
  <si>
    <t>ninascott@icloud.com</t>
  </si>
  <si>
    <t>Nina Scott</t>
  </si>
  <si>
    <t>a09ak00002KAZYSAA5</t>
  </si>
  <si>
    <t>INQ-0036</t>
  </si>
  <si>
    <t>(732) 555-3335</t>
  </si>
  <si>
    <t>carolineclark75@yahoo.com</t>
  </si>
  <si>
    <t>Caroline Clark</t>
  </si>
  <si>
    <t>a09ak00002KAZYTAA5</t>
  </si>
  <si>
    <t>INQ-0037</t>
  </si>
  <si>
    <t>(732) 555-2458</t>
  </si>
  <si>
    <t>lucassmith39@yahoo.com</t>
  </si>
  <si>
    <t>Lucas</t>
  </si>
  <si>
    <t>Lucas Smith</t>
  </si>
  <si>
    <t>a09ak00002KAZYUAA5</t>
  </si>
  <si>
    <t>INQ-0038</t>
  </si>
  <si>
    <t>(732) 555-2271</t>
  </si>
  <si>
    <t>lkowalski@hotmail.com</t>
  </si>
  <si>
    <t>Lucy</t>
  </si>
  <si>
    <t>a09ak00002KAZYVAA5</t>
  </si>
  <si>
    <t>INQ-0040</t>
  </si>
  <si>
    <t>Kowalski</t>
  </si>
  <si>
    <t>(732) 555-3113</t>
  </si>
  <si>
    <t>matthewhill32@icloud.com</t>
  </si>
  <si>
    <t>Matthew</t>
  </si>
  <si>
    <t>Matthew Hill</t>
  </si>
  <si>
    <t>a09ak00002KAZYWAA5</t>
  </si>
  <si>
    <t>INQ-0041</t>
  </si>
  <si>
    <t>(732) 555-4883</t>
  </si>
  <si>
    <t>owenflores@hotmail.com</t>
  </si>
  <si>
    <t>Owen Flores</t>
  </si>
  <si>
    <t>a09ak00002KAZYXAA5</t>
  </si>
  <si>
    <t>INQ-0042</t>
  </si>
  <si>
    <t>(732) 555-4255</t>
  </si>
  <si>
    <t>aubrey.anderson@outlook.com</t>
  </si>
  <si>
    <t>a09ak00002KAZYYAA5</t>
  </si>
  <si>
    <t>INQ-0043</t>
  </si>
  <si>
    <t>(732) 555-8644</t>
  </si>
  <si>
    <t>savannahryan@hotmail.com</t>
  </si>
  <si>
    <t>Savannah Ryan</t>
  </si>
  <si>
    <t>a09ak00002KAZYZAA5</t>
  </si>
  <si>
    <t>INQ-0044</t>
  </si>
  <si>
    <t>(732) 555-7841</t>
  </si>
  <si>
    <t>harperokafor87@hotmail.com</t>
  </si>
  <si>
    <t>Harper</t>
  </si>
  <si>
    <t>Harper Okafor</t>
  </si>
  <si>
    <t>a09ak00002KAZYaAAP</t>
  </si>
  <si>
    <t>INQ-0045</t>
  </si>
  <si>
    <t>(732) 555-7401</t>
  </si>
  <si>
    <t>fatima.kim@gmail.com</t>
  </si>
  <si>
    <t>Fatima Kim</t>
  </si>
  <si>
    <t>a09ak00002KAZYbAAP</t>
  </si>
  <si>
    <t>INQ-0046</t>
  </si>
  <si>
    <t>Kim</t>
  </si>
  <si>
    <t>(732) 555-8541</t>
  </si>
  <si>
    <t>norajohnson@hotmail.com</t>
  </si>
  <si>
    <t>Nora</t>
  </si>
  <si>
    <t>Nora Johnson</t>
  </si>
  <si>
    <t>a09ak00002KAZYcAAP</t>
  </si>
  <si>
    <t>INQ-0047</t>
  </si>
  <si>
    <t>(732) 555-6226</t>
  </si>
  <si>
    <t>declanallen@yahoo.com</t>
  </si>
  <si>
    <t>Declan</t>
  </si>
  <si>
    <t>Declan Allen</t>
  </si>
  <si>
    <t>a09ak00002KAZYdAAP</t>
  </si>
  <si>
    <t>INQ-0048</t>
  </si>
  <si>
    <t>(732) 555-1356</t>
  </si>
  <si>
    <t>jamal.rivera@outlook.com</t>
  </si>
  <si>
    <t>Jamal Rivera</t>
  </si>
  <si>
    <t>a09ak00002KAZYeAAP</t>
  </si>
  <si>
    <t>INQ-0049</t>
  </si>
  <si>
    <t>(732) 555-2345</t>
  </si>
  <si>
    <t>jonah.silva@hotmail.com</t>
  </si>
  <si>
    <t>Jonah Silva</t>
  </si>
  <si>
    <t>a09ak00002KAZYfAAP</t>
  </si>
  <si>
    <t>INQ-0050</t>
  </si>
  <si>
    <t>(732) 555-2421</t>
  </si>
  <si>
    <t>nmurphy@outlook.com</t>
  </si>
  <si>
    <t>Nathan Murphy</t>
  </si>
  <si>
    <t>a09ak00002KAZYgAAP</t>
  </si>
  <si>
    <t>INQ-0051</t>
  </si>
  <si>
    <t>Murphy</t>
  </si>
  <si>
    <t>(732) 555-4899</t>
  </si>
  <si>
    <t>rowancarter@hotmail.com</t>
  </si>
  <si>
    <t>a09ak00002KAZYhAAP</t>
  </si>
  <si>
    <t>INQ-0052</t>
  </si>
  <si>
    <t>(732) 555-6522</t>
  </si>
  <si>
    <t>scarlettrobinson83@icloud.com</t>
  </si>
  <si>
    <t>Scarlett</t>
  </si>
  <si>
    <t>Scarlett Robinson</t>
  </si>
  <si>
    <t>a09ak00002KAZYiAAP</t>
  </si>
  <si>
    <t>INQ-0053</t>
  </si>
  <si>
    <t>Robinson</t>
  </si>
  <si>
    <t>(732) 555-8790</t>
  </si>
  <si>
    <t>liamperez99@gmail.com</t>
  </si>
  <si>
    <t>Liam Perez</t>
  </si>
  <si>
    <t>a09ak00002KAZYjAAP</t>
  </si>
  <si>
    <t>INQ-0054</t>
  </si>
  <si>
    <t>(732) 555-3092</t>
  </si>
  <si>
    <t>leoflores@hotmail.com</t>
  </si>
  <si>
    <t>Leo Flores</t>
  </si>
  <si>
    <t>a09ak00002KAZYkAAP</t>
  </si>
  <si>
    <t>INQ-0055</t>
  </si>
  <si>
    <t>(732) 555-1033</t>
  </si>
  <si>
    <t>aidenmitchell3@icloud.com</t>
  </si>
  <si>
    <t>Aiden Mitchell</t>
  </si>
  <si>
    <t>a09ak00002KAZYlAAP</t>
  </si>
  <si>
    <t>INQ-0056</t>
  </si>
  <si>
    <t>(732) 555-2293</t>
  </si>
  <si>
    <t>anelson@icloud.com</t>
  </si>
  <si>
    <t>Adrian Nelson</t>
  </si>
  <si>
    <t>a09ak00002KAZYmAAP</t>
  </si>
  <si>
    <t>INQ-0057</t>
  </si>
  <si>
    <t>(732) 555-8618</t>
  </si>
  <si>
    <t>rdubois@gmail.com</t>
  </si>
  <si>
    <t>Rowan Dubois</t>
  </si>
  <si>
    <t>a09ak00002KAZYnAAP</t>
  </si>
  <si>
    <t>INQ-0058</t>
  </si>
  <si>
    <t>Dubois</t>
  </si>
  <si>
    <t>(732) 555-9272</t>
  </si>
  <si>
    <t>theo.nakamura@gmail.com</t>
  </si>
  <si>
    <t>Theo</t>
  </si>
  <si>
    <t>Theo Nakamura</t>
  </si>
  <si>
    <t>a09ak00002KAZYoAAP</t>
  </si>
  <si>
    <t>INQ-0059</t>
  </si>
  <si>
    <t>2026-09-29T20:50:48.000Z</t>
  </si>
  <si>
    <t>(732) 555-6914</t>
  </si>
  <si>
    <t>rohanlee74@outlook.com</t>
  </si>
  <si>
    <t>Rohan Lee</t>
  </si>
  <si>
    <t>a09ak00002KAZYpAAP</t>
  </si>
  <si>
    <t>INQ-0061</t>
  </si>
  <si>
    <t>Lee</t>
  </si>
  <si>
    <t>(732) 555-4853</t>
  </si>
  <si>
    <t>genesisnakamura@yahoo.com</t>
  </si>
  <si>
    <t>Genesis</t>
  </si>
  <si>
    <t>Genesis Nakamura</t>
  </si>
  <si>
    <t>a09ak00002KAZYqAAP</t>
  </si>
  <si>
    <t>INQ-0062</t>
  </si>
  <si>
    <t>(732) 555-6146</t>
  </si>
  <si>
    <t>ethan.scott@hotmail.com</t>
  </si>
  <si>
    <t>Ethan Scott</t>
  </si>
  <si>
    <t>a09ak00002KAZYrAAP</t>
  </si>
  <si>
    <t>INQ-0063</t>
  </si>
  <si>
    <t>(732) 555-7903</t>
  </si>
  <si>
    <t>jamalbrown@outlook.com</t>
  </si>
  <si>
    <t>Jamal Brown</t>
  </si>
  <si>
    <t>a09ak00002KAZYsAAP</t>
  </si>
  <si>
    <t>INQ-0064</t>
  </si>
  <si>
    <t>(732) 555-3796</t>
  </si>
  <si>
    <t>ellanakamura45@gmail.com</t>
  </si>
  <si>
    <t>Ella</t>
  </si>
  <si>
    <t>Ella Nakamura</t>
  </si>
  <si>
    <t>a09ak00002KAZYtAAP</t>
  </si>
  <si>
    <t>INQ-0065</t>
  </si>
  <si>
    <t>(732) 555-4670</t>
  </si>
  <si>
    <t>jthomas@outlook.com</t>
  </si>
  <si>
    <t>Jackson Thomas</t>
  </si>
  <si>
    <t>a09ak00002KAZYuAAP</t>
  </si>
  <si>
    <t>INQ-0066</t>
  </si>
  <si>
    <t>(732) 555-5865</t>
  </si>
  <si>
    <t>iperez@outlook.com</t>
  </si>
  <si>
    <t>Isaac Perez</t>
  </si>
  <si>
    <t>a09ak00002KAZYvAAP</t>
  </si>
  <si>
    <t>INQ-0067</t>
  </si>
  <si>
    <t>(732) 555-7530</t>
  </si>
  <si>
    <t>isabellamoore28@icloud.com</t>
  </si>
  <si>
    <t>Isabella Moore</t>
  </si>
  <si>
    <t>a09ak00002KAZYwAAP</t>
  </si>
  <si>
    <t>INQ-0068</t>
  </si>
  <si>
    <t>(732) 555-9134</t>
  </si>
  <si>
    <t>skylarahmed72@gmail.com</t>
  </si>
  <si>
    <t>Skylar</t>
  </si>
  <si>
    <t>Skylar Ahmed</t>
  </si>
  <si>
    <t>a09ak00002KAZYxAAP</t>
  </si>
  <si>
    <t>INQ-0069</t>
  </si>
  <si>
    <t>(732) 555-6433</t>
  </si>
  <si>
    <t>julianmitchell65@outlook.com</t>
  </si>
  <si>
    <t>Julian Mitchell</t>
  </si>
  <si>
    <t>a09ak00002KAZYyAAP</t>
  </si>
  <si>
    <t>INQ-0070</t>
  </si>
  <si>
    <t>(732) 555-2785</t>
  </si>
  <si>
    <t>fatimahill@gmail.com</t>
  </si>
  <si>
    <t>Fatima Hill</t>
  </si>
  <si>
    <t>a09ak00002KAZYzAAP</t>
  </si>
  <si>
    <t>INQ-0071</t>
  </si>
  <si>
    <t>(732) 555-7639</t>
  </si>
  <si>
    <t>james.miller@outlook.com</t>
  </si>
  <si>
    <t>James Miller</t>
  </si>
  <si>
    <t>a09ak00002KAZZ0AAP</t>
  </si>
  <si>
    <t>INQ-0072</t>
  </si>
  <si>
    <t>(732) 555-8802</t>
  </si>
  <si>
    <t>anthonydavis35@icloud.com</t>
  </si>
  <si>
    <t>Anthony</t>
  </si>
  <si>
    <t>Anthony Davis</t>
  </si>
  <si>
    <t>a09ak00002KAZZ1AAP</t>
  </si>
  <si>
    <t>INQ-0073</t>
  </si>
  <si>
    <t>2026-09-29T04:40:49.000Z</t>
  </si>
  <si>
    <t>(732) 555-7305</t>
  </si>
  <si>
    <t>chloe.scott@yahoo.com</t>
  </si>
  <si>
    <t>Chloe</t>
  </si>
  <si>
    <t>Chloe Scott</t>
  </si>
  <si>
    <t>a09ak00002KAZZ2AAP</t>
  </si>
  <si>
    <t>INQ-0074</t>
  </si>
  <si>
    <t>(732) 555-9781</t>
  </si>
  <si>
    <t>nryan@icloud.com</t>
  </si>
  <si>
    <t>Nathan Ryan</t>
  </si>
  <si>
    <t>a09ak00002KAZZ3AAP</t>
  </si>
  <si>
    <t>INQ-0075</t>
  </si>
  <si>
    <t>(732) 555-1703</t>
  </si>
  <si>
    <t>theo.walker@icloud.com</t>
  </si>
  <si>
    <t>Theo Walker</t>
  </si>
  <si>
    <t>a09ak00002KAZZ4AAP</t>
  </si>
  <si>
    <t>INQ-0076</t>
  </si>
  <si>
    <t>(732) 555-7199</t>
  </si>
  <si>
    <t>chenwalker79@icloud.com</t>
  </si>
  <si>
    <t>Chen</t>
  </si>
  <si>
    <t>Chen Walker</t>
  </si>
  <si>
    <t>a09ak00002KAZZ5AAP</t>
  </si>
  <si>
    <t>INQ-0077</t>
  </si>
  <si>
    <t>(732) 555-4270</t>
  </si>
  <si>
    <t>anthonyking11@outlook.com</t>
  </si>
  <si>
    <t>Anthony King</t>
  </si>
  <si>
    <t>a09ak00002KAZZ6AAP</t>
  </si>
  <si>
    <t>INQ-0078</t>
  </si>
  <si>
    <t>(732) 555-7666</t>
  </si>
  <si>
    <t>lmartin@yahoo.com</t>
  </si>
  <si>
    <t>Layla Martin</t>
  </si>
  <si>
    <t>a09ak00002KAZZ7AAP</t>
  </si>
  <si>
    <t>INQ-0079</t>
  </si>
  <si>
    <t>(732) 555-9476</t>
  </si>
  <si>
    <t>evelyn.silva@outlook.com</t>
  </si>
  <si>
    <t>Evelyn Silva</t>
  </si>
  <si>
    <t>a09ak00002KAZZ8AAP</t>
  </si>
  <si>
    <t>INQ-0080</t>
  </si>
  <si>
    <t>(732) 555-5415</t>
  </si>
  <si>
    <t>jordanwalker@icloud.com</t>
  </si>
  <si>
    <t>Jordan Walker</t>
  </si>
  <si>
    <t>a09ak00002KAZZ9AAP</t>
  </si>
  <si>
    <t>INQ-0081</t>
  </si>
  <si>
    <t>(732) 555-9087</t>
  </si>
  <si>
    <t>eroberts@gmail.com</t>
  </si>
  <si>
    <t>Ella Roberts</t>
  </si>
  <si>
    <t>a09ak00002KAZZAAA5</t>
  </si>
  <si>
    <t>INQ-0082</t>
  </si>
  <si>
    <t>Roberts</t>
  </si>
  <si>
    <t>(732) 555-9328</t>
  </si>
  <si>
    <t>iyoung@yahoo.com</t>
  </si>
  <si>
    <t>a09ak00002KAZZBAA5</t>
  </si>
  <si>
    <t>INQ-0083</t>
  </si>
  <si>
    <t>Young</t>
  </si>
  <si>
    <t>(732) 555-4769</t>
  </si>
  <si>
    <t>riley.hernandez@hotmail.com</t>
  </si>
  <si>
    <t>Riley</t>
  </si>
  <si>
    <t>Riley Hernandez</t>
  </si>
  <si>
    <t>a09ak00002KAZZCAA5</t>
  </si>
  <si>
    <t>INQ-0084</t>
  </si>
  <si>
    <t>(732) 555-9460</t>
  </si>
  <si>
    <t>rohankim28@outlook.com</t>
  </si>
  <si>
    <t>Rohan Kim</t>
  </si>
  <si>
    <t>a09ak00002KAZZDAA5</t>
  </si>
  <si>
    <t>INQ-0085</t>
  </si>
  <si>
    <t>(732) 555-3156</t>
  </si>
  <si>
    <t>skylar.okafor@icloud.com</t>
  </si>
  <si>
    <t>Skylar Okafor</t>
  </si>
  <si>
    <t>a09ak00002KAZZEAA5</t>
  </si>
  <si>
    <t>INQ-0086</t>
  </si>
  <si>
    <t>(732) 555-7444</t>
  </si>
  <si>
    <t>rileyroberts92@outlook.com</t>
  </si>
  <si>
    <t>Riley Roberts</t>
  </si>
  <si>
    <t>a09ak00002KAZZFAA5</t>
  </si>
  <si>
    <t>INQ-0087</t>
  </si>
  <si>
    <t>(732) 555-4588</t>
  </si>
  <si>
    <t>levi.thomas@yahoo.com</t>
  </si>
  <si>
    <t>Levi Thomas</t>
  </si>
  <si>
    <t>a09ak00002KAZZGAA5</t>
  </si>
  <si>
    <t>INQ-0088</t>
  </si>
  <si>
    <t>(732) 555-7865</t>
  </si>
  <si>
    <t>jordananderson42@gmail.com</t>
  </si>
  <si>
    <t>Jordan Anderson</t>
  </si>
  <si>
    <t>a09ak00002KAZZHAA5</t>
  </si>
  <si>
    <t>INQ-0089</t>
  </si>
  <si>
    <t>(732) 555-8613</t>
  </si>
  <si>
    <t>sebastianmiller47@hotmail.com</t>
  </si>
  <si>
    <t>Sebastian Miller</t>
  </si>
  <si>
    <t>a09ak00002KAZZIAA5</t>
  </si>
  <si>
    <t>INQ-0090</t>
  </si>
  <si>
    <t>(732) 555-5773</t>
  </si>
  <si>
    <t>brooklynperez@hotmail.com</t>
  </si>
  <si>
    <t>Brooklyn</t>
  </si>
  <si>
    <t>Brooklyn Perez</t>
  </si>
  <si>
    <t>a09ak00002KAZZJAA5</t>
  </si>
  <si>
    <t>INQ-0091</t>
  </si>
  <si>
    <t>(732) 555-4074</t>
  </si>
  <si>
    <t>meiokafor@icloud.com</t>
  </si>
  <si>
    <t>Mei</t>
  </si>
  <si>
    <t>Mei Okafor</t>
  </si>
  <si>
    <t>a09ak00002KAZZKAA5</t>
  </si>
  <si>
    <t>INQ-0092</t>
  </si>
  <si>
    <t>(732) 555-2431</t>
  </si>
  <si>
    <t>santiagolee81@gmail.com</t>
  </si>
  <si>
    <t>Santiago Lee</t>
  </si>
  <si>
    <t>a09ak00002KAZZLAA5</t>
  </si>
  <si>
    <t>INQ-0093</t>
  </si>
  <si>
    <t>(732) 555-4494</t>
  </si>
  <si>
    <t>harperwilliams34@outlook.com</t>
  </si>
  <si>
    <t>Harper Williams</t>
  </si>
  <si>
    <t>a09ak00002KAZZMAA5</t>
  </si>
  <si>
    <t>INQ-0094</t>
  </si>
  <si>
    <t>Williams</t>
  </si>
  <si>
    <t>(732) 555-8523</t>
  </si>
  <si>
    <t>sebastianjohnson74@icloud.com</t>
  </si>
  <si>
    <t>Sebastian Johnson</t>
  </si>
  <si>
    <t>a09ak00002KAZZNAA5</t>
  </si>
  <si>
    <t>INQ-0095</t>
  </si>
  <si>
    <t>(732) 555-9896</t>
  </si>
  <si>
    <t>a09ak00002KAZZOAA5</t>
  </si>
  <si>
    <t>INQ-0096</t>
  </si>
  <si>
    <t>nova.brown@icloud.com</t>
  </si>
  <si>
    <t>Nova</t>
  </si>
  <si>
    <t>Nova Brown</t>
  </si>
  <si>
    <t>a09ak00002KAZZPAA5</t>
  </si>
  <si>
    <t>INQ-0097</t>
  </si>
  <si>
    <t>(732) 555-9962</t>
  </si>
  <si>
    <t>milesbyrne@gmail.com</t>
  </si>
  <si>
    <t>Miles Byrne</t>
  </si>
  <si>
    <t>a09ak00002KAZZQAA5</t>
  </si>
  <si>
    <t>INQ-0098</t>
  </si>
  <si>
    <t>(732) 555-7394</t>
  </si>
  <si>
    <t>tylerthomas@outlook.com</t>
  </si>
  <si>
    <t>Tyler</t>
  </si>
  <si>
    <t>Tyler Thomas</t>
  </si>
  <si>
    <t>a09ak00002KAgMPAA1</t>
  </si>
  <si>
    <t>INQ-0100</t>
  </si>
  <si>
    <t>2026-09-29T00:31:40.000Z</t>
  </si>
  <si>
    <t>(732) 555-1232</t>
  </si>
  <si>
    <t>Trial Scheduled</t>
  </si>
  <si>
    <t>declanmartin48@yahoo.com</t>
  </si>
  <si>
    <t>Declan Martin</t>
  </si>
  <si>
    <t>a09ak00002KAgMQAA1</t>
  </si>
  <si>
    <t>INQ-0101</t>
  </si>
  <si>
    <t>(732) 555-7452</t>
  </si>
  <si>
    <t>ethanharris38@yahoo.com</t>
  </si>
  <si>
    <t>Ethan Harris</t>
  </si>
  <si>
    <t>a09ak00002KAgMRAA1</t>
  </si>
  <si>
    <t>INQ-0102</t>
  </si>
  <si>
    <t>(732) 555-5595</t>
  </si>
  <si>
    <t>lrodriguez@icloud.com</t>
  </si>
  <si>
    <t>Lucy Rodriguez</t>
  </si>
  <si>
    <t>a09ak00002KAgMSAA1</t>
  </si>
  <si>
    <t>INQ-0103</t>
  </si>
  <si>
    <t>(732) 555-7004</t>
  </si>
  <si>
    <t>miaflores@yahoo.com</t>
  </si>
  <si>
    <t>Mia Flores</t>
  </si>
  <si>
    <t>a09ak00002KAgMTAA1</t>
  </si>
  <si>
    <t>INQ-0104</t>
  </si>
  <si>
    <t>(732) 555-4243</t>
  </si>
  <si>
    <t>jameshill@gmail.com</t>
  </si>
  <si>
    <t>James Hill</t>
  </si>
  <si>
    <t>a09ak00002KAgMUAA1</t>
  </si>
  <si>
    <t>INQ-0105</t>
  </si>
  <si>
    <t>(732) 555-7296</t>
  </si>
  <si>
    <t>meijones41@outlook.com</t>
  </si>
  <si>
    <t>Mei Jones</t>
  </si>
  <si>
    <t>a09ak00002KAgMVAA1</t>
  </si>
  <si>
    <t>INQ-0106</t>
  </si>
  <si>
    <t>2026-09-29T06:02:38.000Z</t>
  </si>
  <si>
    <t>(732) 555-5642</t>
  </si>
  <si>
    <t>declandavis31@outlook.com</t>
  </si>
  <si>
    <t>Declan Davis</t>
  </si>
  <si>
    <t>a09ak00002KAgMWAA1</t>
  </si>
  <si>
    <t>INQ-0107</t>
  </si>
  <si>
    <t>(732) 555-8076</t>
  </si>
  <si>
    <t>cgarcia@hotmail.com</t>
  </si>
  <si>
    <t>Claire</t>
  </si>
  <si>
    <t>Claire Garcia</t>
  </si>
  <si>
    <t>a09ak00002KAgMXAA1</t>
  </si>
  <si>
    <t>INQ-0108</t>
  </si>
  <si>
    <t>(732) 555-1967</t>
  </si>
  <si>
    <t>lucas.baker@icloud.com</t>
  </si>
  <si>
    <t>Lucas Baker</t>
  </si>
  <si>
    <t>a09ak00002KAgMYAA1</t>
  </si>
  <si>
    <t>INQ-0110</t>
  </si>
  <si>
    <t>(732) 555-6397</t>
  </si>
  <si>
    <t>theodubois49@hotmail.com</t>
  </si>
  <si>
    <t>Theo Dubois</t>
  </si>
  <si>
    <t>a09ak00002KAgMZAA1</t>
  </si>
  <si>
    <t>INQ-0111</t>
  </si>
  <si>
    <t>(732) 555-2637</t>
  </si>
  <si>
    <t>noahnovak75@yahoo.com</t>
  </si>
  <si>
    <t>Noah Novak</t>
  </si>
  <si>
    <t>a09ak00002KAgMaAAL</t>
  </si>
  <si>
    <t>INQ-0112</t>
  </si>
  <si>
    <t>2026-09-28T16:44:06.000Z</t>
  </si>
  <si>
    <t>(732) 555-7333</t>
  </si>
  <si>
    <t>kennedygarcia45@hotmail.com</t>
  </si>
  <si>
    <t>Kennedy</t>
  </si>
  <si>
    <t>Kennedy Garcia</t>
  </si>
  <si>
    <t>a09ak00002KAgMbAAL</t>
  </si>
  <si>
    <t>INQ-0113</t>
  </si>
  <si>
    <t>2026-09-29T06:19:11.000Z</t>
  </si>
  <si>
    <t>(732) 555-5804</t>
  </si>
  <si>
    <t>vincentlee5@gmail.com</t>
  </si>
  <si>
    <t>Vincent Lee</t>
  </si>
  <si>
    <t>a09ak00002KAgMcAAL</t>
  </si>
  <si>
    <t>INQ-0114</t>
  </si>
  <si>
    <t>2026-09-29T06:02:33.000Z</t>
  </si>
  <si>
    <t>(732) 555-3133</t>
  </si>
  <si>
    <t>sofiarossi@hotmail.com</t>
  </si>
  <si>
    <t>Sofia Rossi</t>
  </si>
  <si>
    <t>a09ak00002KAgMdAAL</t>
  </si>
  <si>
    <t>INQ-0115</t>
  </si>
  <si>
    <t>(732) 555-2076</t>
  </si>
  <si>
    <t>lilyokafor56@outlook.com</t>
  </si>
  <si>
    <t>Lily Okafor</t>
  </si>
  <si>
    <t>a09ak00002KAgMeAAL</t>
  </si>
  <si>
    <t>INQ-0116</t>
  </si>
  <si>
    <t>(732) 555-5980</t>
  </si>
  <si>
    <t>henryrodriguez97@icloud.com</t>
  </si>
  <si>
    <t>Henry</t>
  </si>
  <si>
    <t>Henry Rodriguez</t>
  </si>
  <si>
    <t>a09ak00002KAgMfAAL</t>
  </si>
  <si>
    <t>INQ-0117</t>
  </si>
  <si>
    <t>(732) 555-1059</t>
  </si>
  <si>
    <t>genesisrivera@gmail.com</t>
  </si>
  <si>
    <t>Genesis Rivera</t>
  </si>
  <si>
    <t>a09ak00002KAgMgAAL</t>
  </si>
  <si>
    <t>INQ-0118</t>
  </si>
  <si>
    <t>2026-09-28T16:40:58.000Z</t>
  </si>
  <si>
    <t>(732) 555-8976</t>
  </si>
  <si>
    <t>Contacted</t>
  </si>
  <si>
    <t>josiah.lopez@outlook.com</t>
  </si>
  <si>
    <t>Josiah</t>
  </si>
  <si>
    <t>Josiah Lopez</t>
  </si>
  <si>
    <t>a09ak00002KAgMhAAL</t>
  </si>
  <si>
    <t>INQ-0119</t>
  </si>
  <si>
    <t>(732) 555-6820</t>
  </si>
  <si>
    <t>sofia.nakamura@gmail.com</t>
  </si>
  <si>
    <t>Sofia Nakamura</t>
  </si>
  <si>
    <t>a09ak00002KAgMiAAL</t>
  </si>
  <si>
    <t>INQ-0120</t>
  </si>
  <si>
    <t>(732) 555-5463</t>
  </si>
  <si>
    <t>rohanbrown@gmail.com</t>
  </si>
  <si>
    <t>Rohan Brown</t>
  </si>
  <si>
    <t>a09ak00002KAgMjAAL</t>
  </si>
  <si>
    <t>INQ-0121</t>
  </si>
  <si>
    <t>(732) 555-7069</t>
  </si>
  <si>
    <t>jnakamura@icloud.com</t>
  </si>
  <si>
    <t>Jonah Nakamura</t>
  </si>
  <si>
    <t>a09ak00002KAgMkAAL</t>
  </si>
  <si>
    <t>INQ-0122</t>
  </si>
  <si>
    <t>(732) 555-9366</t>
  </si>
  <si>
    <t>gabrielahmed96@hotmail.com</t>
  </si>
  <si>
    <t>Gabriel Ahmed</t>
  </si>
  <si>
    <t>a09ak00002KAgMlAAL</t>
  </si>
  <si>
    <t>INQ-0123</t>
  </si>
  <si>
    <t>(732) 555-2643</t>
  </si>
  <si>
    <t>chloesilva@hotmail.com</t>
  </si>
  <si>
    <t>Chloe Silva</t>
  </si>
  <si>
    <t>a09ak00002KAgMmAAL</t>
  </si>
  <si>
    <t>INQ-0124</t>
  </si>
  <si>
    <t>(732) 555-4322</t>
  </si>
  <si>
    <t>micahchen59@outlook.com</t>
  </si>
  <si>
    <t>Micah Chen</t>
  </si>
  <si>
    <t>a09ak00002KAgMnAAL</t>
  </si>
  <si>
    <t>INQ-0125</t>
  </si>
  <si>
    <t>2026-09-29T06:21:21.000Z</t>
  </si>
  <si>
    <t>(732) 555-5703</t>
  </si>
  <si>
    <t>kaiwilson@icloud.com</t>
  </si>
  <si>
    <t>Kai Wilson</t>
  </si>
  <si>
    <t>a09ak00002KAgMoAAL</t>
  </si>
  <si>
    <t>INQ-0126</t>
  </si>
  <si>
    <t>(732) 555-3442</t>
  </si>
  <si>
    <t>hcampbell@icloud.com</t>
  </si>
  <si>
    <t>Harper Campbell</t>
  </si>
  <si>
    <t>a09ak00002KAgMpAAL</t>
  </si>
  <si>
    <t>INQ-0127</t>
  </si>
  <si>
    <t>(732) 555-7047</t>
  </si>
  <si>
    <t>penelope.ramirez@icloud.com</t>
  </si>
  <si>
    <t>Penelope Ramirez</t>
  </si>
  <si>
    <t>a09ak00002KAgMqAAL</t>
  </si>
  <si>
    <t>INQ-0128</t>
  </si>
  <si>
    <t>(732) 555-6029</t>
  </si>
  <si>
    <t>jonah.clark@hotmail.com</t>
  </si>
  <si>
    <t>a09ak00002KAgMrAAL</t>
  </si>
  <si>
    <t>INQ-0129</t>
  </si>
  <si>
    <t>(732) 555-5852</t>
  </si>
  <si>
    <t>violetryan66@icloud.com</t>
  </si>
  <si>
    <t>Violet</t>
  </si>
  <si>
    <t>Violet Ryan</t>
  </si>
  <si>
    <t>a09ak00002KAgMsAAL</t>
  </si>
  <si>
    <t>INQ-0130</t>
  </si>
  <si>
    <t>(732) 555-4512</t>
  </si>
  <si>
    <t>aubrey.garcia@yahoo.com</t>
  </si>
  <si>
    <t>Aubrey Garcia</t>
  </si>
  <si>
    <t>a09ak00002KAgMtAAL</t>
  </si>
  <si>
    <t>INQ-0131</t>
  </si>
  <si>
    <t>(732) 555-6326</t>
  </si>
  <si>
    <t>kthompson@icloud.com</t>
  </si>
  <si>
    <t>Kennedy Thompson</t>
  </si>
  <si>
    <t>a09ak00002KAgMuAAL</t>
  </si>
  <si>
    <t>INQ-0132</t>
  </si>
  <si>
    <t>(732) 555-1656</t>
  </si>
  <si>
    <t>declan.jackson@yahoo.com</t>
  </si>
  <si>
    <t>Declan Jackson</t>
  </si>
  <si>
    <t>a09ak00002KAgMvAAL</t>
  </si>
  <si>
    <t>INQ-0133</t>
  </si>
  <si>
    <t>(732) 555-8082</t>
  </si>
  <si>
    <t>novakim@yahoo.com</t>
  </si>
  <si>
    <t>Nova Kim</t>
  </si>
  <si>
    <t>a09ak00002KAgMwAAL</t>
  </si>
  <si>
    <t>INQ-0134</t>
  </si>
  <si>
    <t>(732) 555-6061</t>
  </si>
  <si>
    <t>victoriadavis21@hotmail.com</t>
  </si>
  <si>
    <t>Victoria</t>
  </si>
  <si>
    <t>Victoria Davis</t>
  </si>
  <si>
    <t>a09ak00002KAgMxAAL</t>
  </si>
  <si>
    <t>INQ-0135</t>
  </si>
  <si>
    <t>(732) 555-9924</t>
  </si>
  <si>
    <t>xwalker@yahoo.com</t>
  </si>
  <si>
    <t>Xavier</t>
  </si>
  <si>
    <t>Xavier Walker</t>
  </si>
  <si>
    <t>a09ak00002KAgMyAAL</t>
  </si>
  <si>
    <t>INQ-0136</t>
  </si>
  <si>
    <t>(732) 555-8530</t>
  </si>
  <si>
    <t>ethanbyrne63@gmail.com</t>
  </si>
  <si>
    <t>Ethan Byrne</t>
  </si>
  <si>
    <t>a09ak00002KAgMzAAL</t>
  </si>
  <si>
    <t>INQ-0137</t>
  </si>
  <si>
    <t>(732) 555-1825</t>
  </si>
  <si>
    <t>tylerwilson@hotmail.com</t>
  </si>
  <si>
    <t>Tyler Wilson</t>
  </si>
  <si>
    <t>a09ak00002KAgN0AAL</t>
  </si>
  <si>
    <t>INQ-0138</t>
  </si>
  <si>
    <t>2026-10-01T17:46:14.000Z</t>
  </si>
  <si>
    <t>(732) 555-4735</t>
  </si>
  <si>
    <t>violetsullivan@hotmail.com</t>
  </si>
  <si>
    <t>Violet Sullivan</t>
  </si>
  <si>
    <t>a09ak00002KAgN1AAL</t>
  </si>
  <si>
    <t>INQ-0139</t>
  </si>
  <si>
    <t>(732) 555-2124</t>
  </si>
  <si>
    <t>levi.robinson@icloud.com</t>
  </si>
  <si>
    <t>Levi Robinson</t>
  </si>
  <si>
    <t>a09ak00002KAgN2AAL</t>
  </si>
  <si>
    <t>INQ-0140</t>
  </si>
  <si>
    <t>(732) 555-9666</t>
  </si>
  <si>
    <t>2026-09-14T20:01:57.000Z</t>
  </si>
  <si>
    <t>jlewis@yahoo.com</t>
  </si>
  <si>
    <t>Jonah Lewis</t>
  </si>
  <si>
    <t>a09ak00002KAyPlAAL</t>
  </si>
  <si>
    <t>INQ-0060</t>
  </si>
  <si>
    <t>(732) 555-3531</t>
  </si>
  <si>
    <t>rowanahmed@icloud.com</t>
  </si>
  <si>
    <t>Rowan Ahmed</t>
  </si>
  <si>
    <t>a09ak00002KAyPmAAL</t>
  </si>
  <si>
    <t>INQ-0099</t>
  </si>
  <si>
    <t>(732) 555-7788</t>
  </si>
  <si>
    <t>jnovak@gmail.com</t>
  </si>
  <si>
    <t>Jackson Novak</t>
  </si>
  <si>
    <t>a09ak00002KAyPnAAL</t>
  </si>
  <si>
    <t>INQ-0109</t>
  </si>
  <si>
    <t>(732) 555-6350</t>
  </si>
  <si>
    <t>a07ak00001wmPyGAAU</t>
  </si>
  <si>
    <t>2026-10-01T17:45:20.000Z</t>
  </si>
  <si>
    <t>danaortiz@gmail.com</t>
  </si>
  <si>
    <t>Leo Ortiz</t>
  </si>
  <si>
    <t>a09ak00002Y0orRAAR</t>
  </si>
  <si>
    <t>2026-10-01T17:47:53.000Z</t>
  </si>
  <si>
    <t>2026-10-02T04:23:21.000Z</t>
  </si>
  <si>
    <t>Ortiz</t>
  </si>
  <si>
    <t>00Gak00000ngg5qEAA</t>
  </si>
  <si>
    <t>Primary_Instrument__c</t>
  </si>
  <si>
    <t>Sum of Monthly_Rate__c</t>
  </si>
  <si>
    <t>Age_New__c</t>
  </si>
  <si>
    <t>Birthday__c</t>
  </si>
  <si>
    <t>Cancelled_Lessons__c</t>
  </si>
  <si>
    <t>Enrollment_Date__c</t>
  </si>
  <si>
    <t>Guardian_Email__c</t>
  </si>
  <si>
    <t>Guardian_First_Name__c</t>
  </si>
  <si>
    <t>Guardian_Last_Name__c</t>
  </si>
  <si>
    <t>Guardian_Phone__c</t>
  </si>
  <si>
    <t>Home_Location__c</t>
  </si>
  <si>
    <t>Home_Picklist__c</t>
  </si>
  <si>
    <t>Last_Cancelled_Date__c</t>
  </si>
  <si>
    <t>Lesson_Frequency__c</t>
  </si>
  <si>
    <t>Minor_Email__c</t>
  </si>
  <si>
    <t>Monthly_Rate__c</t>
  </si>
  <si>
    <t>Parent_Guardian_Pays__c</t>
  </si>
  <si>
    <t>Preferred_Day__c</t>
  </si>
  <si>
    <t>Skill_Level__c</t>
  </si>
  <si>
    <t>Student_Email__c</t>
  </si>
  <si>
    <t>Student_Phone__c</t>
  </si>
  <si>
    <t>WeeklyImpact__c</t>
  </si>
  <si>
    <t>Withdrawn_Date__c</t>
  </si>
  <si>
    <t>2026-09-14T19:09:41.000Z</t>
  </si>
  <si>
    <t>Aurora</t>
  </si>
  <si>
    <t>awhite@outlook.com</t>
  </si>
  <si>
    <t>White</t>
  </si>
  <si>
    <t>(732) 555-7685</t>
  </si>
  <si>
    <t>2026-09-17T15:39:12.000Z</t>
  </si>
  <si>
    <t>2026-09-24T17:50:25.000Z</t>
  </si>
  <si>
    <t>Weekly</t>
  </si>
  <si>
    <t>aurorawhite51@gmail.com</t>
  </si>
  <si>
    <t>Thursday</t>
  </si>
  <si>
    <t>Intermediate</t>
  </si>
  <si>
    <t>Paused</t>
  </si>
  <si>
    <t>STU-0001</t>
  </si>
  <si>
    <t>2026-09-24T19:18:48.000Z</t>
  </si>
  <si>
    <t>Mason</t>
  </si>
  <si>
    <t>2026-09-17T15:31:00.000Z</t>
  </si>
  <si>
    <t>Beginner</t>
  </si>
  <si>
    <t>masonwilson@gmail.com</t>
  </si>
  <si>
    <t>STU-0002</t>
  </si>
  <si>
    <t>(732) 555-5266</t>
  </si>
  <si>
    <t xml:space="preserve"> </t>
  </si>
  <si>
    <t>Delilah</t>
  </si>
  <si>
    <t>cadams@yahoo.com</t>
  </si>
  <si>
    <t>(732) 555-3893</t>
  </si>
  <si>
    <t>2026-09-17T15:38:02.000Z</t>
  </si>
  <si>
    <t>Friday</t>
  </si>
  <si>
    <t>STU-0003</t>
  </si>
  <si>
    <t>2026-09-17T15:37:52.000Z</t>
  </si>
  <si>
    <t>Wednesday</t>
  </si>
  <si>
    <t>ljackson@icloud.com</t>
  </si>
  <si>
    <t>STU-0004</t>
  </si>
  <si>
    <t>(732) 555-4374</t>
  </si>
  <si>
    <t>2026-09-15T17:15:54.000Z</t>
  </si>
  <si>
    <t>Monday</t>
  </si>
  <si>
    <t>meithompson25@gmail.com</t>
  </si>
  <si>
    <t>STU-0005</t>
  </si>
  <si>
    <t>(732) 555-8682</t>
  </si>
  <si>
    <t>lsullivan@gmail.com</t>
  </si>
  <si>
    <t>(732) 555-7381</t>
  </si>
  <si>
    <t>ksullivan@icloud.com</t>
  </si>
  <si>
    <t>STU-0006</t>
  </si>
  <si>
    <t>sebastianjones@outlook.com</t>
  </si>
  <si>
    <t>(732) 555-2871</t>
  </si>
  <si>
    <t>2026-09-17T17:45:19.000Z</t>
  </si>
  <si>
    <t>STU-0007</t>
  </si>
  <si>
    <t>ezra.wright@icloud.com</t>
  </si>
  <si>
    <t>Wright</t>
  </si>
  <si>
    <t>(732) 555-2268</t>
  </si>
  <si>
    <t>Biweekly</t>
  </si>
  <si>
    <t>STU-0008</t>
  </si>
  <si>
    <t>2026-09-17T15:55:56.000Z</t>
  </si>
  <si>
    <t>2026-09-17T16:06:50.000Z</t>
  </si>
  <si>
    <t>Tuesday</t>
  </si>
  <si>
    <t>ryan.harris@gmail.com</t>
  </si>
  <si>
    <t>STU-0009</t>
  </si>
  <si>
    <t>olopez@hotmail.com</t>
  </si>
  <si>
    <t>Audrey</t>
  </si>
  <si>
    <t>(732) 555-4586</t>
  </si>
  <si>
    <t>genesis.lopez@gmail.com</t>
  </si>
  <si>
    <t>Advanced</t>
  </si>
  <si>
    <t>STU-0010</t>
  </si>
  <si>
    <t>STU-0011</t>
  </si>
  <si>
    <t>(732) 555-4436</t>
  </si>
  <si>
    <t>asullivan@icloud.com</t>
  </si>
  <si>
    <t>(732) 555-4253</t>
  </si>
  <si>
    <t>ssullivan@outlook.com</t>
  </si>
  <si>
    <t>STU-0012</t>
  </si>
  <si>
    <t>yahmed@outlook.com</t>
  </si>
  <si>
    <t>(732) 555-9066</t>
  </si>
  <si>
    <t>STU-0013</t>
  </si>
  <si>
    <t>noahcarter28@gmail.com</t>
  </si>
  <si>
    <t>(732) 555-6062</t>
  </si>
  <si>
    <t>2026-09-18T05:19:45.000Z</t>
  </si>
  <si>
    <t>STU-0014</t>
  </si>
  <si>
    <t>mileswalker@gmail.com</t>
  </si>
  <si>
    <t>(732) 555-7592</t>
  </si>
  <si>
    <t>005ak00000i3ftJAAQ</t>
  </si>
  <si>
    <t>2026-10-02T07:12:46.000Z</t>
  </si>
  <si>
    <t>hazelwalker52@icloud.com</t>
  </si>
  <si>
    <t>STU-0015</t>
  </si>
  <si>
    <t>Skylar Kelly</t>
  </si>
  <si>
    <t>a07ak00001rZMpOAAW</t>
  </si>
  <si>
    <t>2026-09-24T16:51:20.000Z</t>
  </si>
  <si>
    <t>Withdrawn</t>
  </si>
  <si>
    <t>skylarkelly@outlook.com</t>
  </si>
  <si>
    <t>STU-0016</t>
  </si>
  <si>
    <t>(732) 555-6218</t>
  </si>
  <si>
    <t>2026-09-17T03:05:00.000Z</t>
  </si>
  <si>
    <t>aubrey.anderson@yahoo.com</t>
  </si>
  <si>
    <t>STU-0017</t>
  </si>
  <si>
    <t>(732) 555-5006</t>
  </si>
  <si>
    <t>hudsonramirez@gmail.com</t>
  </si>
  <si>
    <t>Daniel</t>
  </si>
  <si>
    <t>(732) 555-5554</t>
  </si>
  <si>
    <t>STU-0018</t>
  </si>
  <si>
    <t>anthonywilson26@icloud.com</t>
  </si>
  <si>
    <t>(732) 555-2616</t>
  </si>
  <si>
    <t>STU-0019</t>
  </si>
  <si>
    <t>Saturday</t>
  </si>
  <si>
    <t>jflores@yahoo.com</t>
  </si>
  <si>
    <t>STU-0020</t>
  </si>
  <si>
    <t>(732) 555-1416</t>
  </si>
  <si>
    <t>matthew.dubois@yahoo.com</t>
  </si>
  <si>
    <t>(732) 555-3889</t>
  </si>
  <si>
    <t>STU-0021</t>
  </si>
  <si>
    <t>Declan Lopez</t>
  </si>
  <si>
    <t>julianlopez38@yahoo.com</t>
  </si>
  <si>
    <t>(732) 555-6014</t>
  </si>
  <si>
    <t>a07ak00001rZMpUAAW</t>
  </si>
  <si>
    <t>2026-09-17T17:45:28.000Z</t>
  </si>
  <si>
    <t>dlopez@hotmail.com</t>
  </si>
  <si>
    <t>STU-0022</t>
  </si>
  <si>
    <t>tylerrodriguez@icloud.com</t>
  </si>
  <si>
    <t>(732) 555-7300</t>
  </si>
  <si>
    <t>tylerrodriguez72@hotmail.com</t>
  </si>
  <si>
    <t>STU-0023</t>
  </si>
  <si>
    <t>levi.thomas@outlook.com</t>
  </si>
  <si>
    <t>(732) 555-1057</t>
  </si>
  <si>
    <t>STU-0024</t>
  </si>
  <si>
    <t>vmiller@yahoo.com</t>
  </si>
  <si>
    <t>(732) 555-5274</t>
  </si>
  <si>
    <t>STU-0025</t>
  </si>
  <si>
    <t>Claire Flores</t>
  </si>
  <si>
    <t>victoriaflores@yahoo.com</t>
  </si>
  <si>
    <t>(732) 555-9651</t>
  </si>
  <si>
    <t>a07ak00001rZMpYAAW</t>
  </si>
  <si>
    <t>claireflores@outlook.com</t>
  </si>
  <si>
    <t>STU-0026</t>
  </si>
  <si>
    <t>micahpatel19@outlook.com</t>
  </si>
  <si>
    <t>(732) 555-5752</t>
  </si>
  <si>
    <t>2026-09-17T04:05:29.000Z</t>
  </si>
  <si>
    <t>harper.patel@icloud.com</t>
  </si>
  <si>
    <t>STU-0027</t>
  </si>
  <si>
    <t>ihill@icloud.com</t>
  </si>
  <si>
    <t>(732) 555-2584</t>
  </si>
  <si>
    <t>laylahill@yahoo.com</t>
  </si>
  <si>
    <t>STU-0028</t>
  </si>
  <si>
    <t>jamalgreen@hotmail.com</t>
  </si>
  <si>
    <t>Green</t>
  </si>
  <si>
    <t>(732) 555-4305</t>
  </si>
  <si>
    <t>2026-09-17T17:48:46.000Z</t>
  </si>
  <si>
    <t>sofiagreen@gmail.com</t>
  </si>
  <si>
    <t>STU-0029</t>
  </si>
  <si>
    <t>brooklyn.sullivan@icloud.com</t>
  </si>
  <si>
    <t>(732) 555-4925</t>
  </si>
  <si>
    <t>005ak00000iur57AAA</t>
  </si>
  <si>
    <t>2026-09-17T17:12:29.000Z</t>
  </si>
  <si>
    <t>STU-0030</t>
  </si>
  <si>
    <t>everlybyrne57@hotmail.com</t>
  </si>
  <si>
    <t>(732) 555-9048</t>
  </si>
  <si>
    <t>rubybyrne70@yahoo.com</t>
  </si>
  <si>
    <t>STU-0031</t>
  </si>
  <si>
    <t>aiden.wilson@icloud.com</t>
  </si>
  <si>
    <t>(732) 555-3505</t>
  </si>
  <si>
    <t>2026-09-21T18:15:14.000Z</t>
  </si>
  <si>
    <t>2026-09-24T16:49:09.000Z</t>
  </si>
  <si>
    <t>awilson@yahoo.com</t>
  </si>
  <si>
    <t>STU-0032</t>
  </si>
  <si>
    <t>lmoore@icloud.com</t>
  </si>
  <si>
    <t>(732) 555-3860</t>
  </si>
  <si>
    <t>STU-0033</t>
  </si>
  <si>
    <t>isaacking60@yahoo.com</t>
  </si>
  <si>
    <t>(732) 555-9740</t>
  </si>
  <si>
    <t>STU-0034</t>
  </si>
  <si>
    <t>oliviaroberts@icloud.com</t>
  </si>
  <si>
    <t>(732) 555-7024</t>
  </si>
  <si>
    <t>2026-09-17T16:07:20.000Z</t>
  </si>
  <si>
    <t>2026-09-17T16:55:33.000Z</t>
  </si>
  <si>
    <t>aidenroberts31@hotmail.com</t>
  </si>
  <si>
    <t>STU-0035</t>
  </si>
  <si>
    <t>Bella</t>
  </si>
  <si>
    <t>emily.adams@icloud.com</t>
  </si>
  <si>
    <t>(732) 555-3814</t>
  </si>
  <si>
    <t>bellaadams@icloud.com</t>
  </si>
  <si>
    <t>STU-0036</t>
  </si>
  <si>
    <t>lucy.novak@icloud.com</t>
  </si>
  <si>
    <t>(732) 555-1528</t>
  </si>
  <si>
    <t>STU-0037</t>
  </si>
  <si>
    <t>guardian@email.com</t>
  </si>
  <si>
    <t>First</t>
  </si>
  <si>
    <t>Last</t>
  </si>
  <si>
    <t>732-732-1000</t>
  </si>
  <si>
    <t>2026-09-17T16:07:11.000Z</t>
  </si>
  <si>
    <t>2026-09-29T02:53:03.000Z</t>
  </si>
  <si>
    <t>fjones@hotmail.com</t>
  </si>
  <si>
    <t>STU-0038</t>
  </si>
  <si>
    <t>(732) 555-5558</t>
  </si>
  <si>
    <t>Victoria Silva</t>
  </si>
  <si>
    <t>savannahsilva7@gmail.com</t>
  </si>
  <si>
    <t>(732) 555-7040</t>
  </si>
  <si>
    <t>a07ak00001rZMplAAG</t>
  </si>
  <si>
    <t>STU-0039</t>
  </si>
  <si>
    <t>chenjackson13@yahoo.com</t>
  </si>
  <si>
    <t>Anna</t>
  </si>
  <si>
    <t>(732) 555-9853</t>
  </si>
  <si>
    <t>scarlettjackson@icloud.com</t>
  </si>
  <si>
    <t>STU-0040</t>
  </si>
  <si>
    <t>leomitchell@icloud.com</t>
  </si>
  <si>
    <t>STU-0041</t>
  </si>
  <si>
    <t>(732) 555-7145</t>
  </si>
  <si>
    <t>abigail.rodriguez@gmail.com</t>
  </si>
  <si>
    <t>(732) 555-1469</t>
  </si>
  <si>
    <t>naomirodriguez72@gmail.com</t>
  </si>
  <si>
    <t>STU-0042</t>
  </si>
  <si>
    <t>avataylor32@icloud.com</t>
  </si>
  <si>
    <t>(732) 555-1478</t>
  </si>
  <si>
    <t>STU-0043</t>
  </si>
  <si>
    <t>vharris@gmail.com</t>
  </si>
  <si>
    <t>Aria</t>
  </si>
  <si>
    <t>(732) 555-6042</t>
  </si>
  <si>
    <t>STU-0044</t>
  </si>
  <si>
    <t>james.brown@outlook.com</t>
  </si>
  <si>
    <t>(732) 555-8867</t>
  </si>
  <si>
    <t>2026-09-17T16:06:58.000Z</t>
  </si>
  <si>
    <t>STU-0045</t>
  </si>
  <si>
    <t>malachiclark@outlook.com</t>
  </si>
  <si>
    <t>(732) 555-7203</t>
  </si>
  <si>
    <t>STU-0046</t>
  </si>
  <si>
    <t>Paisley Chen</t>
  </si>
  <si>
    <t>loganchen@hotmail.com</t>
  </si>
  <si>
    <t>(732) 555-2104</t>
  </si>
  <si>
    <t>a07ak00001rZMptAAG</t>
  </si>
  <si>
    <t>STU-0047</t>
  </si>
  <si>
    <t>Everly</t>
  </si>
  <si>
    <t>hudson.nelson@outlook.com</t>
  </si>
  <si>
    <t>(732) 555-7104</t>
  </si>
  <si>
    <t>STU-0048</t>
  </si>
  <si>
    <t>graceroberts@gmail.com</t>
  </si>
  <si>
    <t>(732) 555-5340</t>
  </si>
  <si>
    <t>STU-0049</t>
  </si>
  <si>
    <t>byoung@outlook.com</t>
  </si>
  <si>
    <t>(732) 555-4484</t>
  </si>
  <si>
    <t>brooklynyoung18@gmail.com</t>
  </si>
  <si>
    <t>STU-0050</t>
  </si>
  <si>
    <t>theowhite@icloud.com</t>
  </si>
  <si>
    <t>Marcus</t>
  </si>
  <si>
    <t>(732) 555-9198</t>
  </si>
  <si>
    <t>STU-0051</t>
  </si>
  <si>
    <t>Paisley Mitchell</t>
  </si>
  <si>
    <t>jmitchell@yahoo.com</t>
  </si>
  <si>
    <t>(732) 555-7609</t>
  </si>
  <si>
    <t>a07ak00001rZMpyAAG</t>
  </si>
  <si>
    <t>STU-0052</t>
  </si>
  <si>
    <t>harperrivera@yahoo.com</t>
  </si>
  <si>
    <t>(732) 555-9262</t>
  </si>
  <si>
    <t>STU-0053</t>
  </si>
  <si>
    <t>lucyryan25@gmail.com</t>
  </si>
  <si>
    <t>(732) 555-6294</t>
  </si>
  <si>
    <t>2026-10-01T15:55:28.000Z</t>
  </si>
  <si>
    <t>STU-0054</t>
  </si>
  <si>
    <t>Grace</t>
  </si>
  <si>
    <t>hazel.sanchez@yahoo.com</t>
  </si>
  <si>
    <t>(732) 555-7492</t>
  </si>
  <si>
    <t>STU-0055</t>
  </si>
  <si>
    <t>Lincoln</t>
  </si>
  <si>
    <t>Lincoln Jackson</t>
  </si>
  <si>
    <t>matthew.jackson@outlook.com</t>
  </si>
  <si>
    <t>(732) 555-4013</t>
  </si>
  <si>
    <t>a07ak00001rZMq2AAG</t>
  </si>
  <si>
    <t>lincoln.jackson@icloud.com</t>
  </si>
  <si>
    <t>STU-0056</t>
  </si>
  <si>
    <t>danielnakamura@icloud.com</t>
  </si>
  <si>
    <t>(732) 555-8269</t>
  </si>
  <si>
    <t>anthony.nakamura@yahoo.com</t>
  </si>
  <si>
    <t>STU-0057</t>
  </si>
  <si>
    <t>tylerjohnson79@yahoo.com</t>
  </si>
  <si>
    <t>(732) 555-6013</t>
  </si>
  <si>
    <t>STU-0058</t>
  </si>
  <si>
    <t>oclark@gmail.com</t>
  </si>
  <si>
    <t>STU-0059</t>
  </si>
  <si>
    <t>(732) 555-2568</t>
  </si>
  <si>
    <t>wyattjones@yahoo.com</t>
  </si>
  <si>
    <t>Maria</t>
  </si>
  <si>
    <t>(732) 555-6674</t>
  </si>
  <si>
    <t>STU-0060</t>
  </si>
  <si>
    <t>everly.sullivan@hotmail.com</t>
  </si>
  <si>
    <t>(732) 555-9126</t>
  </si>
  <si>
    <t>STU-0061</t>
  </si>
  <si>
    <t>yusufrobinson@yahoo.com</t>
  </si>
  <si>
    <t>(732) 555-5032</t>
  </si>
  <si>
    <t>evelynrobinson12@hotmail.com</t>
  </si>
  <si>
    <t>STU-0062</t>
  </si>
  <si>
    <t>aharris@icloud.com</t>
  </si>
  <si>
    <t>(732) 555-7468</t>
  </si>
  <si>
    <t>STU-0063</t>
  </si>
  <si>
    <t>ezra.jones@gmail.com</t>
  </si>
  <si>
    <t>(732) 555-5360</t>
  </si>
  <si>
    <t>ejones@hotmail.com</t>
  </si>
  <si>
    <t>STU-0064</t>
  </si>
  <si>
    <t>Brooklyn Taylor</t>
  </si>
  <si>
    <t>ataylor@icloud.com</t>
  </si>
  <si>
    <t>(732) 555-1757</t>
  </si>
  <si>
    <t>a07ak00001rZMqBAAW</t>
  </si>
  <si>
    <t>STU-0065</t>
  </si>
  <si>
    <t>danielsmith26@hotmail.com</t>
  </si>
  <si>
    <t>(732) 555-7307</t>
  </si>
  <si>
    <t>STU-0066</t>
  </si>
  <si>
    <t>ellalopez99@yahoo.com</t>
  </si>
  <si>
    <t>(732) 555-9837</t>
  </si>
  <si>
    <t>ryanlopez9@gmail.com</t>
  </si>
  <si>
    <t>STU-0068</t>
  </si>
  <si>
    <t>lucas.rodriguez@yahoo.com</t>
  </si>
  <si>
    <t>STU-0069</t>
  </si>
  <si>
    <t>(732) 555-2088</t>
  </si>
  <si>
    <t>kennedy.novak@outlook.com</t>
  </si>
  <si>
    <t>(732) 555-1874</t>
  </si>
  <si>
    <t>STU-0070</t>
  </si>
  <si>
    <t>anthonyclark@icloud.com</t>
  </si>
  <si>
    <t>(732) 555-7349</t>
  </si>
  <si>
    <t>STU-0071</t>
  </si>
  <si>
    <t>bellaharris@hotmail.com</t>
  </si>
  <si>
    <t>(732) 555-1076</t>
  </si>
  <si>
    <t>skylar.harris@icloud.com</t>
  </si>
  <si>
    <t>STU-0072</t>
  </si>
  <si>
    <t>brooklyn.baker@outlook.com</t>
  </si>
  <si>
    <t>(732) 555-6065</t>
  </si>
  <si>
    <t>STU-0073</t>
  </si>
  <si>
    <t>Emma</t>
  </si>
  <si>
    <t>leosmith@gmail.com</t>
  </si>
  <si>
    <t>(732) 555-7983</t>
  </si>
  <si>
    <t>STU-0074</t>
  </si>
  <si>
    <t>omitchell@icloud.com</t>
  </si>
  <si>
    <t>Abigail</t>
  </si>
  <si>
    <t>(732) 555-3674</t>
  </si>
  <si>
    <t>STU-0075</t>
  </si>
  <si>
    <t>laylaroberts22@gmail.com</t>
  </si>
  <si>
    <t>(732) 555-4272</t>
  </si>
  <si>
    <t>STU-0076</t>
  </si>
  <si>
    <t>camilachen@outlook.com</t>
  </si>
  <si>
    <t>(732) 555-8362</t>
  </si>
  <si>
    <t>2026-10-01T17:39:12.000Z</t>
  </si>
  <si>
    <t>STU-0077</t>
  </si>
  <si>
    <t>kennedyjackson@icloud.com</t>
  </si>
  <si>
    <t>Amelia</t>
  </si>
  <si>
    <t>(732) 555-9955</t>
  </si>
  <si>
    <t>STU-0078</t>
  </si>
  <si>
    <t>Brandon</t>
  </si>
  <si>
    <t>sbyrne@icloud.com</t>
  </si>
  <si>
    <t>(732) 555-1653</t>
  </si>
  <si>
    <t>STU-0079</t>
  </si>
  <si>
    <t>cbyrne@hotmail.com</t>
  </si>
  <si>
    <t>(732) 555-2833</t>
  </si>
  <si>
    <t>STU-0080</t>
  </si>
  <si>
    <t>Harper Rodriguez</t>
  </si>
  <si>
    <t>gabriel.rodriguez@hotmail.com</t>
  </si>
  <si>
    <t>(732) 555-8053</t>
  </si>
  <si>
    <t>a07ak00001rZMqQAAW</t>
  </si>
  <si>
    <t>STU-0081</t>
  </si>
  <si>
    <t>2026-09-27T01:48:12.000Z</t>
  </si>
  <si>
    <t>annathomas@gmail.com</t>
  </si>
  <si>
    <t>STU-0082</t>
  </si>
  <si>
    <t>(732) 555-9888</t>
  </si>
  <si>
    <t>Xavier King</t>
  </si>
  <si>
    <t>yusuf.king@icloud.com</t>
  </si>
  <si>
    <t>(732) 555-4578</t>
  </si>
  <si>
    <t>a07ak00001rZMqSAAW</t>
  </si>
  <si>
    <t>STU-0083</t>
  </si>
  <si>
    <t>lkowalski@yahoo.com</t>
  </si>
  <si>
    <t>(732) 555-7573</t>
  </si>
  <si>
    <t>2026-09-15T17:16:27.000Z</t>
  </si>
  <si>
    <t>STU-0084</t>
  </si>
  <si>
    <t>milessilva@yahoo.com</t>
  </si>
  <si>
    <t>(732) 555-6396</t>
  </si>
  <si>
    <t>STU-0085</t>
  </si>
  <si>
    <t>Valentina Hernandez</t>
  </si>
  <si>
    <t>ehernandez@icloud.com</t>
  </si>
  <si>
    <t>(732) 555-7509</t>
  </si>
  <si>
    <t>a07ak00001rZMqVAAW</t>
  </si>
  <si>
    <t>STU-0086</t>
  </si>
  <si>
    <t>loganryan47@hotmail.com</t>
  </si>
  <si>
    <t>(732) 555-7861</t>
  </si>
  <si>
    <t>STU-0087</t>
  </si>
  <si>
    <t>brandontorres@gmail.com</t>
  </si>
  <si>
    <t>(732) 555-5533</t>
  </si>
  <si>
    <t>STU-0088</t>
  </si>
  <si>
    <t>skylarmitchell@yahoo.com</t>
  </si>
  <si>
    <t>(732) 555-9341</t>
  </si>
  <si>
    <t>cmitchell@icloud.com</t>
  </si>
  <si>
    <t>STU-0089</t>
  </si>
  <si>
    <t>nperez@hotmail.com</t>
  </si>
  <si>
    <t>STU-0090</t>
  </si>
  <si>
    <t>(732) 555-6876</t>
  </si>
  <si>
    <t>handerson@hotmail.com</t>
  </si>
  <si>
    <t>(732) 555-7256</t>
  </si>
  <si>
    <t>theoanderson@hotmail.com</t>
  </si>
  <si>
    <t>STU-0092</t>
  </si>
  <si>
    <t>aria.davis@hotmail.com</t>
  </si>
  <si>
    <t>(732) 555-2661</t>
  </si>
  <si>
    <t>STU-0093</t>
  </si>
  <si>
    <t>Nova Ahmed</t>
  </si>
  <si>
    <t>jonahahmed92@hotmail.com</t>
  </si>
  <si>
    <t>(732) 555-5577</t>
  </si>
  <si>
    <t>a07ak00001rZMqcAAG</t>
  </si>
  <si>
    <t>STU-0094</t>
  </si>
  <si>
    <t>fatima.scott@outlook.com</t>
  </si>
  <si>
    <t>(732) 555-8041</t>
  </si>
  <si>
    <t>STU-0095</t>
  </si>
  <si>
    <t>ryanmitchell@outlook.com</t>
  </si>
  <si>
    <t>(732) 555-5236</t>
  </si>
  <si>
    <t>STU-0096</t>
  </si>
  <si>
    <t>micahnovak88@icloud.com</t>
  </si>
  <si>
    <t>(732) 555-8713</t>
  </si>
  <si>
    <t>STU-0097</t>
  </si>
  <si>
    <t>005ak00000iurczAAA</t>
  </si>
  <si>
    <t>2026-09-18T05:09:10.000Z</t>
  </si>
  <si>
    <t>adrian.lewis@yahoo.com</t>
  </si>
  <si>
    <t>STU-0098</t>
  </si>
  <si>
    <t>(732) 555-9452</t>
  </si>
  <si>
    <t>claireallen@gmail.com</t>
  </si>
  <si>
    <t>(732) 555-9449</t>
  </si>
  <si>
    <t>STU-0099</t>
  </si>
  <si>
    <t>violet.perez@outlook.com</t>
  </si>
  <si>
    <t>(732) 555-7309</t>
  </si>
  <si>
    <t>STU-0100</t>
  </si>
  <si>
    <t>milessanchez38@outlook.com</t>
  </si>
  <si>
    <t>(732) 555-3784</t>
  </si>
  <si>
    <t>STU-0101</t>
  </si>
  <si>
    <t>Josiah Lewis</t>
  </si>
  <si>
    <t>valentina.lewis@yahoo.com</t>
  </si>
  <si>
    <t>(732) 555-9390</t>
  </si>
  <si>
    <t>a07ak00001rZMqkAAG</t>
  </si>
  <si>
    <t>STU-0102</t>
  </si>
  <si>
    <t>skylar.campbell@outlook.com</t>
  </si>
  <si>
    <t>(732) 555-8274</t>
  </si>
  <si>
    <t>STU-0103</t>
  </si>
  <si>
    <t>loganharris@icloud.com</t>
  </si>
  <si>
    <t>STU-0104</t>
  </si>
  <si>
    <t>(732) 555-5604</t>
  </si>
  <si>
    <t>Dylan</t>
  </si>
  <si>
    <t>scarlett.wright@outlook.com</t>
  </si>
  <si>
    <t>(732) 555-7034</t>
  </si>
  <si>
    <t>STU-0105</t>
  </si>
  <si>
    <t>brooklynmartin@gmail.com</t>
  </si>
  <si>
    <t>(732) 555-7031</t>
  </si>
  <si>
    <t>bellamartin@hotmail.com</t>
  </si>
  <si>
    <t>STU-0106</t>
  </si>
  <si>
    <t>aidenbyrne44@outlook.com</t>
  </si>
  <si>
    <t>STU-0107</t>
  </si>
  <si>
    <t>(732) 555-3143</t>
  </si>
  <si>
    <t>ryanallen78@hotmail.com</t>
  </si>
  <si>
    <t>(732) 555-7489</t>
  </si>
  <si>
    <t>STU-0108</t>
  </si>
  <si>
    <t>miles.moore@yahoo.com</t>
  </si>
  <si>
    <t>(732) 555-3850</t>
  </si>
  <si>
    <t>ruby.moore@gmail.com</t>
  </si>
  <si>
    <t>STU-0109</t>
  </si>
  <si>
    <t>ezrakim@gmail.com</t>
  </si>
  <si>
    <t>(732) 555-6129</t>
  </si>
  <si>
    <t>STU-0110</t>
  </si>
  <si>
    <t>annahall39@yahoo.com</t>
  </si>
  <si>
    <t>(732) 555-1218</t>
  </si>
  <si>
    <t>STU-0111</t>
  </si>
  <si>
    <t>riley.nelson@icloud.com</t>
  </si>
  <si>
    <t>(732) 555-6589</t>
  </si>
  <si>
    <t>STU-0112</t>
  </si>
  <si>
    <t>abigailmartin@yahoo.com</t>
  </si>
  <si>
    <t>(732) 555-6382</t>
  </si>
  <si>
    <t>penelopemartin1@yahoo.com</t>
  </si>
  <si>
    <t>STU-0113</t>
  </si>
  <si>
    <t>amartinez@gmail.com</t>
  </si>
  <si>
    <t>Martinez</t>
  </si>
  <si>
    <t>(732) 555-3149</t>
  </si>
  <si>
    <t>STU-0114</t>
  </si>
  <si>
    <t>aiden.brown@gmail.com</t>
  </si>
  <si>
    <t>(732) 555-2152</t>
  </si>
  <si>
    <t>mei.brown@outlook.com</t>
  </si>
  <si>
    <t>STU-0115</t>
  </si>
  <si>
    <t>ethansilva34@yahoo.com</t>
  </si>
  <si>
    <t>(732) 555-1216</t>
  </si>
  <si>
    <t>STU-0116</t>
  </si>
  <si>
    <t>hgreen@gmail.com</t>
  </si>
  <si>
    <t>(732) 555-8635</t>
  </si>
  <si>
    <t>STU-0117</t>
  </si>
  <si>
    <t>emilybyrne68@yahoo.com</t>
  </si>
  <si>
    <t>(732) 555-1343</t>
  </si>
  <si>
    <t>STU-0118</t>
  </si>
  <si>
    <t>scarlett.scott@outlook.com</t>
  </si>
  <si>
    <t>(732) 555-5900</t>
  </si>
  <si>
    <t>STU-0119</t>
  </si>
  <si>
    <t>arodriguez@yahoo.com</t>
  </si>
  <si>
    <t>(732) 555-2861</t>
  </si>
  <si>
    <t>mrodriguez@yahoo.com</t>
  </si>
  <si>
    <t>STU-0120</t>
  </si>
  <si>
    <t>Rohan Nguyen</t>
  </si>
  <si>
    <t>bnguyen@icloud.com</t>
  </si>
  <si>
    <t>Nguyen</t>
  </si>
  <si>
    <t>(732) 555-3957</t>
  </si>
  <si>
    <t>a07ak00001rZMr3AAG</t>
  </si>
  <si>
    <t>STU-0121</t>
  </si>
  <si>
    <t>oliviabaker39@hotmail.com</t>
  </si>
  <si>
    <t>STU-0122</t>
  </si>
  <si>
    <t>732-555-0100 ext 4</t>
  </si>
  <si>
    <t>Riley Robinson</t>
  </si>
  <si>
    <t>yrobinson@icloud.com</t>
  </si>
  <si>
    <t>(732) 555-8388</t>
  </si>
  <si>
    <t>a07ak00001rZMr5AAG</t>
  </si>
  <si>
    <t>rrobinson@gmail.com</t>
  </si>
  <si>
    <t>STU-0123</t>
  </si>
  <si>
    <t>priyaroberts49@outlook.com</t>
  </si>
  <si>
    <t>STU-0124</t>
  </si>
  <si>
    <t>(732) 555-2201</t>
  </si>
  <si>
    <t>aidendubois38@hotmail.com</t>
  </si>
  <si>
    <t>(732) 555-6769</t>
  </si>
  <si>
    <t>STU-0125</t>
  </si>
  <si>
    <t>santiagopatel@icloud.com</t>
  </si>
  <si>
    <t>(732) 555-2682</t>
  </si>
  <si>
    <t>STU-0126</t>
  </si>
  <si>
    <t>odubois@yahoo.com</t>
  </si>
  <si>
    <t>STU-0127</t>
  </si>
  <si>
    <t>(732) 555-9003</t>
  </si>
  <si>
    <t>cgarcia@outlook.com</t>
  </si>
  <si>
    <t>(732) 555-4325</t>
  </si>
  <si>
    <t>STU-0128</t>
  </si>
  <si>
    <t>Diego</t>
  </si>
  <si>
    <t>ariamoore@outlook.com</t>
  </si>
  <si>
    <t>(732) 555-4660</t>
  </si>
  <si>
    <t>STU-0129</t>
  </si>
  <si>
    <t>jacksongonzalez@gmail.com</t>
  </si>
  <si>
    <t>Gonzalez</t>
  </si>
  <si>
    <t>(732) 555-4798</t>
  </si>
  <si>
    <t>STU-0130</t>
  </si>
  <si>
    <t>rileylopez@hotmail.com</t>
  </si>
  <si>
    <t>STU-0131</t>
  </si>
  <si>
    <t>2026-10-01T20:38:28.000Z</t>
  </si>
  <si>
    <t>meithomas@outlook.com</t>
  </si>
  <si>
    <t>STU-0132</t>
  </si>
  <si>
    <t>(732) 555-4061</t>
  </si>
  <si>
    <t>Miles Young</t>
  </si>
  <si>
    <t>emmayoung4@outlook.com</t>
  </si>
  <si>
    <t>(732) 555-6026</t>
  </si>
  <si>
    <t>a07ak00001rZMrFAAW</t>
  </si>
  <si>
    <t>STU-0133</t>
  </si>
  <si>
    <t>lkelly@icloud.com</t>
  </si>
  <si>
    <t>(732) 555-8204</t>
  </si>
  <si>
    <t>STU-0134</t>
  </si>
  <si>
    <t>claireyoung14@yahoo.com</t>
  </si>
  <si>
    <t>(732) 555-8614</t>
  </si>
  <si>
    <t>STU-0135</t>
  </si>
  <si>
    <t>lperez@gmail.com</t>
  </si>
  <si>
    <t>(732) 555-5583</t>
  </si>
  <si>
    <t>sperez@hotmail.com</t>
  </si>
  <si>
    <t>STU-0136</t>
  </si>
  <si>
    <t>chen.sullivan@icloud.com</t>
  </si>
  <si>
    <t>STU-0137</t>
  </si>
  <si>
    <t>(732) 555-7144</t>
  </si>
  <si>
    <t>levicampbell75@gmail.com</t>
  </si>
  <si>
    <t>STU-0138</t>
  </si>
  <si>
    <t>(732) 555-7686</t>
  </si>
  <si>
    <t>nova.ryan@hotmail.com</t>
  </si>
  <si>
    <t>(732) 555-7958</t>
  </si>
  <si>
    <t>STU-0139</t>
  </si>
  <si>
    <t>josiahmartinez16@gmail.com</t>
  </si>
  <si>
    <t>(732) 555-1993</t>
  </si>
  <si>
    <t>STU-0140</t>
  </si>
  <si>
    <t>danielkim@outlook.com</t>
  </si>
  <si>
    <t>(732) 555-8690</t>
  </si>
  <si>
    <t>STU-0141</t>
  </si>
  <si>
    <t>emilylee@icloud.com</t>
  </si>
  <si>
    <t>(732) 555-7792</t>
  </si>
  <si>
    <t>STU-0142</t>
  </si>
  <si>
    <t>elijahcampbell@hotmail.com</t>
  </si>
  <si>
    <t>(732) 555-2127</t>
  </si>
  <si>
    <t>STU-0143</t>
  </si>
  <si>
    <t>ebyrne@icloud.com</t>
  </si>
  <si>
    <t>(732) 555-6386</t>
  </si>
  <si>
    <t>STU-0144</t>
  </si>
  <si>
    <t>aokafor@yahoo.com</t>
  </si>
  <si>
    <t>Andre</t>
  </si>
  <si>
    <t>(732) 555-9348</t>
  </si>
  <si>
    <t>STU-0145</t>
  </si>
  <si>
    <t>nova.okafor@icloud.com</t>
  </si>
  <si>
    <t>(732) 555-8698</t>
  </si>
  <si>
    <t>STU-0146</t>
  </si>
  <si>
    <t>Charlotte Chen</t>
  </si>
  <si>
    <t>ruby.chen@hotmail.com</t>
  </si>
  <si>
    <t>(732) 555-1632</t>
  </si>
  <si>
    <t>a07ak00001rZMrTAAW</t>
  </si>
  <si>
    <t>cchen@hotmail.com</t>
  </si>
  <si>
    <t>STU-0147</t>
  </si>
  <si>
    <t>kaikim@gmail.com</t>
  </si>
  <si>
    <t>(732) 555-7249</t>
  </si>
  <si>
    <t>STU-0148</t>
  </si>
  <si>
    <t>itaylor@icloud.com</t>
  </si>
  <si>
    <t>STU-0149</t>
  </si>
  <si>
    <t>(732) 555-7070</t>
  </si>
  <si>
    <t>malachisullivan43@outlook.com</t>
  </si>
  <si>
    <t>(732) 555-1442</t>
  </si>
  <si>
    <t>2026-10-01T15:55:59.000Z</t>
  </si>
  <si>
    <t>msullivan@hotmail.com</t>
  </si>
  <si>
    <t>STU-0150</t>
  </si>
  <si>
    <t>Audrey Byrne</t>
  </si>
  <si>
    <t>leo.byrne@outlook.com</t>
  </si>
  <si>
    <t>(732) 555-9532</t>
  </si>
  <si>
    <t>a07ak00001rZMrXAAW</t>
  </si>
  <si>
    <t>STU-0151</t>
  </si>
  <si>
    <t>milesmartinez@hotmail.com</t>
  </si>
  <si>
    <t>(732) 555-2282</t>
  </si>
  <si>
    <t>STU-0152</t>
  </si>
  <si>
    <t>Adrian White</t>
  </si>
  <si>
    <t>ryanwhite@outlook.com</t>
  </si>
  <si>
    <t>(732) 555-2048</t>
  </si>
  <si>
    <t>a07ak00001rZMrZAAW</t>
  </si>
  <si>
    <t>STU-0153</t>
  </si>
  <si>
    <t>jking@hotmail.com</t>
  </si>
  <si>
    <t>(732) 555-5186</t>
  </si>
  <si>
    <t>STU-0154</t>
  </si>
  <si>
    <t>sofiaramirez@yahoo.com</t>
  </si>
  <si>
    <t>(732) 555-4662</t>
  </si>
  <si>
    <t>laylaramirez@gmail.com</t>
  </si>
  <si>
    <t>STU-0155</t>
  </si>
  <si>
    <t>Naomi Nguyen</t>
  </si>
  <si>
    <t>savannahnguyen47@gmail.com</t>
  </si>
  <si>
    <t>(732) 555-7275</t>
  </si>
  <si>
    <t>a07ak00001rZMrcAAG</t>
  </si>
  <si>
    <t>nnguyen@icloud.com</t>
  </si>
  <si>
    <t>STU-0156</t>
  </si>
  <si>
    <t>malachiking7@outlook.com</t>
  </si>
  <si>
    <t>(732) 555-5727</t>
  </si>
  <si>
    <t>STU-0157</t>
  </si>
  <si>
    <t>josiahrodriguez@yahoo.com</t>
  </si>
  <si>
    <t>STU-0158</t>
  </si>
  <si>
    <t>(732) 555-5907</t>
  </si>
  <si>
    <t>jordan.nelson@gmail.com</t>
  </si>
  <si>
    <t>(732) 555-2628</t>
  </si>
  <si>
    <t>STU-0159</t>
  </si>
  <si>
    <t>layla.young@outlook.com</t>
  </si>
  <si>
    <t>(732) 555-4631</t>
  </si>
  <si>
    <t>STU-0160</t>
  </si>
  <si>
    <t>logan.kowalski@yahoo.com</t>
  </si>
  <si>
    <t>(732) 555-1945</t>
  </si>
  <si>
    <t>STU-0161</t>
  </si>
  <si>
    <t>ethandavis40@icloud.com</t>
  </si>
  <si>
    <t>(732) 555-6736</t>
  </si>
  <si>
    <t>paisley.davis@icloud.com</t>
  </si>
  <si>
    <t>STU-0162</t>
  </si>
  <si>
    <t>anakamura@yahoo.com</t>
  </si>
  <si>
    <t>(732) 555-5150</t>
  </si>
  <si>
    <t>STU-0163</t>
  </si>
  <si>
    <t>Camila</t>
  </si>
  <si>
    <t>sroberts@outlook.com</t>
  </si>
  <si>
    <t>(732) 555-5861</t>
  </si>
  <si>
    <t>camila.roberts@icloud.com</t>
  </si>
  <si>
    <t>STU-0164</t>
  </si>
  <si>
    <t>novaahmed@icloud.com</t>
  </si>
  <si>
    <t>(732) 555-5809</t>
  </si>
  <si>
    <t>STU-0165</t>
  </si>
  <si>
    <t>nathanyoung@outlook.com</t>
  </si>
  <si>
    <t>STU-0166</t>
  </si>
  <si>
    <t>(732) 555-5710</t>
  </si>
  <si>
    <t>levi.jones@outlook.com</t>
  </si>
  <si>
    <t>(732) 555-4967</t>
  </si>
  <si>
    <t>STU-0167</t>
  </si>
  <si>
    <t>lincolnwilson@icloud.com</t>
  </si>
  <si>
    <t>(732) 555-3506</t>
  </si>
  <si>
    <t>sebastianwilson92@outlook.com</t>
  </si>
  <si>
    <t>STU-0168</t>
  </si>
  <si>
    <t>milessilva@hotmail.com</t>
  </si>
  <si>
    <t>STU-0169</t>
  </si>
  <si>
    <t>(732) 555-9235</t>
  </si>
  <si>
    <t>laylathomas17@gmail.com</t>
  </si>
  <si>
    <t>(732) 555-6348</t>
  </si>
  <si>
    <t>mthomas@hotmail.com</t>
  </si>
  <si>
    <t>STU-0170</t>
  </si>
  <si>
    <t>lucaslewis@icloud.com</t>
  </si>
  <si>
    <t>(732) 555-4714</t>
  </si>
  <si>
    <t>STU-0171</t>
  </si>
  <si>
    <t>ehill@yahoo.com</t>
  </si>
  <si>
    <t>(732) 555-6500</t>
  </si>
  <si>
    <t>STU-0172</t>
  </si>
  <si>
    <t>Rowan Ramirez</t>
  </si>
  <si>
    <t>liamramirez@icloud.com</t>
  </si>
  <si>
    <t>(732) 555-8671</t>
  </si>
  <si>
    <t>a07ak00001rZMrtAAG</t>
  </si>
  <si>
    <t>rowanramirez@outlook.com</t>
  </si>
  <si>
    <t>STU-0173</t>
  </si>
  <si>
    <t>fkelly@yahoo.com</t>
  </si>
  <si>
    <t>(732) 555-3446</t>
  </si>
  <si>
    <t>dkelly@yahoo.com</t>
  </si>
  <si>
    <t>STU-0174</t>
  </si>
  <si>
    <t>henrypatel67@hotmail.com</t>
  </si>
  <si>
    <t>(732) 555-8527</t>
  </si>
  <si>
    <t>STU-0175</t>
  </si>
  <si>
    <t>paisley.clark@hotmail.com</t>
  </si>
  <si>
    <t>(732) 555-9715</t>
  </si>
  <si>
    <t>STU-0176</t>
  </si>
  <si>
    <t>Skylar Baker</t>
  </si>
  <si>
    <t>brandon.baker@icloud.com</t>
  </si>
  <si>
    <t>(732) 555-3352</t>
  </si>
  <si>
    <t>a07ak00001rZMrxAAG</t>
  </si>
  <si>
    <t>skylarbaker@hotmail.com</t>
  </si>
  <si>
    <t>STU-0177</t>
  </si>
  <si>
    <t>Malachi Nelson</t>
  </si>
  <si>
    <t>liam.nelson@outlook.com</t>
  </si>
  <si>
    <t>(732) 555-2520</t>
  </si>
  <si>
    <t>a07ak00001rZMryAAG</t>
  </si>
  <si>
    <t>STU-0178</t>
  </si>
  <si>
    <t>lbaker@outlook.com</t>
  </si>
  <si>
    <t>(732) 555-7186</t>
  </si>
  <si>
    <t>penelopebaker@outlook.com</t>
  </si>
  <si>
    <t>STU-0179</t>
  </si>
  <si>
    <t>ryan.nelson@outlook.com</t>
  </si>
  <si>
    <t>(732) 555-1975</t>
  </si>
  <si>
    <t>STU-0180</t>
  </si>
  <si>
    <t>STU-0181</t>
  </si>
  <si>
    <t>STU-0182</t>
  </si>
  <si>
    <t>LOGAN</t>
  </si>
  <si>
    <t>2026-10-02T04:46:46.000Z</t>
  </si>
  <si>
    <t>2026-10-02T04:46:45.000Z</t>
  </si>
  <si>
    <t>STU-0183</t>
  </si>
  <si>
    <t>Dana</t>
  </si>
  <si>
    <t>2026-10-01T20:37:52.000Z</t>
  </si>
  <si>
    <t>lortiz@gmail.com</t>
  </si>
  <si>
    <t>Issue</t>
  </si>
  <si>
    <t>Count</t>
  </si>
  <si>
    <t>Why it matters</t>
  </si>
  <si>
    <t>Fix</t>
  </si>
  <si>
    <t>As Of</t>
  </si>
  <si>
    <t>Lessons still “Scheduled” with dates in the past</t>
  </si>
  <si>
    <t>Was 93. Until past lessons are closed out, attendance and instructor pay are wrong (September looked like a 52% drop). On 10/14 I closed out all but these 5, which come from the bad 3/11 import in row 6.</t>
  </si>
  <si>
    <t>Scheduled Flow that runs nightly and flags any past lesson still marked Scheduled, plus a list view the front desk clears every week.</t>
  </si>
  <si>
    <t>Inquiries marked Converted with no linked Student</t>
  </si>
  <si>
    <t>40 of 41 converted inquiries have no student linked, so there's no way to tell which lead sources actually turned into paying students.</t>
  </si>
  <si>
    <t>The Inquiry to Student Flow already sets the link, but these 40 were marked Converted by data loads, not through the Flow. Add a validation rule that requires Converted Student when Status is Converted, so conversions have to go through the Flow.</t>
  </si>
  <si>
    <t>Likely duplicate students (same name + same guardian email)</t>
  </si>
  <si>
    <t>3 pairs. Both Nathan Ahmeds and both Sofia Johnsons share a parent email but have birthdays 7 months and 2 weeks apart. Siblings can't be born that close together, so each pair is one kid entered twice with a birthday typo. The Logan Harris pair only differs by capitalization and has no guardian on file, so it's a weaker match worth checking by hand.</t>
  </si>
  <si>
    <t>The Student duplicate rule already warns when someone creates a new duplicate. I tested it on two of these pairs. These 3 pairs came in with the sample data, before the rule existed. Merge isn’t available for custom objects, so the cleanup is manual: move the lessons to the record you keep, then delete the extra one.</t>
  </si>
  <si>
    <t>Duplicate inquiry (Same Email)</t>
  </si>
  <si>
    <t>Matthew Hill inquired in April (got as far as Trial Scheduled) and again in September (marked Unresponsive). Two records split his history, so whoever followed up in September likely didn't know about the April trial.</t>
  </si>
  <si>
    <t>Duplicate rule on Inquiry that matches on email and alerts staff, so they reopen the existing inquiry instead of creating a new one.</t>
  </si>
  <si>
    <t>Lessons in an instrument the instructor doesn’t teach</t>
  </si>
  <si>
    <t>7 lessons are booked with an instructor who doesn't teach that instrument. 5 of them are on 3/11/2026, which looks like one bad import, not seven separate typos.</t>
  </si>
  <si>
    <t>Validation rule on Lesson that checks the instructor's Instruments Taught includes the lesson's instrument. INCLUDES() only accepts a fixed value, so it's one check per instrument.</t>
  </si>
  <si>
    <t>Instructor double-booked (same date/time)</t>
  </si>
  <si>
    <t>Down from 4. What's left is one lesson entered twice (same student, instructor, and time, both Completed). Zoey Rodriguez's 9/22 conflict cleared because both lessons were cancelled after she left.</t>
  </si>
  <si>
    <t>Record-triggered Flow that blocks saving a lesson if the same instructor already has a non-cancelled lesson at that date and time. Running the same check by student catches double entries.</t>
  </si>
  <si>
    <t>Instructors Sharing Emails</t>
  </si>
  <si>
    <t>Layla Sullivan and Vincent Kelly have the same email. Both are inactive, so nothing breaks today, but if either one is rehired, their schedule emails go to the wrong person.</t>
  </si>
  <si>
    <t>Fix Vincent Kelly's email, then mark the instructor Email field as Unique so Salesforce rejects repeats.</t>
  </si>
  <si>
    <t>First response dated before the inquiry</t>
  </si>
  <si>
    <t>Two inquiries show a first response before the inquiry came in (Liam Davis's is three and a half months early). They're typos, and they make the average response time look faster than it really is.</t>
  </si>
  <si>
    <t>Validation rule: First Response Date can't be earlier than Inquiry Date.</t>
  </si>
  <si>
    <t>Student with an enrollment date in the future</t>
  </si>
  <si>
    <t>Matthew Jackson is Active with an enrollment date of 1/5/2027. Signing up early is fine, but as Active he's already counted in active students and monthly revenue.</t>
  </si>
  <si>
    <t>Add a Pending status for early sign-ups, plus a validation rule: Status can't be Active while Enrollment Date is in the future.</t>
  </si>
  <si>
    <t>Lessons that need a makeup but don't have one scheduled</t>
  </si>
  <si>
    <t>14 are lessons the instructor cancelled, going back to 3/20, so families are paying for lessons that were never made up. That's a refund and churn risk. The 15th is the 3/11 lesson from the bad import in row 6.</t>
  </si>
  <si>
    <t>Record-triggered Flow: when a lesson is set to Cancelled by Instructor, create a task for the front desk to book the makeup within 7 days. Add an open-makeups report to the dashboard.</t>
  </si>
  <si>
    <t>Lead Source</t>
  </si>
  <si>
    <t>Conversion Rate(Finished Inquiry Only)</t>
  </si>
  <si>
    <t>Average Days to First Response</t>
  </si>
  <si>
    <t>Inquiries with No Response</t>
  </si>
  <si>
    <t>2026-10</t>
  </si>
  <si>
    <t>Locations</t>
  </si>
  <si>
    <t>Conversion Rate (By Location)</t>
  </si>
  <si>
    <t>(blank)</t>
  </si>
  <si>
    <t xml:space="preserve">     </t>
  </si>
  <si>
    <t>Location Id</t>
  </si>
  <si>
    <t>Revenue By Location</t>
  </si>
  <si>
    <t>Monthly Rate of Paused Students</t>
  </si>
  <si>
    <t>=XLOOKUP([@[Requested_Location__c],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</si>
</sst>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_(* #,##0.0_);_(* \(#,##0.0\);_(* &quot;-&quot;??_);_(@_)"/>
    <numFmt numFmtId="166" formatCode="&quot;$&quot;#,##0"/>
    <numFmt numFmtId="167" formatCode="0.0%"/>
  </numFmts>
  <fonts count="7">
    <font>
      <sz val="11"/>
      <color theme="1"/>
      <name val="Calibri"/>
      <family val="2"/>
      <scheme val="minor"/>
    </font>
    <font>
      <b/>
      <sz val="10"/>
      <name val="Arial"/>
    </font>
    <font>
      <sz val="10"/>
      <name val="Arial"/>
    </font>
    <font>
      <i/>
      <sz val="9"/>
      <color rgb="FF595959"/>
      <name val="Arial"/>
    </font>
    <font>
      <b/>
      <sz val="20"/>
      <color theme="1"/>
      <name val="Calibri"/>
      <family val="2"/>
      <scheme val="minor"/>
    </font>
    <font>
      <b/>
      <sz val="18"/>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1"/>
    <xf numFmtId="164" fontId="0" fillId="0" borderId="0" xfId="0" applyNumberFormat="1"/>
    <xf numFmtId="0" fontId="1" fillId="0" borderId="0" xfId="0" applyFont="1"/>
    <xf numFmtId="0" fontId="3" fillId="0" borderId="0" xfId="0" applyFont="1"/>
    <xf numFmtId="0" fontId="2" fillId="0" borderId="0" xfId="0" applyFont="1"/>
    <xf numFmtId="0" fontId="0" fillId="0" borderId="0" xfId="0" applyNumberFormat="1"/>
    <xf numFmtId="0" fontId="0" fillId="0" borderId="0" xfId="0" applyAlignment="1">
      <alignment wrapText="1"/>
    </xf>
    <xf numFmtId="0" fontId="0" fillId="0" borderId="0" xfId="0" pivotButton="1"/>
    <xf numFmtId="10" fontId="0" fillId="0" borderId="0" xfId="0" applyNumberFormat="1"/>
    <xf numFmtId="165" fontId="0" fillId="0" borderId="0" xfId="0" applyNumberFormat="1"/>
    <xf numFmtId="0" fontId="0" fillId="2" borderId="0" xfId="0" applyFill="1" applyAlignment="1">
      <alignment horizontal="center"/>
    </xf>
    <xf numFmtId="0" fontId="4" fillId="3" borderId="0" xfId="0" applyFont="1" applyFill="1" applyAlignment="1">
      <alignment horizontal="center"/>
    </xf>
    <xf numFmtId="0" fontId="0" fillId="0" borderId="0" xfId="0" applyFont="1"/>
    <xf numFmtId="166" fontId="4" fillId="3" borderId="0" xfId="0" applyNumberFormat="1" applyFont="1" applyFill="1" applyAlignment="1">
      <alignment horizontal="center"/>
    </xf>
    <xf numFmtId="167" fontId="4" fillId="3" borderId="0" xfId="0" applyNumberFormat="1" applyFont="1" applyFill="1" applyAlignment="1">
      <alignment horizontal="center"/>
    </xf>
    <xf numFmtId="0" fontId="5" fillId="0" borderId="0" xfId="0" applyFont="1"/>
    <xf numFmtId="166" fontId="0" fillId="0" borderId="0" xfId="0" applyNumberFormat="1"/>
    <xf numFmtId="0" fontId="6" fillId="0" borderId="0" xfId="0" applyFont="1"/>
  </cellXfs>
  <cellStyles count="1">
    <cellStyle name="Normal" xfId="0" builtinId="0"/>
  </cellStyles>
  <dxfs count="30">
    <dxf>
      <numFmt numFmtId="166" formatCode="&quot;$&quot;#,##0"/>
    </dxf>
    <dxf>
      <numFmt numFmtId="166" formatCode="&quot;$&quot;#,##0"/>
    </dxf>
    <dxf>
      <numFmt numFmtId="0" formatCode="General"/>
    </dxf>
    <dxf>
      <numFmt numFmtId="0" formatCode="General"/>
    </dxf>
    <dxf>
      <numFmt numFmtId="164" formatCode="&quot;$&quot;#,##0.00"/>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164" formatCode="&quot;$&quot;#,##0.00"/>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quot;$&quot;#,##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Red Bank Brings In 46%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Locations!$C$1</c:f>
              <c:strCache>
                <c:ptCount val="1"/>
                <c:pt idx="0">
                  <c:v>Revenue By Location</c:v>
                </c:pt>
              </c:strCache>
            </c:strRef>
          </c:tx>
          <c:spPr>
            <a:solidFill>
              <a:schemeClr val="accent1"/>
            </a:solidFill>
            <a:ln>
              <a:noFill/>
            </a:ln>
            <a:effectLst/>
          </c:spPr>
          <c:invertIfNegative val="0"/>
          <c:cat>
            <c:strRef>
              <c:f>Locations!$B$2:$B$4</c:f>
              <c:strCache>
                <c:ptCount val="3"/>
                <c:pt idx="0">
                  <c:v>Red Bank</c:v>
                </c:pt>
                <c:pt idx="1">
                  <c:v>Brick</c:v>
                </c:pt>
                <c:pt idx="2">
                  <c:v>Toms River</c:v>
                </c:pt>
              </c:strCache>
            </c:strRef>
          </c:cat>
          <c:val>
            <c:numRef>
              <c:f>Locations!$C$2:$C$4</c:f>
              <c:numCache>
                <c:formatCode>"$"#,##0</c:formatCode>
                <c:ptCount val="3"/>
                <c:pt idx="0">
                  <c:v>12860</c:v>
                </c:pt>
                <c:pt idx="1">
                  <c:v>9900</c:v>
                </c:pt>
                <c:pt idx="2">
                  <c:v>5300</c:v>
                </c:pt>
              </c:numCache>
            </c:numRef>
          </c:val>
          <c:extLst>
            <c:ext xmlns:c16="http://schemas.microsoft.com/office/drawing/2014/chart" uri="{C3380CC4-5D6E-409C-BE32-E72D297353CC}">
              <c16:uniqueId val="{00000000-E133-4B0E-9E0B-6D92F095A443}"/>
            </c:ext>
          </c:extLst>
        </c:ser>
        <c:dLbls>
          <c:showLegendKey val="0"/>
          <c:showVal val="0"/>
          <c:showCatName val="0"/>
          <c:showSerName val="0"/>
          <c:showPercent val="0"/>
          <c:showBubbleSize val="0"/>
        </c:dLbls>
        <c:gapWidth val="219"/>
        <c:overlap val="-27"/>
        <c:axId val="1180121095"/>
        <c:axId val="1227534855"/>
      </c:barChart>
      <c:catAx>
        <c:axId val="1180121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534855"/>
        <c:crosses val="autoZero"/>
        <c:auto val="1"/>
        <c:lblAlgn val="ctr"/>
        <c:lblOffset val="100"/>
        <c:noMultiLvlLbl val="0"/>
      </c:catAx>
      <c:valAx>
        <c:axId val="12275348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1210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Close Rate by Lead Source (Finished Inquiries)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'Inquiry Funnel'!$J$2</c:f>
              <c:strCache>
                <c:ptCount val="1"/>
                <c:pt idx="0">
                  <c:v>Conversion Rate(Finished Inquiry Only)</c:v>
                </c:pt>
              </c:strCache>
            </c:strRef>
          </c:tx>
          <c:spPr>
            <a:solidFill>
              <a:schemeClr val="accent1"/>
            </a:solidFill>
            <a:ln>
              <a:noFill/>
            </a:ln>
            <a:effectLst/>
          </c:spPr>
          <c:invertIfNegative val="0"/>
          <c:cat>
            <c:strRef>
              <c:f>'Inquiry Funnel'!$I$3:$I$10</c:f>
              <c:strCache>
                <c:ptCount val="8"/>
                <c:pt idx="0">
                  <c:v>Event</c:v>
                </c:pt>
                <c:pt idx="1">
                  <c:v>Facebook</c:v>
                </c:pt>
                <c:pt idx="2">
                  <c:v>Google Search</c:v>
                </c:pt>
                <c:pt idx="3">
                  <c:v>Instagram</c:v>
                </c:pt>
                <c:pt idx="4">
                  <c:v>Phone Call</c:v>
                </c:pt>
                <c:pt idx="5">
                  <c:v>Referral</c:v>
                </c:pt>
                <c:pt idx="6">
                  <c:v>Walk-In</c:v>
                </c:pt>
                <c:pt idx="7">
                  <c:v>Website Form</c:v>
                </c:pt>
              </c:strCache>
            </c:strRef>
          </c:cat>
          <c:val>
            <c:numRef>
              <c:f>'Inquiry Funnel'!$J$3:$J$10</c:f>
              <c:numCache>
                <c:formatCode>0.00%</c:formatCode>
                <c:ptCount val="8"/>
                <c:pt idx="0">
                  <c:v>0.375</c:v>
                </c:pt>
                <c:pt idx="1">
                  <c:v>0.21428571428571427</c:v>
                </c:pt>
                <c:pt idx="2">
                  <c:v>0.42857142857142855</c:v>
                </c:pt>
                <c:pt idx="3">
                  <c:v>0.4</c:v>
                </c:pt>
                <c:pt idx="4">
                  <c:v>0.35</c:v>
                </c:pt>
                <c:pt idx="5">
                  <c:v>0.17647058823529413</c:v>
                </c:pt>
                <c:pt idx="6">
                  <c:v>0.33333333333333331</c:v>
                </c:pt>
                <c:pt idx="7">
                  <c:v>0.53846153846153844</c:v>
                </c:pt>
              </c:numCache>
            </c:numRef>
          </c:val>
          <c:extLst>
            <c:ext xmlns:c16="http://schemas.microsoft.com/office/drawing/2014/chart" uri="{C3380CC4-5D6E-409C-BE32-E72D297353CC}">
              <c16:uniqueId val="{00000000-ED4D-40AB-AEE4-5EFE8177DD9E}"/>
            </c:ext>
          </c:extLst>
        </c:ser>
        <c:dLbls>
          <c:showLegendKey val="0"/>
          <c:showVal val="0"/>
          <c:showCatName val="0"/>
          <c:showSerName val="0"/>
          <c:showPercent val="0"/>
          <c:showBubbleSize val="0"/>
        </c:dLbls>
        <c:gapWidth val="219"/>
        <c:overlap val="-27"/>
        <c:axId val="1178718215"/>
        <c:axId val="1180121095"/>
      </c:barChart>
      <c:catAx>
        <c:axId val="1178718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121095"/>
        <c:crosses val="autoZero"/>
        <c:auto val="1"/>
        <c:lblAlgn val="ctr"/>
        <c:lblOffset val="100"/>
        <c:noMultiLvlLbl val="0"/>
      </c:catAx>
      <c:valAx>
        <c:axId val="1180121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7182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[Music_Academy_Ops_Analysis.xlsx]Lesson Health!PivotTable6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Completed Lessons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'Lesson Health'!$N$4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'Lesson Health'!$M$5:$M$14</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'Lesson Health'!$N$5:$N$14</c:f>
              <c:numCache>
                <c:formatCode>General</c:formatCode>
                <c:ptCount val="9"/>
                <c:pt idx="0">
                  <c:v>66</c:v>
                </c:pt>
                <c:pt idx="1">
                  <c:v>60</c:v>
                </c:pt>
                <c:pt idx="2">
                  <c:v>64</c:v>
                </c:pt>
                <c:pt idx="3">
                  <c:v>64</c:v>
                </c:pt>
                <c:pt idx="4">
                  <c:v>75</c:v>
                </c:pt>
                <c:pt idx="5">
                  <c:v>78</c:v>
                </c:pt>
                <c:pt idx="6">
                  <c:v>90</c:v>
                </c:pt>
                <c:pt idx="7">
                  <c:v>64</c:v>
                </c:pt>
                <c:pt idx="8">
                  <c:v>64</c:v>
                </c:pt>
              </c:numCache>
            </c:numRef>
          </c:val>
          <c:smooth val="0"/>
          <c:extLst>
            <c:ext xmlns:c16="http://schemas.microsoft.com/office/drawing/2014/chart" uri="{C3380CC4-5D6E-409C-BE32-E72D297353CC}">
              <c16:uniqueId val="{00000000-6A47-4180-8332-F2D9878638D1}"/>
            </c:ext>
          </c:extLst>
        </c:ser>
        <c:dLbls>
          <c:showLegendKey val="0"/>
          <c:showVal val="0"/>
          <c:showCatName val="0"/>
          <c:showSerName val="0"/>
          <c:showPercent val="0"/>
          <c:showBubbleSize val="0"/>
        </c:dLbls>
        <c:marker val="1"/>
        <c:smooth val="0"/>
        <c:axId val="1745155592"/>
        <c:axId val="1745357832"/>
      </c:lineChart>
      <c:catAx>
        <c:axId val="174515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357832"/>
        <c:crosses val="autoZero"/>
        <c:auto val="1"/>
        <c:lblAlgn val="ctr"/>
        <c:lblOffset val="100"/>
        <c:noMultiLvlLbl val="0"/>
      </c:catAx>
      <c:valAx>
        <c:axId val="1745357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155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[Music_Academy_Ops_Analysis.xlsx]Lesson Health!PivotTable6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Completed Lessons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'Lesson Health'!$N$4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'Lesson Health'!$M$5:$M$14</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'Lesson Health'!$N$5:$N$14</c:f>
              <c:numCache>
                <c:formatCode>General</c:formatCode>
                <c:ptCount val="9"/>
                <c:pt idx="0">
                  <c:v>66</c:v>
                </c:pt>
                <c:pt idx="1">
                  <c:v>60</c:v>
                </c:pt>
                <c:pt idx="2">
                  <c:v>64</c:v>
                </c:pt>
                <c:pt idx="3">
                  <c:v>64</c:v>
                </c:pt>
                <c:pt idx="4">
                  <c:v>75</c:v>
                </c:pt>
                <c:pt idx="5">
                  <c:v>78</c:v>
                </c:pt>
                <c:pt idx="6">
                  <c:v>90</c:v>
                </c:pt>
                <c:pt idx="7">
                  <c:v>64</c:v>
                </c:pt>
                <c:pt idx="8">
                  <c:v>64</c:v>
                </c:pt>
              </c:numCache>
            </c:numRef>
          </c:val>
          <c:smooth val="0"/>
          <c:extLst>
            <c:ext xmlns:c16="http://schemas.microsoft.com/office/drawing/2014/chart" uri="{C3380CC4-5D6E-409C-BE32-E72D297353CC}">
              <c16:uniqueId val="{00000000-8B84-4C82-BA15-4552126A2CD8}"/>
            </c:ext>
          </c:extLst>
        </c:ser>
        <c:dLbls>
          <c:showLegendKey val="0"/>
          <c:showVal val="0"/>
          <c:showCatName val="0"/>
          <c:showSerName val="0"/>
          <c:showPercent val="0"/>
          <c:showBubbleSize val="0"/>
        </c:dLbls>
        <c:marker val="1"/>
        <c:smooth val="0"/>
        <c:axId val="1745155592"/>
        <c:axId val="1745357832"/>
      </c:lineChart>
      <c:catAx>
        <c:axId val="1745155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357832"/>
        <c:crosses val="autoZero"/>
        <c:auto val="1"/>
        <c:lblAlgn val="ctr"/>
        <c:lblOffset val="100"/>
        <c:noMultiLvlLbl val="0"/>
      </c:catAx>
      <c:valAx>
        <c:axId val="1745357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155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28575</xdr:rowOff>
    </xdr:from>
    <xdr:to>
      <xdr:col>4</xdr:col>
      <xdr:colOff>19050</xdr:colOff>
      <xdr:row>19</xdr:row>
      <xdr:rowOff>104775</xdr:rowOff>
    </xdr:to>
    <xdr:graphicFrame macro="">
      <xdr:nvGraphicFramePr>
        <xdr:cNvPr id="3" name="Chart 2">
          <a:extLst>
            <a:ext uri="{FF2B5EF4-FFF2-40B4-BE49-F238E27FC236}">
              <a16:creationId xmlns:a16="http://schemas.microsoft.com/office/drawing/2014/main" id="{B16D36AB-A4D3-4FFD-A0E6-D6EAFE0F1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20</xdr:row>
      <xdr:rowOff>57150</xdr:rowOff>
    </xdr:from>
    <xdr:to>
      <xdr:col>5</xdr:col>
      <xdr:colOff>828675</xdr:colOff>
      <xdr:row>34</xdr:row>
      <xdr:rowOff>133350</xdr:rowOff>
    </xdr:to>
    <xdr:graphicFrame macro="">
      <xdr:nvGraphicFramePr>
        <xdr:cNvPr id="4" name="Chart 3">
          <a:extLst>
            <a:ext uri="{FF2B5EF4-FFF2-40B4-BE49-F238E27FC236}">
              <a16:creationId xmlns:a16="http://schemas.microsoft.com/office/drawing/2014/main" id="{763162BE-A45E-41C3-9C40-0CE8E7114721}"/>
            </a:ext>
            <a:ext uri="{147F2762-F138-4A5C-976F-8EAC2B608ADB}">
              <a16:predDERef xmlns:a16="http://schemas.microsoft.com/office/drawing/2014/main" pred="{B16D36AB-A4D3-4FFD-A0E6-D6EAFE0F1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114300</xdr:colOff>
      <xdr:row>5</xdr:row>
      <xdr:rowOff>57150</xdr:rowOff>
    </xdr:from>
    <xdr:to>
      <xdr:col>7</xdr:col>
      <xdr:colOff>333375</xdr:colOff>
      <xdr:row>19</xdr:row>
      <xdr:rowOff>133350</xdr:rowOff>
    </xdr:to>
    <xdr:graphicFrame macro="">
      <xdr:nvGraphicFramePr>
        <xdr:cNvPr id="5" name="Chart 4">
          <a:extLst>
            <a:ext uri="{FF2B5EF4-FFF2-40B4-BE49-F238E27FC236}">
              <a16:creationId xmlns:a16="http://schemas.microsoft.com/office/drawing/2014/main" id="{16E15EE8-1E09-4D9C-9237-ED12C0A339C5}"/>
            </a:ext>
            <a:ext uri="{147F2762-F138-4A5C-976F-8EAC2B608ADB}">
              <a16:predDERef xmlns:a16="http://schemas.microsoft.com/office/drawing/2014/main" pred="{763162BE-A45E-41C3-9C40-0CE8E7114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276225</xdr:colOff>
      <xdr:row>1</xdr:row>
      <xdr:rowOff>9525</xdr:rowOff>
    </xdr:from>
    <xdr:to>
      <xdr:col>21</xdr:col>
      <xdr:colOff>581025</xdr:colOff>
      <xdr:row>15</xdr:row>
      <xdr:rowOff>85725</xdr:rowOff>
    </xdr:to>
    <xdr:graphicFrame macro="">
      <xdr:nvGraphicFramePr>
        <xdr:cNvPr id="3" name="Chart 2">
          <a:extLst>
            <a:ext uri="{FF2B5EF4-FFF2-40B4-BE49-F238E27FC236}">
              <a16:creationId xmlns:a16="http://schemas.microsoft.com/office/drawing/2014/main" id="{57EDE70C-798A-936C-DEDB-D67C018A2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83736273148" createdVersion="8" refreshedVersion="8" minRefreshableVersion="3" recordCount="46" xr:uid="{34E79CBB-7E41-467B-BEEE-978445EA8560}">
  <cacheSource type="worksheet">
    <worksheetSource name="Instructors"/>
  </cacheSource>
  <cacheFields count="30">
    <cacheField name="Active__c" numFmtId="0">
      <sharedItems count="2">
        <s v="Inactive"/>
        <s v="Active"/>
      </sharedItems>
    </cacheField>
    <cacheField name="Background_Check_Date__c" numFmtId="14">
      <sharedItems containsSemiMixedTypes="0" containsNonDate="0" containsDate="1" containsString="0" minDate="2019-05-01T00:00:00" maxDate="2026-09-16T00:00:00"/>
    </cacheField>
    <cacheField name="CreatedById" numFmtId="0">
      <sharedItems/>
    </cacheField>
    <cacheField name="CreatedDate" numFmtId="0">
      <sharedItems/>
    </cacheField>
    <cacheField name="Email__c" numFmtId="0">
      <sharedItems containsBlank="1"/>
    </cacheField>
    <cacheField name="First_Name__c" numFmtId="0">
      <sharedItems/>
    </cacheField>
    <cacheField name="Full_Name__c" numFmtId="0">
      <sharedItems count="46">
        <s v="Zoey Rodriguez"/>
        <s v="Mia Smith"/>
        <s v="Noah Mitchell"/>
        <s v="Layla Sullivan"/>
        <s v="Zoey Torres"/>
        <s v="Fatima Lewis"/>
        <s v="Fatima Hernandez"/>
        <s v="Micah Novak"/>
        <s v="Emily Taylor"/>
        <s v="Charlotte Nakamura"/>
        <s v="Elijah Johnson"/>
        <s v="Liam Lopez"/>
        <s v="Aubrey Miller"/>
        <s v="Savannah Silva"/>
        <s v="Leo Perez"/>
        <s v="Jamal Torres"/>
        <s v="Ryan Clark"/>
        <s v="Caroline Okafor"/>
        <s v="Savannah Hill"/>
        <s v="Miles Allen"/>
        <s v="Vincent Sullivan"/>
        <s v="Ezra Garcia"/>
        <s v="James Moore"/>
        <s v="Valentina Nakamura"/>
        <s v="Lily Rossi"/>
        <s v="Isabella Rivera"/>
        <s v="Logan Davis"/>
        <s v="Penelope Wilson"/>
        <s v="Omar Perez"/>
        <s v="Wyatt Hall"/>
        <s v="Adrian Byrne"/>
        <s v="Kai Okafor"/>
        <s v="Caleb Novak"/>
        <s v="Aiden Hill"/>
        <s v="Rowan Jones"/>
        <s v="Vincent Kelly"/>
        <s v="Caroline Baker"/>
        <s v="Valentina Sanchez"/>
        <s v="Caleb Ramirez"/>
        <s v="Liam Flores"/>
        <s v="Omar Nelson"/>
        <s v="Sofia Harris"/>
        <s v="Priya Carter"/>
        <s v="Liam Moore"/>
        <s v="Yusuf Jackson"/>
        <s v="Jordan Patel"/>
      </sharedItems>
    </cacheField>
    <cacheField name="Hire_Date__c" numFmtId="14">
      <sharedItems containsSemiMixedTypes="0" containsNonDate="0" containsDate="1" containsString="0" minDate="2019-04-14T00:00:00" maxDate="2026-07-01T00:00:00"/>
    </cacheField>
    <cacheField name="Hourly_Rate__c" numFmtId="164">
      <sharedItems containsString="0" containsBlank="1" containsNumber="1" containsInteger="1" minValue="32" maxValue="50"/>
    </cacheField>
    <cacheField name="Id" numFmtId="0">
      <sharedItems/>
    </cacheField>
    <cacheField name="Instructor_External_Id__c" numFmtId="0">
      <sharedItems/>
    </cacheField>
    <cacheField name="Instruments_Taught__c" numFmtId="0">
      <sharedItems containsBlank="1"/>
    </cacheField>
    <cacheField name="IsDeleted" numFmtId="0">
      <sharedItems/>
    </cacheField>
    <cacheField name="LastActivityDate" numFmtId="0">
      <sharedItems containsNonDate="0" containsString="0" containsBlank="1"/>
    </cacheField>
    <cacheField name="LastModifiedById" numFmtId="0">
      <sharedItems/>
    </cacheField>
    <cacheField name="LastModifiedDate" numFmtId="0">
      <sharedItems/>
    </cacheField>
    <cacheField name="LastReferencedDate" numFmtId="0">
      <sharedItems containsBlank="1"/>
    </cacheField>
    <cacheField name="LastViewedDate" numFmtId="0">
      <sharedItems containsBlank="1"/>
    </cacheField>
    <cacheField name="Last_Name__c" numFmtId="0">
      <sharedItems/>
    </cacheField>
    <cacheField name="Lesson_Count__c" numFmtId="0">
      <sharedItems containsSemiMixedTypes="0" containsString="0" containsNumber="1" containsInteger="1" minValue="0" maxValue="100"/>
    </cacheField>
    <cacheField name="Max_Weekly_Students__c" numFmtId="0">
      <sharedItems containsSemiMixedTypes="0" containsString="0" containsNumber="1" containsInteger="1" minValue="12" maxValue="25"/>
    </cacheField>
    <cacheField name="Name" numFmtId="0">
      <sharedItems/>
    </cacheField>
    <cacheField name="OwnerId" numFmtId="0">
      <sharedItems/>
    </cacheField>
    <cacheField name="Phone__c" numFmtId="0">
      <sharedItems containsMixedTypes="1" containsNumber="1" containsInteger="1" minValue="7325550199" maxValue="7325550199"/>
    </cacheField>
    <cacheField name="Primary_Location__c" numFmtId="0">
      <sharedItems/>
    </cacheField>
    <cacheField name="SystemModstamp" numFmtId="0">
      <sharedItems/>
    </cacheField>
    <cacheField name="Dup Email Key" numFmtId="0">
      <sharedItems/>
    </cacheField>
    <cacheField name="Dup Email Count" numFmtId="0">
      <sharedItems containsSemiMixedTypes="0" containsString="0" containsNumber="1" containsInteger="1" minValue="1" maxValue="2"/>
    </cacheField>
    <cacheField name="Completed Lessons" numFmtId="0">
      <sharedItems containsMixedTypes="1" containsNumber="1" containsInteger="1" minValue="1" maxValue="42"/>
    </cacheField>
    <cacheField name="Upcoming Lessons" numFmtId="0">
      <sharedItems containsSemiMixedTypes="0" containsString="0" containsNumber="1" containsInteger="1" minValue="0" maxValue="1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837362962964" createdVersion="8" refreshedVersion="8" minRefreshableVersion="3" recordCount="1328" xr:uid="{CB0B62DF-B2DE-4255-BE4F-7A31A93DD150}">
  <cacheSource type="worksheet">
    <worksheetSource name="Lessons"/>
  </cacheSource>
  <cacheFields count="32">
    <cacheField name="CreatedById" numFmtId="0">
      <sharedItems/>
    </cacheField>
    <cacheField name="CreatedDate" numFmtId="0">
      <sharedItems/>
    </cacheField>
    <cacheField name="Duration_Minutes__c" numFmtId="0">
      <sharedItems containsString="0" containsBlank="1" containsNumber="1" containsInteger="1" minValue="30" maxValue="60"/>
    </cacheField>
    <cacheField name="Id" numFmtId="0">
      <sharedItems/>
    </cacheField>
    <cacheField name="Instructor_External_Id__c" numFmtId="0">
      <sharedItems/>
    </cacheField>
    <cacheField name="Instructor_Name__c" numFmtId="0">
      <sharedItems/>
    </cacheField>
    <cacheField name="Instructor_Notes__c" numFmtId="0">
      <sharedItems containsBlank="1"/>
    </cacheField>
    <cacheField name="Instrument__c" numFmtId="0">
      <sharedItems count="12">
        <s v="Trumpet"/>
        <s v="Bass Guitar"/>
        <s v="Cello"/>
        <s v="Ukulele"/>
        <s v="Violin"/>
        <s v="Drums"/>
        <s v="Clarinet"/>
        <s v="Voice"/>
        <s v="Flute"/>
        <s v="Saxophone"/>
        <s v="Piano"/>
        <s v="Guitar"/>
      </sharedItems>
    </cacheField>
    <cacheField name="IsDeleted" numFmtId="0">
      <sharedItems/>
    </cacheField>
    <cacheField name="LastActivityDate" numFmtId="0">
      <sharedItems containsNonDate="0" containsString="0" containsBlank="1"/>
    </cacheField>
    <cacheField name="LastModifiedById" numFmtId="0">
      <sharedItems/>
    </cacheField>
    <cacheField name="LastModifiedDate" numFmtId="0">
      <sharedItems/>
    </cacheField>
    <cacheField name="LastReferencedDate" numFmtId="0">
      <sharedItems containsBlank="1"/>
    </cacheField>
    <cacheField name="LastViewedDate" numFmtId="0">
      <sharedItems containsBlank="1"/>
    </cacheField>
    <cacheField name="Lesson_Date__c" numFmtId="14">
      <sharedItems containsSemiMixedTypes="0" containsNonDate="0" containsDate="1" containsString="0" minDate="2026-01-05T00:00:00" maxDate="2027-03-28T00:00:00"/>
    </cacheField>
    <cacheField name="Lesson_External_Id__c" numFmtId="0">
      <sharedItems containsBlank="1"/>
    </cacheField>
    <cacheField name="Lesson__c" numFmtId="0">
      <sharedItems/>
    </cacheField>
    <cacheField name="Location_External_Id__c" numFmtId="0">
      <sharedItems/>
    </cacheField>
    <cacheField name="Makeup_Required__c" numFmtId="0">
      <sharedItems/>
    </cacheField>
    <cacheField name="Makeup_Scheduled__c" numFmtId="0">
      <sharedItems/>
    </cacheField>
    <cacheField name="Name" numFmtId="0">
      <sharedItems/>
    </cacheField>
    <cacheField name="Start_Time__c" numFmtId="0">
      <sharedItems/>
    </cacheField>
    <cacheField name="Status__c" numFmtId="0">
      <sharedItems count="5">
        <s v="Completed"/>
        <s v="Cancelled by Student"/>
        <s v="Scheduled"/>
        <s v="No Show"/>
        <s v="Cancelled by Instructor"/>
      </sharedItems>
    </cacheField>
    <cacheField name="Student_External_Id__c" numFmtId="0">
      <sharedItems/>
    </cacheField>
    <cacheField name="Student_Name__c" numFmtId="0">
      <sharedItems/>
    </cacheField>
    <cacheField name="SystemModstamp" numFmtId="0">
      <sharedItems/>
    </cacheField>
    <cacheField name="Does the Instructor teach that Instrument?" numFmtId="0">
      <sharedItems/>
    </cacheField>
    <cacheField name="Double Booked Key" numFmtId="0">
      <sharedItems/>
    </cacheField>
    <cacheField name="Double Booked?" numFmtId="0">
      <sharedItems containsString="0" containsBlank="1" containsNumber="1" containsInteger="1" minValue="1" maxValue="114"/>
    </cacheField>
    <cacheField name="Location Name" numFmtId="0">
      <sharedItems/>
    </cacheField>
    <cacheField name="Lesson Month" numFmtId="0">
      <sharedItems count="15">
        <s v="2026-05"/>
        <s v="2026-02"/>
        <s v="2026-09"/>
        <s v="2026-03"/>
        <s v="2026-01"/>
        <s v="2026-04"/>
        <s v="2026-08"/>
        <s v="2026-06"/>
        <s v="2026-07"/>
        <s v="2026-10"/>
        <s v="2026-12"/>
        <s v="2027-01"/>
        <s v="2026-11"/>
        <s v="2027-02"/>
        <s v="2027-03"/>
      </sharedItems>
    </cacheField>
    <cacheField name="Is Past" numFmtId="0">
      <sharedItems count="2">
        <s v="Yes"/>
        <s v="No"/>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837363078703" createdVersion="8" refreshedVersion="8" minRefreshableVersion="3" recordCount="140" xr:uid="{4A0310C7-1BAB-45A8-8B9D-E62188DD4C23}">
  <cacheSource type="worksheet">
    <worksheetSource name="Inquiries"/>
  </cacheSource>
  <cacheFields count="33">
    <cacheField name="ConvertedStudentId__c" numFmtId="0">
      <sharedItems containsBlank="1"/>
    </cacheField>
    <cacheField name="CreatedById" numFmtId="0">
      <sharedItems/>
    </cacheField>
    <cacheField name="CreatedDate" numFmtId="0">
      <sharedItems/>
    </cacheField>
    <cacheField name="Email__c" numFmtId="0">
      <sharedItems containsBlank="1"/>
    </cacheField>
    <cacheField name="First_Name__c" numFmtId="0">
      <sharedItems/>
    </cacheField>
    <cacheField name="First_Response_Date__c" numFmtId="14">
      <sharedItems containsNonDate="0" containsDate="1" containsString="0" containsBlank="1" minDate="2026-01-02T00:00:00" maxDate="2026-10-02T00:00:00"/>
    </cacheField>
    <cacheField name="Full_Name__c" numFmtId="0">
      <sharedItems/>
    </cacheField>
    <cacheField name="Id" numFmtId="0">
      <sharedItems/>
    </cacheField>
    <cacheField name="Inquiry_Date__c" numFmtId="14">
      <sharedItems containsSemiMixedTypes="0" containsNonDate="0" containsDate="1" containsString="0" minDate="2026-02-02T00:00:00" maxDate="2026-10-02T00:00:00"/>
    </cacheField>
    <cacheField name="Inquiry_External_Id__c" numFmtId="0">
      <sharedItems containsBlank="1"/>
    </cacheField>
    <cacheField name="Interested_Instrument__c" numFmtId="0">
      <sharedItems/>
    </cacheField>
    <cacheField name="IsDeleted" numFmtId="0">
      <sharedItems/>
    </cacheField>
    <cacheField name="LastActivityDate" numFmtId="0">
      <sharedItems containsNonDate="0" containsDate="1" containsString="0" containsBlank="1" minDate="2026-09-28T00:00:00" maxDate="2026-10-02T00:00:00"/>
    </cacheField>
    <cacheField name="LastModifiedById" numFmtId="0">
      <sharedItems/>
    </cacheField>
    <cacheField name="LastModifiedDate" numFmtId="0">
      <sharedItems/>
    </cacheField>
    <cacheField name="LastReferencedDate" numFmtId="0">
      <sharedItems containsBlank="1"/>
    </cacheField>
    <cacheField name="LastViewedDate" numFmtId="0">
      <sharedItems containsBlank="1"/>
    </cacheField>
    <cacheField name="Last_Name__c" numFmtId="0">
      <sharedItems/>
    </cacheField>
    <cacheField name="Lead_Source__c" numFmtId="0">
      <sharedItems containsBlank="1" count="9">
        <s v="Event"/>
        <s v="Facebook"/>
        <s v="Google Search"/>
        <s v="Phone Call"/>
        <s v="Instagram"/>
        <s v="Website Form"/>
        <s v="Referral"/>
        <s v="Walk-In"/>
        <m/>
      </sharedItems>
    </cacheField>
    <cacheField name="Name" numFmtId="0">
      <sharedItems/>
    </cacheField>
    <cacheField name="Notes__c" numFmtId="0">
      <sharedItems containsBlank="1"/>
    </cacheField>
    <cacheField name="OwnerId" numFmtId="0">
      <sharedItems/>
    </cacheField>
    <cacheField name="Phone__c" numFmtId="0">
      <sharedItems containsBlank="1" containsMixedTypes="1" containsNumber="1" containsInteger="1" minValue="7897897890" maxValue="7897897890"/>
    </cacheField>
    <cacheField name="Requested_Location__c" numFmtId="0">
      <sharedItems/>
    </cacheField>
    <cacheField name="Status__c" numFmtId="0">
      <sharedItems count="6">
        <s v="Converted"/>
        <s v="Not Interested"/>
        <s v="Unresponsive"/>
        <s v="New"/>
        <s v="Trial Scheduled"/>
        <s v="Contacted"/>
      </sharedItems>
    </cacheField>
    <cacheField name="Student_Age__c" numFmtId="0">
      <sharedItems containsString="0" containsBlank="1" containsNumber="1" containsInteger="1" minValue="6" maxValue="55"/>
    </cacheField>
    <cacheField name="SystemModstamp" numFmtId="0">
      <sharedItems/>
    </cacheField>
    <cacheField name="Assigned_To__c" numFmtId="0">
      <sharedItems containsBlank="1"/>
    </cacheField>
    <cacheField name="Dup Key" numFmtId="0">
      <sharedItems/>
    </cacheField>
    <cacheField name="Dup Count" numFmtId="0">
      <sharedItems containsSemiMixedTypes="0" containsString="0" containsNumber="1" containsInteger="1" minValue="1" maxValue="2"/>
    </cacheField>
    <cacheField name="Days to First Response" numFmtId="0">
      <sharedItems containsMixedTypes="1" containsNumber="1" containsInteger="1" minValue="-105" maxValue="199"/>
    </cacheField>
    <cacheField name="Inquiry by Month" numFmtId="0">
      <sharedItems count="9">
        <s v="2026-02"/>
        <s v="2026-03"/>
        <s v="2026-08"/>
        <s v="2026-06"/>
        <s v="2026-05"/>
        <s v="2026-07"/>
        <s v="2026-04"/>
        <s v="2026-09"/>
        <s v="2026-10"/>
      </sharedItems>
    </cacheField>
    <cacheField name="Requested Location by Name" numFmtId="0">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9.837363078703" createdVersion="8" refreshedVersion="8" minRefreshableVersion="3" recordCount="182" xr:uid="{8C60794C-3CDF-4C2E-AD3E-434352E099CD}">
  <cacheSource type="worksheet">
    <worksheetSource name="Students"/>
  </cacheSource>
  <cacheFields count="41">
    <cacheField name="Age_New__c" numFmtId="0">
      <sharedItems containsString="0" containsBlank="1" containsNumber="1" containsInteger="1" minValue="6" maxValue="61"/>
    </cacheField>
    <cacheField name="Birthday__c" numFmtId="14">
      <sharedItems containsNonDate="0" containsDate="1" containsString="0" containsBlank="1" minDate="1965-10-03T00:00:00" maxDate="2020-07-19T00:00:00"/>
    </cacheField>
    <cacheField name="Cancelled_Lessons__c" numFmtId="0">
      <sharedItems containsSemiMixedTypes="0" containsString="0" containsNumber="1" containsInteger="1" minValue="0" maxValue="3"/>
    </cacheField>
    <cacheField name="CreatedById" numFmtId="0">
      <sharedItems/>
    </cacheField>
    <cacheField name="CreatedDate" numFmtId="0">
      <sharedItems/>
    </cacheField>
    <cacheField name="Enrollment_Date__c" numFmtId="14">
      <sharedItems containsSemiMixedTypes="0" containsNonDate="0" containsDate="1" containsString="0" minDate="2022-02-03T00:00:00" maxDate="2027-01-06T00:00:00"/>
    </cacheField>
    <cacheField name="First_Name__c" numFmtId="0">
      <sharedItems/>
    </cacheField>
    <cacheField name="Full_Name__c" numFmtId="0">
      <sharedItems/>
    </cacheField>
    <cacheField name="Guardian_Email__c" numFmtId="0">
      <sharedItems containsBlank="1"/>
    </cacheField>
    <cacheField name="Guardian_First_Name__c" numFmtId="0">
      <sharedItems containsBlank="1"/>
    </cacheField>
    <cacheField name="Guardian_Last_Name__c" numFmtId="0">
      <sharedItems containsBlank="1"/>
    </cacheField>
    <cacheField name="Guardian_Phone__c" numFmtId="0">
      <sharedItems containsBlank="1" containsMixedTypes="1" containsNumber="1" containsInteger="1" minValue="7897897890" maxValue="7897897890"/>
    </cacheField>
    <cacheField name="Home_Location__c" numFmtId="0">
      <sharedItems/>
    </cacheField>
    <cacheField name="Home_Picklist__c" numFmtId="0">
      <sharedItems/>
    </cacheField>
    <cacheField name="Id" numFmtId="0">
      <sharedItems/>
    </cacheField>
    <cacheField name="IsDeleted" numFmtId="0">
      <sharedItems/>
    </cacheField>
    <cacheField name="LastActivityDate" numFmtId="0">
      <sharedItems containsNonDate="0" containsString="0" containsBlank="1"/>
    </cacheField>
    <cacheField name="LastModifiedById" numFmtId="0">
      <sharedItems/>
    </cacheField>
    <cacheField name="LastModifiedDate" numFmtId="0">
      <sharedItems/>
    </cacheField>
    <cacheField name="LastReferencedDate" numFmtId="0">
      <sharedItems/>
    </cacheField>
    <cacheField name="LastViewedDate" numFmtId="0">
      <sharedItems/>
    </cacheField>
    <cacheField name="Last_Cancelled_Date__c" numFmtId="14">
      <sharedItems containsNonDate="0" containsDate="1" containsString="0" containsBlank="1" minDate="2026-01-14T00:00:00" maxDate="2026-09-15T00:00:00"/>
    </cacheField>
    <cacheField name="Last_Name__c" numFmtId="0">
      <sharedItems/>
    </cacheField>
    <cacheField name="Lesson_Frequency__c" numFmtId="0">
      <sharedItems/>
    </cacheField>
    <cacheField name="Minor_Email__c" numFmtId="0">
      <sharedItems containsBlank="1"/>
    </cacheField>
    <cacheField name="Monthly_Rate__c" numFmtId="164">
      <sharedItems containsString="0" containsBlank="1" containsNumber="1" containsInteger="1" minValue="160" maxValue="240"/>
    </cacheField>
    <cacheField name="Name" numFmtId="0">
      <sharedItems/>
    </cacheField>
    <cacheField name="OwnerId" numFmtId="0">
      <sharedItems/>
    </cacheField>
    <cacheField name="Parent_Guardian_Pays__c" numFmtId="0">
      <sharedItems/>
    </cacheField>
    <cacheField name="Preferred_Day__c" numFmtId="0">
      <sharedItems/>
    </cacheField>
    <cacheField name="Primary_Instrument__c" numFmtId="0">
      <sharedItems count="12">
        <s v="Trumpet"/>
        <s v="Bass Guitar"/>
        <s v="Cello"/>
        <s v="Ukulele"/>
        <s v="Violin"/>
        <s v="Drums"/>
        <s v="Clarinet"/>
        <s v="Voice"/>
        <s v="Flute"/>
        <s v="Saxophone"/>
        <s v="Piano"/>
        <s v="Guitar"/>
      </sharedItems>
    </cacheField>
    <cacheField name="Skill_Level__c" numFmtId="0">
      <sharedItems/>
    </cacheField>
    <cacheField name="Status__c" numFmtId="0">
      <sharedItems count="3">
        <s v="Paused"/>
        <s v="Active"/>
        <s v="Withdrawn"/>
      </sharedItems>
    </cacheField>
    <cacheField name="Student_Email__c" numFmtId="0">
      <sharedItems containsBlank="1"/>
    </cacheField>
    <cacheField name="Student_External_Id__c" numFmtId="0">
      <sharedItems containsBlank="1"/>
    </cacheField>
    <cacheField name="Student_Phone__c" numFmtId="0">
      <sharedItems containsBlank="1"/>
    </cacheField>
    <cacheField name="SystemModstamp" numFmtId="0">
      <sharedItems/>
    </cacheField>
    <cacheField name="WeeklyImpact__c" numFmtId="0">
      <sharedItems containsSemiMixedTypes="0" containsString="0" containsNumber="1" minValue="0.5" maxValue="1"/>
    </cacheField>
    <cacheField name="Withdrawn_Date__c" numFmtId="0">
      <sharedItems containsNonDate="0" containsDate="1" containsString="0" containsBlank="1" minDate="2024-10-19T00:00:00" maxDate="2026-09-14T00:00:00"/>
    </cacheField>
    <cacheField name="Dup Key" numFmtId="0">
      <sharedItems/>
    </cacheField>
    <cacheField name="Dup Count" numFmtId="0">
      <sharedItems containsSemiMixedTypes="0" containsString="0" containsNumber="1" containsInteger="1" minValue="1" maxValue="2"/>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d v="2022-02-19T00:00:00"/>
    <s v="005ak00000icyWTAAY"/>
    <s v="2026-09-14T19:36:36.000Z"/>
    <s v="zoeyrodriguez66@hotmail.com"/>
    <s v="Zoey"/>
    <x v="0"/>
    <d v="2022-02-18T00:00:00"/>
    <n v="48"/>
    <s v="a06ak00000amzBeAAI"/>
    <s v="INS-001"/>
    <s v="Cello;Trumpet;Bass Guitar"/>
    <b v="0"/>
    <m/>
    <s v="005ak00000icyWTAAY"/>
    <s v="2026-09-23T19:01:04.000Z"/>
    <s v="2026-09-17T17:32:40.000Z"/>
    <s v="2026-09-17T17:32:40.000Z"/>
    <s v="Rodriguez"/>
    <n v="31"/>
    <n v="25"/>
    <s v="Zoey Rodriguez"/>
    <s v="005ak00000icyWTAAY"/>
    <s v="(732) 555-1670"/>
    <s v="131ak000001XjDuAAK"/>
    <s v="2026-09-23T19:01:04.000Z"/>
    <s v="zoeyrodriguez66@hotmail.com"/>
    <n v="1"/>
    <s v="Not Active"/>
    <n v="0"/>
  </r>
  <r>
    <x v="1"/>
    <d v="2019-05-23T00:00:00"/>
    <s v="005ak00000icyWTAAY"/>
    <s v="2026-09-14T19:36:36.000Z"/>
    <s v="miasmith41@yahoo.com"/>
    <s v="Mia"/>
    <x v="1"/>
    <d v="2019-05-08T00:00:00"/>
    <n v="45"/>
    <s v="a06ak00000amzBfAAI"/>
    <s v="INS-002"/>
    <s v="Clarinet;Flute"/>
    <b v="0"/>
    <m/>
    <s v="005ak00000icyWTAAY"/>
    <s v="2026-10-01T15:56:46.000Z"/>
    <s v="2026-09-16T15:14:19.000Z"/>
    <s v="2026-09-16T15:14:19.000Z"/>
    <s v="Smith"/>
    <n v="44"/>
    <n v="20"/>
    <s v="Mia Smith"/>
    <s v="005ak00000icyWTAAY"/>
    <s v="(732) 555-4895"/>
    <s v="131ak000001XjDuAAK"/>
    <s v="2026-10-01T15:56:46.000Z"/>
    <s v="miasmith41@yahoo.com"/>
    <n v="1"/>
    <n v="19"/>
    <n v="5"/>
  </r>
  <r>
    <x v="1"/>
    <d v="2021-07-18T00:00:00"/>
    <s v="005ak00000icyWTAAY"/>
    <s v="2026-09-14T19:36:36.000Z"/>
    <s v="noah.mitchell@yahoo.com"/>
    <s v="Noah"/>
    <x v="2"/>
    <d v="2021-06-11T00:00:00"/>
    <n v="35"/>
    <s v="a06ak00000amzBgAAI"/>
    <s v="INS-003"/>
    <s v="Bass Guitar;Flute;Trumpet"/>
    <b v="0"/>
    <m/>
    <s v="005ak00000icyWTAAY"/>
    <s v="2026-10-01T15:56:46.000Z"/>
    <s v="2026-09-15T17:23:31.000Z"/>
    <s v="2026-09-15T17:23:31.000Z"/>
    <s v="Mitchell"/>
    <n v="54"/>
    <n v="18"/>
    <s v="Noah Mitchell"/>
    <s v="005ak00000icyWTAAY"/>
    <s v="(732) 555-6471"/>
    <s v="131ak000001XjDuAAK"/>
    <s v="2026-10-01T15:56:46.000Z"/>
    <s v="noah.mitchell@yahoo.com"/>
    <n v="1"/>
    <n v="17"/>
    <n v="8"/>
  </r>
  <r>
    <x v="0"/>
    <d v="2021-11-23T00:00:00"/>
    <s v="005ak00000icyWTAAY"/>
    <s v="2026-09-14T19:36:36.000Z"/>
    <s v="lsullivan@yahoo.com"/>
    <s v="Layla"/>
    <x v="3"/>
    <d v="2021-10-16T00:00:00"/>
    <n v="35"/>
    <s v="a06ak00000amzBhAAI"/>
    <s v="INS-004"/>
    <s v="Ukulele"/>
    <b v="0"/>
    <m/>
    <s v="005ak00000icyWTAAY"/>
    <s v="2026-09-23T19:01:04.000Z"/>
    <s v="2026-09-15T17:23:31.000Z"/>
    <s v="2026-09-15T17:23:31.000Z"/>
    <s v="Sullivan"/>
    <n v="18"/>
    <n v="20"/>
    <s v="Layla Sullivan"/>
    <s v="005ak00000icyWTAAY"/>
    <s v="(732) 555-8717"/>
    <s v="131ak000001XjDuAAK"/>
    <s v="2026-09-23T19:01:04.000Z"/>
    <s v="lsullivan@yahoo.com"/>
    <n v="2"/>
    <s v="Not Active"/>
    <n v="0"/>
  </r>
  <r>
    <x v="1"/>
    <d v="2025-09-04T00:00:00"/>
    <s v="005ak00000icyWTAAY"/>
    <s v="2026-09-14T19:36:36.000Z"/>
    <m/>
    <s v="Zoey"/>
    <x v="4"/>
    <d v="2025-08-02T00:00:00"/>
    <n v="42"/>
    <s v="a06ak00000amzBiAAI"/>
    <s v="INS-005"/>
    <s v="Voice;Bass Guitar;Flute"/>
    <b v="0"/>
    <m/>
    <s v="005ak00000icyWTAAY"/>
    <s v="2026-10-01T15:56:46.000Z"/>
    <s v="2026-09-17T17:32:36.000Z"/>
    <s v="2026-09-17T17:32:36.000Z"/>
    <s v="Torres"/>
    <n v="93"/>
    <n v="25"/>
    <s v="Zoey Torres"/>
    <s v="005ak00000icyWTAAY"/>
    <s v="(732) 555-7479"/>
    <s v="131ak000001XjDtAAK"/>
    <s v="2026-10-01T15:56:46.000Z"/>
    <s v=""/>
    <n v="1"/>
    <n v="29"/>
    <n v="15"/>
  </r>
  <r>
    <x v="0"/>
    <d v="2024-10-19T00:00:00"/>
    <s v="005ak00000icyWTAAY"/>
    <s v="2026-09-14T19:36:36.000Z"/>
    <s v="fatimalewis@hotmail.com"/>
    <s v="Fatima"/>
    <x v="5"/>
    <d v="2024-09-09T00:00:00"/>
    <n v="38"/>
    <s v="a06ak00000amzBjAAI"/>
    <s v="INS-006"/>
    <s v="Saxophone"/>
    <b v="0"/>
    <m/>
    <s v="005ak00000icyWTAAY"/>
    <s v="2026-09-23T19:02:24.000Z"/>
    <s v="2026-09-17T17:49:03.000Z"/>
    <s v="2026-09-17T17:49:03.000Z"/>
    <s v="Lewis"/>
    <n v="14"/>
    <n v="22"/>
    <s v="Fatima Lewis"/>
    <s v="005ak00000icyWTAAY"/>
    <s v="(732) 555-1248"/>
    <s v="131ak000001XjDtAAK"/>
    <s v="2026-09-23T19:02:24.000Z"/>
    <s v="fatimalewis@hotmail.com"/>
    <n v="1"/>
    <s v="Not Active"/>
    <n v="0"/>
  </r>
  <r>
    <x v="0"/>
    <d v="2025-06-25T00:00:00"/>
    <s v="005ak00000icyWTAAY"/>
    <s v="2026-09-14T19:36:36.000Z"/>
    <s v="fatimahernandez61@outlook.com"/>
    <s v="Fatima"/>
    <x v="6"/>
    <d v="2025-05-18T00:00:00"/>
    <n v="42"/>
    <s v="a06ak00000amzBkAAI"/>
    <s v="INS-007"/>
    <s v="Flute;Trumpet"/>
    <b v="0"/>
    <m/>
    <s v="005ak00000icyWTAAY"/>
    <s v="2026-09-23T19:01:04.000Z"/>
    <s v="2026-09-15T17:23:31.000Z"/>
    <s v="2026-09-15T17:23:31.000Z"/>
    <s v="Hernandez"/>
    <n v="0"/>
    <n v="25"/>
    <s v="Fatima Hernandez"/>
    <s v="005ak00000icyWTAAY"/>
    <s v="(732) 555-1543"/>
    <s v="131ak000001XjDtAAK"/>
    <s v="2026-09-23T19:01:04.000Z"/>
    <s v="fatimahernandez61@outlook.com"/>
    <n v="1"/>
    <s v="Not Active"/>
    <n v="0"/>
  </r>
  <r>
    <x v="0"/>
    <d v="2022-02-17T00:00:00"/>
    <s v="005ak00000icyWTAAY"/>
    <s v="2026-09-14T19:36:36.000Z"/>
    <s v="mnovak@hotmail.com"/>
    <s v="Micah"/>
    <x v="7"/>
    <d v="2021-12-21T00:00:00"/>
    <n v="38"/>
    <s v="a06ak00000amzBlAAI"/>
    <s v="INS-008"/>
    <s v="Trumpet"/>
    <b v="0"/>
    <m/>
    <s v="005ak00000icyWTAAY"/>
    <s v="2026-09-23T19:02:24.000Z"/>
    <s v="2026-09-15T17:23:31.000Z"/>
    <s v="2026-09-15T17:23:31.000Z"/>
    <s v="Novak"/>
    <n v="4"/>
    <n v="20"/>
    <s v="Micah Novak"/>
    <s v="005ak00000icyWTAAY"/>
    <s v="(732) 555-4014"/>
    <s v="131ak000001XjDuAAK"/>
    <s v="2026-09-23T19:02:24.000Z"/>
    <s v="mnovak@hotmail.com"/>
    <n v="1"/>
    <s v="Not Active"/>
    <n v="0"/>
  </r>
  <r>
    <x v="0"/>
    <d v="2025-09-30T00:00:00"/>
    <s v="005ak00000icyWTAAY"/>
    <s v="2026-09-14T19:36:36.000Z"/>
    <s v="emilytaylor45@gmail.com"/>
    <s v="Emily"/>
    <x v="8"/>
    <d v="2025-08-20T00:00:00"/>
    <n v="50"/>
    <s v="a06ak00000amzBmAAI"/>
    <s v="INS-009"/>
    <s v="Clarinet"/>
    <b v="0"/>
    <m/>
    <s v="005ak00000icyWTAAY"/>
    <s v="2026-09-23T19:01:04.000Z"/>
    <s v="2026-09-15T17:23:31.000Z"/>
    <s v="2026-09-15T17:23:31.000Z"/>
    <s v="Taylor"/>
    <n v="13"/>
    <n v="12"/>
    <s v="Emily Taylor"/>
    <s v="005ak00000icyWTAAY"/>
    <s v="(732) 555-5372"/>
    <s v="131ak000001XjDtAAK"/>
    <s v="2026-09-23T19:01:04.000Z"/>
    <s v="emilytaylor45@gmail.com"/>
    <n v="1"/>
    <s v="Not Active"/>
    <n v="0"/>
  </r>
  <r>
    <x v="0"/>
    <d v="2019-10-21T00:00:00"/>
    <s v="005ak00000icyWTAAY"/>
    <s v="2026-09-14T19:36:36.000Z"/>
    <s v="charlottenakamura@icloud.com"/>
    <s v="Charlotte"/>
    <x v="9"/>
    <d v="2019-09-18T00:00:00"/>
    <n v="40"/>
    <s v="a06ak00000amzBnAAI"/>
    <s v="INS-010"/>
    <s v="Piano;Voice"/>
    <b v="0"/>
    <m/>
    <s v="005ak00000icyWTAAY"/>
    <s v="2026-09-23T19:01:04.000Z"/>
    <s v="2026-09-15T17:23:31.000Z"/>
    <s v="2026-09-15T17:23:31.000Z"/>
    <s v="Nakamura"/>
    <n v="16"/>
    <n v="20"/>
    <s v="Charlotte Nakamura"/>
    <s v="005ak00000icyWTAAY"/>
    <s v="(732) 555-9044"/>
    <s v="131ak000001XjDtAAK"/>
    <s v="2026-09-23T19:01:04.000Z"/>
    <s v="charlottenakamura@icloud.com"/>
    <n v="1"/>
    <s v="Not Active"/>
    <n v="0"/>
  </r>
  <r>
    <x v="0"/>
    <d v="2025-05-11T00:00:00"/>
    <s v="005ak00000icyWTAAY"/>
    <s v="2026-09-14T19:36:36.000Z"/>
    <s v="elijah.johnson@icloud.com"/>
    <s v="Elijah"/>
    <x v="10"/>
    <d v="2025-05-04T00:00:00"/>
    <n v="32"/>
    <s v="a06ak00000amzBoAAI"/>
    <s v="INS-011"/>
    <s v="Drums"/>
    <b v="0"/>
    <m/>
    <s v="005ak00000icyWTAAY"/>
    <s v="2026-09-23T19:01:04.000Z"/>
    <s v="2026-09-15T17:23:31.000Z"/>
    <s v="2026-09-15T17:23:31.000Z"/>
    <s v="Johnson"/>
    <n v="12"/>
    <n v="20"/>
    <s v="Elijah Johnson"/>
    <s v="005ak00000icyWTAAY"/>
    <s v="(732) 555-4842"/>
    <s v="131ak000001XjDtAAK"/>
    <s v="2026-09-23T19:01:04.000Z"/>
    <s v="elijah.johnson@icloud.com"/>
    <n v="1"/>
    <s v="Not Active"/>
    <n v="0"/>
  </r>
  <r>
    <x v="0"/>
    <d v="2022-10-13T00:00:00"/>
    <s v="005ak00000icyWTAAY"/>
    <s v="2026-09-14T19:36:36.000Z"/>
    <s v="liamlopez@icloud.com"/>
    <s v="Liam"/>
    <x v="11"/>
    <d v="2022-09-12T00:00:00"/>
    <n v="35"/>
    <s v="a06ak00000amzBpAAI"/>
    <s v="INS-012"/>
    <s v="Flute"/>
    <b v="0"/>
    <m/>
    <s v="005ak00000icyWTAAY"/>
    <s v="2026-09-23T19:01:04.000Z"/>
    <s v="2026-09-15T17:23:31.000Z"/>
    <s v="2026-09-15T17:23:31.000Z"/>
    <s v="Lopez"/>
    <n v="16"/>
    <n v="22"/>
    <s v="Liam Lopez"/>
    <s v="005ak00000icyWTAAY"/>
    <n v="7325550199"/>
    <s v="131ak000001XjDuAAK"/>
    <s v="2026-09-23T19:01:04.000Z"/>
    <s v="liamlopez@icloud.com"/>
    <n v="1"/>
    <s v="Not Active"/>
    <n v="0"/>
  </r>
  <r>
    <x v="0"/>
    <d v="2022-08-30T00:00:00"/>
    <s v="005ak00000icyWTAAY"/>
    <s v="2026-09-14T19:36:36.000Z"/>
    <s v="aubreymiller73@icloud.com"/>
    <s v="Aubrey"/>
    <x v="12"/>
    <d v="2022-08-23T00:00:00"/>
    <n v="35"/>
    <s v="a06ak00000amzBqAAI"/>
    <s v="INS-013"/>
    <s v="Saxophone;Bass Guitar"/>
    <b v="0"/>
    <m/>
    <s v="005ak00000icyWTAAY"/>
    <s v="2026-09-23T19:02:24.000Z"/>
    <s v="2026-09-23T18:49:48.000Z"/>
    <s v="2026-09-23T18:49:48.000Z"/>
    <s v="Miller"/>
    <n v="5"/>
    <n v="22"/>
    <s v="Aubrey Miller"/>
    <s v="005ak00000icyWTAAY"/>
    <s v="(732) 555-3288"/>
    <s v="131ak000001XjDtAAK"/>
    <s v="2026-09-23T19:02:24.000Z"/>
    <s v="aubreymiller73@icloud.com"/>
    <n v="1"/>
    <s v="Not Active"/>
    <n v="0"/>
  </r>
  <r>
    <x v="0"/>
    <d v="2020-02-16T00:00:00"/>
    <s v="005ak00000icyWTAAY"/>
    <s v="2026-09-14T19:36:36.000Z"/>
    <s v="savannahsilva37@icloud.com"/>
    <s v="Savannah"/>
    <x v="13"/>
    <d v="2019-12-28T00:00:00"/>
    <n v="40"/>
    <s v="a06ak00000amzBrAAI"/>
    <s v="INS-014"/>
    <s v="Trumpet;Flute"/>
    <b v="0"/>
    <m/>
    <s v="005ak00000icyWTAAY"/>
    <s v="2026-09-23T19:01:04.000Z"/>
    <s v="2026-09-15T17:23:31.000Z"/>
    <s v="2026-09-15T17:23:31.000Z"/>
    <s v="Silva"/>
    <n v="21"/>
    <n v="18"/>
    <s v="Savannah Silva"/>
    <s v="005ak00000icyWTAAY"/>
    <s v="(732) 555-2869"/>
    <s v="131ak000001XjDtAAK"/>
    <s v="2026-09-23T19:01:04.000Z"/>
    <s v="savannahsilva37@icloud.com"/>
    <n v="1"/>
    <s v="Not Active"/>
    <n v="0"/>
  </r>
  <r>
    <x v="0"/>
    <d v="2020-05-19T00:00:00"/>
    <s v="005ak00000icyWTAAY"/>
    <s v="2026-09-14T19:36:36.000Z"/>
    <s v="leoperez86@hotmail.com"/>
    <s v="Leo"/>
    <x v="14"/>
    <d v="2020-05-07T00:00:00"/>
    <n v="32"/>
    <s v="a06ak00000amzBsAAI"/>
    <s v="INS-015"/>
    <s v="Trumpet"/>
    <b v="0"/>
    <m/>
    <s v="005ak00000icyWTAAY"/>
    <s v="2026-09-23T19:01:04.000Z"/>
    <s v="2026-09-15T17:23:31.000Z"/>
    <s v="2026-09-15T17:23:31.000Z"/>
    <s v="Perez"/>
    <n v="11"/>
    <n v="22"/>
    <s v="Leo Perez"/>
    <s v="005ak00000icyWTAAY"/>
    <s v="(732) 555-5534"/>
    <s v="131ak000001XjDuAAK"/>
    <s v="2026-09-23T19:01:04.000Z"/>
    <s v="leoperez86@hotmail.com"/>
    <n v="1"/>
    <s v="Not Active"/>
    <n v="0"/>
  </r>
  <r>
    <x v="1"/>
    <d v="2023-08-08T00:00:00"/>
    <s v="005ak00000icyWTAAY"/>
    <s v="2026-09-14T19:36:36.000Z"/>
    <s v="jamal.torres@icloud.com"/>
    <s v="Jamal"/>
    <x v="15"/>
    <d v="2021-06-14T00:00:00"/>
    <n v="45"/>
    <s v="a06ak00000amzBtAAI"/>
    <s v="INS-016"/>
    <s v="Flute;Cello"/>
    <b v="0"/>
    <m/>
    <s v="005ak00000icyWTAAY"/>
    <s v="2026-10-01T15:56:46.000Z"/>
    <s v="2026-09-15T17:23:31.000Z"/>
    <s v="2026-09-15T17:23:31.000Z"/>
    <s v="Torres"/>
    <n v="38"/>
    <n v="22"/>
    <s v="Jamal Torres"/>
    <s v="005ak00000icyWTAAY"/>
    <s v="(732) 555-8820"/>
    <s v="131ak000001XjDvAAK"/>
    <s v="2026-10-01T15:56:46.000Z"/>
    <s v="jamal.torres@icloud.com"/>
    <n v="1"/>
    <n v="17"/>
    <n v="2"/>
  </r>
  <r>
    <x v="0"/>
    <d v="2022-10-25T00:00:00"/>
    <s v="005ak00000icyWTAAY"/>
    <s v="2026-09-14T19:36:36.000Z"/>
    <s v="rclark@icloud.com"/>
    <s v="Ryan"/>
    <x v="16"/>
    <d v="2022-09-01T00:00:00"/>
    <n v="35"/>
    <s v="a06ak00000amzBuAAI"/>
    <s v="INS-017"/>
    <s v="Flute"/>
    <b v="0"/>
    <m/>
    <s v="005ak00000icyWTAAY"/>
    <s v="2026-09-23T19:01:04.000Z"/>
    <s v="2026-09-15T17:23:31.000Z"/>
    <s v="2026-09-15T17:23:31.000Z"/>
    <s v="Clark"/>
    <n v="18"/>
    <n v="12"/>
    <s v="Ryan Clark"/>
    <s v="005ak00000icyWTAAY"/>
    <s v="(732) 555-6900"/>
    <s v="131ak000001XjDtAAK"/>
    <s v="2026-09-23T19:01:04.000Z"/>
    <s v="rclark@icloud.com"/>
    <n v="1"/>
    <s v="Not Active"/>
    <n v="0"/>
  </r>
  <r>
    <x v="0"/>
    <d v="2025-10-26T00:00:00"/>
    <s v="005ak00000icyWTAAY"/>
    <s v="2026-09-14T19:36:36.000Z"/>
    <s v="carolineokafor8@outlook.com"/>
    <s v="Caroline"/>
    <x v="17"/>
    <d v="2025-10-13T00:00:00"/>
    <n v="40"/>
    <s v="a06ak00000amzBvAAI"/>
    <s v="INS-018"/>
    <s v="Bass Guitar"/>
    <b v="0"/>
    <m/>
    <s v="005ak00000icyWTAAY"/>
    <s v="2026-09-23T19:01:04.000Z"/>
    <s v="2026-09-15T17:23:31.000Z"/>
    <s v="2026-09-15T17:23:31.000Z"/>
    <s v="Okafor"/>
    <n v="11"/>
    <n v="18"/>
    <s v="Caroline Okafor"/>
    <s v="005ak00000icyWTAAY"/>
    <s v="(732) 555-5167"/>
    <s v="131ak000001XjDuAAK"/>
    <s v="2026-09-23T19:01:04.000Z"/>
    <s v="carolineokafor8@outlook.com"/>
    <n v="1"/>
    <s v="Not Active"/>
    <n v="0"/>
  </r>
  <r>
    <x v="0"/>
    <d v="2019-12-14T00:00:00"/>
    <s v="005ak00000icyWTAAY"/>
    <s v="2026-09-14T19:36:36.000Z"/>
    <s v="savannahhill20@gmail.com"/>
    <s v="Savannah"/>
    <x v="18"/>
    <d v="2019-11-11T00:00:00"/>
    <n v="48"/>
    <s v="a06ak00000amzBwAAI"/>
    <s v="INS-019"/>
    <s v="Bass Guitar;Ukulele"/>
    <b v="0"/>
    <m/>
    <s v="005ak00000icyWTAAY"/>
    <s v="2026-09-23T19:02:24.000Z"/>
    <s v="2026-09-15T17:23:31.000Z"/>
    <s v="2026-09-15T17:23:31.000Z"/>
    <s v="Hill"/>
    <n v="0"/>
    <n v="20"/>
    <s v="Savannah Hill"/>
    <s v="005ak00000icyWTAAY"/>
    <s v="(732) 555-1450"/>
    <s v="131ak000001XjDuAAK"/>
    <s v="2026-09-23T19:02:24.000Z"/>
    <s v="savannahhill20@gmail.com"/>
    <n v="1"/>
    <s v="Not Active"/>
    <n v="0"/>
  </r>
  <r>
    <x v="1"/>
    <d v="2020-09-21T00:00:00"/>
    <s v="005ak00000icyWTAAY"/>
    <s v="2026-09-14T19:36:36.000Z"/>
    <s v="milesallen22@outlook.com"/>
    <s v="Miles"/>
    <x v="19"/>
    <d v="2020-08-20T00:00:00"/>
    <n v="48"/>
    <s v="a06ak00000amzBxAAI"/>
    <s v="INS-020"/>
    <s v="Voice"/>
    <b v="0"/>
    <m/>
    <s v="005ak00000icyWTAAY"/>
    <s v="2026-10-01T15:56:46.000Z"/>
    <s v="2026-09-23T19:04:11.000Z"/>
    <s v="2026-09-23T19:04:11.000Z"/>
    <s v="Allen"/>
    <n v="53"/>
    <n v="15"/>
    <s v="Miles Allen"/>
    <s v="005ak00000icyWTAAY"/>
    <s v="(732) 555-9151"/>
    <s v="131ak000001XjDuAAK"/>
    <s v="2026-10-01T15:56:46.000Z"/>
    <s v="milesallen22@outlook.com"/>
    <n v="1"/>
    <n v="23"/>
    <n v="6"/>
  </r>
  <r>
    <x v="1"/>
    <d v="2026-03-13T00:00:00"/>
    <s v="005ak00000icyWTAAY"/>
    <s v="2026-09-14T19:36:36.000Z"/>
    <s v="vincentsullivan87@icloud.com"/>
    <s v="Vincent"/>
    <x v="20"/>
    <d v="2026-01-28T00:00:00"/>
    <n v="38"/>
    <s v="a06ak00000amzByAAI"/>
    <s v="INS-021"/>
    <s v="Flute;Piano"/>
    <b v="0"/>
    <m/>
    <s v="005ak00000icyWTAAY"/>
    <s v="2026-10-01T15:56:46.000Z"/>
    <s v="2026-09-15T17:23:31.000Z"/>
    <s v="2026-09-15T17:23:31.000Z"/>
    <s v="Sullivan"/>
    <n v="41"/>
    <n v="25"/>
    <s v="Vincent Sullivan"/>
    <s v="005ak00000icyWTAAY"/>
    <s v="(732) 555-8566"/>
    <s v="131ak000001XjDuAAK"/>
    <s v="2026-10-01T15:56:46.000Z"/>
    <s v="vincentsullivan87@icloud.com"/>
    <n v="1"/>
    <n v="12"/>
    <n v="6"/>
  </r>
  <r>
    <x v="1"/>
    <d v="2024-10-02T00:00:00"/>
    <s v="005ak00000icyWTAAY"/>
    <s v="2026-09-14T19:36:36.000Z"/>
    <s v="ezra.garcia@yahoo.com"/>
    <s v="Ezra"/>
    <x v="21"/>
    <d v="2024-09-07T00:00:00"/>
    <n v="38"/>
    <s v="a06ak00000amzBzAAI"/>
    <s v="INS-022"/>
    <s v="Drums;Trumpet;Guitar"/>
    <b v="0"/>
    <m/>
    <s v="005ak00000icyWTAAY"/>
    <s v="2026-10-01T15:56:46.000Z"/>
    <s v="2026-09-15T17:23:31.000Z"/>
    <s v="2026-09-15T17:23:31.000Z"/>
    <s v="Garcia"/>
    <n v="94"/>
    <n v="22"/>
    <s v="Ezra Garcia"/>
    <s v="005ak00000icyWTAAY"/>
    <s v="(732) 555-8564"/>
    <s v="131ak000001XjDtAAK"/>
    <s v="2026-10-01T15:56:46.000Z"/>
    <s v="ezra.garcia@yahoo.com"/>
    <n v="1"/>
    <n v="22"/>
    <n v="14"/>
  </r>
  <r>
    <x v="1"/>
    <d v="2026-09-15T00:00:00"/>
    <s v="005ak00000icyWTAAY"/>
    <s v="2026-09-14T19:36:36.000Z"/>
    <s v="jamesmoore95@outlook.com"/>
    <s v="James"/>
    <x v="22"/>
    <d v="2024-11-05T00:00:00"/>
    <n v="48"/>
    <s v="a06ak00000amzC0AAI"/>
    <s v="INS-023"/>
    <s v="Saxophone;Piano;Clarinet"/>
    <b v="0"/>
    <m/>
    <s v="005ak00000icyWTAAY"/>
    <s v="2026-10-01T15:56:46.000Z"/>
    <s v="2026-10-01T15:59:57.000Z"/>
    <s v="2026-10-01T15:59:57.000Z"/>
    <s v="Moore"/>
    <n v="55"/>
    <n v="12"/>
    <s v="James Moore"/>
    <s v="005ak00000icyWTAAY"/>
    <s v="(732) 555-3006"/>
    <s v="131ak000001XjDtAAK"/>
    <s v="2026-10-01T15:56:46.000Z"/>
    <s v="jamesmoore95@outlook.com"/>
    <n v="1"/>
    <n v="15"/>
    <n v="6"/>
  </r>
  <r>
    <x v="1"/>
    <d v="2024-12-04T00:00:00"/>
    <s v="005ak00000icyWTAAY"/>
    <s v="2026-09-14T19:36:36.000Z"/>
    <s v="valentinanakamura61@icloud.com"/>
    <s v="Valentina"/>
    <x v="23"/>
    <d v="2024-11-02T00:00:00"/>
    <n v="48"/>
    <s v="a06ak00000amzC1AAI"/>
    <s v="INS-024"/>
    <s v="Guitar;Trumpet;Drums"/>
    <b v="0"/>
    <m/>
    <s v="005ak00000icyWTAAY"/>
    <s v="2026-10-01T15:56:46.000Z"/>
    <s v="2026-09-15T17:23:31.000Z"/>
    <s v="2026-09-15T17:23:31.000Z"/>
    <s v="Nakamura"/>
    <n v="73"/>
    <n v="22"/>
    <s v="Valentina Nakamura"/>
    <s v="005ak00000icyWTAAY"/>
    <s v="(732) 555-2535"/>
    <s v="131ak000001XjDuAAK"/>
    <s v="2026-10-01T15:56:46.000Z"/>
    <s v="valentinanakamura61@icloud.com"/>
    <n v="1"/>
    <n v="22"/>
    <n v="8"/>
  </r>
  <r>
    <x v="0"/>
    <d v="2020-11-13T00:00:00"/>
    <s v="005ak00000icyWTAAY"/>
    <s v="2026-09-14T19:36:36.000Z"/>
    <s v="lilyrossi92@outlook.com"/>
    <s v="Lily"/>
    <x v="24"/>
    <d v="2020-09-24T00:00:00"/>
    <n v="42"/>
    <s v="a06ak00000amzC2AAI"/>
    <s v="INS-025"/>
    <s v="Saxophone;Guitar"/>
    <b v="0"/>
    <m/>
    <s v="005ak00000icyWTAAY"/>
    <s v="2026-09-23T19:02:24.000Z"/>
    <s v="2026-09-15T17:23:31.000Z"/>
    <s v="2026-09-15T17:23:31.000Z"/>
    <s v="Rossi"/>
    <n v="14"/>
    <n v="20"/>
    <s v="Lily Rossi"/>
    <s v="005ak00000icyWTAAY"/>
    <s v="(732) 555-2717"/>
    <s v="131ak000001XjDtAAK"/>
    <s v="2026-09-23T19:02:24.000Z"/>
    <s v="lilyrossi92@outlook.com"/>
    <n v="1"/>
    <s v="Not Active"/>
    <n v="0"/>
  </r>
  <r>
    <x v="0"/>
    <d v="2026-02-04T00:00:00"/>
    <s v="005ak00000icyWTAAY"/>
    <s v="2026-09-14T19:36:36.000Z"/>
    <s v="isabellarivera@icloud.com"/>
    <s v="Isabella"/>
    <x v="25"/>
    <d v="2025-12-28T00:00:00"/>
    <n v="42"/>
    <s v="a06ak00000amzC3AAI"/>
    <s v="INS-026"/>
    <s v="Trumpet;Guitar"/>
    <b v="0"/>
    <m/>
    <s v="005ak00000icyWTAAY"/>
    <s v="2026-09-23T19:02:24.000Z"/>
    <s v="2026-09-15T17:23:31.000Z"/>
    <s v="2026-09-15T17:23:31.000Z"/>
    <s v="Rivera"/>
    <n v="13"/>
    <n v="22"/>
    <s v="Isabella Rivera"/>
    <s v="005ak00000icyWTAAY"/>
    <s v="(732) 555-5221"/>
    <s v="131ak000001XjDtAAK"/>
    <s v="2026-09-23T19:02:24.000Z"/>
    <s v="isabellarivera@icloud.com"/>
    <n v="1"/>
    <s v="Not Active"/>
    <n v="0"/>
  </r>
  <r>
    <x v="0"/>
    <d v="2022-01-18T00:00:00"/>
    <s v="005ak00000icyWTAAY"/>
    <s v="2026-09-14T19:36:36.000Z"/>
    <s v="logandavis52@gmail.com"/>
    <s v="Logan"/>
    <x v="26"/>
    <d v="2021-12-14T00:00:00"/>
    <n v="40"/>
    <s v="a06ak00000amzC4AAI"/>
    <s v="INS-027"/>
    <s v="Cello"/>
    <b v="0"/>
    <m/>
    <s v="005ak00000icyWTAAY"/>
    <s v="2026-09-23T19:02:24.000Z"/>
    <s v="2026-09-15T17:23:31.000Z"/>
    <s v="2026-09-15T17:23:31.000Z"/>
    <s v="Davis"/>
    <n v="15"/>
    <n v="25"/>
    <s v="Logan Davis"/>
    <s v="005ak00000icyWTAAY"/>
    <s v="(732) 555-7546"/>
    <s v="131ak000001XjDuAAK"/>
    <s v="2026-09-23T19:02:24.000Z"/>
    <s v="logandavis52@gmail.com"/>
    <n v="1"/>
    <s v="Not Active"/>
    <n v="0"/>
  </r>
  <r>
    <x v="0"/>
    <d v="2025-11-21T00:00:00"/>
    <s v="005ak00000icyWTAAY"/>
    <s v="2026-09-14T19:36:36.000Z"/>
    <s v="penelopewilson@yahoo.com"/>
    <s v="Penelope"/>
    <x v="27"/>
    <d v="2025-11-11T00:00:00"/>
    <n v="38"/>
    <s v="a06ak00000amzC5AAI"/>
    <s v="INS-028"/>
    <s v="Drums"/>
    <b v="0"/>
    <m/>
    <s v="005ak00000icyWTAAY"/>
    <s v="2026-09-23T19:02:24.000Z"/>
    <s v="2026-09-15T17:23:31.000Z"/>
    <s v="2026-09-15T17:23:31.000Z"/>
    <s v="Wilson"/>
    <n v="26"/>
    <n v="22"/>
    <s v="Penelope Wilson"/>
    <s v="005ak00000icyWTAAY"/>
    <s v="(732) 555-2310"/>
    <s v="131ak000001XjDuAAK"/>
    <s v="2026-09-23T19:02:24.000Z"/>
    <s v="penelopewilson@yahoo.com"/>
    <n v="1"/>
    <s v="Not Active"/>
    <n v="0"/>
  </r>
  <r>
    <x v="0"/>
    <d v="2025-12-17T00:00:00"/>
    <s v="005ak00000icyWTAAY"/>
    <s v="2026-09-14T19:36:36.000Z"/>
    <s v="operez@gmail.com"/>
    <s v="Omar"/>
    <x v="28"/>
    <d v="2025-11-07T00:00:00"/>
    <m/>
    <s v="a06ak00000amzC6AAI"/>
    <s v="INS-029"/>
    <s v="Drums"/>
    <b v="0"/>
    <m/>
    <s v="005ak00000icyWTAAY"/>
    <s v="2026-09-23T19:02:24.000Z"/>
    <s v="2026-09-15T17:23:31.000Z"/>
    <s v="2026-09-15T17:23:31.000Z"/>
    <s v="Perez"/>
    <n v="22"/>
    <n v="22"/>
    <s v="Omar Perez"/>
    <s v="005ak00000icyWTAAY"/>
    <s v="(732) 555-7793"/>
    <s v="131ak000001XjDtAAK"/>
    <s v="2026-09-23T19:02:24.000Z"/>
    <s v="operez@gmail.com"/>
    <n v="1"/>
    <s v="Not Active"/>
    <n v="0"/>
  </r>
  <r>
    <x v="0"/>
    <d v="2021-08-16T00:00:00"/>
    <s v="005ak00000icyWTAAY"/>
    <s v="2026-09-14T19:36:36.000Z"/>
    <s v="wyatthall@outlook.com"/>
    <s v="Wyatt"/>
    <x v="29"/>
    <d v="2021-07-05T00:00:00"/>
    <n v="45"/>
    <s v="a06ak00000amzC7AAI"/>
    <s v="INS-030"/>
    <s v="Guitar;Piano"/>
    <b v="0"/>
    <m/>
    <s v="005ak00000icyWTAAY"/>
    <s v="2026-09-23T19:02:24.000Z"/>
    <s v="2026-09-15T17:23:31.000Z"/>
    <s v="2026-09-15T17:23:31.000Z"/>
    <s v="Hall"/>
    <n v="28"/>
    <n v="25"/>
    <s v="Wyatt Hall"/>
    <s v="005ak00000icyWTAAY"/>
    <s v="(732) 555-2489"/>
    <s v="131ak000001XjDtAAK"/>
    <s v="2026-09-23T19:02:24.000Z"/>
    <s v="wyatthall@outlook.com"/>
    <n v="1"/>
    <s v="Not Active"/>
    <n v="0"/>
  </r>
  <r>
    <x v="1"/>
    <d v="2024-02-23T00:00:00"/>
    <s v="005ak00000icyWTAAY"/>
    <s v="2026-09-14T19:36:36.000Z"/>
    <s v="adrianbyrne87@hotmail.com"/>
    <s v="Adrian"/>
    <x v="30"/>
    <d v="2024-02-20T00:00:00"/>
    <n v="40"/>
    <s v="a06ak00000amzC8AAI"/>
    <s v="INS-031"/>
    <s v="Flute;Saxophone;Cello"/>
    <b v="0"/>
    <m/>
    <s v="005ak00000icyWTAAY"/>
    <s v="2026-10-01T15:56:46.000Z"/>
    <s v="2026-09-15T17:23:31.000Z"/>
    <s v="2026-09-15T17:23:31.000Z"/>
    <s v="Byrne"/>
    <n v="71"/>
    <n v="18"/>
    <s v="Adrian Byrne"/>
    <s v="005ak00000icyWTAAY"/>
    <s v="(732) 555-1371"/>
    <s v="131ak000001XjDuAAK"/>
    <s v="2026-10-01T15:56:46.000Z"/>
    <s v="adrianbyrne87@hotmail.com"/>
    <n v="1"/>
    <n v="33"/>
    <n v="5"/>
  </r>
  <r>
    <x v="0"/>
    <d v="2020-05-25T00:00:00"/>
    <s v="005ak00000icyWTAAY"/>
    <s v="2026-09-14T19:36:36.000Z"/>
    <s v="kaiokafor43@gmail.com"/>
    <s v="Kai"/>
    <x v="31"/>
    <d v="2020-04-29T00:00:00"/>
    <n v="38"/>
    <s v="a06ak00000amzC9AAI"/>
    <s v="INS-032"/>
    <s v="Trumpet;Guitar"/>
    <b v="0"/>
    <m/>
    <s v="005ak00000icyWTAAY"/>
    <s v="2026-09-23T19:02:24.000Z"/>
    <s v="2026-09-24T17:45:38.000Z"/>
    <s v="2026-09-24T17:45:38.000Z"/>
    <s v="Okafor"/>
    <n v="18"/>
    <n v="25"/>
    <s v="Kai Okafor"/>
    <s v="005ak00000icyWTAAY"/>
    <s v="(732) 555-6467"/>
    <s v="131ak000001XjDtAAK"/>
    <s v="2026-09-23T19:02:24.000Z"/>
    <s v="kaiokafor43@gmail.com"/>
    <n v="1"/>
    <s v="Not Active"/>
    <n v="0"/>
  </r>
  <r>
    <x v="0"/>
    <d v="2026-04-17T00:00:00"/>
    <s v="005ak00000icyWTAAY"/>
    <s v="2026-09-14T19:36:36.000Z"/>
    <s v="calebnovak4@outlook.com"/>
    <s v="Caleb"/>
    <x v="32"/>
    <d v="2026-04-13T00:00:00"/>
    <n v="38"/>
    <s v="a06ak00000amzCAAAY"/>
    <s v="INS-033"/>
    <s v="Violin"/>
    <b v="0"/>
    <m/>
    <s v="005ak00000icyWTAAY"/>
    <s v="2026-09-23T19:01:04.000Z"/>
    <s v="2026-09-15T17:23:31.000Z"/>
    <s v="2026-09-15T17:23:31.000Z"/>
    <s v="Novak"/>
    <n v="0"/>
    <n v="18"/>
    <s v="Caleb Novak"/>
    <s v="005ak00000icyWTAAY"/>
    <s v="(732) 555-3326"/>
    <s v="131ak000001XjDtAAK"/>
    <s v="2026-09-23T19:01:04.000Z"/>
    <s v="calebnovak4@outlook.com"/>
    <n v="1"/>
    <s v="Not Active"/>
    <n v="0"/>
  </r>
  <r>
    <x v="1"/>
    <d v="2023-03-10T00:00:00"/>
    <s v="005ak00000icyWTAAY"/>
    <s v="2026-09-14T19:36:36.000Z"/>
    <s v="aidenhill@outlook.com"/>
    <s v="Aiden"/>
    <x v="33"/>
    <d v="2023-02-10T00:00:00"/>
    <n v="38"/>
    <s v="a06ak00000amzCBAAY"/>
    <s v="INS-034"/>
    <s v="Ukulele;Piano;Voice"/>
    <b v="0"/>
    <m/>
    <s v="005ak00000icyWTAAY"/>
    <s v="2026-10-01T15:56:46.000Z"/>
    <s v="2026-09-15T17:23:31.000Z"/>
    <s v="2026-09-15T17:23:31.000Z"/>
    <s v="Hill"/>
    <n v="100"/>
    <n v="15"/>
    <s v="Aiden Hill"/>
    <s v="005ak00000icyWTAAY"/>
    <s v="(732) 555-7073"/>
    <s v="131ak000001XjDtAAK"/>
    <s v="2026-10-01T15:56:46.000Z"/>
    <s v="aidenhill@outlook.com"/>
    <n v="1"/>
    <n v="42"/>
    <n v="7"/>
  </r>
  <r>
    <x v="1"/>
    <d v="2020-08-12T00:00:00"/>
    <s v="005ak00000icyWTAAY"/>
    <s v="2026-09-14T19:36:36.000Z"/>
    <s v="rowanjones55@outlook.com"/>
    <s v="Rowan"/>
    <x v="34"/>
    <d v="2020-06-27T00:00:00"/>
    <n v="42"/>
    <s v="a06ak00000amzCCAAY"/>
    <s v="INS-035"/>
    <s v="Ukulele;Voice;Saxophone"/>
    <b v="0"/>
    <m/>
    <s v="005ak00000icyWTAAY"/>
    <s v="2026-10-01T15:56:46.000Z"/>
    <s v="2026-09-15T17:23:31.000Z"/>
    <s v="2026-09-15T17:23:31.000Z"/>
    <s v="Jones"/>
    <n v="57"/>
    <n v="12"/>
    <s v="Rowan Jones"/>
    <s v="005ak00000icyWTAAY"/>
    <s v="(732) 555-9155"/>
    <s v="131ak000001XjDuAAK"/>
    <s v="2026-10-01T15:56:46.000Z"/>
    <s v="rowanjones55@outlook.com"/>
    <n v="1"/>
    <n v="20"/>
    <n v="4"/>
  </r>
  <r>
    <x v="0"/>
    <d v="2019-08-23T00:00:00"/>
    <s v="005ak00000icyWTAAY"/>
    <s v="2026-09-14T19:36:36.000Z"/>
    <s v="lsullivan@yahoo.com"/>
    <s v="Vincent"/>
    <x v="35"/>
    <d v="2019-07-08T00:00:00"/>
    <n v="35"/>
    <s v="a06ak00000amzCDAAY"/>
    <s v="INS-036"/>
    <s v="Saxophone;Piano"/>
    <b v="0"/>
    <m/>
    <s v="005ak00000icyWTAAY"/>
    <s v="2026-09-23T19:02:24.000Z"/>
    <s v="2026-09-15T17:23:31.000Z"/>
    <s v="2026-09-15T17:23:31.000Z"/>
    <s v="Kelly"/>
    <n v="16"/>
    <n v="18"/>
    <s v="Vincent Kelly"/>
    <s v="005ak00000icyWTAAY"/>
    <s v="(732) 555-7010"/>
    <s v="131ak000001XjDtAAK"/>
    <s v="2026-09-23T19:02:24.000Z"/>
    <s v="lsullivan@yahoo.com"/>
    <n v="2"/>
    <s v="Not Active"/>
    <n v="0"/>
  </r>
  <r>
    <x v="0"/>
    <d v="2024-08-20T00:00:00"/>
    <s v="005ak00000icyWTAAY"/>
    <s v="2026-09-14T19:36:36.000Z"/>
    <s v="caroline.baker@yahoo.com"/>
    <s v="Caroline"/>
    <x v="36"/>
    <d v="2024-07-21T00:00:00"/>
    <n v="40"/>
    <s v="a06ak00000amzCEAAY"/>
    <s v="INS-037"/>
    <s v="Guitar"/>
    <b v="0"/>
    <m/>
    <s v="005ak00000icyWTAAY"/>
    <s v="2026-09-29T05:11:32.000Z"/>
    <s v="2026-09-29T05:11:32.000Z"/>
    <s v="2026-09-29T05:11:32.000Z"/>
    <s v="Baker"/>
    <n v="10"/>
    <n v="20"/>
    <s v="Caroline Baker"/>
    <s v="005ak00000icyWTAAY"/>
    <s v="(732) 555-4354"/>
    <s v="131ak000001XjDuAAK"/>
    <s v="2026-09-29T05:11:32.000Z"/>
    <s v="caroline.baker@yahoo.com"/>
    <n v="1"/>
    <s v="Not Active"/>
    <n v="0"/>
  </r>
  <r>
    <x v="0"/>
    <d v="2026-02-02T00:00:00"/>
    <s v="005ak00000icyWTAAY"/>
    <s v="2026-09-14T19:36:36.000Z"/>
    <s v="valentina.sanchez@outlook.com"/>
    <s v="Valentina"/>
    <x v="37"/>
    <d v="2026-01-10T00:00:00"/>
    <n v="40"/>
    <s v="a06ak00000amzCFAAY"/>
    <s v="INS-038"/>
    <s v="Guitar"/>
    <b v="0"/>
    <m/>
    <s v="005ak00000icyWTAAY"/>
    <s v="2026-09-23T19:02:24.000Z"/>
    <s v="2026-09-15T17:23:31.000Z"/>
    <s v="2026-09-15T17:23:31.000Z"/>
    <s v="Sanchez"/>
    <n v="26"/>
    <n v="22"/>
    <s v="Valentina Sanchez"/>
    <s v="005ak00000icyWTAAY"/>
    <s v="(732) 555-9739"/>
    <s v="131ak000001XjDuAAK"/>
    <s v="2026-09-23T19:02:24.000Z"/>
    <s v="valentina.sanchez@outlook.com"/>
    <n v="1"/>
    <s v="Not Active"/>
    <n v="0"/>
  </r>
  <r>
    <x v="0"/>
    <d v="2026-07-06T00:00:00"/>
    <s v="005ak00000icyWTAAY"/>
    <s v="2026-09-14T19:36:36.000Z"/>
    <s v="calebramirez76@outlook.com"/>
    <s v="Caleb"/>
    <x v="38"/>
    <d v="2026-06-30T00:00:00"/>
    <n v="45"/>
    <s v="a06ak00000amzCGAAY"/>
    <s v="INS-039"/>
    <s v="Piano;Ukulele"/>
    <b v="0"/>
    <m/>
    <s v="005ak00000icyWTAAY"/>
    <s v="2026-09-23T19:01:04.000Z"/>
    <s v="2026-09-15T17:23:31.000Z"/>
    <s v="2026-09-15T17:23:31.000Z"/>
    <s v="Ramirez"/>
    <n v="0"/>
    <n v="12"/>
    <s v="Caleb Ramirez"/>
    <s v="005ak00000icyWTAAY"/>
    <s v="(732) 555-9808"/>
    <s v="131ak000001XjDuAAK"/>
    <s v="2026-09-23T19:01:04.000Z"/>
    <s v="calebramirez76@outlook.com"/>
    <n v="1"/>
    <s v="Not Active"/>
    <n v="0"/>
  </r>
  <r>
    <x v="1"/>
    <d v="2019-05-01T00:00:00"/>
    <s v="005ak00000icyWTAAY"/>
    <s v="2026-09-14T19:36:36.000Z"/>
    <s v="liam.flores@hotmail.com"/>
    <s v="Liam"/>
    <x v="39"/>
    <d v="2019-04-14T00:00:00"/>
    <n v="40"/>
    <s v="a06ak00000amzCHAAY"/>
    <s v="INS-040"/>
    <s v="Violin;Flute;Trumpet"/>
    <b v="0"/>
    <m/>
    <s v="005ak00000icyWTAAY"/>
    <s v="2026-10-01T15:56:46.000Z"/>
    <s v="2026-09-15T17:23:31.000Z"/>
    <s v="2026-09-15T17:23:31.000Z"/>
    <s v="Flores"/>
    <n v="66"/>
    <n v="12"/>
    <s v="Liam Flores"/>
    <s v="005ak00000icyWTAAY"/>
    <s v="(732) 555-8602"/>
    <s v="131ak000001XjDtAAK"/>
    <s v="2026-10-01T15:56:46.000Z"/>
    <s v="liam.flores@hotmail.com"/>
    <n v="1"/>
    <n v="22"/>
    <n v="9"/>
  </r>
  <r>
    <x v="1"/>
    <d v="2023-12-19T00:00:00"/>
    <s v="005ak00000icyWTAAY"/>
    <s v="2026-09-14T19:36:36.000Z"/>
    <s v="omar.nelson@hotmail.com"/>
    <s v="Omar"/>
    <x v="40"/>
    <d v="2023-12-18T00:00:00"/>
    <n v="38"/>
    <s v="a06ak00000amzCIAAY"/>
    <s v="INS-042"/>
    <s v="Voice"/>
    <b v="0"/>
    <m/>
    <s v="005ak00000icyWTAAY"/>
    <s v="2026-10-01T15:56:46.000Z"/>
    <s v="2026-09-15T17:23:31.000Z"/>
    <s v="2026-09-15T17:23:31.000Z"/>
    <s v="Nelson"/>
    <n v="51"/>
    <n v="18"/>
    <s v="Omar Nelson"/>
    <s v="005ak00000icyWTAAY"/>
    <s v="(732) 555-7184"/>
    <s v="131ak000001XjDvAAK"/>
    <s v="2026-10-01T15:56:46.000Z"/>
    <s v="omar.nelson@hotmail.com"/>
    <n v="1"/>
    <n v="28"/>
    <n v="2"/>
  </r>
  <r>
    <x v="0"/>
    <d v="2024-02-13T00:00:00"/>
    <s v="005ak00000icyWTAAY"/>
    <s v="2026-09-14T19:36:36.000Z"/>
    <s v="sofiaharris55@hotmail.com"/>
    <s v="Sofia"/>
    <x v="41"/>
    <d v="2023-12-28T00:00:00"/>
    <n v="38"/>
    <s v="a06ak00000amzCJAAY"/>
    <s v="INS-043"/>
    <s v="Violin;Guitar;Piano"/>
    <b v="0"/>
    <m/>
    <s v="005ak00000icyWTAAY"/>
    <s v="2026-09-23T19:02:24.000Z"/>
    <s v="2026-09-15T17:23:31.000Z"/>
    <s v="2026-09-15T17:23:31.000Z"/>
    <s v="Harris"/>
    <n v="21"/>
    <n v="25"/>
    <s v="Sofia Harris"/>
    <s v="005ak00000icyWTAAY"/>
    <s v="(732) 555-3090"/>
    <s v="131ak000001XjDtAAK"/>
    <s v="2026-09-23T19:02:24.000Z"/>
    <s v="sofiaharris55@hotmail.com"/>
    <n v="1"/>
    <s v="Not Active"/>
    <n v="0"/>
  </r>
  <r>
    <x v="1"/>
    <d v="2026-08-07T00:00:00"/>
    <s v="005ak00000icyWTAAY"/>
    <s v="2026-09-14T19:36:36.000Z"/>
    <s v="priya.carter@gmail.com"/>
    <s v="Priya"/>
    <x v="42"/>
    <d v="2026-06-10T00:00:00"/>
    <n v="38"/>
    <s v="a06ak00000amzCKAAY"/>
    <s v="INS-044"/>
    <s v="Voice;Ukulele"/>
    <b v="0"/>
    <m/>
    <s v="005ak00000icyWTAAY"/>
    <s v="2026-10-01T15:56:45.000Z"/>
    <s v="2026-10-01T15:52:51.000Z"/>
    <s v="2026-10-01T15:52:51.000Z"/>
    <s v="Carter"/>
    <n v="3"/>
    <n v="12"/>
    <s v="Priya Carter"/>
    <s v="005ak00000icyWTAAY"/>
    <s v="(732) 555-4956"/>
    <s v="131ak000001XjDvAAK"/>
    <s v="2026-10-01T15:56:45.000Z"/>
    <s v="priya.carter@gmail.com"/>
    <n v="1"/>
    <n v="1"/>
    <n v="0"/>
  </r>
  <r>
    <x v="0"/>
    <d v="2025-10-10T00:00:00"/>
    <s v="005ak00000icyWTAAY"/>
    <s v="2026-09-14T19:36:36.000Z"/>
    <s v="liammoore78@icloud.com"/>
    <s v="Liam"/>
    <x v="43"/>
    <d v="2025-08-21T00:00:00"/>
    <n v="32"/>
    <s v="a06ak00000amzCLAAY"/>
    <s v="INS-045"/>
    <s v="Drums;Trumpet;Voice"/>
    <b v="0"/>
    <m/>
    <s v="005ak00000icyWTAAY"/>
    <s v="2026-09-23T19:01:04.000Z"/>
    <s v="2026-09-15T17:23:31.000Z"/>
    <s v="2026-09-15T17:23:31.000Z"/>
    <s v="Moore"/>
    <n v="23"/>
    <n v="15"/>
    <s v="Liam Moore"/>
    <s v="005ak00000icyWTAAY"/>
    <s v="(732) 555-8996"/>
    <s v="131ak000001XjDtAAK"/>
    <s v="2026-09-23T19:01:04.000Z"/>
    <s v="liammoore78@icloud.com"/>
    <n v="1"/>
    <s v="Not Active"/>
    <n v="0"/>
  </r>
  <r>
    <x v="0"/>
    <d v="2022-07-29T00:00:00"/>
    <s v="005ak00000icyWTAAY"/>
    <s v="2026-09-14T19:36:36.000Z"/>
    <s v="yusufjackson79@hotmail.com"/>
    <s v="Yusuf"/>
    <x v="44"/>
    <d v="2022-06-11T00:00:00"/>
    <n v="42"/>
    <s v="a06ak00000amzCMAAY"/>
    <s v="INS-046"/>
    <s v="Drums"/>
    <b v="0"/>
    <m/>
    <s v="005ak00000icyWTAAY"/>
    <s v="2026-09-23T19:02:24.000Z"/>
    <s v="2026-09-15T17:23:31.000Z"/>
    <s v="2026-09-15T17:23:31.000Z"/>
    <s v="Jackson"/>
    <n v="13"/>
    <n v="20"/>
    <s v="Yusuf Jackson"/>
    <s v="005ak00000icyWTAAY"/>
    <s v="(732) 555-8546"/>
    <s v="131ak000001XjDtAAK"/>
    <s v="2026-09-23T19:02:24.000Z"/>
    <s v="yusufjackson79@hotmail.com"/>
    <n v="1"/>
    <s v="Not Active"/>
    <n v="0"/>
  </r>
  <r>
    <x v="0"/>
    <d v="2022-10-13T00:00:00"/>
    <s v="005ak00000icyWTAAY"/>
    <s v="2026-09-14T21:06:00.000Z"/>
    <s v="jpatel@gmail.com"/>
    <s v="Jordan"/>
    <x v="45"/>
    <d v="2022-08-28T00:00:00"/>
    <n v="50"/>
    <s v="a06ak00000anAQOAA2"/>
    <s v="INS-041"/>
    <m/>
    <b v="0"/>
    <m/>
    <s v="005ak00000icyWTAAY"/>
    <s v="2026-09-23T19:01:04.000Z"/>
    <m/>
    <m/>
    <s v="Patel"/>
    <n v="0"/>
    <n v="20"/>
    <s v="Jordan Patel"/>
    <s v="005ak00000icyWTAAY"/>
    <s v="(732) 555-8237"/>
    <s v="131ak000001XjDvAAK"/>
    <s v="2026-09-23T19:01:04.000Z"/>
    <s v="jpatel@gmail.com"/>
    <n v="1"/>
    <s v="Not Active"/>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8">
  <r>
    <s v="005ak00000icyWTAAY"/>
    <s v="2026-09-14T21:01:58.000Z"/>
    <n v="45"/>
    <s v="a0Aak00000FtDlZEAV"/>
    <s v="a06ak00000amzC9AAI"/>
    <s v="Kai Okafor"/>
    <s v="Focused on sight reading."/>
    <x v="0"/>
    <b v="0"/>
    <m/>
    <s v="005ak00000icyWTAAY"/>
    <s v="2026-09-24T17:45:38.000Z"/>
    <s v="2026-09-25T17:55:56.000Z"/>
    <s v="2026-09-25T17:55:56.000Z"/>
    <d v="2026-05-10T00:00:00"/>
    <s v="LSN-00001"/>
    <s v="L-0000001"/>
    <s v="131ak000001XjDtAAK"/>
    <b v="0"/>
    <b v="0"/>
    <s v="L-0000001"/>
    <s v="11:00:00.000Z"/>
    <x v="0"/>
    <s v="a07ak00001rZMp9AAG"/>
    <s v="Aurora White"/>
    <s v="2026-09-24T17:45:38.000Z"/>
    <b v="1"/>
    <s v="a06ak00000amzC9AAI|2026-05-10|11:00:00.000Z"/>
    <n v="1"/>
    <s v="Red Bank"/>
    <x v="0"/>
    <x v="0"/>
  </r>
  <r>
    <s v="005ak00000icyWTAAY"/>
    <s v="2026-09-14T21:01:58.000Z"/>
    <n v="45"/>
    <s v="a0Aak00000FtDlaEAF"/>
    <s v="a06ak00000amzC9AAI"/>
    <s v="Kai Okafor"/>
    <s v="Reviewed last week&amp;#39;s assignment."/>
    <x v="0"/>
    <b v="0"/>
    <m/>
    <s v="005ak00000icyWTAAY"/>
    <s v="2026-09-16T17:01:26.000Z"/>
    <s v="2026-09-15T18:03:38.000Z"/>
    <s v="2026-09-15T18:03:38.000Z"/>
    <d v="2026-02-09T00:00:00"/>
    <s v="LSN-00002"/>
    <s v="L-0000002"/>
    <s v="131ak000001XjDtAAK"/>
    <b v="0"/>
    <b v="0"/>
    <s v="L-0000002"/>
    <s v="16:30:00.000Z"/>
    <x v="0"/>
    <s v="a07ak00001rZMp9AAG"/>
    <s v="Aurora White"/>
    <s v="2026-09-16T17:01:26.000Z"/>
    <b v="1"/>
    <s v="a06ak00000amzC9AAI|2026-02-09|16:30:00.000Z"/>
    <n v="1"/>
    <s v="Red Bank"/>
    <x v="1"/>
    <x v="0"/>
  </r>
  <r>
    <s v="005ak00000icyWTAAY"/>
    <s v="2026-09-14T21:01:58.000Z"/>
    <n v="30"/>
    <s v="a0Aak00000FtDlbEAF"/>
    <s v="a06ak00000amzBgAAI"/>
    <s v="Noah Mitchell"/>
    <m/>
    <x v="1"/>
    <b v="0"/>
    <m/>
    <s v="005ak00000icyWTAAY"/>
    <s v="2026-09-23T19:02:24.000Z"/>
    <s v="2026-09-15T17:27:06.000Z"/>
    <s v="2026-09-15T17:27:06.000Z"/>
    <d v="2026-09-24T00:00:00"/>
    <s v="LSN-00003"/>
    <s v="L-0000003"/>
    <s v="131ak000001XjDuAAK"/>
    <b v="0"/>
    <b v="0"/>
    <s v="L-0000003"/>
    <s v="17:00:00.000Z"/>
    <x v="1"/>
    <s v="a07ak00001rZMpAAAW"/>
    <s v="Mason Wilson"/>
    <s v="2026-09-23T19:02:24.000Z"/>
    <b v="1"/>
    <s v=""/>
    <n v="114"/>
    <s v="Brick"/>
    <x v="2"/>
    <x v="0"/>
  </r>
  <r>
    <s v="005ak00000icyWTAAY"/>
    <s v="2026-09-14T21:01:58.000Z"/>
    <n v="30"/>
    <s v="a0Aak00000FtDlcEAF"/>
    <s v="a06ak00000amzCFAAY"/>
    <s v="Valentina Sanchez"/>
    <s v="Focused on sight reading."/>
    <x v="1"/>
    <b v="0"/>
    <m/>
    <s v="005ak00000icyWTAAY"/>
    <s v="2026-09-16T16:41:26.000Z"/>
    <s v="2026-09-15T17:27:06.000Z"/>
    <s v="2026-09-15T17:27:06.000Z"/>
    <d v="2026-03-11T00:00:00"/>
    <s v="LSN-00004"/>
    <s v="L-0000004"/>
    <s v="131ak000001XjDuAAK"/>
    <b v="0"/>
    <b v="0"/>
    <s v="L-0000004"/>
    <s v="19:00:00.000Z"/>
    <x v="2"/>
    <s v="a07ak00001rZMpAAAW"/>
    <s v="Mason Wilson"/>
    <s v="2026-09-16T16:41:26.000Z"/>
    <b v="0"/>
    <s v="a06ak00000amzCFAAY|2026-03-11|19:00:00.000Z"/>
    <n v="1"/>
    <s v="Brick"/>
    <x v="3"/>
    <x v="0"/>
  </r>
  <r>
    <s v="005ak00000icyWTAAY"/>
    <s v="2026-09-14T21:01:58.000Z"/>
    <n v="45"/>
    <s v="a0Aak00000FtDldEAF"/>
    <s v="a06ak00000amzBvAAI"/>
    <s v="Caroline Okafor"/>
    <s v="Worked on scales and timing."/>
    <x v="1"/>
    <b v="0"/>
    <m/>
    <s v="005ak00000icyWTAAY"/>
    <s v="2026-09-16T17:01:26.000Z"/>
    <s v="2026-09-15T17:27:06.000Z"/>
    <s v="2026-09-15T17:27:06.000Z"/>
    <d v="2026-05-04T00:00:00"/>
    <s v="LSN-00005"/>
    <s v="L-0000005"/>
    <s v="131ak000001XjDuAAK"/>
    <b v="0"/>
    <b v="0"/>
    <s v="L-0000005"/>
    <s v="16:00:00.000Z"/>
    <x v="0"/>
    <s v="a07ak00001rZMpAAAW"/>
    <s v="Mason Wilson"/>
    <s v="2026-09-16T17:01:26.000Z"/>
    <b v="1"/>
    <s v="a06ak00000amzBvAAI|2026-05-04|16:00:00.000Z"/>
    <n v="1"/>
    <s v="Brick"/>
    <x v="0"/>
    <x v="0"/>
  </r>
  <r>
    <s v="005ak00000icyWTAAY"/>
    <s v="2026-09-14T21:01:58.000Z"/>
    <n v="60"/>
    <s v="a0Aak00000FtDleEAF"/>
    <s v="a06ak00000amzBeAAI"/>
    <s v="Zoey Rodriguez"/>
    <s v="Good progress on technique."/>
    <x v="2"/>
    <b v="0"/>
    <m/>
    <s v="005ak00000icyWTAAY"/>
    <s v="2026-09-16T17:01:26.000Z"/>
    <s v="2026-09-15T17:27:06.000Z"/>
    <s v="2026-09-15T17:27:06.000Z"/>
    <d v="2026-09-02T00:00:00"/>
    <s v="LSN-00006"/>
    <s v="L-0000006"/>
    <s v="131ak000001XjDtAAK"/>
    <b v="0"/>
    <b v="0"/>
    <s v="L-0000006"/>
    <s v="10:00:00.000Z"/>
    <x v="0"/>
    <s v="a07ak00001rZMpBAAW"/>
    <s v="Delilah Adams"/>
    <s v="2026-09-16T17:01:26.000Z"/>
    <b v="1"/>
    <s v="a06ak00000amzBeAAI|2026-09-02|10:00:00.000Z"/>
    <n v="1"/>
    <s v="Red Bank"/>
    <x v="2"/>
    <x v="0"/>
  </r>
  <r>
    <s v="005ak00000icyWTAAY"/>
    <s v="2026-09-14T21:01:58.000Z"/>
    <n v="60"/>
    <s v="a0Aak00000FtDlfEAF"/>
    <s v="a06ak00000amzBeAAI"/>
    <s v="Zoey Rodriguez"/>
    <s v="Reviewed last week&amp;#39;s assignment."/>
    <x v="2"/>
    <b v="0"/>
    <m/>
    <s v="005ak00000icyWTAAY"/>
    <s v="2026-09-16T17:01:26.000Z"/>
    <s v="2026-09-15T17:27:06.000Z"/>
    <s v="2026-09-15T17:27:06.000Z"/>
    <d v="2026-01-27T00:00:00"/>
    <s v="LSN-00007"/>
    <s v="L-0000007"/>
    <s v="131ak000001XjDtAAK"/>
    <b v="0"/>
    <b v="0"/>
    <s v="L-0000007"/>
    <s v="17:30:00.000Z"/>
    <x v="0"/>
    <s v="a07ak00001rZMpBAAW"/>
    <s v="Delilah Adams"/>
    <s v="2026-09-16T17:01:26.000Z"/>
    <b v="1"/>
    <s v="a06ak00000amzBeAAI|2026-01-27|17:30:00.000Z"/>
    <n v="1"/>
    <s v="Red Bank"/>
    <x v="4"/>
    <x v="0"/>
  </r>
  <r>
    <s v="005ak00000icyWTAAY"/>
    <s v="2026-09-14T21:01:58.000Z"/>
    <n v="30"/>
    <s v="a0Aak00000FtDlgEAF"/>
    <s v="a06ak00000amzBeAAI"/>
    <s v="Zoey Rodriguez"/>
    <m/>
    <x v="2"/>
    <b v="0"/>
    <m/>
    <s v="005ak00000icyWTAAY"/>
    <s v="2026-09-16T17:01:26.000Z"/>
    <s v="2026-09-15T17:27:06.000Z"/>
    <s v="2026-09-15T17:27:06.000Z"/>
    <d v="2026-04-05T00:00:00"/>
    <s v="LSN-00008"/>
    <s v="L-0000008"/>
    <s v="131ak000001XjDtAAK"/>
    <b v="0"/>
    <b v="0"/>
    <s v="L-0000008"/>
    <s v="18:00:00.000Z"/>
    <x v="3"/>
    <s v="a07ak00001rZMpBAAW"/>
    <s v="Delilah Adams"/>
    <s v="2026-09-16T17:01:26.000Z"/>
    <b v="1"/>
    <s v="a06ak00000amzBeAAI|2026-04-05|18:00:00.000Z"/>
    <n v="1"/>
    <s v="Red Bank"/>
    <x v="5"/>
    <x v="0"/>
  </r>
  <r>
    <s v="005ak00000icyWTAAY"/>
    <s v="2026-09-14T21:01:58.000Z"/>
    <n v="30"/>
    <s v="a0Aak00000FtDlhEAF"/>
    <s v="a06ak00000amzBeAAI"/>
    <s v="Zoey Rodriguez"/>
    <m/>
    <x v="2"/>
    <b v="0"/>
    <m/>
    <s v="005ak00000icyWTAAY"/>
    <s v="2026-09-16T17:01:26.000Z"/>
    <s v="2026-09-15T17:27:06.000Z"/>
    <s v="2026-09-15T17:27:06.000Z"/>
    <d v="2026-08-24T00:00:00"/>
    <s v="LSN-00009"/>
    <s v="L-0000009"/>
    <s v="131ak000001XjDtAAK"/>
    <b v="0"/>
    <b v="0"/>
    <s v="L-0000009"/>
    <s v="18:00:00.000Z"/>
    <x v="3"/>
    <s v="a07ak00001rZMpBAAW"/>
    <s v="Delilah Adams"/>
    <s v="2026-09-16T17:01:26.000Z"/>
    <b v="1"/>
    <s v="a06ak00000amzBeAAI|2026-08-24|18:00:00.000Z"/>
    <n v="1"/>
    <s v="Red Bank"/>
    <x v="6"/>
    <x v="0"/>
  </r>
  <r>
    <s v="005ak00000icyWTAAY"/>
    <s v="2026-09-14T21:01:58.000Z"/>
    <n v="60"/>
    <s v="a0Aak00000FtDliEAF"/>
    <s v="a06ak00000amzBeAAI"/>
    <s v="Zoey Rodriguez"/>
    <m/>
    <x v="2"/>
    <b v="0"/>
    <m/>
    <s v="005ak00000icyWTAAY"/>
    <s v="2026-09-16T17:01:26.000Z"/>
    <s v="2026-09-15T17:27:06.000Z"/>
    <s v="2026-09-15T17:27:06.000Z"/>
    <d v="2026-04-04T00:00:00"/>
    <s v="LSN-00010"/>
    <s v="L-0000010"/>
    <s v="131ak000001XjDtAAK"/>
    <b v="0"/>
    <b v="0"/>
    <s v="L-0000010"/>
    <s v="18:30:00.000Z"/>
    <x v="1"/>
    <s v="a07ak00001rZMpBAAW"/>
    <s v="Delilah Adams"/>
    <s v="2026-09-16T17:01:26.000Z"/>
    <b v="1"/>
    <s v=""/>
    <m/>
    <s v="Red Bank"/>
    <x v="5"/>
    <x v="0"/>
  </r>
  <r>
    <s v="005ak00000icyWTAAY"/>
    <s v="2026-09-14T21:01:58.000Z"/>
    <n v="45"/>
    <s v="a0Aak00000FtDljEAF"/>
    <s v="a06ak00000amzBeAAI"/>
    <s v="Zoey Rodriguez"/>
    <s v="Reviewed last week&amp;#39;s assignment."/>
    <x v="2"/>
    <b v="0"/>
    <m/>
    <s v="005ak00000icyWTAAY"/>
    <s v="2026-09-16T17:01:26.000Z"/>
    <s v="2026-09-15T17:27:06.000Z"/>
    <s v="2026-09-15T17:27:06.000Z"/>
    <d v="2026-03-28T00:00:00"/>
    <s v="LSN-00011"/>
    <s v="L-0000011"/>
    <s v="131ak000001XjDtAAK"/>
    <b v="0"/>
    <b v="0"/>
    <s v="L-0000011"/>
    <s v="18:30:00.000Z"/>
    <x v="0"/>
    <s v="a07ak00001rZMpBAAW"/>
    <s v="Delilah Adams"/>
    <s v="2026-09-16T17:01:26.000Z"/>
    <b v="1"/>
    <s v="a06ak00000amzBeAAI|2026-03-28|18:30:00.000Z"/>
    <n v="1"/>
    <s v="Red Bank"/>
    <x v="3"/>
    <x v="0"/>
  </r>
  <r>
    <s v="005ak00000icyWTAAY"/>
    <s v="2026-09-14T21:01:58.000Z"/>
    <n v="45"/>
    <s v="a0Aak00000FtDlkEAF"/>
    <s v="a06ak00000amzBeAAI"/>
    <s v="Zoey Rodriguez"/>
    <m/>
    <x v="2"/>
    <b v="0"/>
    <m/>
    <s v="005ak00000icyWTAAY"/>
    <s v="2026-09-16T17:01:26.000Z"/>
    <s v="2026-09-15T17:27:06.000Z"/>
    <s v="2026-09-15T17:27:06.000Z"/>
    <d v="2026-09-22T00:00:00"/>
    <s v="LSN-00012"/>
    <s v="L-0000012"/>
    <s v="131ak000001XjDtAAK"/>
    <b v="1"/>
    <b v="1"/>
    <s v="L-0000012"/>
    <s v="15:30:00.000Z"/>
    <x v="4"/>
    <s v="a07ak00001rZMpBAAW"/>
    <s v="Delilah Adams"/>
    <s v="2026-09-16T17:01:26.000Z"/>
    <b v="1"/>
    <s v=""/>
    <n v="114"/>
    <s v="Red Bank"/>
    <x v="2"/>
    <x v="0"/>
  </r>
  <r>
    <s v="005ak00000icyWTAAY"/>
    <s v="2026-09-14T21:01:58.000Z"/>
    <n v="60"/>
    <s v="a0Aak00000FtDllEAF"/>
    <s v="a06ak00000amzBeAAI"/>
    <s v="Zoey Rodriguez"/>
    <s v="Focused on sight reading."/>
    <x v="2"/>
    <b v="0"/>
    <m/>
    <s v="005ak00000icyWTAAY"/>
    <s v="2026-09-16T17:01:26.000Z"/>
    <s v="2026-09-15T17:27:06.000Z"/>
    <s v="2026-09-15T17:27:06.000Z"/>
    <d v="2026-06-24T00:00:00"/>
    <s v="LSN-00013"/>
    <s v="L-0000013"/>
    <s v="131ak000001XjDtAAK"/>
    <b v="0"/>
    <b v="0"/>
    <s v="L-0000013"/>
    <s v="15:00:00.000Z"/>
    <x v="0"/>
    <s v="a07ak00001rZMpBAAW"/>
    <s v="Delilah Adams"/>
    <s v="2026-09-16T17:01:26.000Z"/>
    <b v="1"/>
    <s v="a06ak00000amzBeAAI|2026-06-24|15:00:00.000Z"/>
    <n v="1"/>
    <s v="Red Bank"/>
    <x v="7"/>
    <x v="0"/>
  </r>
  <r>
    <s v="005ak00000icyWTAAY"/>
    <s v="2026-09-14T21:01:58.000Z"/>
    <n v="30"/>
    <s v="a0Aak00000FtDlmEAF"/>
    <s v="a06ak00000amzBeAAI"/>
    <s v="Zoey Rodriguez"/>
    <s v="Worked on scales and timing."/>
    <x v="2"/>
    <b v="0"/>
    <m/>
    <s v="005ak00000icyWTAAY"/>
    <s v="2026-09-16T17:01:26.000Z"/>
    <s v="2026-09-15T17:27:06.000Z"/>
    <s v="2026-09-15T17:27:06.000Z"/>
    <d v="2026-01-14T00:00:00"/>
    <s v="LSN-00014"/>
    <s v="L-0000014"/>
    <s v="131ak000001XjDtAAK"/>
    <b v="0"/>
    <b v="0"/>
    <s v="L-0000014"/>
    <s v="16:30:00.000Z"/>
    <x v="0"/>
    <s v="a07ak00001rZMpBAAW"/>
    <s v="Delilah Adams"/>
    <s v="2026-09-16T17:01:26.000Z"/>
    <b v="1"/>
    <s v="a06ak00000amzBeAAI|2026-01-14|16:30:00.000Z"/>
    <n v="1"/>
    <s v="Red Bank"/>
    <x v="4"/>
    <x v="0"/>
  </r>
  <r>
    <s v="005ak00000icyWTAAY"/>
    <s v="2026-09-14T21:01:58.000Z"/>
    <n v="60"/>
    <s v="a0Aak00000FtDlnEAF"/>
    <s v="a06ak00000amzBhAAI"/>
    <s v="Layla Sullivan"/>
    <m/>
    <x v="3"/>
    <b v="0"/>
    <m/>
    <s v="005ak00000icyWTAAY"/>
    <s v="2026-09-16T17:01:26.000Z"/>
    <s v="2026-09-15T17:27:06.000Z"/>
    <s v="2026-09-15T17:27:06.000Z"/>
    <d v="2026-02-10T00:00:00"/>
    <s v="LSN-00015"/>
    <s v="L-0000015"/>
    <s v="131ak000001XjDvAAK"/>
    <b v="0"/>
    <b v="0"/>
    <s v="L-0000015"/>
    <s v="17:30:00.000Z"/>
    <x v="1"/>
    <s v="a07ak00001rZMpCAAW"/>
    <s v="Logan Jackson"/>
    <s v="2026-09-16T17:01:26.000Z"/>
    <b v="1"/>
    <s v=""/>
    <m/>
    <s v="Toms River"/>
    <x v="1"/>
    <x v="0"/>
  </r>
  <r>
    <s v="005ak00000icyWTAAY"/>
    <s v="2026-09-14T21:01:58.000Z"/>
    <n v="30"/>
    <s v="a0Aak00000FtDloEAF"/>
    <s v="a06ak00000amzBhAAI"/>
    <s v="Layla Sullivan"/>
    <m/>
    <x v="3"/>
    <b v="0"/>
    <m/>
    <s v="005ak00000icyWTAAY"/>
    <s v="2026-09-16T17:01:26.000Z"/>
    <s v="2026-09-15T17:27:06.000Z"/>
    <s v="2026-09-15T17:27:06.000Z"/>
    <d v="2026-03-08T00:00:00"/>
    <s v="LSN-00016"/>
    <s v="L-0000016"/>
    <s v="131ak000001XjDvAAK"/>
    <b v="0"/>
    <b v="0"/>
    <s v="L-0000016"/>
    <s v="15:00:00.000Z"/>
    <x v="1"/>
    <s v="a07ak00001rZMpCAAW"/>
    <s v="Logan Jackson"/>
    <s v="2026-09-16T17:01:26.000Z"/>
    <b v="1"/>
    <s v=""/>
    <m/>
    <s v="Toms River"/>
    <x v="3"/>
    <x v="0"/>
  </r>
  <r>
    <s v="005ak00000icyWTAAY"/>
    <s v="2026-09-14T21:01:58.000Z"/>
    <n v="60"/>
    <s v="a0Aak00000FtDlpEAF"/>
    <s v="a06ak00000amzBhAAI"/>
    <s v="Layla Sullivan"/>
    <s v="Focused on sight reading."/>
    <x v="3"/>
    <b v="0"/>
    <m/>
    <s v="005ak00000icyWTAAY"/>
    <s v="2026-09-16T17:01:26.000Z"/>
    <s v="2026-09-15T17:27:06.000Z"/>
    <s v="2026-09-15T17:27:06.000Z"/>
    <d v="2026-05-18T00:00:00"/>
    <s v="LSN-00017"/>
    <s v="L-0000017"/>
    <s v="131ak000001XjDvAAK"/>
    <b v="0"/>
    <b v="0"/>
    <s v="L-0000017"/>
    <s v="17:00:00.000Z"/>
    <x v="0"/>
    <s v="a07ak00001rZMpCAAW"/>
    <s v="Logan Jackson"/>
    <s v="2026-09-16T17:01:26.000Z"/>
    <b v="1"/>
    <s v="a06ak00000amzBhAAI|2026-05-18|17:00:00.000Z"/>
    <n v="1"/>
    <s v="Toms River"/>
    <x v="0"/>
    <x v="0"/>
  </r>
  <r>
    <s v="005ak00000icyWTAAY"/>
    <s v="2026-09-14T21:01:58.000Z"/>
    <n v="45"/>
    <s v="a0Aak00000FtDlqEAF"/>
    <s v="a06ak00000amzBhAAI"/>
    <s v="Layla Sullivan"/>
    <m/>
    <x v="3"/>
    <b v="0"/>
    <m/>
    <s v="005ak00000icyWTAAY"/>
    <s v="2026-09-16T17:01:26.000Z"/>
    <s v="2026-09-16T16:49:23.000Z"/>
    <s v="2026-09-16T16:49:23.000Z"/>
    <d v="2026-08-05T00:00:00"/>
    <s v="LSN-00018"/>
    <s v="L-0000018"/>
    <s v="131ak000001XjDvAAK"/>
    <b v="0"/>
    <b v="0"/>
    <s v="L-0000018"/>
    <s v="19:00:00.000Z"/>
    <x v="0"/>
    <s v="a07ak00001rZMpCAAW"/>
    <s v="Logan Jackson"/>
    <s v="2026-09-16T17:01:26.000Z"/>
    <b v="1"/>
    <s v="a06ak00000amzBhAAI|2026-08-05|19:00:00.000Z"/>
    <n v="1"/>
    <s v="Toms River"/>
    <x v="6"/>
    <x v="0"/>
  </r>
  <r>
    <s v="005ak00000icyWTAAY"/>
    <s v="2026-09-14T21:01:58.000Z"/>
    <n v="60"/>
    <s v="a0Aak00000FtDlrEAF"/>
    <s v="a06ak00000amzBhAAI"/>
    <s v="Layla Sullivan"/>
    <s v="Started new piece."/>
    <x v="3"/>
    <b v="0"/>
    <m/>
    <s v="005ak00000icyWTAAY"/>
    <s v="2026-09-16T17:01:26.000Z"/>
    <s v="2026-09-15T17:27:06.000Z"/>
    <s v="2026-09-15T17:27:06.000Z"/>
    <d v="2026-07-11T00:00:00"/>
    <s v="LSN-00019"/>
    <s v="L-0000019"/>
    <s v="131ak000001XjDvAAK"/>
    <b v="0"/>
    <b v="0"/>
    <s v="L-0000019"/>
    <s v="17:30:00.000Z"/>
    <x v="0"/>
    <s v="a07ak00001rZMpCAAW"/>
    <s v="Logan Jackson"/>
    <s v="2026-09-16T17:01:26.000Z"/>
    <b v="1"/>
    <s v="a06ak00000amzBhAAI|2026-07-11|17:30:00.000Z"/>
    <n v="1"/>
    <s v="Toms River"/>
    <x v="8"/>
    <x v="0"/>
  </r>
  <r>
    <s v="005ak00000icyWTAAY"/>
    <s v="2026-09-14T21:01:58.000Z"/>
    <n v="45"/>
    <s v="a0Aak00000FtDlsEAF"/>
    <s v="a06ak00000amzBhAAI"/>
    <s v="Layla Sullivan"/>
    <s v="Good progress on technique."/>
    <x v="3"/>
    <b v="0"/>
    <m/>
    <s v="005ak00000icyWTAAY"/>
    <s v="2026-09-16T17:01:26.000Z"/>
    <s v="2026-09-15T17:27:06.000Z"/>
    <s v="2026-09-15T17:27:06.000Z"/>
    <d v="2026-06-20T00:00:00"/>
    <s v="LSN-00020"/>
    <s v="L-0000020"/>
    <s v="131ak000001XjDvAAK"/>
    <b v="0"/>
    <b v="0"/>
    <s v="L-0000020"/>
    <s v="16:30:00.000Z"/>
    <x v="0"/>
    <s v="a07ak00001rZMpCAAW"/>
    <s v="Logan Jackson"/>
    <s v="2026-09-16T17:01:26.000Z"/>
    <b v="1"/>
    <s v="a06ak00000amzBhAAI|2026-06-20|16:30:00.000Z"/>
    <n v="1"/>
    <s v="Toms River"/>
    <x v="7"/>
    <x v="0"/>
  </r>
  <r>
    <s v="005ak00000icyWTAAY"/>
    <s v="2026-09-14T21:01:58.000Z"/>
    <n v="60"/>
    <s v="a0Aak00000FtDltEAF"/>
    <s v="a06ak00000amzBhAAI"/>
    <s v="Layla Sullivan"/>
    <m/>
    <x v="3"/>
    <b v="0"/>
    <m/>
    <s v="005ak00000icyWTAAY"/>
    <s v="2026-09-25T18:00:49.000Z"/>
    <s v="2026-09-15T17:27:06.000Z"/>
    <s v="2026-09-15T17:27:06.000Z"/>
    <d v="2026-08-08T00:00:00"/>
    <s v="LSN-00021"/>
    <s v="L-0000021"/>
    <s v="131ak000001XjDvAAK"/>
    <b v="1"/>
    <b v="1"/>
    <s v="L-0000021"/>
    <s v="16:00:00.000Z"/>
    <x v="4"/>
    <s v="a07ak00001rZMpCAAW"/>
    <s v="Logan Jackson"/>
    <s v="2026-09-25T18:00:49.000Z"/>
    <b v="1"/>
    <s v=""/>
    <m/>
    <s v="Toms River"/>
    <x v="6"/>
    <x v="0"/>
  </r>
  <r>
    <s v="005ak00000icyWTAAY"/>
    <s v="2026-09-14T21:01:58.000Z"/>
    <n v="45"/>
    <s v="a0Aak00000FtDluEAF"/>
    <s v="a06ak00000amzBhAAI"/>
    <s v="Layla Sullivan"/>
    <s v="Worked on scales and timing."/>
    <x v="3"/>
    <b v="0"/>
    <m/>
    <s v="005ak00000icyWTAAY"/>
    <s v="2026-09-16T17:01:26.000Z"/>
    <s v="2026-09-15T17:27:06.000Z"/>
    <s v="2026-09-15T17:27:06.000Z"/>
    <d v="2026-08-21T00:00:00"/>
    <s v="LSN-00022"/>
    <s v="L-0000022"/>
    <s v="131ak000001XjDvAAK"/>
    <b v="0"/>
    <b v="0"/>
    <s v="L-0000022"/>
    <s v="11:00:00.000Z"/>
    <x v="0"/>
    <s v="a07ak00001rZMpCAAW"/>
    <s v="Logan Jackson"/>
    <s v="2026-09-16T17:01:26.000Z"/>
    <b v="1"/>
    <s v="a06ak00000amzBhAAI|2026-08-21|11:00:00.000Z"/>
    <n v="1"/>
    <s v="Toms River"/>
    <x v="6"/>
    <x v="0"/>
  </r>
  <r>
    <s v="005ak00000icyWTAAY"/>
    <s v="2026-09-14T21:01:58.000Z"/>
    <n v="45"/>
    <s v="a0Aak00000FtDlvEAF"/>
    <s v="a06ak00000amzBhAAI"/>
    <s v="Layla Sullivan"/>
    <s v="Worked on scales and timing."/>
    <x v="3"/>
    <b v="0"/>
    <m/>
    <s v="005ak00000icyWTAAY"/>
    <s v="2026-09-16T17:01:26.000Z"/>
    <s v="2026-09-15T17:27:06.000Z"/>
    <s v="2026-09-15T17:27:06.000Z"/>
    <d v="2026-01-09T00:00:00"/>
    <s v="LSN-00023"/>
    <s v="L-0000023"/>
    <s v="131ak000001XjDvAAK"/>
    <b v="0"/>
    <b v="0"/>
    <s v="L-0000023"/>
    <s v="10:00:00.000Z"/>
    <x v="0"/>
    <s v="a07ak00001rZMpCAAW"/>
    <s v="Logan Jackson"/>
    <s v="2026-09-16T17:01:26.000Z"/>
    <b v="1"/>
    <s v="a06ak00000amzBhAAI|2026-01-09|10:00:00.000Z"/>
    <n v="1"/>
    <s v="Toms River"/>
    <x v="4"/>
    <x v="0"/>
  </r>
  <r>
    <s v="005ak00000icyWTAAY"/>
    <s v="2026-09-14T21:01:58.000Z"/>
    <n v="60"/>
    <s v="a0Aak00000FtDlwEAF"/>
    <s v="a06ak00000amzBgAAI"/>
    <s v="Noah Mitchell"/>
    <m/>
    <x v="1"/>
    <b v="0"/>
    <m/>
    <s v="005ak00000icyWTAAY"/>
    <s v="2026-09-25T18:00:49.000Z"/>
    <s v="2026-09-15T17:27:06.000Z"/>
    <s v="2026-09-15T17:27:06.000Z"/>
    <d v="2026-04-18T00:00:00"/>
    <s v="LSN-00024"/>
    <s v="L-0000024"/>
    <s v="131ak000001XjDuAAK"/>
    <b v="1"/>
    <b v="1"/>
    <s v="L-0000024"/>
    <s v="10:00:00.000Z"/>
    <x v="4"/>
    <s v="a07ak00001rZMpDAAW"/>
    <s v="Mei Thompson"/>
    <s v="2026-09-25T18:00:49.000Z"/>
    <b v="1"/>
    <s v=""/>
    <m/>
    <s v="Brick"/>
    <x v="5"/>
    <x v="0"/>
  </r>
  <r>
    <s v="005ak00000icyWTAAY"/>
    <s v="2026-09-14T21:01:58.000Z"/>
    <n v="45"/>
    <s v="a0Aak00000FtDlxEAF"/>
    <s v="a06ak00000amzBgAAI"/>
    <s v="Noah Mitchell"/>
    <s v="Started new piece."/>
    <x v="1"/>
    <b v="0"/>
    <m/>
    <s v="005ak00000icyWTAAY"/>
    <s v="2026-09-16T17:01:26.000Z"/>
    <s v="2026-09-15T17:27:06.000Z"/>
    <s v="2026-09-15T17:27:06.000Z"/>
    <d v="2026-09-25T00:00:00"/>
    <s v="LSN-00025"/>
    <s v="L-0000025"/>
    <s v="131ak000001XjDuAAK"/>
    <b v="0"/>
    <b v="0"/>
    <s v="L-0000025"/>
    <s v="16:00:00.000Z"/>
    <x v="0"/>
    <s v="a07ak00001rZMpDAAW"/>
    <s v="Mei Thompson"/>
    <s v="2026-09-16T17:01:26.000Z"/>
    <b v="1"/>
    <s v="a06ak00000amzBgAAI|2026-09-25|16:00:00.000Z"/>
    <n v="1"/>
    <s v="Brick"/>
    <x v="2"/>
    <x v="0"/>
  </r>
  <r>
    <s v="005ak00000icyWTAAY"/>
    <s v="2026-09-14T21:01:58.000Z"/>
    <n v="30"/>
    <s v="a0Aak00000FtDlyEAF"/>
    <s v="a06ak00000amzBgAAI"/>
    <s v="Noah Mitchell"/>
    <s v="Worked on scales and timing."/>
    <x v="1"/>
    <b v="0"/>
    <m/>
    <s v="005ak00000icyWTAAY"/>
    <s v="2026-09-16T17:01:26.000Z"/>
    <s v="2026-09-15T17:27:06.000Z"/>
    <s v="2026-09-15T17:27:06.000Z"/>
    <d v="2026-07-09T00:00:00"/>
    <s v="LSN-00026"/>
    <s v="L-0000026"/>
    <s v="131ak000001XjDuAAK"/>
    <b v="0"/>
    <b v="0"/>
    <s v="L-0000026"/>
    <s v="16:00:00.000Z"/>
    <x v="0"/>
    <s v="a07ak00001rZMpDAAW"/>
    <s v="Mei Thompson"/>
    <s v="2026-09-16T17:01:26.000Z"/>
    <b v="1"/>
    <s v="a06ak00000amzBgAAI|2026-07-09|16:00:00.000Z"/>
    <n v="1"/>
    <s v="Brick"/>
    <x v="8"/>
    <x v="0"/>
  </r>
  <r>
    <s v="005ak00000icyWTAAY"/>
    <s v="2026-09-14T21:01:58.000Z"/>
    <n v="45"/>
    <s v="a0Aak00000FtDlzEAF"/>
    <s v="a06ak00000amzBgAAI"/>
    <s v="Noah Mitchell"/>
    <s v="Worked on scales and timing."/>
    <x v="1"/>
    <b v="0"/>
    <m/>
    <s v="005ak00000icyWTAAY"/>
    <s v="2026-09-16T17:01:26.000Z"/>
    <s v="2026-09-15T17:27:06.000Z"/>
    <s v="2026-09-15T17:27:06.000Z"/>
    <d v="2026-08-06T00:00:00"/>
    <s v="LSN-00027"/>
    <s v="L-0000027"/>
    <s v="131ak000001XjDuAAK"/>
    <b v="0"/>
    <b v="0"/>
    <s v="L-0000027"/>
    <s v="15:00:00.000Z"/>
    <x v="0"/>
    <s v="a07ak00001rZMpDAAW"/>
    <s v="Mei Thompson"/>
    <s v="2026-09-16T17:01:26.000Z"/>
    <b v="1"/>
    <s v="a06ak00000amzBgAAI|2026-08-06|15:00:00.000Z"/>
    <n v="1"/>
    <s v="Brick"/>
    <x v="6"/>
    <x v="0"/>
  </r>
  <r>
    <s v="005ak00000icyWTAAY"/>
    <s v="2026-09-14T21:01:58.000Z"/>
    <n v="45"/>
    <s v="a0Aak00000FtDm0EAF"/>
    <s v="a06ak00000amzBgAAI"/>
    <s v="Noah Mitchell"/>
    <s v="Reviewed last week&amp;#39;s assignment."/>
    <x v="1"/>
    <b v="0"/>
    <m/>
    <s v="005ak00000icyWTAAY"/>
    <s v="2026-09-16T17:01:26.000Z"/>
    <s v="2026-09-15T17:27:06.000Z"/>
    <s v="2026-09-15T17:27:06.000Z"/>
    <d v="2026-09-27T00:00:00"/>
    <s v="LSN-00028"/>
    <s v="L-0000028"/>
    <s v="131ak000001XjDuAAK"/>
    <b v="0"/>
    <b v="0"/>
    <s v="L-0000028"/>
    <s v="10:00:00.000Z"/>
    <x v="0"/>
    <s v="a07ak00001rZMpDAAW"/>
    <s v="Mei Thompson"/>
    <s v="2026-09-16T17:01:26.000Z"/>
    <b v="1"/>
    <s v="a06ak00000amzBgAAI|2026-09-27|10:00:00.000Z"/>
    <n v="1"/>
    <s v="Brick"/>
    <x v="2"/>
    <x v="0"/>
  </r>
  <r>
    <s v="005ak00000icyWTAAY"/>
    <s v="2026-09-14T21:01:58.000Z"/>
    <n v="45"/>
    <s v="a0Aak00000FtDm1EAF"/>
    <s v="a06ak00000amzBgAAI"/>
    <s v="Noah Mitchell"/>
    <s v="Started new piece."/>
    <x v="1"/>
    <b v="0"/>
    <m/>
    <s v="005ak00000icyWTAAY"/>
    <s v="2026-09-16T17:01:26.000Z"/>
    <s v="2026-09-15T17:27:06.000Z"/>
    <s v="2026-09-15T17:27:06.000Z"/>
    <d v="2026-01-19T00:00:00"/>
    <s v="LSN-00029"/>
    <s v="L-0000029"/>
    <s v="131ak000001XjDuAAK"/>
    <b v="0"/>
    <b v="0"/>
    <s v="L-0000029"/>
    <s v="17:00:00.000Z"/>
    <x v="0"/>
    <s v="a07ak00001rZMpDAAW"/>
    <s v="Mei Thompson"/>
    <s v="2026-09-16T17:01:26.000Z"/>
    <b v="1"/>
    <s v="a06ak00000amzBgAAI|2026-01-19|17:00:00.000Z"/>
    <n v="1"/>
    <s v="Brick"/>
    <x v="4"/>
    <x v="0"/>
  </r>
  <r>
    <s v="005ak00000icyWTAAY"/>
    <s v="2026-09-14T21:01:58.000Z"/>
    <n v="30"/>
    <s v="a0Aak00000FtDm2EAF"/>
    <s v="a06ak00000amzCJAAY"/>
    <s v="Sofia Harris"/>
    <m/>
    <x v="4"/>
    <b v="0"/>
    <m/>
    <s v="005ak00000icyWTAAY"/>
    <s v="2026-09-16T17:01:26.000Z"/>
    <s v="2026-09-15T17:27:06.000Z"/>
    <s v="2026-09-15T17:27:06.000Z"/>
    <d v="2026-05-15T00:00:00"/>
    <s v="LSN-00030"/>
    <s v="L-0000030"/>
    <s v="131ak000001XjDvAAK"/>
    <b v="0"/>
    <b v="0"/>
    <s v="L-0000030"/>
    <s v="15:00:00.000Z"/>
    <x v="3"/>
    <s v="a07ak00001rZMpEAAW"/>
    <s v="Kennedy Sullivan"/>
    <s v="2026-09-16T17:01:26.000Z"/>
    <b v="1"/>
    <s v="a06ak00000amzCJAAY|2026-05-15|15:00:00.000Z"/>
    <n v="1"/>
    <s v="Toms River"/>
    <x v="0"/>
    <x v="0"/>
  </r>
  <r>
    <s v="005ak00000icyWTAAY"/>
    <s v="2026-09-14T21:01:58.000Z"/>
    <n v="30"/>
    <s v="a0Aak00000FtDm3EAF"/>
    <s v="a06ak00000amzCJAAY"/>
    <s v="Sofia Harris"/>
    <s v="Reviewed last week&amp;#39;s assignment."/>
    <x v="4"/>
    <b v="0"/>
    <m/>
    <s v="005ak00000icyWTAAY"/>
    <s v="2026-09-16T17:01:26.000Z"/>
    <s v="2026-09-15T17:27:06.000Z"/>
    <s v="2026-09-15T17:27:06.000Z"/>
    <d v="2026-02-04T00:00:00"/>
    <s v="LSN-00031"/>
    <s v="L-0000031"/>
    <s v="131ak000001XjDvAAK"/>
    <b v="0"/>
    <b v="0"/>
    <s v="L-0000031"/>
    <s v="17:00:00.000Z"/>
    <x v="0"/>
    <s v="a07ak00001rZMpEAAW"/>
    <s v="Kennedy Sullivan"/>
    <s v="2026-09-16T17:01:26.000Z"/>
    <b v="1"/>
    <s v="a06ak00000amzCJAAY|2026-02-04|17:00:00.000Z"/>
    <n v="1"/>
    <s v="Toms River"/>
    <x v="1"/>
    <x v="0"/>
  </r>
  <r>
    <s v="005ak00000icyWTAAY"/>
    <s v="2026-09-14T21:01:58.000Z"/>
    <n v="60"/>
    <s v="a0Aak00000FtDm4EAF"/>
    <s v="a06ak00000amzCJAAY"/>
    <s v="Sofia Harris"/>
    <s v="Reviewed last week&amp;#39;s assignment."/>
    <x v="4"/>
    <b v="0"/>
    <m/>
    <s v="005ak00000icyWTAAY"/>
    <s v="2026-09-16T17:01:26.000Z"/>
    <s v="2026-09-15T17:27:06.000Z"/>
    <s v="2026-09-15T17:27:06.000Z"/>
    <d v="2026-05-17T00:00:00"/>
    <s v="LSN-00032"/>
    <s v="L-0000032"/>
    <s v="131ak000001XjDvAAK"/>
    <b v="0"/>
    <b v="0"/>
    <s v="L-0000032"/>
    <s v="11:00:00.000Z"/>
    <x v="0"/>
    <s v="a07ak00001rZMpEAAW"/>
    <s v="Kennedy Sullivan"/>
    <s v="2026-09-16T17:01:26.000Z"/>
    <b v="1"/>
    <s v="a06ak00000amzCJAAY|2026-05-17|11:00:00.000Z"/>
    <n v="1"/>
    <s v="Toms River"/>
    <x v="0"/>
    <x v="0"/>
  </r>
  <r>
    <s v="005ak00000icyWTAAY"/>
    <s v="2026-09-14T21:01:58.000Z"/>
    <n v="30"/>
    <s v="a0Aak00000FtDm5EAF"/>
    <s v="a06ak00000amzCJAAY"/>
    <s v="Sofia Harris"/>
    <m/>
    <x v="4"/>
    <b v="0"/>
    <m/>
    <s v="005ak00000icyWTAAY"/>
    <s v="2026-09-16T17:01:26.000Z"/>
    <s v="2026-09-15T17:27:06.000Z"/>
    <s v="2026-09-15T17:27:06.000Z"/>
    <d v="2026-06-22T00:00:00"/>
    <s v="LSN-00033"/>
    <s v="L-0000033"/>
    <s v="131ak000001XjDvAAK"/>
    <b v="0"/>
    <b v="0"/>
    <s v="L-0000033"/>
    <s v="10:00:00.000Z"/>
    <x v="0"/>
    <s v="a07ak00001rZMpEAAW"/>
    <s v="Kennedy Sullivan"/>
    <s v="2026-09-16T17:01:26.000Z"/>
    <b v="1"/>
    <s v="a06ak00000amzCJAAY|2026-06-22|10:00:00.000Z"/>
    <n v="1"/>
    <s v="Toms River"/>
    <x v="7"/>
    <x v="0"/>
  </r>
  <r>
    <s v="005ak00000icyWTAAY"/>
    <s v="2026-09-14T21:01:58.000Z"/>
    <n v="30"/>
    <s v="a0Aak00000FtDm6EAF"/>
    <s v="a06ak00000amzBeAAI"/>
    <s v="Zoey Rodriguez"/>
    <s v="Focused on sight reading."/>
    <x v="1"/>
    <b v="0"/>
    <m/>
    <s v="005ak00000icyWTAAY"/>
    <s v="2026-09-16T17:01:26.000Z"/>
    <s v="2026-09-15T17:27:06.000Z"/>
    <s v="2026-09-15T17:27:06.000Z"/>
    <d v="2026-06-10T00:00:00"/>
    <s v="LSN-00034"/>
    <s v="L-0000034"/>
    <s v="131ak000001XjDuAAK"/>
    <b v="0"/>
    <b v="0"/>
    <s v="L-0000034"/>
    <s v="15:00:00.000Z"/>
    <x v="0"/>
    <s v="a07ak00001rZMpFAAW"/>
    <s v="Vincent Jones"/>
    <s v="2026-09-16T17:01:26.000Z"/>
    <b v="1"/>
    <s v="a06ak00000amzBeAAI|2026-06-10|15:00:00.000Z"/>
    <n v="1"/>
    <s v="Brick"/>
    <x v="7"/>
    <x v="0"/>
  </r>
  <r>
    <s v="005ak00000icyWTAAY"/>
    <s v="2026-09-14T21:01:58.000Z"/>
    <n v="30"/>
    <s v="a0Aak00000FtDm7EAF"/>
    <s v="a06ak00000amzBeAAI"/>
    <s v="Zoey Rodriguez"/>
    <s v="Good progress on technique."/>
    <x v="1"/>
    <b v="0"/>
    <m/>
    <s v="005ak00000icyWTAAY"/>
    <s v="2026-09-16T17:01:26.000Z"/>
    <s v="2026-09-15T17:27:06.000Z"/>
    <s v="2026-09-15T17:27:06.000Z"/>
    <d v="2026-07-11T00:00:00"/>
    <s v="LSN-00035"/>
    <s v="L-0000035"/>
    <s v="131ak000001XjDuAAK"/>
    <b v="0"/>
    <b v="0"/>
    <s v="L-0000035"/>
    <s v="15:00:00.000Z"/>
    <x v="0"/>
    <s v="a07ak00001rZMpFAAW"/>
    <s v="Vincent Jones"/>
    <s v="2026-09-16T17:01:26.000Z"/>
    <b v="1"/>
    <s v="a06ak00000amzBeAAI|2026-07-11|15:00:00.000Z"/>
    <n v="1"/>
    <s v="Brick"/>
    <x v="8"/>
    <x v="0"/>
  </r>
  <r>
    <s v="005ak00000icyWTAAY"/>
    <s v="2026-09-14T21:01:58.000Z"/>
    <n v="30"/>
    <s v="a0Aak00000FtDm8EAF"/>
    <s v="a06ak00000amzBeAAI"/>
    <s v="Zoey Rodriguez"/>
    <m/>
    <x v="1"/>
    <b v="0"/>
    <m/>
    <s v="005ak00000icyWTAAY"/>
    <s v="2026-09-16T17:01:26.000Z"/>
    <s v="2026-09-15T17:27:06.000Z"/>
    <s v="2026-09-15T17:27:06.000Z"/>
    <d v="2026-09-22T00:00:00"/>
    <s v="LSN-00036"/>
    <s v="L-0000036"/>
    <s v="131ak000001XjDuAAK"/>
    <b v="1"/>
    <b v="1"/>
    <s v="L-0000036"/>
    <s v="15:30:00.000Z"/>
    <x v="4"/>
    <s v="a07ak00001rZMpFAAW"/>
    <s v="Vincent Jones"/>
    <s v="2026-09-16T17:01:26.000Z"/>
    <b v="1"/>
    <s v=""/>
    <n v="114"/>
    <s v="Brick"/>
    <x v="2"/>
    <x v="0"/>
  </r>
  <r>
    <s v="005ak00000icyWTAAY"/>
    <s v="2026-09-14T21:01:58.000Z"/>
    <n v="30"/>
    <s v="a0Aak00000FtDm9EAF"/>
    <s v="a06ak00000amzBeAAI"/>
    <s v="Zoey Rodriguez"/>
    <s v="Focused on sight reading."/>
    <x v="1"/>
    <b v="0"/>
    <m/>
    <s v="005ak00000icyWTAAY"/>
    <s v="2026-09-16T17:01:26.000Z"/>
    <s v="2026-09-15T17:27:06.000Z"/>
    <s v="2026-09-15T17:27:06.000Z"/>
    <d v="2026-08-03T00:00:00"/>
    <s v="LSN-00037"/>
    <s v="L-0000037"/>
    <s v="131ak000001XjDuAAK"/>
    <b v="0"/>
    <b v="0"/>
    <s v="L-0000037"/>
    <s v="11:00:00.000Z"/>
    <x v="0"/>
    <s v="a07ak00001rZMpFAAW"/>
    <s v="Vincent Jones"/>
    <s v="2026-09-16T17:01:26.000Z"/>
    <b v="1"/>
    <s v="a06ak00000amzBeAAI|2026-08-03|11:00:00.000Z"/>
    <n v="1"/>
    <s v="Brick"/>
    <x v="6"/>
    <x v="0"/>
  </r>
  <r>
    <s v="005ak00000icyWTAAY"/>
    <s v="2026-09-14T21:01:58.000Z"/>
    <n v="30"/>
    <s v="a0Aak00000FtDmAEAV"/>
    <s v="a06ak00000amzBeAAI"/>
    <s v="Zoey Rodriguez"/>
    <s v="Started new piece."/>
    <x v="1"/>
    <b v="0"/>
    <m/>
    <s v="005ak00000icyWTAAY"/>
    <s v="2026-09-16T17:01:26.000Z"/>
    <s v="2026-09-15T17:27:06.000Z"/>
    <s v="2026-09-15T17:27:06.000Z"/>
    <d v="2026-05-28T00:00:00"/>
    <s v="LSN-00038"/>
    <s v="L-0000038"/>
    <s v="131ak000001XjDuAAK"/>
    <b v="0"/>
    <b v="0"/>
    <s v="L-0000038"/>
    <s v="19:00:00.000Z"/>
    <x v="0"/>
    <s v="a07ak00001rZMpFAAW"/>
    <s v="Vincent Jones"/>
    <s v="2026-09-16T17:01:26.000Z"/>
    <b v="1"/>
    <s v="a06ak00000amzBeAAI|2026-05-28|19:00:00.000Z"/>
    <n v="1"/>
    <s v="Brick"/>
    <x v="0"/>
    <x v="0"/>
  </r>
  <r>
    <s v="005ak00000icyWTAAY"/>
    <s v="2026-09-14T21:01:58.000Z"/>
    <n v="30"/>
    <s v="a0Aak00000FtDmBEAV"/>
    <s v="a06ak00000amzC5AAI"/>
    <s v="Penelope Wilson"/>
    <m/>
    <x v="5"/>
    <b v="0"/>
    <m/>
    <s v="005ak00000icyWTAAY"/>
    <s v="2026-09-16T17:01:26.000Z"/>
    <s v="2026-09-15T17:27:06.000Z"/>
    <s v="2026-09-15T17:27:06.000Z"/>
    <d v="2026-03-06T00:00:00"/>
    <s v="LSN-00039"/>
    <s v="L-0000039"/>
    <s v="131ak000001XjDuAAK"/>
    <b v="0"/>
    <b v="0"/>
    <s v="L-0000039"/>
    <s v="18:00:00.000Z"/>
    <x v="1"/>
    <s v="a07ak00001rZMpGAAW"/>
    <s v="Noah Wright"/>
    <s v="2026-09-16T17:01:26.000Z"/>
    <b v="1"/>
    <s v=""/>
    <m/>
    <s v="Brick"/>
    <x v="3"/>
    <x v="0"/>
  </r>
  <r>
    <s v="005ak00000icyWTAAY"/>
    <s v="2026-09-14T21:01:58.000Z"/>
    <n v="30"/>
    <s v="a0Aak00000FtDmCEAV"/>
    <s v="a06ak00000amzC1AAI"/>
    <s v="Valentina Nakamura"/>
    <s v="Worked on scales and timing."/>
    <x v="5"/>
    <b v="0"/>
    <m/>
    <s v="005ak00000icyWTAAY"/>
    <s v="2026-09-23T19:02:24.000Z"/>
    <s v="2026-09-15T17:27:06.000Z"/>
    <s v="2026-09-15T17:27:06.000Z"/>
    <d v="2026-09-29T00:00:00"/>
    <s v="LSN-00040"/>
    <s v="L-0000040"/>
    <s v="131ak000001XjDuAAK"/>
    <b v="0"/>
    <b v="0"/>
    <s v="L-0000040"/>
    <s v="16:00:00.000Z"/>
    <x v="0"/>
    <s v="a07ak00001rZMpGAAW"/>
    <s v="Noah Wright"/>
    <s v="2026-09-23T19:02:24.000Z"/>
    <b v="1"/>
    <s v="a06ak00000amzC1AAI|2026-09-29|16:00:00.000Z"/>
    <n v="1"/>
    <s v="Brick"/>
    <x v="2"/>
    <x v="0"/>
  </r>
  <r>
    <s v="005ak00000icyWTAAY"/>
    <s v="2026-09-14T21:01:58.000Z"/>
    <n v="45"/>
    <s v="a0Aak00000FtDmDEAV"/>
    <s v="a06ak00000amzC5AAI"/>
    <s v="Penelope Wilson"/>
    <s v="Good progress on technique."/>
    <x v="5"/>
    <b v="0"/>
    <m/>
    <s v="005ak00000icyWTAAY"/>
    <s v="2026-09-16T17:01:26.000Z"/>
    <s v="2026-09-15T17:27:06.000Z"/>
    <s v="2026-09-15T17:27:06.000Z"/>
    <d v="2026-06-08T00:00:00"/>
    <s v="LSN-00041"/>
    <s v="L-0000041"/>
    <s v="131ak000001XjDuAAK"/>
    <b v="0"/>
    <b v="0"/>
    <s v="L-0000041"/>
    <s v="19:00:00.000Z"/>
    <x v="0"/>
    <s v="a07ak00001rZMpGAAW"/>
    <s v="Noah Wright"/>
    <s v="2026-09-16T17:01:26.000Z"/>
    <b v="1"/>
    <s v="a06ak00000amzC5AAI|2026-06-08|19:00:00.000Z"/>
    <n v="1"/>
    <s v="Brick"/>
    <x v="7"/>
    <x v="0"/>
  </r>
  <r>
    <s v="005ak00000icyWTAAY"/>
    <s v="2026-09-14T21:01:58.000Z"/>
    <n v="45"/>
    <s v="a0Aak00000FtDmEEAV"/>
    <s v="a06ak00000amzC5AAI"/>
    <s v="Penelope Wilson"/>
    <m/>
    <x v="5"/>
    <b v="0"/>
    <m/>
    <s v="005ak00000icyWTAAY"/>
    <s v="2026-09-16T17:01:26.000Z"/>
    <s v="2026-09-15T17:27:06.000Z"/>
    <s v="2026-09-15T17:27:06.000Z"/>
    <d v="2026-05-22T00:00:00"/>
    <s v="LSN-00042"/>
    <s v="L-0000042"/>
    <s v="131ak000001XjDuAAK"/>
    <b v="0"/>
    <b v="0"/>
    <s v="L-0000042"/>
    <s v="18:00:00.000Z"/>
    <x v="1"/>
    <s v="a07ak00001rZMpGAAW"/>
    <s v="Noah Wright"/>
    <s v="2026-09-16T17:01:26.000Z"/>
    <b v="1"/>
    <s v=""/>
    <m/>
    <s v="Brick"/>
    <x v="0"/>
    <x v="0"/>
  </r>
  <r>
    <s v="005ak00000icyWTAAY"/>
    <s v="2026-09-14T21:01:58.000Z"/>
    <n v="30"/>
    <s v="a0Aak00000FtDmFEAV"/>
    <s v="a06ak00000amzC5AAI"/>
    <s v="Penelope Wilson"/>
    <s v="Worked on scales and timing."/>
    <x v="5"/>
    <b v="0"/>
    <m/>
    <s v="005ak00000icyWTAAY"/>
    <s v="2026-09-16T17:01:26.000Z"/>
    <s v="2026-09-15T17:27:06.000Z"/>
    <s v="2026-09-15T17:27:06.000Z"/>
    <d v="2026-07-28T00:00:00"/>
    <s v="LSN-00043"/>
    <s v="L-0000043"/>
    <s v="131ak000001XjDuAAK"/>
    <b v="0"/>
    <b v="0"/>
    <s v="L-0000043"/>
    <s v="18:00:00.000Z"/>
    <x v="0"/>
    <s v="a07ak00001rZMpGAAW"/>
    <s v="Noah Wright"/>
    <s v="2026-09-16T17:01:26.000Z"/>
    <b v="1"/>
    <s v="a06ak00000amzC5AAI|2026-07-28|18:00:00.000Z"/>
    <n v="1"/>
    <s v="Brick"/>
    <x v="8"/>
    <x v="0"/>
  </r>
  <r>
    <s v="005ak00000icyWTAAY"/>
    <s v="2026-09-14T21:01:58.000Z"/>
    <n v="45"/>
    <s v="a0Aak00000FtDmGEAV"/>
    <s v="a06ak00000amzC5AAI"/>
    <s v="Penelope Wilson"/>
    <m/>
    <x v="5"/>
    <b v="0"/>
    <m/>
    <s v="005ak00000icyWTAAY"/>
    <s v="2026-09-16T17:01:26.000Z"/>
    <s v="2026-09-15T17:57:49.000Z"/>
    <s v="2026-09-15T17:57:49.000Z"/>
    <d v="2026-07-26T00:00:00"/>
    <s v="LSN-00044"/>
    <s v="L-0000044"/>
    <s v="131ak000001XjDuAAK"/>
    <b v="0"/>
    <b v="0"/>
    <s v="L-0000044"/>
    <s v="19:00:00.000Z"/>
    <x v="0"/>
    <s v="a07ak00001rZMpGAAW"/>
    <s v="Noah Wright"/>
    <s v="2026-09-16T17:01:26.000Z"/>
    <b v="1"/>
    <s v="a06ak00000amzC5AAI|2026-07-26|19:00:00.000Z"/>
    <n v="1"/>
    <s v="Brick"/>
    <x v="8"/>
    <x v="0"/>
  </r>
  <r>
    <s v="005ak00000icyWTAAY"/>
    <s v="2026-09-14T21:01:58.000Z"/>
    <n v="60"/>
    <s v="a0Aak00000FtDmHEAV"/>
    <s v="a06ak00000amzBmAAI"/>
    <s v="Emily Taylor"/>
    <m/>
    <x v="6"/>
    <b v="0"/>
    <m/>
    <s v="005ak00000icyWTAAY"/>
    <s v="2026-09-16T17:01:26.000Z"/>
    <s v="2026-09-15T17:47:56.000Z"/>
    <s v="2026-09-15T17:47:56.000Z"/>
    <d v="2026-07-13T00:00:00"/>
    <s v="LSN-00045"/>
    <s v="L-0000045"/>
    <s v="131ak000001XjDtAAK"/>
    <b v="0"/>
    <b v="0"/>
    <s v="L-0000045"/>
    <s v="15:00:00.000Z"/>
    <x v="1"/>
    <s v="a07ak00001rZMpHAAW"/>
    <s v="Ryan Harris"/>
    <s v="2026-09-16T17:01:26.000Z"/>
    <b v="1"/>
    <s v=""/>
    <m/>
    <s v="Red Bank"/>
    <x v="8"/>
    <x v="0"/>
  </r>
  <r>
    <s v="005ak00000icyWTAAY"/>
    <s v="2026-09-14T21:01:58.000Z"/>
    <n v="45"/>
    <s v="a0Aak00000FtDmIEAV"/>
    <s v="a06ak00000amzBmAAI"/>
    <s v="Emily Taylor"/>
    <m/>
    <x v="6"/>
    <b v="0"/>
    <m/>
    <s v="005ak00000icyWTAAY"/>
    <s v="2026-09-16T17:01:26.000Z"/>
    <s v="2026-09-15T17:47:56.000Z"/>
    <s v="2026-09-15T17:47:56.000Z"/>
    <d v="2026-06-16T00:00:00"/>
    <s v="LSN-00046"/>
    <s v="L-0000046"/>
    <s v="131ak000001XjDtAAK"/>
    <b v="0"/>
    <b v="0"/>
    <s v="L-0000046"/>
    <s v="15:00:00.000Z"/>
    <x v="0"/>
    <s v="a07ak00001rZMpHAAW"/>
    <s v="Ryan Harris"/>
    <s v="2026-09-16T17:01:26.000Z"/>
    <b v="1"/>
    <s v="a06ak00000amzBmAAI|2026-06-16|15:00:00.000Z"/>
    <n v="1"/>
    <s v="Red Bank"/>
    <x v="7"/>
    <x v="0"/>
  </r>
  <r>
    <s v="005ak00000icyWTAAY"/>
    <s v="2026-09-14T21:01:58.000Z"/>
    <n v="30"/>
    <s v="a0Aak00000FtDmJEAV"/>
    <s v="a06ak00000amzBmAAI"/>
    <s v="Emily Taylor"/>
    <s v="Worked on scales and timing."/>
    <x v="6"/>
    <b v="0"/>
    <m/>
    <s v="005ak00000icyWTAAY"/>
    <s v="2026-09-16T17:01:26.000Z"/>
    <s v="2026-09-15T17:47:56.000Z"/>
    <s v="2026-09-15T17:47:56.000Z"/>
    <d v="2026-04-17T00:00:00"/>
    <s v="LSN-00047"/>
    <s v="L-0000047"/>
    <s v="131ak000001XjDtAAK"/>
    <b v="0"/>
    <b v="0"/>
    <s v="L-0000047"/>
    <s v="15:30:00.000Z"/>
    <x v="0"/>
    <s v="a07ak00001rZMpHAAW"/>
    <s v="Ryan Harris"/>
    <s v="2026-09-16T17:01:26.000Z"/>
    <b v="1"/>
    <s v="a06ak00000amzBmAAI|2026-04-17|15:30:00.000Z"/>
    <n v="1"/>
    <s v="Red Bank"/>
    <x v="5"/>
    <x v="0"/>
  </r>
  <r>
    <s v="005ak00000icyWTAAY"/>
    <s v="2026-09-14T21:01:58.000Z"/>
    <n v="30"/>
    <s v="a0Aak00000FtDmKEAV"/>
    <s v="a06ak00000amzBmAAI"/>
    <s v="Emily Taylor"/>
    <s v="Good progress on technique."/>
    <x v="6"/>
    <b v="0"/>
    <m/>
    <s v="005ak00000icyWTAAY"/>
    <s v="2026-09-16T17:01:26.000Z"/>
    <s v="2026-09-15T17:47:56.000Z"/>
    <s v="2026-09-15T17:47:56.000Z"/>
    <d v="2026-05-05T00:00:00"/>
    <s v="LSN-00048"/>
    <s v="L-0000048"/>
    <s v="131ak000001XjDtAAK"/>
    <b v="0"/>
    <b v="0"/>
    <s v="L-0000048"/>
    <s v="15:30:00.000Z"/>
    <x v="0"/>
    <s v="a07ak00001rZMpHAAW"/>
    <s v="Ryan Harris"/>
    <s v="2026-09-16T17:01:26.000Z"/>
    <b v="1"/>
    <s v="a06ak00000amzBmAAI|2026-05-05|15:30:00.000Z"/>
    <n v="1"/>
    <s v="Red Bank"/>
    <x v="0"/>
    <x v="0"/>
  </r>
  <r>
    <s v="005ak00000icyWTAAY"/>
    <s v="2026-09-14T21:01:58.000Z"/>
    <n v="30"/>
    <s v="a0Aak00000FtDmLEAV"/>
    <s v="a06ak00000amzBmAAI"/>
    <s v="Emily Taylor"/>
    <s v="Worked on scales and timing."/>
    <x v="6"/>
    <b v="0"/>
    <m/>
    <s v="005ak00000icyWTAAY"/>
    <s v="2026-09-16T17:01:26.000Z"/>
    <s v="2026-09-15T17:47:56.000Z"/>
    <s v="2026-09-15T17:47:56.000Z"/>
    <d v="2026-01-17T00:00:00"/>
    <s v="LSN-00049"/>
    <s v="L-0000049"/>
    <s v="131ak000001XjDtAAK"/>
    <b v="0"/>
    <b v="0"/>
    <s v="L-0000049"/>
    <s v="10:00:00.000Z"/>
    <x v="0"/>
    <s v="a07ak00001rZMpHAAW"/>
    <s v="Ryan Harris"/>
    <s v="2026-09-16T17:01:26.000Z"/>
    <b v="1"/>
    <s v="a06ak00000amzBmAAI|2026-01-17|10:00:00.000Z"/>
    <n v="1"/>
    <s v="Red Bank"/>
    <x v="4"/>
    <x v="0"/>
  </r>
  <r>
    <s v="005ak00000icyWTAAY"/>
    <s v="2026-09-14T21:01:58.000Z"/>
    <n v="60"/>
    <s v="a0Aak00000FtDmMEAV"/>
    <s v="a06ak00000amzBxAAI"/>
    <s v="Miles Allen"/>
    <s v="Good progress on technique."/>
    <x v="7"/>
    <b v="0"/>
    <m/>
    <s v="005ak00000icyWTAAY"/>
    <s v="2026-09-16T17:01:26.000Z"/>
    <s v="2026-09-15T17:47:56.000Z"/>
    <s v="2026-09-15T17:47:56.000Z"/>
    <d v="2026-05-05T00:00:00"/>
    <s v="LSN-00050"/>
    <s v="L-0000050"/>
    <s v="131ak000001XjDuAAK"/>
    <b v="0"/>
    <b v="0"/>
    <s v="L-0000050"/>
    <s v="16:30:00.000Z"/>
    <x v="0"/>
    <s v="a07ak00001rZMpIAAW"/>
    <s v="Genesis Lopez"/>
    <s v="2026-09-16T17:01:26.000Z"/>
    <b v="1"/>
    <s v="a06ak00000amzBxAAI|2026-05-05|16:30:00.000Z"/>
    <n v="1"/>
    <s v="Brick"/>
    <x v="0"/>
    <x v="0"/>
  </r>
  <r>
    <s v="005ak00000icyWTAAY"/>
    <s v="2026-09-14T21:01:58.000Z"/>
    <n v="60"/>
    <s v="a0Aak00000FtDmNEAV"/>
    <s v="a06ak00000amzBxAAI"/>
    <s v="Miles Allen"/>
    <m/>
    <x v="7"/>
    <b v="0"/>
    <m/>
    <s v="005ak00000icyWTAAY"/>
    <s v="2026-09-16T17:01:26.000Z"/>
    <s v="2026-09-15T17:47:56.000Z"/>
    <s v="2026-09-15T17:47:56.000Z"/>
    <d v="2026-04-24T00:00:00"/>
    <s v="LSN-00051"/>
    <s v="L-0000051"/>
    <s v="131ak000001XjDuAAK"/>
    <b v="0"/>
    <b v="0"/>
    <s v="L-0000051"/>
    <s v="19:00:00.000Z"/>
    <x v="3"/>
    <s v="a07ak00001rZMpIAAW"/>
    <s v="Genesis Lopez"/>
    <s v="2026-09-16T17:01:26.000Z"/>
    <b v="1"/>
    <s v="a06ak00000amzBxAAI|2026-04-24|19:00:00.000Z"/>
    <n v="1"/>
    <s v="Brick"/>
    <x v="5"/>
    <x v="0"/>
  </r>
  <r>
    <s v="005ak00000icyWTAAY"/>
    <s v="2026-09-14T21:01:58.000Z"/>
    <n v="30"/>
    <s v="a0Aak00000FtDmOEAV"/>
    <s v="a06ak00000amzBxAAI"/>
    <s v="Miles Allen"/>
    <m/>
    <x v="7"/>
    <b v="0"/>
    <m/>
    <s v="005ak00000icyWTAAY"/>
    <s v="2026-09-16T17:01:26.000Z"/>
    <s v="2026-09-15T17:47:56.000Z"/>
    <s v="2026-09-15T17:47:56.000Z"/>
    <d v="2026-09-29T00:00:00"/>
    <s v="LSN-00052"/>
    <s v="L-0000052"/>
    <s v="131ak000001XjDuAAK"/>
    <b v="0"/>
    <b v="0"/>
    <s v="L-0000052"/>
    <s v="16:30:00.000Z"/>
    <x v="0"/>
    <s v="a07ak00001rZMpIAAW"/>
    <s v="Genesis Lopez"/>
    <s v="2026-09-16T17:01:26.000Z"/>
    <b v="1"/>
    <s v="a06ak00000amzBxAAI|2026-09-29|16:30:00.000Z"/>
    <n v="1"/>
    <s v="Brick"/>
    <x v="2"/>
    <x v="0"/>
  </r>
  <r>
    <s v="005ak00000icyWTAAY"/>
    <s v="2026-09-14T21:01:58.000Z"/>
    <n v="30"/>
    <s v="a0Aak00000FtDmPEAV"/>
    <s v="a06ak00000amzBxAAI"/>
    <s v="Miles Allen"/>
    <s v="Worked on scales and timing."/>
    <x v="7"/>
    <b v="0"/>
    <m/>
    <s v="005ak00000icyWTAAY"/>
    <s v="2026-09-16T17:01:26.000Z"/>
    <s v="2026-09-15T17:47:56.000Z"/>
    <s v="2026-09-15T17:47:56.000Z"/>
    <d v="2026-08-12T00:00:00"/>
    <s v="LSN-00053"/>
    <s v="L-0000053"/>
    <s v="131ak000001XjDuAAK"/>
    <b v="0"/>
    <b v="0"/>
    <s v="L-0000053"/>
    <s v="17:00:00.000Z"/>
    <x v="0"/>
    <s v="a07ak00001rZMpIAAW"/>
    <s v="Genesis Lopez"/>
    <s v="2026-09-16T17:01:26.000Z"/>
    <b v="1"/>
    <s v="a06ak00000amzBxAAI|2026-08-12|17:00:00.000Z"/>
    <n v="1"/>
    <s v="Brick"/>
    <x v="6"/>
    <x v="0"/>
  </r>
  <r>
    <s v="005ak00000icyWTAAY"/>
    <s v="2026-09-14T21:01:58.000Z"/>
    <n v="45"/>
    <s v="a0Aak00000FtDmQEAV"/>
    <s v="a06ak00000amzBxAAI"/>
    <s v="Miles Allen"/>
    <s v="Started new piece."/>
    <x v="7"/>
    <b v="0"/>
    <m/>
    <s v="005ak00000icyWTAAY"/>
    <s v="2026-09-16T17:01:26.000Z"/>
    <s v="2026-09-15T17:47:56.000Z"/>
    <s v="2026-09-15T17:47:56.000Z"/>
    <d v="2026-07-20T00:00:00"/>
    <s v="LSN-00054"/>
    <s v="L-0000054"/>
    <s v="131ak000001XjDuAAK"/>
    <b v="0"/>
    <b v="0"/>
    <s v="L-0000054"/>
    <s v="16:00:00.000Z"/>
    <x v="0"/>
    <s v="a07ak00001rZMpIAAW"/>
    <s v="Genesis Lopez"/>
    <s v="2026-09-16T17:01:26.000Z"/>
    <b v="1"/>
    <s v="a06ak00000amzBxAAI|2026-07-20|16:00:00.000Z"/>
    <n v="1"/>
    <s v="Brick"/>
    <x v="8"/>
    <x v="0"/>
  </r>
  <r>
    <s v="005ak00000icyWTAAY"/>
    <s v="2026-09-14T21:01:58.000Z"/>
    <n v="60"/>
    <s v="a0Aak00000FtDmREAV"/>
    <s v="a06ak00000amzC3AAI"/>
    <s v="Isabella Rivera"/>
    <s v="Worked on scales and timing."/>
    <x v="0"/>
    <b v="0"/>
    <m/>
    <s v="005ak00000icyWTAAY"/>
    <s v="2026-09-16T17:01:26.000Z"/>
    <s v="2026-09-15T17:47:56.000Z"/>
    <s v="2026-09-15T17:47:56.000Z"/>
    <d v="2026-09-03T00:00:00"/>
    <s v="LSN-00055"/>
    <s v="L-0000055"/>
    <s v="131ak000001XjDtAAK"/>
    <b v="0"/>
    <b v="0"/>
    <s v="L-0000055"/>
    <s v="16:30:00.000Z"/>
    <x v="0"/>
    <s v="a07ak00001rZMpJAAW"/>
    <s v="Josiah Torres"/>
    <s v="2026-09-16T17:01:26.000Z"/>
    <b v="1"/>
    <s v="a06ak00000amzC3AAI|2026-09-03|16:30:00.000Z"/>
    <n v="1"/>
    <s v="Red Bank"/>
    <x v="2"/>
    <x v="0"/>
  </r>
  <r>
    <s v="005ak00000icyWTAAY"/>
    <s v="2026-09-14T21:01:58.000Z"/>
    <n v="60"/>
    <s v="a0Aak00000FtDmSEAV"/>
    <s v="a06ak00000amzC3AAI"/>
    <s v="Isabella Rivera"/>
    <s v="Focused on sight reading."/>
    <x v="0"/>
    <b v="0"/>
    <m/>
    <s v="005ak00000icyWTAAY"/>
    <s v="2026-09-16T17:01:26.000Z"/>
    <s v="2026-09-15T17:47:56.000Z"/>
    <s v="2026-09-15T17:47:56.000Z"/>
    <d v="2026-09-09T00:00:00"/>
    <s v="LSN-00056"/>
    <s v="L-0000056"/>
    <s v="131ak000001XjDtAAK"/>
    <b v="0"/>
    <b v="0"/>
    <s v="L-0000056"/>
    <s v="15:00:00.000Z"/>
    <x v="0"/>
    <s v="a07ak00001rZMpJAAW"/>
    <s v="Josiah Torres"/>
    <s v="2026-09-16T17:01:26.000Z"/>
    <b v="1"/>
    <s v="a06ak00000amzC3AAI|2026-09-09|15:00:00.000Z"/>
    <n v="1"/>
    <s v="Red Bank"/>
    <x v="2"/>
    <x v="0"/>
  </r>
  <r>
    <s v="005ak00000icyWTAAY"/>
    <s v="2026-09-14T21:01:58.000Z"/>
    <n v="30"/>
    <s v="a0Aak00000FtDmTEAV"/>
    <s v="a06ak00000amzC3AAI"/>
    <s v="Isabella Rivera"/>
    <m/>
    <x v="0"/>
    <b v="0"/>
    <m/>
    <s v="005ak00000icyWTAAY"/>
    <s v="2026-09-16T17:01:26.000Z"/>
    <s v="2026-09-15T17:47:56.000Z"/>
    <s v="2026-09-15T17:47:56.000Z"/>
    <d v="2026-09-09T00:00:00"/>
    <s v="LSN-00057"/>
    <s v="L-0000057"/>
    <s v="131ak000001XjDtAAK"/>
    <b v="0"/>
    <b v="0"/>
    <s v="L-0000057"/>
    <s v="18:00:00.000Z"/>
    <x v="3"/>
    <s v="a07ak00001rZMpJAAW"/>
    <s v="Josiah Torres"/>
    <s v="2026-09-16T17:01:26.000Z"/>
    <b v="1"/>
    <s v="a06ak00000amzC3AAI|2026-09-09|18:00:00.000Z"/>
    <n v="1"/>
    <s v="Red Bank"/>
    <x v="2"/>
    <x v="0"/>
  </r>
  <r>
    <s v="005ak00000icyWTAAY"/>
    <s v="2026-09-14T21:01:58.000Z"/>
    <n v="30"/>
    <s v="a0Aak00000FtDmUEAV"/>
    <s v="a06ak00000amzC3AAI"/>
    <s v="Isabella Rivera"/>
    <s v="Started new piece."/>
    <x v="0"/>
    <b v="0"/>
    <m/>
    <s v="005ak00000icyWTAAY"/>
    <s v="2026-09-16T17:01:26.000Z"/>
    <s v="2026-09-15T17:47:56.000Z"/>
    <s v="2026-09-15T17:47:56.000Z"/>
    <d v="2026-09-01T00:00:00"/>
    <s v="LSN-00058"/>
    <s v="L-0000058"/>
    <s v="131ak000001XjDtAAK"/>
    <b v="0"/>
    <b v="0"/>
    <s v="L-0000058"/>
    <s v="17:00:00.000Z"/>
    <x v="0"/>
    <s v="a07ak00001rZMpJAAW"/>
    <s v="Josiah Torres"/>
    <s v="2026-09-16T17:01:26.000Z"/>
    <b v="1"/>
    <s v="a06ak00000amzC3AAI|2026-09-01|17:00:00.000Z"/>
    <n v="1"/>
    <s v="Red Bank"/>
    <x v="2"/>
    <x v="0"/>
  </r>
  <r>
    <s v="005ak00000icyWTAAY"/>
    <s v="2026-09-14T21:01:58.000Z"/>
    <n v="45"/>
    <s v="a0Aak00000FtDmVEAV"/>
    <s v="a06ak00000amzBzAAI"/>
    <s v="Ezra Garcia"/>
    <m/>
    <x v="0"/>
    <b v="0"/>
    <m/>
    <s v="005ak00000icyWTAAY"/>
    <s v="2026-09-23T19:02:24.000Z"/>
    <s v="2026-09-15T17:47:56.000Z"/>
    <s v="2026-09-15T17:47:56.000Z"/>
    <d v="2026-09-28T00:00:00"/>
    <s v="LSN-00059"/>
    <s v="L-0000059"/>
    <s v="131ak000001XjDtAAK"/>
    <b v="0"/>
    <b v="0"/>
    <s v="L-0000059"/>
    <s v="16:00:00.000Z"/>
    <x v="3"/>
    <s v="a07ak00001rZMpJAAW"/>
    <s v="Josiah Torres"/>
    <s v="2026-09-23T19:02:24.000Z"/>
    <b v="1"/>
    <s v="a06ak00000amzBzAAI|2026-09-28|16:00:00.000Z"/>
    <n v="1"/>
    <s v="Red Bank"/>
    <x v="2"/>
    <x v="0"/>
  </r>
  <r>
    <s v="005ak00000icyWTAAY"/>
    <s v="2026-09-14T21:01:58.000Z"/>
    <n v="30"/>
    <s v="a0Aak00000FtDmWEAV"/>
    <s v="a06ak00000amzC1AAI"/>
    <s v="Valentina Nakamura"/>
    <s v="Good progress on technique."/>
    <x v="5"/>
    <b v="0"/>
    <m/>
    <s v="005ak00000icyWTAAY"/>
    <s v="2026-09-16T17:01:26.000Z"/>
    <s v="2026-09-15T17:47:56.000Z"/>
    <s v="2026-09-15T17:47:56.000Z"/>
    <d v="2026-03-17T00:00:00"/>
    <s v="LSN-00060"/>
    <s v="L-0000060"/>
    <s v="131ak000001XjDvAAK"/>
    <b v="0"/>
    <b v="0"/>
    <s v="L-0000060"/>
    <s v="11:00:00.000Z"/>
    <x v="0"/>
    <s v="a07ak00001rZMpKAAW"/>
    <s v="Sofia Sullivan"/>
    <s v="2026-09-16T17:01:26.000Z"/>
    <b v="1"/>
    <s v="a06ak00000amzC1AAI|2026-03-17|11:00:00.000Z"/>
    <n v="1"/>
    <s v="Toms River"/>
    <x v="3"/>
    <x v="0"/>
  </r>
  <r>
    <s v="005ak00000icyWTAAY"/>
    <s v="2026-09-14T21:01:58.000Z"/>
    <n v="30"/>
    <s v="a0Aak00000FtDmXEAV"/>
    <s v="a06ak00000amzC1AAI"/>
    <s v="Valentina Nakamura"/>
    <m/>
    <x v="5"/>
    <b v="0"/>
    <m/>
    <s v="005ak00000icyWTAAY"/>
    <s v="2026-09-16T17:01:26.000Z"/>
    <s v="2026-09-15T17:47:56.000Z"/>
    <s v="2026-09-15T17:47:56.000Z"/>
    <d v="2026-06-26T00:00:00"/>
    <s v="LSN-00061"/>
    <s v="L-0000061"/>
    <s v="131ak000001XjDvAAK"/>
    <b v="0"/>
    <b v="0"/>
    <s v="L-0000061"/>
    <s v="10:00:00.000Z"/>
    <x v="0"/>
    <s v="a07ak00001rZMpKAAW"/>
    <s v="Sofia Sullivan"/>
    <s v="2026-09-16T17:01:26.000Z"/>
    <b v="1"/>
    <s v="a06ak00000amzC1AAI|2026-06-26|10:00:00.000Z"/>
    <n v="1"/>
    <s v="Toms River"/>
    <x v="7"/>
    <x v="0"/>
  </r>
  <r>
    <s v="005ak00000icyWTAAY"/>
    <s v="2026-09-14T21:01:58.000Z"/>
    <n v="30"/>
    <s v="a0Aak00000FtDmYEAV"/>
    <s v="a06ak00000amzC1AAI"/>
    <s v="Valentina Nakamura"/>
    <s v="Reviewed last week&amp;#39;s assignment."/>
    <x v="5"/>
    <b v="0"/>
    <m/>
    <s v="005ak00000icyWTAAY"/>
    <s v="2026-09-16T17:01:26.000Z"/>
    <s v="2026-09-15T17:47:56.000Z"/>
    <s v="2026-09-15T17:47:56.000Z"/>
    <d v="2026-09-18T00:00:00"/>
    <s v="LSN-00062"/>
    <s v="L-0000062"/>
    <s v="131ak000001XjDvAAK"/>
    <b v="0"/>
    <b v="0"/>
    <s v="L-0000062"/>
    <s v="19:00:00.000Z"/>
    <x v="0"/>
    <s v="a07ak00001rZMpKAAW"/>
    <s v="Sofia Sullivan"/>
    <s v="2026-09-16T17:01:26.000Z"/>
    <b v="1"/>
    <s v="a06ak00000amzC1AAI|2026-09-18|19:00:00.000Z"/>
    <n v="1"/>
    <s v="Toms River"/>
    <x v="2"/>
    <x v="0"/>
  </r>
  <r>
    <s v="005ak00000icyWTAAY"/>
    <s v="2026-09-14T21:01:58.000Z"/>
    <n v="45"/>
    <s v="a0Aak00000FtDmZEAV"/>
    <s v="a06ak00000amzC1AAI"/>
    <s v="Valentina Nakamura"/>
    <m/>
    <x v="5"/>
    <b v="0"/>
    <m/>
    <s v="005ak00000icyWTAAY"/>
    <s v="2026-09-16T17:01:26.000Z"/>
    <s v="2026-09-15T17:47:56.000Z"/>
    <s v="2026-09-15T17:47:56.000Z"/>
    <d v="2026-08-27T00:00:00"/>
    <s v="LSN-00063"/>
    <s v="L-0000063"/>
    <s v="131ak000001XjDvAAK"/>
    <b v="0"/>
    <b v="0"/>
    <s v="L-0000063"/>
    <s v="17:00:00.000Z"/>
    <x v="3"/>
    <s v="a07ak00001rZMpKAAW"/>
    <s v="Sofia Sullivan"/>
    <s v="2026-09-16T17:01:26.000Z"/>
    <b v="1"/>
    <s v="a06ak00000amzC1AAI|2026-08-27|17:00:00.000Z"/>
    <n v="1"/>
    <s v="Toms River"/>
    <x v="6"/>
    <x v="0"/>
  </r>
  <r>
    <s v="005ak00000icyWTAAY"/>
    <s v="2026-09-14T21:01:58.000Z"/>
    <n v="30"/>
    <s v="a0Aak00000FtDmaEAF"/>
    <s v="a06ak00000amzCIAAY"/>
    <s v="Omar Nelson"/>
    <m/>
    <x v="7"/>
    <b v="0"/>
    <m/>
    <s v="005ak00000icyWTAAY"/>
    <s v="2026-09-16T17:01:26.000Z"/>
    <s v="2026-09-15T17:27:06.000Z"/>
    <s v="2026-09-15T17:27:06.000Z"/>
    <d v="2026-05-07T00:00:00"/>
    <s v="LSN-00064"/>
    <s v="L-0000064"/>
    <s v="131ak000001XjDvAAK"/>
    <b v="0"/>
    <b v="0"/>
    <s v="L-0000064"/>
    <s v="19:00:00.000Z"/>
    <x v="0"/>
    <s v="a07ak00001rZMpLAAW"/>
    <s v="Nathan Ahmed"/>
    <s v="2026-09-16T17:01:26.000Z"/>
    <b v="1"/>
    <s v="a06ak00000amzCIAAY|2026-05-07|19:00:00.000Z"/>
    <n v="1"/>
    <s v="Toms River"/>
    <x v="0"/>
    <x v="0"/>
  </r>
  <r>
    <s v="005ak00000icyWTAAY"/>
    <s v="2026-09-14T21:01:58.000Z"/>
    <n v="30"/>
    <s v="a0Aak00000FtDmbEAF"/>
    <s v="a06ak00000amzCIAAY"/>
    <s v="Omar Nelson"/>
    <m/>
    <x v="7"/>
    <b v="0"/>
    <m/>
    <s v="005ak00000icyWTAAY"/>
    <s v="2026-09-16T17:01:26.000Z"/>
    <s v="2026-09-15T17:27:06.000Z"/>
    <s v="2026-09-15T17:27:06.000Z"/>
    <d v="2026-09-01T00:00:00"/>
    <s v="LSN-00065"/>
    <s v="L-0000065"/>
    <s v="131ak000001XjDvAAK"/>
    <b v="0"/>
    <b v="0"/>
    <s v="L-0000065"/>
    <s v="15:00:00.000Z"/>
    <x v="1"/>
    <s v="a07ak00001rZMpLAAW"/>
    <s v="Nathan Ahmed"/>
    <s v="2026-09-16T17:01:26.000Z"/>
    <b v="1"/>
    <s v=""/>
    <m/>
    <s v="Toms River"/>
    <x v="2"/>
    <x v="0"/>
  </r>
  <r>
    <s v="005ak00000icyWTAAY"/>
    <s v="2026-09-14T21:01:58.000Z"/>
    <n v="30"/>
    <s v="a0Aak00000FtDmcEAF"/>
    <s v="a06ak00000amzCIAAY"/>
    <s v="Omar Nelson"/>
    <s v="Good progress on technique."/>
    <x v="7"/>
    <b v="0"/>
    <m/>
    <s v="005ak00000icyWTAAY"/>
    <s v="2026-09-16T17:01:26.000Z"/>
    <s v="2026-09-15T17:27:06.000Z"/>
    <s v="2026-09-15T17:27:06.000Z"/>
    <d v="2026-07-31T00:00:00"/>
    <s v="LSN-00066"/>
    <s v="L-0000066"/>
    <s v="131ak000001XjDvAAK"/>
    <b v="0"/>
    <b v="0"/>
    <s v="L-0000066"/>
    <s v="17:00:00.000Z"/>
    <x v="0"/>
    <s v="a07ak00001rZMpLAAW"/>
    <s v="Nathan Ahmed"/>
    <s v="2026-09-16T17:01:26.000Z"/>
    <b v="1"/>
    <s v="a06ak00000amzCIAAY|2026-07-31|17:00:00.000Z"/>
    <n v="1"/>
    <s v="Toms River"/>
    <x v="8"/>
    <x v="0"/>
  </r>
  <r>
    <s v="005ak00000icyWTAAY"/>
    <s v="2026-09-14T21:01:58.000Z"/>
    <n v="45"/>
    <s v="a0Aak00000FtDmdEAF"/>
    <s v="a06ak00000amzCIAAY"/>
    <s v="Omar Nelson"/>
    <m/>
    <x v="7"/>
    <b v="0"/>
    <m/>
    <s v="005ak00000icyWTAAY"/>
    <s v="2026-09-16T17:01:26.000Z"/>
    <s v="2026-09-15T17:27:06.000Z"/>
    <s v="2026-09-15T17:27:06.000Z"/>
    <d v="2026-09-27T00:00:00"/>
    <s v="LSN-00067"/>
    <s v="L-0000067"/>
    <s v="131ak000001XjDvAAK"/>
    <b v="0"/>
    <b v="0"/>
    <s v="L-0000067"/>
    <s v="19:00:00.000Z"/>
    <x v="3"/>
    <s v="a07ak00001rZMpLAAW"/>
    <s v="Nathan Ahmed"/>
    <s v="2026-09-16T17:01:26.000Z"/>
    <b v="1"/>
    <s v="a06ak00000amzCIAAY|2026-09-27|19:00:00.000Z"/>
    <n v="1"/>
    <s v="Toms River"/>
    <x v="2"/>
    <x v="0"/>
  </r>
  <r>
    <s v="005ak00000icyWTAAY"/>
    <s v="2026-09-14T21:01:58.000Z"/>
    <n v="30"/>
    <s v="a0Aak00000FtDmeEAF"/>
    <s v="a06ak00000amzCIAAY"/>
    <s v="Omar Nelson"/>
    <s v="Reviewed last week&amp;#39;s assignment."/>
    <x v="7"/>
    <b v="0"/>
    <m/>
    <s v="005ak00000icyWTAAY"/>
    <s v="2026-09-16T17:01:26.000Z"/>
    <s v="2026-09-15T17:27:06.000Z"/>
    <s v="2026-09-15T17:27:06.000Z"/>
    <d v="2026-04-26T00:00:00"/>
    <s v="LSN-00068"/>
    <s v="L-0000068"/>
    <s v="131ak000001XjDvAAK"/>
    <b v="0"/>
    <b v="0"/>
    <s v="L-0000068"/>
    <s v="11:00:00.000Z"/>
    <x v="0"/>
    <s v="a07ak00001rZMpLAAW"/>
    <s v="Nathan Ahmed"/>
    <s v="2026-09-16T17:01:26.000Z"/>
    <b v="1"/>
    <s v="a06ak00000amzCIAAY|2026-04-26|11:00:00.000Z"/>
    <n v="1"/>
    <s v="Toms River"/>
    <x v="5"/>
    <x v="0"/>
  </r>
  <r>
    <s v="005ak00000icyWTAAY"/>
    <s v="2026-09-14T21:01:58.000Z"/>
    <n v="30"/>
    <s v="a0Aak00000FtDmfEAF"/>
    <s v="a06ak00000amzCIAAY"/>
    <s v="Omar Nelson"/>
    <s v="Reviewed last week&amp;#39;s assignment."/>
    <x v="7"/>
    <b v="0"/>
    <m/>
    <s v="005ak00000icyWTAAY"/>
    <s v="2026-09-16T17:01:26.000Z"/>
    <s v="2026-09-15T17:27:06.000Z"/>
    <s v="2026-09-15T17:27:06.000Z"/>
    <d v="2026-01-20T00:00:00"/>
    <s v="LSN-00069"/>
    <s v="L-0000069"/>
    <s v="131ak000001XjDvAAK"/>
    <b v="0"/>
    <b v="0"/>
    <s v="L-0000069"/>
    <s v="16:30:00.000Z"/>
    <x v="0"/>
    <s v="a07ak00001rZMpLAAW"/>
    <s v="Nathan Ahmed"/>
    <s v="2026-09-16T17:01:26.000Z"/>
    <b v="1"/>
    <s v="a06ak00000amzCIAAY|2026-01-20|16:30:00.000Z"/>
    <n v="1"/>
    <s v="Toms River"/>
    <x v="4"/>
    <x v="0"/>
  </r>
  <r>
    <s v="005ak00000icyWTAAY"/>
    <s v="2026-09-14T21:01:58.000Z"/>
    <n v="45"/>
    <s v="a0Aak00000FtDmgEAF"/>
    <s v="a06ak00000amzBiAAI"/>
    <s v="Zoey Torres"/>
    <m/>
    <x v="1"/>
    <b v="0"/>
    <m/>
    <s v="005ak00000icyWTAAY"/>
    <s v="2026-09-16T17:01:26.000Z"/>
    <s v="2026-09-15T17:27:06.000Z"/>
    <s v="2026-09-15T17:27:06.000Z"/>
    <d v="2026-09-19T00:00:00"/>
    <s v="LSN-00070"/>
    <s v="L-0000070"/>
    <s v="131ak000001XjDtAAK"/>
    <b v="0"/>
    <b v="0"/>
    <s v="L-0000070"/>
    <s v="10:00:00.000Z"/>
    <x v="0"/>
    <s v="a07ak00001rZMpMAAW"/>
    <s v="Rowan Carter"/>
    <s v="2026-09-16T17:01:26.000Z"/>
    <b v="1"/>
    <s v="a06ak00000amzBiAAI|2026-09-19|10:00:00.000Z"/>
    <n v="1"/>
    <s v="Red Bank"/>
    <x v="2"/>
    <x v="0"/>
  </r>
  <r>
    <s v="005ak00000icyWTAAY"/>
    <s v="2026-09-14T21:01:58.000Z"/>
    <n v="60"/>
    <s v="a0Aak00000FtDmhEAF"/>
    <s v="a06ak00000amzBiAAI"/>
    <s v="Zoey Torres"/>
    <s v="Good progress on technique."/>
    <x v="1"/>
    <b v="0"/>
    <m/>
    <s v="005ak00000icyWTAAY"/>
    <s v="2026-09-16T17:01:26.000Z"/>
    <s v="2026-09-15T17:47:56.000Z"/>
    <s v="2026-09-15T17:47:56.000Z"/>
    <d v="2026-02-03T00:00:00"/>
    <s v="LSN-00071"/>
    <s v="L-0000071"/>
    <s v="131ak000001XjDtAAK"/>
    <b v="0"/>
    <b v="0"/>
    <s v="L-0000071"/>
    <s v="17:00:00.000Z"/>
    <x v="0"/>
    <s v="a07ak00001rZMpMAAW"/>
    <s v="Rowan Carter"/>
    <s v="2026-09-16T17:01:26.000Z"/>
    <b v="1"/>
    <s v="a06ak00000amzBiAAI|2026-02-03|17:00:00.000Z"/>
    <n v="1"/>
    <s v="Red Bank"/>
    <x v="1"/>
    <x v="0"/>
  </r>
  <r>
    <s v="005ak00000icyWTAAY"/>
    <s v="2026-09-14T21:01:58.000Z"/>
    <n v="60"/>
    <s v="a0Aak00000FtDmiEAF"/>
    <s v="a06ak00000amzBiAAI"/>
    <s v="Zoey Torres"/>
    <m/>
    <x v="1"/>
    <b v="0"/>
    <m/>
    <s v="005ak00000icyWTAAY"/>
    <s v="2026-09-16T17:01:26.000Z"/>
    <s v="2026-09-15T17:47:56.000Z"/>
    <s v="2026-09-15T17:47:56.000Z"/>
    <d v="2026-01-27T00:00:00"/>
    <s v="LSN-00072"/>
    <s v="L-0000072"/>
    <s v="131ak000001XjDtAAK"/>
    <b v="0"/>
    <b v="0"/>
    <s v="L-0000072"/>
    <s v="19:00:00.000Z"/>
    <x v="0"/>
    <s v="a07ak00001rZMpMAAW"/>
    <s v="Rowan Carter"/>
    <s v="2026-09-16T17:01:26.000Z"/>
    <b v="1"/>
    <s v="a06ak00000amzBiAAI|2026-01-27|19:00:00.000Z"/>
    <n v="1"/>
    <s v="Red Bank"/>
    <x v="4"/>
    <x v="0"/>
  </r>
  <r>
    <s v="005ak00000icyWTAAY"/>
    <s v="2026-09-14T21:01:58.000Z"/>
    <n v="30"/>
    <s v="a0Aak00000FtDmjEAF"/>
    <s v="a06ak00000amzBiAAI"/>
    <s v="Zoey Torres"/>
    <s v="Good progress on technique."/>
    <x v="1"/>
    <b v="0"/>
    <m/>
    <s v="005ak00000icyWTAAY"/>
    <s v="2026-09-16T17:01:26.000Z"/>
    <s v="2026-09-15T17:47:56.000Z"/>
    <s v="2026-09-15T17:47:56.000Z"/>
    <d v="2026-05-24T00:00:00"/>
    <s v="LSN-00073"/>
    <s v="L-0000073"/>
    <s v="131ak000001XjDtAAK"/>
    <b v="0"/>
    <b v="0"/>
    <s v="L-0000073"/>
    <s v="16:30:00.000Z"/>
    <x v="0"/>
    <s v="a07ak00001rZMpMAAW"/>
    <s v="Rowan Carter"/>
    <s v="2026-09-16T17:01:26.000Z"/>
    <b v="1"/>
    <s v="a06ak00000amzBiAAI|2026-05-24|16:30:00.000Z"/>
    <n v="1"/>
    <s v="Red Bank"/>
    <x v="0"/>
    <x v="0"/>
  </r>
  <r>
    <s v="005ak00000icyWTAAY"/>
    <s v="2026-09-14T21:01:58.000Z"/>
    <n v="30"/>
    <s v="a0Aak00000FtDmkEAF"/>
    <s v="a06ak00000amzBiAAI"/>
    <s v="Zoey Torres"/>
    <m/>
    <x v="1"/>
    <b v="0"/>
    <m/>
    <s v="005ak00000icyWTAAY"/>
    <s v="2026-09-16T17:01:26.000Z"/>
    <s v="2026-09-15T17:47:56.000Z"/>
    <s v="2026-09-15T17:47:56.000Z"/>
    <d v="2026-01-17T00:00:00"/>
    <s v="LSN-00074"/>
    <s v="L-0000074"/>
    <s v="131ak000001XjDtAAK"/>
    <b v="0"/>
    <b v="0"/>
    <s v="L-0000074"/>
    <s v="17:30:00.000Z"/>
    <x v="0"/>
    <s v="a07ak00001rZMpMAAW"/>
    <s v="Rowan Carter"/>
    <s v="2026-09-16T17:01:26.000Z"/>
    <b v="1"/>
    <s v="a06ak00000amzBiAAI|2026-01-17|17:30:00.000Z"/>
    <n v="1"/>
    <s v="Red Bank"/>
    <x v="4"/>
    <x v="0"/>
  </r>
  <r>
    <s v="005ak00000icyWTAAY"/>
    <s v="2026-09-14T21:01:58.000Z"/>
    <n v="30"/>
    <s v="a0Aak00000FtDmlEAF"/>
    <s v="a06ak00000amzBiAAI"/>
    <s v="Zoey Torres"/>
    <s v="Worked on scales and timing."/>
    <x v="1"/>
    <b v="0"/>
    <m/>
    <s v="005ak00000icyWTAAY"/>
    <s v="2026-09-16T17:01:26.000Z"/>
    <s v="2026-09-15T17:47:56.000Z"/>
    <s v="2026-09-15T17:47:56.000Z"/>
    <d v="2026-06-28T00:00:00"/>
    <s v="LSN-00075"/>
    <s v="L-0000075"/>
    <s v="131ak000001XjDtAAK"/>
    <b v="0"/>
    <b v="0"/>
    <s v="L-0000075"/>
    <s v="19:00:00.000Z"/>
    <x v="0"/>
    <s v="a07ak00001rZMpMAAW"/>
    <s v="Rowan Carter"/>
    <s v="2026-09-16T17:01:26.000Z"/>
    <b v="1"/>
    <s v="a06ak00000amzBiAAI|2026-06-28|19:00:00.000Z"/>
    <n v="1"/>
    <s v="Red Bank"/>
    <x v="7"/>
    <x v="0"/>
  </r>
  <r>
    <s v="005ak00000icyWTAAY"/>
    <s v="2026-09-14T21:01:58.000Z"/>
    <n v="60"/>
    <s v="a0Aak00000FtDmmEAF"/>
    <s v="a06ak00000amzBiAAI"/>
    <s v="Zoey Torres"/>
    <s v="Good progress on technique."/>
    <x v="1"/>
    <b v="0"/>
    <m/>
    <s v="005ak00000icyWTAAY"/>
    <s v="2026-09-16T17:01:26.000Z"/>
    <s v="2026-09-15T17:47:56.000Z"/>
    <s v="2026-09-15T17:47:56.000Z"/>
    <d v="2026-09-20T00:00:00"/>
    <s v="LSN-00076"/>
    <s v="L-0000076"/>
    <s v="131ak000001XjDtAAK"/>
    <b v="0"/>
    <b v="0"/>
    <s v="L-0000076"/>
    <s v="17:00:00.000Z"/>
    <x v="0"/>
    <s v="a07ak00001rZMpMAAW"/>
    <s v="Rowan Carter"/>
    <s v="2026-09-16T17:01:26.000Z"/>
    <b v="1"/>
    <s v="a06ak00000amzBiAAI|2026-09-20|17:00:00.000Z"/>
    <n v="1"/>
    <s v="Red Bank"/>
    <x v="2"/>
    <x v="0"/>
  </r>
  <r>
    <s v="005ak00000icyWTAAY"/>
    <s v="2026-09-14T21:01:58.000Z"/>
    <n v="30"/>
    <s v="a0Aak00000FtDmnEAF"/>
    <s v="a06ak00000amzBiAAI"/>
    <s v="Zoey Torres"/>
    <s v="Worked on scales and timing."/>
    <x v="1"/>
    <b v="0"/>
    <m/>
    <s v="005ak00000icyWTAAY"/>
    <s v="2026-09-16T17:01:26.000Z"/>
    <s v="2026-09-15T17:47:56.000Z"/>
    <s v="2026-09-15T17:47:56.000Z"/>
    <d v="2026-08-30T00:00:00"/>
    <s v="LSN-00077"/>
    <s v="L-0000077"/>
    <s v="131ak000001XjDtAAK"/>
    <b v="0"/>
    <b v="0"/>
    <s v="L-0000077"/>
    <s v="17:30:00.000Z"/>
    <x v="0"/>
    <s v="a07ak00001rZMpMAAW"/>
    <s v="Rowan Carter"/>
    <s v="2026-09-16T17:01:26.000Z"/>
    <b v="1"/>
    <s v="a06ak00000amzBiAAI|2026-08-30|17:30:00.000Z"/>
    <n v="1"/>
    <s v="Red Bank"/>
    <x v="6"/>
    <x v="0"/>
  </r>
  <r>
    <s v="005ak00000icyWTAAY"/>
    <s v="2026-09-14T21:01:58.000Z"/>
    <n v="60"/>
    <s v="a0Aak00000FtDmoEAF"/>
    <s v="a06ak00000amzBiAAI"/>
    <s v="Zoey Torres"/>
    <s v="Reviewed last week&amp;#39;s assignment."/>
    <x v="1"/>
    <b v="0"/>
    <m/>
    <s v="005ak00000icyWTAAY"/>
    <s v="2026-09-16T17:01:26.000Z"/>
    <s v="2026-09-15T17:47:56.000Z"/>
    <s v="2026-09-15T17:47:56.000Z"/>
    <d v="2026-07-22T00:00:00"/>
    <s v="LSN-00078"/>
    <s v="L-0000078"/>
    <s v="131ak000001XjDtAAK"/>
    <b v="0"/>
    <b v="0"/>
    <s v="L-0000078"/>
    <s v="15:30:00.000Z"/>
    <x v="0"/>
    <s v="a07ak00001rZMpMAAW"/>
    <s v="Rowan Carter"/>
    <s v="2026-09-16T17:01:26.000Z"/>
    <b v="1"/>
    <s v="a06ak00000amzBiAAI|2026-07-22|15:30:00.000Z"/>
    <n v="1"/>
    <s v="Red Bank"/>
    <x v="8"/>
    <x v="0"/>
  </r>
  <r>
    <s v="005ak00000icyWTAAY"/>
    <s v="2026-09-14T21:01:58.000Z"/>
    <n v="30"/>
    <s v="a0Aak00000FtDmpEAF"/>
    <s v="a06ak00000amzBpAAI"/>
    <s v="Liam Lopez"/>
    <m/>
    <x v="8"/>
    <b v="0"/>
    <m/>
    <s v="005ak00000icyWTAAY"/>
    <s v="2026-09-16T17:01:26.000Z"/>
    <s v="2026-09-15T17:47:56.000Z"/>
    <s v="2026-09-15T17:47:56.000Z"/>
    <d v="2026-07-22T00:00:00"/>
    <s v="LSN-00079"/>
    <s v="L-0000079"/>
    <s v="131ak000001XjDuAAK"/>
    <b v="0"/>
    <b v="0"/>
    <s v="L-0000079"/>
    <s v="17:00:00.000Z"/>
    <x v="1"/>
    <s v="a07ak00001rZMpNAAW"/>
    <s v="Hazel Walker"/>
    <s v="2026-09-16T17:01:26.000Z"/>
    <b v="1"/>
    <s v=""/>
    <m/>
    <s v="Brick"/>
    <x v="8"/>
    <x v="0"/>
  </r>
  <r>
    <s v="005ak00000icyWTAAY"/>
    <s v="2026-09-14T21:01:58.000Z"/>
    <n v="30"/>
    <s v="a0Aak00000FtDmqEAF"/>
    <s v="a06ak00000amzBpAAI"/>
    <s v="Liam Lopez"/>
    <s v="Good progress on technique."/>
    <x v="8"/>
    <b v="0"/>
    <m/>
    <s v="005ak00000icyWTAAY"/>
    <s v="2026-09-16T17:01:26.000Z"/>
    <s v="2026-09-15T17:47:56.000Z"/>
    <s v="2026-09-15T17:47:56.000Z"/>
    <d v="2026-07-21T00:00:00"/>
    <s v="LSN-00080"/>
    <s v="L-0000080"/>
    <s v="131ak000001XjDuAAK"/>
    <b v="0"/>
    <b v="0"/>
    <s v="L-0000080"/>
    <s v="17:30:00.000Z"/>
    <x v="0"/>
    <s v="a07ak00001rZMpNAAW"/>
    <s v="Hazel Walker"/>
    <s v="2026-09-16T17:01:26.000Z"/>
    <b v="1"/>
    <s v="a06ak00000amzBpAAI|2026-07-21|17:30:00.000Z"/>
    <n v="1"/>
    <s v="Brick"/>
    <x v="8"/>
    <x v="0"/>
  </r>
  <r>
    <s v="005ak00000icyWTAAY"/>
    <s v="2026-09-14T21:01:58.000Z"/>
    <n v="30"/>
    <s v="a0Aak00000FtDmrEAF"/>
    <s v="a06ak00000amzBfAAI"/>
    <s v="Mia Smith"/>
    <s v="Worked on scales and timing."/>
    <x v="6"/>
    <b v="0"/>
    <m/>
    <s v="005ak00000icyWTAAY"/>
    <s v="2026-09-16T17:01:26.000Z"/>
    <s v="2026-09-15T17:47:56.000Z"/>
    <s v="2026-09-15T17:47:56.000Z"/>
    <d v="2026-06-23T00:00:00"/>
    <s v="LSN-00081"/>
    <s v="L-0000081"/>
    <s v="131ak000001XjDvAAK"/>
    <b v="0"/>
    <b v="0"/>
    <s v="L-0000081"/>
    <s v="16:30:00.000Z"/>
    <x v="0"/>
    <s v="a07ak00001rZMpPAAW"/>
    <s v="Aubrey Anderson"/>
    <s v="2026-09-16T17:01:26.000Z"/>
    <b v="1"/>
    <s v="a06ak00000amzBfAAI|2026-06-23|16:30:00.000Z"/>
    <n v="1"/>
    <s v="Toms River"/>
    <x v="7"/>
    <x v="0"/>
  </r>
  <r>
    <s v="005ak00000icyWTAAY"/>
    <s v="2026-09-14T21:01:58.000Z"/>
    <n v="30"/>
    <s v="a0Aak00000FtDmsEAF"/>
    <s v="a06ak00000amzBfAAI"/>
    <s v="Mia Smith"/>
    <s v="Reviewed last week&amp;#39;s assignment."/>
    <x v="6"/>
    <b v="0"/>
    <m/>
    <s v="005ak00000icyWTAAY"/>
    <s v="2026-09-16T17:01:26.000Z"/>
    <s v="2026-09-15T17:47:56.000Z"/>
    <s v="2026-09-15T17:47:56.000Z"/>
    <d v="2026-04-11T00:00:00"/>
    <s v="LSN-00082"/>
    <s v="L-0000082"/>
    <s v="131ak000001XjDvAAK"/>
    <b v="0"/>
    <b v="0"/>
    <s v="L-0000082"/>
    <s v="16:00:00.000Z"/>
    <x v="0"/>
    <s v="a07ak00001rZMpPAAW"/>
    <s v="Aubrey Anderson"/>
    <s v="2026-09-16T17:01:26.000Z"/>
    <b v="1"/>
    <s v="a06ak00000amzBfAAI|2026-04-11|16:00:00.000Z"/>
    <n v="1"/>
    <s v="Toms River"/>
    <x v="5"/>
    <x v="0"/>
  </r>
  <r>
    <s v="005ak00000icyWTAAY"/>
    <s v="2026-09-14T21:01:58.000Z"/>
    <n v="60"/>
    <s v="a0Aak00000FtDmtEAF"/>
    <s v="a06ak00000amzBfAAI"/>
    <s v="Mia Smith"/>
    <s v="Worked on scales and timing."/>
    <x v="6"/>
    <b v="0"/>
    <m/>
    <s v="005ak00000icyWTAAY"/>
    <s v="2026-09-16T17:01:26.000Z"/>
    <s v="2026-09-15T17:47:56.000Z"/>
    <s v="2026-09-15T17:47:56.000Z"/>
    <d v="2026-08-19T00:00:00"/>
    <s v="LSN-00083"/>
    <s v="L-0000083"/>
    <s v="131ak000001XjDvAAK"/>
    <b v="0"/>
    <b v="0"/>
    <s v="L-0000083"/>
    <s v="18:30:00.000Z"/>
    <x v="0"/>
    <s v="a07ak00001rZMpPAAW"/>
    <s v="Aubrey Anderson"/>
    <s v="2026-09-16T17:01:26.000Z"/>
    <b v="1"/>
    <s v="a06ak00000amzBfAAI|2026-08-19|18:30:00.000Z"/>
    <n v="1"/>
    <s v="Toms River"/>
    <x v="6"/>
    <x v="0"/>
  </r>
  <r>
    <s v="005ak00000icyWTAAY"/>
    <s v="2026-09-14T21:01:58.000Z"/>
    <n v="45"/>
    <s v="a0Aak00000FtDmuEAF"/>
    <s v="a06ak00000amzC5AAI"/>
    <s v="Penelope Wilson"/>
    <m/>
    <x v="5"/>
    <b v="0"/>
    <m/>
    <s v="005ak00000icyWTAAY"/>
    <s v="2026-09-25T18:00:49.000Z"/>
    <s v="2026-09-15T17:47:56.000Z"/>
    <s v="2026-09-15T17:47:56.000Z"/>
    <d v="2026-09-07T00:00:00"/>
    <s v="LSN-00084"/>
    <s v="L-0000084"/>
    <s v="131ak000001XjDvAAK"/>
    <b v="1"/>
    <b v="0"/>
    <s v="L-0000084"/>
    <s v="16:30:00.000Z"/>
    <x v="4"/>
    <s v="a07ak00001rZMpQAAW"/>
    <s v="Priya Ramirez"/>
    <s v="2026-09-25T18:00:49.000Z"/>
    <b v="1"/>
    <s v=""/>
    <m/>
    <s v="Toms River"/>
    <x v="2"/>
    <x v="0"/>
  </r>
  <r>
    <s v="005ak00000icyWTAAY"/>
    <s v="2026-09-14T21:01:58.000Z"/>
    <n v="45"/>
    <s v="a0Aak00000FtDmvEAF"/>
    <s v="a06ak00000amzC5AAI"/>
    <s v="Penelope Wilson"/>
    <m/>
    <x v="5"/>
    <b v="0"/>
    <m/>
    <s v="005ak00000icyWTAAY"/>
    <s v="2026-09-16T17:01:26.000Z"/>
    <s v="2026-09-15T17:47:56.000Z"/>
    <s v="2026-09-15T17:47:56.000Z"/>
    <d v="2026-02-12T00:00:00"/>
    <s v="LSN-00085"/>
    <s v="L-0000085"/>
    <s v="131ak000001XjDvAAK"/>
    <b v="0"/>
    <b v="0"/>
    <s v="L-0000085"/>
    <s v="16:00:00.000Z"/>
    <x v="1"/>
    <s v="a07ak00001rZMpQAAW"/>
    <s v="Priya Ramirez"/>
    <s v="2026-09-16T17:01:26.000Z"/>
    <b v="1"/>
    <s v=""/>
    <m/>
    <s v="Toms River"/>
    <x v="1"/>
    <x v="0"/>
  </r>
  <r>
    <s v="005ak00000icyWTAAY"/>
    <s v="2026-09-14T21:01:58.000Z"/>
    <n v="45"/>
    <s v="a0Aak00000FtDmwEAF"/>
    <s v="a06ak00000amzC5AAI"/>
    <s v="Penelope Wilson"/>
    <s v="Focused on sight reading."/>
    <x v="5"/>
    <b v="0"/>
    <m/>
    <s v="005ak00000icyWTAAY"/>
    <s v="2026-09-16T17:01:26.000Z"/>
    <s v="2026-09-15T17:47:56.000Z"/>
    <s v="2026-09-15T17:47:56.000Z"/>
    <d v="2026-05-18T00:00:00"/>
    <s v="LSN-00086"/>
    <s v="L-0000086"/>
    <s v="131ak000001XjDvAAK"/>
    <b v="0"/>
    <b v="0"/>
    <s v="L-0000086"/>
    <s v="10:00:00.000Z"/>
    <x v="0"/>
    <s v="a07ak00001rZMpQAAW"/>
    <s v="Priya Ramirez"/>
    <s v="2026-09-16T17:01:26.000Z"/>
    <b v="1"/>
    <s v="a06ak00000amzC5AAI|2026-05-18|10:00:00.000Z"/>
    <n v="1"/>
    <s v="Toms River"/>
    <x v="0"/>
    <x v="0"/>
  </r>
  <r>
    <s v="005ak00000icyWTAAY"/>
    <s v="2026-09-14T21:01:58.000Z"/>
    <n v="30"/>
    <s v="a0Aak00000FtDmxEAF"/>
    <s v="a06ak00000amzC5AAI"/>
    <s v="Penelope Wilson"/>
    <s v="Worked on scales and timing."/>
    <x v="5"/>
    <b v="0"/>
    <m/>
    <s v="005ak00000icyWTAAY"/>
    <s v="2026-09-16T17:01:26.000Z"/>
    <s v="2026-09-15T17:47:56.000Z"/>
    <s v="2026-09-15T17:47:56.000Z"/>
    <d v="2026-08-19T00:00:00"/>
    <s v="LSN-00087"/>
    <s v="L-0000087"/>
    <s v="131ak000001XjDvAAK"/>
    <b v="0"/>
    <b v="0"/>
    <s v="L-0000087"/>
    <s v="16:00:00.000Z"/>
    <x v="0"/>
    <s v="a07ak00001rZMpQAAW"/>
    <s v="Priya Ramirez"/>
    <s v="2026-09-16T17:01:26.000Z"/>
    <b v="1"/>
    <s v="a06ak00000amzC5AAI|2026-08-19|16:00:00.000Z"/>
    <n v="1"/>
    <s v="Toms River"/>
    <x v="6"/>
    <x v="0"/>
  </r>
  <r>
    <s v="005ak00000icyWTAAY"/>
    <s v="2026-09-14T21:01:58.000Z"/>
    <n v="45"/>
    <s v="a0Aak00000FtDmyEAF"/>
    <s v="a06ak00000amzC5AAI"/>
    <s v="Penelope Wilson"/>
    <s v="Reviewed last week&amp;#39;s assignment."/>
    <x v="5"/>
    <b v="0"/>
    <m/>
    <s v="005ak00000icyWTAAY"/>
    <s v="2026-09-16T17:01:26.000Z"/>
    <s v="2026-09-15T17:47:56.000Z"/>
    <s v="2026-09-15T17:47:56.000Z"/>
    <d v="2026-04-19T00:00:00"/>
    <s v="LSN-00088"/>
    <s v="L-0000088"/>
    <s v="131ak000001XjDvAAK"/>
    <b v="0"/>
    <b v="0"/>
    <s v="L-0000088"/>
    <s v="16:00:00.000Z"/>
    <x v="0"/>
    <s v="a07ak00001rZMpQAAW"/>
    <s v="Priya Ramirez"/>
    <s v="2026-09-16T17:01:26.000Z"/>
    <b v="1"/>
    <s v="a06ak00000amzC5AAI|2026-04-19|16:00:00.000Z"/>
    <n v="1"/>
    <s v="Toms River"/>
    <x v="5"/>
    <x v="0"/>
  </r>
  <r>
    <s v="005ak00000icyWTAAY"/>
    <s v="2026-09-14T21:01:58.000Z"/>
    <n v="45"/>
    <s v="a0Aak00000FtDmzEAF"/>
    <s v="a06ak00000amzCDAAY"/>
    <s v="Vincent Kelly"/>
    <s v="Reviewed last week&amp;#39;s assignment."/>
    <x v="5"/>
    <b v="0"/>
    <m/>
    <s v="005ak00000icyWTAAY"/>
    <s v="2026-09-16T16:41:26.000Z"/>
    <s v="2026-09-15T17:47:56.000Z"/>
    <s v="2026-09-15T17:47:56.000Z"/>
    <d v="2026-03-11T00:00:00"/>
    <s v="LSN-00089"/>
    <s v="L-0000089"/>
    <s v="131ak000001XjDvAAK"/>
    <b v="0"/>
    <b v="0"/>
    <s v="L-0000089"/>
    <s v="16:30:00.000Z"/>
    <x v="2"/>
    <s v="a07ak00001rZMpQAAW"/>
    <s v="Priya Ramirez"/>
    <s v="2026-09-16T16:41:26.000Z"/>
    <b v="0"/>
    <s v="a06ak00000amzCDAAY|2026-03-11|16:30:00.000Z"/>
    <n v="1"/>
    <s v="Toms River"/>
    <x v="3"/>
    <x v="0"/>
  </r>
  <r>
    <s v="005ak00000icyWTAAY"/>
    <s v="2026-09-14T21:01:58.000Z"/>
    <n v="45"/>
    <s v="a0Aak00000FtDn0EAF"/>
    <s v="a06ak00000amzC0AAI"/>
    <s v="James Moore"/>
    <s v="Worked on scales and timing."/>
    <x v="6"/>
    <b v="0"/>
    <m/>
    <s v="005ak00000icyWTAAY"/>
    <s v="2026-09-16T17:01:26.000Z"/>
    <s v="2026-10-01T15:53:55.000Z"/>
    <s v="2026-10-01T15:53:55.000Z"/>
    <d v="2026-09-25T00:00:00"/>
    <s v="LSN-00090"/>
    <s v="L-0000090"/>
    <s v="131ak000001XjDtAAK"/>
    <b v="0"/>
    <b v="0"/>
    <s v="L-0000090"/>
    <s v="16:00:00.000Z"/>
    <x v="0"/>
    <s v="a07ak00001rZMpRAAW"/>
    <s v="Rowan Wilson"/>
    <s v="2026-09-16T17:01:26.000Z"/>
    <b v="1"/>
    <s v="a06ak00000amzC0AAI|2026-09-25|16:00:00.000Z"/>
    <n v="1"/>
    <s v="Red Bank"/>
    <x v="2"/>
    <x v="0"/>
  </r>
  <r>
    <s v="005ak00000icyWTAAY"/>
    <s v="2026-09-14T21:01:58.000Z"/>
    <n v="30"/>
    <s v="a0Aak00000FtDn1EAF"/>
    <s v="a06ak00000amzC0AAI"/>
    <s v="James Moore"/>
    <s v="Reviewed last week&amp;#39;s assignment."/>
    <x v="6"/>
    <b v="0"/>
    <m/>
    <s v="005ak00000icyWTAAY"/>
    <s v="2026-09-16T17:01:26.000Z"/>
    <s v="2026-09-15T17:47:56.000Z"/>
    <s v="2026-09-15T17:47:56.000Z"/>
    <d v="2026-01-28T00:00:00"/>
    <s v="LSN-00091"/>
    <s v="L-0000091"/>
    <s v="131ak000001XjDtAAK"/>
    <b v="0"/>
    <b v="0"/>
    <s v="L-0000091"/>
    <s v="18:30:00.000Z"/>
    <x v="0"/>
    <s v="a07ak00001rZMpRAAW"/>
    <s v="Rowan Wilson"/>
    <s v="2026-09-16T17:01:26.000Z"/>
    <b v="1"/>
    <s v="a06ak00000amzC0AAI|2026-01-28|18:30:00.000Z"/>
    <n v="1"/>
    <s v="Red Bank"/>
    <x v="4"/>
    <x v="0"/>
  </r>
  <r>
    <s v="005ak00000icyWTAAY"/>
    <s v="2026-09-14T21:01:58.000Z"/>
    <n v="30"/>
    <s v="a0Aak00000FtDn2EAF"/>
    <s v="a06ak00000amzC0AAI"/>
    <s v="James Moore"/>
    <s v="Started new piece."/>
    <x v="6"/>
    <b v="0"/>
    <m/>
    <s v="005ak00000icyWTAAY"/>
    <s v="2026-09-16T17:01:26.000Z"/>
    <s v="2026-09-15T17:47:56.000Z"/>
    <s v="2026-09-15T17:47:56.000Z"/>
    <d v="2026-01-18T00:00:00"/>
    <s v="LSN-00092"/>
    <s v="L-0000092"/>
    <s v="131ak000001XjDtAAK"/>
    <b v="0"/>
    <b v="0"/>
    <s v="L-0000092"/>
    <s v="19:00:00.000Z"/>
    <x v="0"/>
    <s v="a07ak00001rZMpRAAW"/>
    <s v="Rowan Wilson"/>
    <s v="2026-09-16T17:01:26.000Z"/>
    <b v="1"/>
    <s v="a06ak00000amzC0AAI|2026-01-18|19:00:00.000Z"/>
    <n v="1"/>
    <s v="Red Bank"/>
    <x v="4"/>
    <x v="0"/>
  </r>
  <r>
    <s v="005ak00000icyWTAAY"/>
    <s v="2026-09-14T21:01:58.000Z"/>
    <n v="30"/>
    <s v="a0Aak00000FtDn3EAF"/>
    <s v="a06ak00000amzC0AAI"/>
    <s v="James Moore"/>
    <s v="Reviewed last week&amp;#39;s assignment."/>
    <x v="6"/>
    <b v="0"/>
    <m/>
    <s v="005ak00000icyWTAAY"/>
    <s v="2026-09-16T17:01:26.000Z"/>
    <s v="2026-09-15T17:47:56.000Z"/>
    <s v="2026-09-15T17:47:56.000Z"/>
    <d v="2026-08-22T00:00:00"/>
    <s v="LSN-00093"/>
    <s v="L-0000093"/>
    <s v="131ak000001XjDtAAK"/>
    <b v="0"/>
    <b v="0"/>
    <s v="L-0000093"/>
    <s v="16:30:00.000Z"/>
    <x v="0"/>
    <s v="a07ak00001rZMpRAAW"/>
    <s v="Rowan Wilson"/>
    <s v="2026-09-16T17:01:26.000Z"/>
    <b v="1"/>
    <s v="a06ak00000amzC0AAI|2026-08-22|16:30:00.000Z"/>
    <n v="1"/>
    <s v="Red Bank"/>
    <x v="6"/>
    <x v="0"/>
  </r>
  <r>
    <s v="005ak00000icyWTAAY"/>
    <s v="2026-09-14T21:01:58.000Z"/>
    <n v="60"/>
    <s v="a0Aak00000FtDn4EAF"/>
    <s v="a06ak00000amzC0AAI"/>
    <s v="James Moore"/>
    <s v="Focused on sight reading."/>
    <x v="6"/>
    <b v="0"/>
    <m/>
    <s v="005ak00000icyWTAAY"/>
    <s v="2026-09-16T17:01:26.000Z"/>
    <s v="2026-09-15T17:47:56.000Z"/>
    <s v="2026-09-15T17:47:56.000Z"/>
    <d v="2026-08-09T00:00:00"/>
    <s v="LSN-00094"/>
    <s v="L-0000094"/>
    <s v="131ak000001XjDtAAK"/>
    <b v="0"/>
    <b v="0"/>
    <s v="L-0000094"/>
    <s v="18:00:00.000Z"/>
    <x v="0"/>
    <s v="a07ak00001rZMpRAAW"/>
    <s v="Rowan Wilson"/>
    <s v="2026-09-16T17:01:26.000Z"/>
    <b v="1"/>
    <s v="a06ak00000amzC0AAI|2026-08-09|18:00:00.000Z"/>
    <n v="1"/>
    <s v="Red Bank"/>
    <x v="6"/>
    <x v="0"/>
  </r>
  <r>
    <s v="005ak00000icyWTAAY"/>
    <s v="2026-09-14T21:01:58.000Z"/>
    <n v="30"/>
    <s v="a0Aak00000FtDn5EAF"/>
    <s v="a06ak00000amzC0AAI"/>
    <s v="James Moore"/>
    <s v="Good progress on technique."/>
    <x v="6"/>
    <b v="0"/>
    <m/>
    <s v="005ak00000icyWTAAY"/>
    <s v="2026-09-16T17:01:26.000Z"/>
    <s v="2026-09-15T17:47:56.000Z"/>
    <s v="2026-09-15T17:47:56.000Z"/>
    <d v="2026-03-23T00:00:00"/>
    <s v="LSN-00095"/>
    <s v="L-0000095"/>
    <s v="131ak000001XjDtAAK"/>
    <b v="0"/>
    <b v="0"/>
    <s v="L-0000095"/>
    <s v="11:00:00.000Z"/>
    <x v="0"/>
    <s v="a07ak00001rZMpRAAW"/>
    <s v="Rowan Wilson"/>
    <s v="2026-09-16T17:01:26.000Z"/>
    <b v="1"/>
    <s v="a06ak00000amzC0AAI|2026-03-23|11:00:00.000Z"/>
    <n v="1"/>
    <s v="Red Bank"/>
    <x v="3"/>
    <x v="0"/>
  </r>
  <r>
    <s v="005ak00000icyWTAAY"/>
    <s v="2026-09-14T21:01:58.000Z"/>
    <n v="30"/>
    <s v="a0Aak00000FtDn6EAF"/>
    <s v="a06ak00000amzC8AAI"/>
    <s v="Adrian Byrne"/>
    <s v="Reviewed last week&amp;#39;s assignment."/>
    <x v="9"/>
    <b v="0"/>
    <m/>
    <s v="005ak00000icyWTAAY"/>
    <s v="2026-09-16T17:01:26.000Z"/>
    <s v="2026-09-15T17:47:56.000Z"/>
    <s v="2026-09-15T17:47:56.000Z"/>
    <d v="2026-06-12T00:00:00"/>
    <s v="LSN-00096"/>
    <s v="L-0000096"/>
    <s v="131ak000001XjDvAAK"/>
    <b v="0"/>
    <b v="0"/>
    <s v="L-0000096"/>
    <s v="15:00:00.000Z"/>
    <x v="0"/>
    <s v="a07ak00001rZMpSAAW"/>
    <s v="Julian Flores"/>
    <s v="2026-09-16T17:01:26.000Z"/>
    <b v="1"/>
    <s v="a06ak00000amzC8AAI|2026-06-12|15:00:00.000Z"/>
    <n v="1"/>
    <s v="Toms River"/>
    <x v="7"/>
    <x v="0"/>
  </r>
  <r>
    <s v="005ak00000icyWTAAY"/>
    <s v="2026-09-14T21:01:58.000Z"/>
    <n v="30"/>
    <s v="a0Aak00000FtDn7EAF"/>
    <s v="a06ak00000amzC8AAI"/>
    <s v="Adrian Byrne"/>
    <s v="Started new piece."/>
    <x v="9"/>
    <b v="0"/>
    <m/>
    <s v="005ak00000icyWTAAY"/>
    <s v="2026-09-16T17:01:26.000Z"/>
    <s v="2026-09-15T17:47:56.000Z"/>
    <s v="2026-09-15T17:47:56.000Z"/>
    <d v="2026-08-22T00:00:00"/>
    <s v="LSN-00097"/>
    <s v="L-0000097"/>
    <s v="131ak000001XjDvAAK"/>
    <b v="0"/>
    <b v="0"/>
    <s v="L-0000097"/>
    <s v="16:30:00.000Z"/>
    <x v="0"/>
    <s v="a07ak00001rZMpSAAW"/>
    <s v="Julian Flores"/>
    <s v="2026-09-16T17:01:26.000Z"/>
    <b v="1"/>
    <s v="a06ak00000amzC8AAI|2026-08-22|16:30:00.000Z"/>
    <n v="1"/>
    <s v="Toms River"/>
    <x v="6"/>
    <x v="0"/>
  </r>
  <r>
    <s v="005ak00000icyWTAAY"/>
    <s v="2026-09-14T21:01:58.000Z"/>
    <n v="45"/>
    <s v="a0Aak00000FtDn8EAF"/>
    <s v="a06ak00000amzC8AAI"/>
    <s v="Adrian Byrne"/>
    <s v="Started new piece."/>
    <x v="9"/>
    <b v="0"/>
    <m/>
    <s v="005ak00000icyWTAAY"/>
    <s v="2026-09-16T17:01:26.000Z"/>
    <s v="2026-09-15T17:47:56.000Z"/>
    <s v="2026-09-15T17:47:56.000Z"/>
    <d v="2026-08-31T00:00:00"/>
    <s v="LSN-00098"/>
    <s v="L-0000098"/>
    <s v="131ak000001XjDvAAK"/>
    <b v="0"/>
    <b v="0"/>
    <s v="L-0000098"/>
    <s v="19:00:00.000Z"/>
    <x v="0"/>
    <s v="a07ak00001rZMpSAAW"/>
    <s v="Julian Flores"/>
    <s v="2026-09-16T17:01:26.000Z"/>
    <b v="1"/>
    <s v="a06ak00000amzC8AAI|2026-08-31|19:00:00.000Z"/>
    <n v="1"/>
    <s v="Toms River"/>
    <x v="6"/>
    <x v="0"/>
  </r>
  <r>
    <s v="005ak00000icyWTAAY"/>
    <s v="2026-09-14T21:01:58.000Z"/>
    <n v="30"/>
    <s v="a0Aak00000FtDn9EAF"/>
    <s v="a06ak00000amzC8AAI"/>
    <s v="Adrian Byrne"/>
    <s v="Worked on scales and timing."/>
    <x v="9"/>
    <b v="0"/>
    <m/>
    <s v="005ak00000icyWTAAY"/>
    <s v="2026-09-16T17:01:26.000Z"/>
    <s v="2026-09-15T17:47:56.000Z"/>
    <s v="2026-09-15T17:47:56.000Z"/>
    <d v="2026-06-28T00:00:00"/>
    <s v="LSN-00099"/>
    <s v="L-0000099"/>
    <s v="131ak000001XjDvAAK"/>
    <b v="0"/>
    <b v="0"/>
    <s v="L-0000099"/>
    <s v="15:30:00.000Z"/>
    <x v="0"/>
    <s v="a07ak00001rZMpSAAW"/>
    <s v="Julian Flores"/>
    <s v="2026-09-16T17:01:26.000Z"/>
    <b v="1"/>
    <s v="a06ak00000amzC8AAI|2026-06-28|15:30:00.000Z"/>
    <n v="1"/>
    <s v="Toms River"/>
    <x v="7"/>
    <x v="0"/>
  </r>
  <r>
    <s v="005ak00000icyWTAAY"/>
    <s v="2026-09-14T21:01:58.000Z"/>
    <n v="30"/>
    <s v="a0Aak00000FtDnAEAV"/>
    <s v="a06ak00000amzBqAAI"/>
    <s v="Aubrey Miller"/>
    <s v="Started new piece."/>
    <x v="1"/>
    <b v="0"/>
    <m/>
    <s v="005ak00000icyWTAAY"/>
    <s v="2026-09-16T17:01:26.000Z"/>
    <s v="2026-09-15T17:58:10.000Z"/>
    <s v="2026-09-15T17:58:10.000Z"/>
    <d v="2026-06-23T00:00:00"/>
    <s v="LSN-00100"/>
    <s v="L-0000100"/>
    <s v="131ak000001XjDtAAK"/>
    <b v="0"/>
    <b v="0"/>
    <s v="L-0000100"/>
    <s v="17:30:00.000Z"/>
    <x v="0"/>
    <s v="a07ak00001rZMpTAAW"/>
    <s v="Henry Dubois"/>
    <s v="2026-09-16T17:01:26.000Z"/>
    <b v="1"/>
    <s v="a06ak00000amzBqAAI|2026-06-23|17:30:00.000Z"/>
    <n v="1"/>
    <s v="Red Bank"/>
    <x v="7"/>
    <x v="0"/>
  </r>
  <r>
    <s v="005ak00000icyWTAAY"/>
    <s v="2026-09-14T21:01:58.000Z"/>
    <n v="30"/>
    <s v="a0Aak00000FtDnBEAV"/>
    <s v="a06ak00000amzBqAAI"/>
    <s v="Aubrey Miller"/>
    <s v="Focused on sight reading."/>
    <x v="1"/>
    <b v="0"/>
    <m/>
    <s v="005ak00000icyWTAAY"/>
    <s v="2026-09-16T17:01:26.000Z"/>
    <s v="2026-09-15T17:58:10.000Z"/>
    <s v="2026-09-15T17:58:10.000Z"/>
    <d v="2026-01-07T00:00:00"/>
    <s v="LSN-00101"/>
    <s v="L-0000101"/>
    <s v="131ak000001XjDtAAK"/>
    <b v="0"/>
    <b v="0"/>
    <s v="L-0000101"/>
    <s v="17:00:00.000Z"/>
    <x v="0"/>
    <s v="a07ak00001rZMpTAAW"/>
    <s v="Henry Dubois"/>
    <s v="2026-09-16T17:01:26.000Z"/>
    <b v="1"/>
    <s v="a06ak00000amzBqAAI|2026-01-07|17:00:00.000Z"/>
    <n v="1"/>
    <s v="Red Bank"/>
    <x v="4"/>
    <x v="0"/>
  </r>
  <r>
    <s v="005ak00000icyWTAAY"/>
    <s v="2026-09-14T21:01:58.000Z"/>
    <n v="30"/>
    <s v="a0Aak00000FtDnCEAV"/>
    <s v="a06ak00000amzBqAAI"/>
    <s v="Aubrey Miller"/>
    <s v="Focused on sight reading."/>
    <x v="1"/>
    <b v="0"/>
    <m/>
    <s v="005ak00000icyWTAAY"/>
    <s v="2026-09-16T17:01:26.000Z"/>
    <s v="2026-09-15T17:58:10.000Z"/>
    <s v="2026-09-15T17:58:10.000Z"/>
    <d v="2026-05-02T00:00:00"/>
    <s v="LSN-00102"/>
    <s v="L-0000102"/>
    <s v="131ak000001XjDtAAK"/>
    <b v="0"/>
    <b v="0"/>
    <s v="L-0000102"/>
    <s v="15:30:00.000Z"/>
    <x v="0"/>
    <s v="a07ak00001rZMpTAAW"/>
    <s v="Henry Dubois"/>
    <s v="2026-09-16T17:01:26.000Z"/>
    <b v="1"/>
    <s v="a06ak00000amzBqAAI|2026-05-02|15:30:00.000Z"/>
    <n v="1"/>
    <s v="Red Bank"/>
    <x v="0"/>
    <x v="0"/>
  </r>
  <r>
    <s v="005ak00000icyWTAAY"/>
    <s v="2026-09-14T21:01:58.000Z"/>
    <n v="30"/>
    <s v="a0Aak00000FtDnDEAV"/>
    <s v="a06ak00000amzBrAAI"/>
    <s v="Savannah Silva"/>
    <m/>
    <x v="1"/>
    <b v="0"/>
    <m/>
    <s v="005ak00000icyWTAAY"/>
    <s v="2026-09-16T16:41:26.000Z"/>
    <s v="2026-09-15T17:58:10.000Z"/>
    <s v="2026-09-15T17:58:10.000Z"/>
    <d v="2026-09-15T00:00:00"/>
    <s v="LSN-00103"/>
    <s v="L-0000103"/>
    <s v="131ak000001XjDtAAK"/>
    <b v="1"/>
    <b v="1"/>
    <s v="L-0000103"/>
    <s v="16:00:00.000Z"/>
    <x v="4"/>
    <s v="a07ak00001rZMpTAAW"/>
    <s v="Henry Dubois"/>
    <s v="2026-09-16T16:41:26.000Z"/>
    <b v="0"/>
    <s v=""/>
    <n v="114"/>
    <s v="Red Bank"/>
    <x v="2"/>
    <x v="0"/>
  </r>
  <r>
    <s v="005ak00000icyWTAAY"/>
    <s v="2026-09-14T21:01:58.000Z"/>
    <n v="60"/>
    <s v="a0Aak00000FtDnEEAV"/>
    <s v="a06ak00000amzBpAAI"/>
    <s v="Liam Lopez"/>
    <m/>
    <x v="8"/>
    <b v="0"/>
    <m/>
    <s v="005ak00000icyWTAAY"/>
    <s v="2026-09-16T17:01:26.000Z"/>
    <s v="2026-09-15T17:58:10.000Z"/>
    <s v="2026-09-15T17:58:10.000Z"/>
    <d v="2026-04-18T00:00:00"/>
    <s v="LSN-00104"/>
    <s v="L-0000104"/>
    <s v="131ak000001XjDuAAK"/>
    <b v="0"/>
    <b v="0"/>
    <s v="L-0000104"/>
    <s v="15:30:00.000Z"/>
    <x v="0"/>
    <s v="a07ak00001rZMpVAAW"/>
    <s v="Tyler Rodriguez"/>
    <s v="2026-09-16T17:01:26.000Z"/>
    <b v="1"/>
    <s v="a06ak00000amzBpAAI|2026-04-18|15:30:00.000Z"/>
    <n v="1"/>
    <s v="Brick"/>
    <x v="5"/>
    <x v="0"/>
  </r>
  <r>
    <s v="005ak00000icyWTAAY"/>
    <s v="2026-09-14T21:01:58.000Z"/>
    <n v="45"/>
    <s v="a0Aak00000FtDnFEAV"/>
    <s v="a06ak00000amzBpAAI"/>
    <s v="Liam Lopez"/>
    <s v="Worked on scales and timing."/>
    <x v="8"/>
    <b v="0"/>
    <m/>
    <s v="005ak00000icyWTAAY"/>
    <s v="2026-09-16T17:01:26.000Z"/>
    <s v="2026-09-15T17:58:10.000Z"/>
    <s v="2026-09-15T17:58:10.000Z"/>
    <d v="2026-01-10T00:00:00"/>
    <s v="LSN-00105"/>
    <s v="L-0000105"/>
    <s v="131ak000001XjDuAAK"/>
    <b v="0"/>
    <b v="0"/>
    <s v="L-0000105"/>
    <s v="15:00:00.000Z"/>
    <x v="0"/>
    <s v="a07ak00001rZMpVAAW"/>
    <s v="Tyler Rodriguez"/>
    <s v="2026-09-16T17:01:26.000Z"/>
    <b v="1"/>
    <s v="a06ak00000amzBpAAI|2026-01-10|15:00:00.000Z"/>
    <n v="1"/>
    <s v="Brick"/>
    <x v="4"/>
    <x v="0"/>
  </r>
  <r>
    <s v="005ak00000icyWTAAY"/>
    <s v="2026-09-14T21:01:58.000Z"/>
    <n v="60"/>
    <s v="a0Aak00000FtDnGEAV"/>
    <s v="a06ak00000amzBjAAI"/>
    <s v="Fatima Lewis"/>
    <s v="Started new piece."/>
    <x v="9"/>
    <b v="0"/>
    <m/>
    <s v="005ak00000icyWTAAY"/>
    <s v="2026-09-16T17:01:26.000Z"/>
    <s v="2026-09-15T17:58:10.000Z"/>
    <s v="2026-09-15T17:58:10.000Z"/>
    <d v="2026-07-27T00:00:00"/>
    <s v="LSN-00106"/>
    <s v="L-0000106"/>
    <s v="131ak000001XjDtAAK"/>
    <b v="0"/>
    <b v="0"/>
    <s v="L-0000106"/>
    <s v="17:00:00.000Z"/>
    <x v="0"/>
    <s v="a07ak00001rZMpWAAW"/>
    <s v="Leo Thomas"/>
    <s v="2026-09-16T17:01:26.000Z"/>
    <b v="1"/>
    <s v="a06ak00000amzBjAAI|2026-07-27|17:00:00.000Z"/>
    <n v="1"/>
    <s v="Red Bank"/>
    <x v="8"/>
    <x v="0"/>
  </r>
  <r>
    <s v="005ak00000icyWTAAY"/>
    <s v="2026-09-14T21:01:58.000Z"/>
    <n v="30"/>
    <s v="a0Aak00000FtDnHEAV"/>
    <s v="a06ak00000amzBjAAI"/>
    <s v="Fatima Lewis"/>
    <s v="Started new piece."/>
    <x v="9"/>
    <b v="0"/>
    <m/>
    <s v="005ak00000icyWTAAY"/>
    <s v="2026-09-16T17:01:26.000Z"/>
    <s v="2026-09-15T17:58:10.000Z"/>
    <s v="2026-09-15T17:58:10.000Z"/>
    <d v="2026-02-18T00:00:00"/>
    <s v="LSN-00107"/>
    <s v="L-0000107"/>
    <s v="131ak000001XjDtAAK"/>
    <b v="0"/>
    <b v="0"/>
    <s v="L-0000107"/>
    <s v="18:30:00.000Z"/>
    <x v="0"/>
    <s v="a07ak00001rZMpWAAW"/>
    <s v="Leo Thomas"/>
    <s v="2026-09-16T17:01:26.000Z"/>
    <b v="1"/>
    <s v="a06ak00000amzBjAAI|2026-02-18|18:30:00.000Z"/>
    <n v="1"/>
    <s v="Red Bank"/>
    <x v="1"/>
    <x v="0"/>
  </r>
  <r>
    <s v="005ak00000icyWTAAY"/>
    <s v="2026-09-14T21:01:58.000Z"/>
    <n v="60"/>
    <s v="a0Aak00000FtDnIEAV"/>
    <s v="a06ak00000amzBjAAI"/>
    <s v="Fatima Lewis"/>
    <s v="Focused on sight reading."/>
    <x v="9"/>
    <b v="0"/>
    <m/>
    <s v="005ak00000icyWTAAY"/>
    <s v="2026-09-16T17:01:26.000Z"/>
    <s v="2026-09-15T17:58:10.000Z"/>
    <s v="2026-09-15T17:58:10.000Z"/>
    <d v="2026-08-15T00:00:00"/>
    <s v="LSN-00108"/>
    <s v="L-0000108"/>
    <s v="131ak000001XjDtAAK"/>
    <b v="0"/>
    <b v="0"/>
    <s v="L-0000108"/>
    <s v="17:00:00.000Z"/>
    <x v="0"/>
    <s v="a07ak00001rZMpWAAW"/>
    <s v="Leo Thomas"/>
    <s v="2026-09-16T17:01:26.000Z"/>
    <b v="1"/>
    <s v="a06ak00000amzBjAAI|2026-08-15|17:00:00.000Z"/>
    <n v="1"/>
    <s v="Red Bank"/>
    <x v="6"/>
    <x v="0"/>
  </r>
  <r>
    <s v="005ak00000icyWTAAY"/>
    <s v="2026-09-14T21:01:58.000Z"/>
    <n v="60"/>
    <s v="a0Aak00000FtDnJEAV"/>
    <s v="a06ak00000amzBjAAI"/>
    <s v="Fatima Lewis"/>
    <s v="Focused on sight reading."/>
    <x v="9"/>
    <b v="0"/>
    <m/>
    <s v="005ak00000icyWTAAY"/>
    <s v="2026-09-16T17:01:26.000Z"/>
    <s v="2026-09-15T17:58:10.000Z"/>
    <s v="2026-09-15T17:58:10.000Z"/>
    <d v="2026-09-06T00:00:00"/>
    <s v="LSN-00109"/>
    <s v="L-0000109"/>
    <s v="131ak000001XjDtAAK"/>
    <b v="0"/>
    <b v="0"/>
    <s v="L-0000109"/>
    <s v="17:00:00.000Z"/>
    <x v="0"/>
    <s v="a07ak00001rZMpWAAW"/>
    <s v="Leo Thomas"/>
    <s v="2026-09-16T17:01:26.000Z"/>
    <b v="1"/>
    <s v="a06ak00000amzBjAAI|2026-09-06|17:00:00.000Z"/>
    <n v="1"/>
    <s v="Red Bank"/>
    <x v="2"/>
    <x v="0"/>
  </r>
  <r>
    <s v="005ak00000icyWTAAY"/>
    <s v="2026-09-14T21:01:58.000Z"/>
    <n v="30"/>
    <s v="a0Aak00000FtDnKEAV"/>
    <s v="a06ak00000amzBjAAI"/>
    <s v="Fatima Lewis"/>
    <s v="Good progress on technique."/>
    <x v="9"/>
    <b v="0"/>
    <m/>
    <s v="005ak00000icyWTAAY"/>
    <s v="2026-09-16T17:01:26.000Z"/>
    <s v="2026-09-15T17:58:10.000Z"/>
    <s v="2026-09-15T17:58:10.000Z"/>
    <d v="2026-06-20T00:00:00"/>
    <s v="LSN-00110"/>
    <s v="L-0000110"/>
    <s v="131ak000001XjDtAAK"/>
    <b v="0"/>
    <b v="0"/>
    <s v="L-0000110"/>
    <s v="17:30:00.000Z"/>
    <x v="0"/>
    <s v="a07ak00001rZMpWAAW"/>
    <s v="Leo Thomas"/>
    <s v="2026-09-16T17:01:26.000Z"/>
    <b v="1"/>
    <s v="a06ak00000amzBjAAI|2026-06-20|17:30:00.000Z"/>
    <n v="1"/>
    <s v="Red Bank"/>
    <x v="7"/>
    <x v="0"/>
  </r>
  <r>
    <s v="005ak00000icyWTAAY"/>
    <s v="2026-09-14T21:01:58.000Z"/>
    <n v="60"/>
    <s v="a0Aak00000FtDnLEAV"/>
    <s v="a06ak00000amzBjAAI"/>
    <s v="Fatima Lewis"/>
    <m/>
    <x v="9"/>
    <b v="0"/>
    <m/>
    <s v="005ak00000icyWTAAY"/>
    <s v="2026-09-16T17:01:26.000Z"/>
    <s v="2026-09-15T17:58:10.000Z"/>
    <s v="2026-09-15T17:58:10.000Z"/>
    <d v="2026-03-26T00:00:00"/>
    <s v="LSN-00111"/>
    <s v="L-0000111"/>
    <s v="131ak000001XjDtAAK"/>
    <b v="0"/>
    <b v="0"/>
    <s v="L-0000111"/>
    <s v="18:30:00.000Z"/>
    <x v="3"/>
    <s v="a07ak00001rZMpWAAW"/>
    <s v="Leo Thomas"/>
    <s v="2026-09-16T17:01:26.000Z"/>
    <b v="1"/>
    <s v="a06ak00000amzBjAAI|2026-03-26|18:30:00.000Z"/>
    <n v="1"/>
    <s v="Red Bank"/>
    <x v="3"/>
    <x v="0"/>
  </r>
  <r>
    <s v="005ak00000icyWTAAY"/>
    <s v="2026-09-14T21:01:58.000Z"/>
    <n v="30"/>
    <s v="a0Aak00000FtDnMEAV"/>
    <s v="a06ak00000amzC7AAI"/>
    <s v="Wyatt Hall"/>
    <s v="Good progress on technique."/>
    <x v="10"/>
    <b v="0"/>
    <m/>
    <s v="005ak00000icyWTAAY"/>
    <s v="2026-09-16T17:01:26.000Z"/>
    <s v="2026-09-15T17:58:10.000Z"/>
    <s v="2026-09-15T17:58:10.000Z"/>
    <d v="2026-08-14T00:00:00"/>
    <s v="LSN-00112"/>
    <s v="L-0000112"/>
    <s v="131ak000001XjDtAAK"/>
    <b v="0"/>
    <b v="0"/>
    <s v="L-0000112"/>
    <s v="18:00:00.000Z"/>
    <x v="0"/>
    <s v="a07ak00001rZMpXAAW"/>
    <s v="Jordan Miller"/>
    <s v="2026-09-16T17:01:26.000Z"/>
    <b v="1"/>
    <s v="a06ak00000amzC7AAI|2026-08-14|18:00:00.000Z"/>
    <n v="1"/>
    <s v="Red Bank"/>
    <x v="6"/>
    <x v="0"/>
  </r>
  <r>
    <s v="005ak00000icyWTAAY"/>
    <s v="2026-09-14T21:01:58.000Z"/>
    <n v="30"/>
    <s v="a0Aak00000FtDnNEAV"/>
    <s v="a06ak00000amzC7AAI"/>
    <s v="Wyatt Hall"/>
    <s v="Worked on scales and timing."/>
    <x v="10"/>
    <b v="0"/>
    <m/>
    <s v="005ak00000icyWTAAY"/>
    <s v="2026-09-16T17:01:26.000Z"/>
    <s v="2026-09-15T17:58:10.000Z"/>
    <s v="2026-09-15T17:58:10.000Z"/>
    <d v="2026-07-14T00:00:00"/>
    <s v="LSN-00113"/>
    <s v="L-0000113"/>
    <s v="131ak000001XjDtAAK"/>
    <b v="0"/>
    <b v="0"/>
    <s v="L-0000113"/>
    <s v="19:00:00.000Z"/>
    <x v="0"/>
    <s v="a07ak00001rZMpXAAW"/>
    <s v="Jordan Miller"/>
    <s v="2026-09-16T17:01:26.000Z"/>
    <b v="1"/>
    <s v="a06ak00000amzC7AAI|2026-07-14|19:00:00.000Z"/>
    <n v="1"/>
    <s v="Red Bank"/>
    <x v="8"/>
    <x v="0"/>
  </r>
  <r>
    <s v="005ak00000icyWTAAY"/>
    <s v="2026-09-14T21:01:58.000Z"/>
    <n v="30"/>
    <s v="a0Aak00000FtDnOEAV"/>
    <s v="a06ak00000amzC7AAI"/>
    <s v="Wyatt Hall"/>
    <m/>
    <x v="10"/>
    <b v="0"/>
    <m/>
    <s v="005ak00000icyWTAAY"/>
    <s v="2026-09-16T17:01:26.000Z"/>
    <s v="2026-09-15T17:58:10.000Z"/>
    <s v="2026-09-15T17:58:10.000Z"/>
    <d v="2026-08-15T00:00:00"/>
    <s v="LSN-00115"/>
    <s v="L-0000114"/>
    <s v="131ak000001XjDtAAK"/>
    <b v="0"/>
    <b v="0"/>
    <s v="L-0000114"/>
    <s v="17:30:00.000Z"/>
    <x v="3"/>
    <s v="a07ak00001rZMpXAAW"/>
    <s v="Jordan Miller"/>
    <s v="2026-09-16T17:01:26.000Z"/>
    <b v="1"/>
    <s v="a06ak00000amzC7AAI|2026-08-15|17:30:00.000Z"/>
    <n v="1"/>
    <s v="Red Bank"/>
    <x v="6"/>
    <x v="0"/>
  </r>
  <r>
    <s v="005ak00000icyWTAAY"/>
    <s v="2026-09-14T21:01:58.000Z"/>
    <n v="60"/>
    <s v="a0Aak00000FtDnPEAV"/>
    <s v="a06ak00000amzC7AAI"/>
    <s v="Wyatt Hall"/>
    <s v="Worked on scales and timing."/>
    <x v="10"/>
    <b v="0"/>
    <m/>
    <s v="005ak00000icyWTAAY"/>
    <s v="2026-09-16T17:01:26.000Z"/>
    <s v="2026-09-15T17:58:10.000Z"/>
    <s v="2026-09-15T17:58:10.000Z"/>
    <d v="2026-07-30T00:00:00"/>
    <s v="LSN-00116"/>
    <s v="L-0000115"/>
    <s v="131ak000001XjDtAAK"/>
    <b v="0"/>
    <b v="0"/>
    <s v="L-0000115"/>
    <s v="15:00:00.000Z"/>
    <x v="0"/>
    <s v="a07ak00001rZMpXAAW"/>
    <s v="Jordan Miller"/>
    <s v="2026-09-16T17:01:26.000Z"/>
    <b v="1"/>
    <s v="a06ak00000amzC7AAI|2026-07-30|15:00:00.000Z"/>
    <n v="1"/>
    <s v="Red Bank"/>
    <x v="8"/>
    <x v="0"/>
  </r>
  <r>
    <s v="005ak00000icyWTAAY"/>
    <s v="2026-09-14T21:01:58.000Z"/>
    <n v="45"/>
    <s v="a0Aak00000FtDnQEAV"/>
    <s v="a06ak00000amzC7AAI"/>
    <s v="Wyatt Hall"/>
    <s v="Started new piece."/>
    <x v="10"/>
    <b v="0"/>
    <m/>
    <s v="005ak00000icyWTAAY"/>
    <s v="2026-09-16T17:01:26.000Z"/>
    <s v="2026-09-15T17:58:10.000Z"/>
    <s v="2026-09-15T17:58:10.000Z"/>
    <d v="2026-05-08T00:00:00"/>
    <s v="LSN-00117"/>
    <s v="L-0000116"/>
    <s v="131ak000001XjDtAAK"/>
    <b v="0"/>
    <b v="0"/>
    <s v="L-0000116"/>
    <s v="11:00:00.000Z"/>
    <x v="0"/>
    <s v="a07ak00001rZMpXAAW"/>
    <s v="Jordan Miller"/>
    <s v="2026-09-16T17:01:26.000Z"/>
    <b v="1"/>
    <s v="a06ak00000amzC7AAI|2026-05-08|11:00:00.000Z"/>
    <n v="1"/>
    <s v="Red Bank"/>
    <x v="0"/>
    <x v="0"/>
  </r>
  <r>
    <s v="005ak00000icyWTAAY"/>
    <s v="2026-09-14T21:01:58.000Z"/>
    <n v="45"/>
    <s v="a0Aak00000FtDnREAV"/>
    <s v="a06ak00000amzC7AAI"/>
    <s v="Wyatt Hall"/>
    <m/>
    <x v="10"/>
    <b v="0"/>
    <m/>
    <s v="005ak00000icyWTAAY"/>
    <s v="2026-09-16T17:01:26.000Z"/>
    <s v="2026-09-15T17:58:10.000Z"/>
    <s v="2026-09-15T17:58:10.000Z"/>
    <d v="2026-04-10T00:00:00"/>
    <s v="LSN-00118"/>
    <s v="L-0000117"/>
    <s v="131ak000001XjDtAAK"/>
    <b v="0"/>
    <b v="0"/>
    <s v="L-0000117"/>
    <s v="17:30:00.000Z"/>
    <x v="3"/>
    <s v="a07ak00001rZMpXAAW"/>
    <s v="Jordan Miller"/>
    <s v="2026-09-16T17:01:26.000Z"/>
    <b v="1"/>
    <s v="a06ak00000amzC7AAI|2026-04-10|17:30:00.000Z"/>
    <n v="1"/>
    <s v="Red Bank"/>
    <x v="5"/>
    <x v="0"/>
  </r>
  <r>
    <s v="005ak00000icyWTAAY"/>
    <s v="2026-09-14T21:01:58.000Z"/>
    <n v="45"/>
    <s v="a0Aak00000FtDnSEAV"/>
    <s v="a06ak00000amzCHAAY"/>
    <s v="Liam Flores"/>
    <s v="Started new piece."/>
    <x v="4"/>
    <b v="0"/>
    <m/>
    <s v="005ak00000icyWTAAY"/>
    <s v="2026-09-16T17:01:26.000Z"/>
    <s v="2026-09-15T17:58:10.000Z"/>
    <s v="2026-09-15T17:58:10.000Z"/>
    <d v="2026-07-20T00:00:00"/>
    <s v="LSN-00119"/>
    <s v="L-0000118"/>
    <s v="131ak000001XjDuAAK"/>
    <b v="0"/>
    <b v="0"/>
    <s v="L-0000118"/>
    <s v="15:00:00.000Z"/>
    <x v="0"/>
    <s v="a07ak00001rZMpZAAW"/>
    <s v="Harper Patel"/>
    <s v="2026-09-16T17:01:26.000Z"/>
    <b v="1"/>
    <s v="a06ak00000amzCHAAY|2026-07-20|15:00:00.000Z"/>
    <n v="1"/>
    <s v="Brick"/>
    <x v="8"/>
    <x v="0"/>
  </r>
  <r>
    <s v="005ak00000icyWTAAY"/>
    <s v="2026-09-14T21:01:58.000Z"/>
    <n v="30"/>
    <s v="a0Aak00000FtDnTEAV"/>
    <s v="a06ak00000amzCHAAY"/>
    <s v="Liam Flores"/>
    <m/>
    <x v="4"/>
    <b v="0"/>
    <m/>
    <s v="005ak00000icyWTAAY"/>
    <s v="2026-09-16T17:01:26.000Z"/>
    <s v="2026-09-15T17:58:10.000Z"/>
    <s v="2026-09-15T17:58:10.000Z"/>
    <d v="2026-06-10T00:00:00"/>
    <s v="LSN-00120"/>
    <s v="L-0000119"/>
    <s v="131ak000001XjDuAAK"/>
    <b v="0"/>
    <b v="0"/>
    <s v="L-0000119"/>
    <s v="15:30:00.000Z"/>
    <x v="1"/>
    <s v="a07ak00001rZMpZAAW"/>
    <s v="Harper Patel"/>
    <s v="2026-09-16T17:01:26.000Z"/>
    <b v="1"/>
    <s v=""/>
    <m/>
    <s v="Brick"/>
    <x v="7"/>
    <x v="0"/>
  </r>
  <r>
    <s v="005ak00000icyWTAAY"/>
    <s v="2026-09-14T21:01:58.000Z"/>
    <n v="45"/>
    <s v="a0Aak00000FtDnUEAV"/>
    <s v="a06ak00000amzCHAAY"/>
    <s v="Liam Flores"/>
    <s v="Focused on sight reading."/>
    <x v="4"/>
    <b v="0"/>
    <m/>
    <s v="005ak00000icyWTAAY"/>
    <s v="2026-09-16T17:01:26.000Z"/>
    <s v="2026-09-15T17:58:10.000Z"/>
    <s v="2026-09-15T17:58:10.000Z"/>
    <d v="2026-09-11T00:00:00"/>
    <s v="LSN-00121"/>
    <s v="L-0000120"/>
    <s v="131ak000001XjDuAAK"/>
    <b v="0"/>
    <b v="0"/>
    <s v="L-0000120"/>
    <s v="18:30:00.000Z"/>
    <x v="0"/>
    <s v="a07ak00001rZMpZAAW"/>
    <s v="Harper Patel"/>
    <s v="2026-09-16T17:01:26.000Z"/>
    <b v="1"/>
    <s v="a06ak00000amzCHAAY|2026-09-11|18:30:00.000Z"/>
    <n v="1"/>
    <s v="Brick"/>
    <x v="2"/>
    <x v="0"/>
  </r>
  <r>
    <s v="005ak00000icyWTAAY"/>
    <s v="2026-09-14T21:01:58.000Z"/>
    <n v="30"/>
    <s v="a0Aak00000FtDnVEAV"/>
    <s v="a06ak00000amzCHAAY"/>
    <s v="Liam Flores"/>
    <s v="Worked on scales and timing."/>
    <x v="4"/>
    <b v="0"/>
    <m/>
    <s v="005ak00000icyWTAAY"/>
    <s v="2026-09-16T17:01:26.000Z"/>
    <s v="2026-09-15T17:58:10.000Z"/>
    <s v="2026-09-15T17:58:10.000Z"/>
    <d v="2026-03-08T00:00:00"/>
    <s v="LSN-00122"/>
    <s v="L-0000121"/>
    <s v="131ak000001XjDuAAK"/>
    <b v="0"/>
    <b v="0"/>
    <s v="L-0000121"/>
    <s v="19:00:00.000Z"/>
    <x v="0"/>
    <s v="a07ak00001rZMpZAAW"/>
    <s v="Harper Patel"/>
    <s v="2026-09-16T17:01:26.000Z"/>
    <b v="1"/>
    <s v="a06ak00000amzCHAAY|2026-03-08|19:00:00.000Z"/>
    <n v="1"/>
    <s v="Brick"/>
    <x v="3"/>
    <x v="0"/>
  </r>
  <r>
    <s v="005ak00000icyWTAAY"/>
    <s v="2026-09-14T21:01:58.000Z"/>
    <n v="30"/>
    <s v="a0Aak00000FtDnWEAV"/>
    <s v="a06ak00000amzCHAAY"/>
    <s v="Liam Flores"/>
    <m/>
    <x v="4"/>
    <b v="0"/>
    <m/>
    <s v="005ak00000icyWTAAY"/>
    <s v="2026-09-16T17:01:26.000Z"/>
    <s v="2026-09-15T17:58:10.000Z"/>
    <s v="2026-09-15T17:58:10.000Z"/>
    <d v="2026-04-20T00:00:00"/>
    <s v="LSN-00123"/>
    <s v="L-0000122"/>
    <s v="131ak000001XjDuAAK"/>
    <b v="0"/>
    <b v="0"/>
    <s v="L-0000122"/>
    <s v="17:30:00.000Z"/>
    <x v="1"/>
    <s v="a07ak00001rZMpZAAW"/>
    <s v="Harper Patel"/>
    <s v="2026-09-16T17:01:26.000Z"/>
    <b v="1"/>
    <s v=""/>
    <m/>
    <s v="Brick"/>
    <x v="5"/>
    <x v="0"/>
  </r>
  <r>
    <s v="005ak00000icyWTAAY"/>
    <s v="2026-09-14T21:01:58.000Z"/>
    <n v="30"/>
    <s v="a0Aak00000FtDnXEAV"/>
    <s v="a06ak00000amzCHAAY"/>
    <s v="Liam Flores"/>
    <s v="Reviewed last week&amp;#39;s assignment."/>
    <x v="4"/>
    <b v="0"/>
    <m/>
    <s v="005ak00000icyWTAAY"/>
    <s v="2026-09-16T17:01:26.000Z"/>
    <s v="2026-09-15T17:58:10.000Z"/>
    <s v="2026-09-15T17:58:10.000Z"/>
    <d v="2026-08-28T00:00:00"/>
    <s v="LSN-00124"/>
    <s v="L-0000123"/>
    <s v="131ak000001XjDuAAK"/>
    <b v="0"/>
    <b v="0"/>
    <s v="L-0000123"/>
    <s v="16:30:00.000Z"/>
    <x v="0"/>
    <s v="a07ak00001rZMpZAAW"/>
    <s v="Harper Patel"/>
    <s v="2026-09-16T17:01:26.000Z"/>
    <b v="1"/>
    <s v="a06ak00000amzCHAAY|2026-08-28|16:30:00.000Z"/>
    <n v="1"/>
    <s v="Brick"/>
    <x v="6"/>
    <x v="0"/>
  </r>
  <r>
    <s v="005ak00000icyWTAAY"/>
    <s v="2026-09-14T21:01:58.000Z"/>
    <n v="30"/>
    <s v="a0Aak00000FtDnYEAV"/>
    <s v="a06ak00000amzCHAAY"/>
    <s v="Liam Flores"/>
    <m/>
    <x v="4"/>
    <b v="0"/>
    <m/>
    <s v="005ak00000icyWTAAY"/>
    <s v="2026-09-16T17:01:26.000Z"/>
    <s v="2026-09-15T17:58:10.000Z"/>
    <s v="2026-09-15T17:58:10.000Z"/>
    <d v="2026-06-16T00:00:00"/>
    <s v="LSN-00125"/>
    <s v="L-0000124"/>
    <s v="131ak000001XjDuAAK"/>
    <b v="0"/>
    <b v="0"/>
    <s v="L-0000124"/>
    <s v="15:30:00.000Z"/>
    <x v="1"/>
    <s v="a07ak00001rZMpZAAW"/>
    <s v="Harper Patel"/>
    <s v="2026-09-16T17:01:26.000Z"/>
    <b v="1"/>
    <s v=""/>
    <m/>
    <s v="Brick"/>
    <x v="7"/>
    <x v="0"/>
  </r>
  <r>
    <s v="005ak00000icyWTAAY"/>
    <s v="2026-09-14T21:01:58.000Z"/>
    <n v="60"/>
    <s v="a0Aak00000FtDnZEAV"/>
    <s v="a06ak00000amzCCAAY"/>
    <s v="Rowan Jones"/>
    <s v="Worked on scales and timing."/>
    <x v="3"/>
    <b v="0"/>
    <m/>
    <s v="005ak00000icyWTAAY"/>
    <s v="2026-09-16T17:01:26.000Z"/>
    <m/>
    <m/>
    <d v="2026-07-02T00:00:00"/>
    <s v="LSN-00126"/>
    <s v="L-0000125"/>
    <s v="131ak000001XjDuAAK"/>
    <b v="0"/>
    <b v="0"/>
    <s v="L-0000125"/>
    <s v="18:30:00.000Z"/>
    <x v="0"/>
    <s v="a07ak00001rZMpaAAG"/>
    <s v="Layla Hill"/>
    <s v="2026-09-16T17:01:26.000Z"/>
    <b v="1"/>
    <s v="a06ak00000amzCCAAY|2026-07-02|18:30:00.000Z"/>
    <n v="1"/>
    <s v="Brick"/>
    <x v="8"/>
    <x v="0"/>
  </r>
  <r>
    <s v="005ak00000icyWTAAY"/>
    <s v="2026-09-14T21:01:58.000Z"/>
    <n v="60"/>
    <s v="a0Aak00000FtDnaEAF"/>
    <s v="a06ak00000amzCCAAY"/>
    <s v="Rowan Jones"/>
    <s v="Started new piece."/>
    <x v="3"/>
    <b v="0"/>
    <m/>
    <s v="005ak00000icyWTAAY"/>
    <s v="2026-09-16T17:01:26.000Z"/>
    <s v="2026-09-15T17:47:56.000Z"/>
    <s v="2026-09-15T17:47:56.000Z"/>
    <d v="2026-04-19T00:00:00"/>
    <s v="LSN-00127"/>
    <s v="L-0000126"/>
    <s v="131ak000001XjDuAAK"/>
    <b v="0"/>
    <b v="0"/>
    <s v="L-0000126"/>
    <s v="18:30:00.000Z"/>
    <x v="0"/>
    <s v="a07ak00001rZMpaAAG"/>
    <s v="Layla Hill"/>
    <s v="2026-09-16T17:01:26.000Z"/>
    <b v="1"/>
    <s v="a06ak00000amzCCAAY|2026-04-19|18:30:00.000Z"/>
    <n v="1"/>
    <s v="Brick"/>
    <x v="5"/>
    <x v="0"/>
  </r>
  <r>
    <s v="005ak00000icyWTAAY"/>
    <s v="2026-09-14T21:01:58.000Z"/>
    <n v="30"/>
    <s v="a0Aak00000FtDnbEAF"/>
    <s v="a06ak00000amzCDAAY"/>
    <s v="Vincent Kelly"/>
    <s v="Started new piece."/>
    <x v="9"/>
    <b v="0"/>
    <m/>
    <s v="005ak00000icyWTAAY"/>
    <s v="2026-09-16T17:01:26.000Z"/>
    <s v="2026-09-15T17:58:10.000Z"/>
    <s v="2026-09-15T17:58:10.000Z"/>
    <d v="2026-04-13T00:00:00"/>
    <s v="LSN-00128"/>
    <s v="L-0000127"/>
    <s v="131ak000001XjDtAAK"/>
    <b v="0"/>
    <b v="0"/>
    <s v="L-0000127"/>
    <s v="10:00:00.000Z"/>
    <x v="0"/>
    <s v="a07ak00001rZMpbAAG"/>
    <s v="Sofia Green"/>
    <s v="2026-09-16T17:01:26.000Z"/>
    <b v="1"/>
    <s v="a06ak00000amzCDAAY|2026-04-13|10:00:00.000Z"/>
    <n v="1"/>
    <s v="Red Bank"/>
    <x v="5"/>
    <x v="0"/>
  </r>
  <r>
    <s v="005ak00000icyWTAAY"/>
    <s v="2026-09-14T21:01:58.000Z"/>
    <n v="30"/>
    <s v="a0Aak00000FtDncEAF"/>
    <s v="a06ak00000amzCDAAY"/>
    <s v="Vincent Kelly"/>
    <s v="Good progress on technique."/>
    <x v="9"/>
    <b v="0"/>
    <m/>
    <s v="005ak00000icyWTAAY"/>
    <s v="2026-09-16T17:01:26.000Z"/>
    <s v="2026-09-15T17:58:10.000Z"/>
    <s v="2026-09-15T17:58:10.000Z"/>
    <d v="2026-07-21T00:00:00"/>
    <s v="LSN-00129"/>
    <s v="L-0000128"/>
    <s v="131ak000001XjDtAAK"/>
    <b v="0"/>
    <b v="0"/>
    <s v="L-0000128"/>
    <s v="18:30:00.000Z"/>
    <x v="0"/>
    <s v="a07ak00001rZMpbAAG"/>
    <s v="Sofia Green"/>
    <s v="2026-09-16T17:01:26.000Z"/>
    <b v="1"/>
    <s v="a06ak00000amzCDAAY|2026-07-21|18:30:00.000Z"/>
    <n v="1"/>
    <s v="Red Bank"/>
    <x v="8"/>
    <x v="0"/>
  </r>
  <r>
    <s v="005ak00000icyWTAAY"/>
    <s v="2026-09-14T21:01:58.000Z"/>
    <n v="45"/>
    <s v="a0Aak00000FtDndEAF"/>
    <s v="a06ak00000amzCDAAY"/>
    <s v="Vincent Kelly"/>
    <s v="Started new piece."/>
    <x v="9"/>
    <b v="0"/>
    <m/>
    <s v="005ak00000icyWTAAY"/>
    <s v="2026-09-16T17:01:26.000Z"/>
    <s v="2026-09-15T17:58:10.000Z"/>
    <s v="2026-09-15T17:58:10.000Z"/>
    <d v="2026-02-24T00:00:00"/>
    <s v="LSN-00130"/>
    <s v="L-0000129"/>
    <s v="131ak000001XjDtAAK"/>
    <b v="0"/>
    <b v="0"/>
    <s v="L-0000129"/>
    <s v="18:00:00.000Z"/>
    <x v="0"/>
    <s v="a07ak00001rZMpbAAG"/>
    <s v="Sofia Green"/>
    <s v="2026-09-16T17:01:26.000Z"/>
    <b v="1"/>
    <s v="a06ak00000amzCDAAY|2026-02-24|18:00:00.000Z"/>
    <n v="1"/>
    <s v="Red Bank"/>
    <x v="1"/>
    <x v="0"/>
  </r>
  <r>
    <s v="005ak00000icyWTAAY"/>
    <s v="2026-09-14T21:01:58.000Z"/>
    <n v="60"/>
    <s v="a0Aak00000FtDneEAF"/>
    <s v="a06ak00000amzCDAAY"/>
    <s v="Vincent Kelly"/>
    <s v="Reviewed last week&amp;#39;s assignment."/>
    <x v="9"/>
    <b v="0"/>
    <m/>
    <s v="005ak00000icyWTAAY"/>
    <s v="2026-09-16T17:01:26.000Z"/>
    <s v="2026-09-15T17:58:10.000Z"/>
    <s v="2026-09-15T17:58:10.000Z"/>
    <d v="2026-05-08T00:00:00"/>
    <s v="LSN-00131"/>
    <s v="L-0000130"/>
    <s v="131ak000001XjDtAAK"/>
    <b v="0"/>
    <b v="0"/>
    <s v="L-0000130"/>
    <s v="11:00:00.000Z"/>
    <x v="0"/>
    <s v="a07ak00001rZMpbAAG"/>
    <s v="Sofia Green"/>
    <s v="2026-09-16T17:01:26.000Z"/>
    <b v="1"/>
    <s v="a06ak00000amzCDAAY|2026-05-08|11:00:00.000Z"/>
    <n v="1"/>
    <s v="Red Bank"/>
    <x v="0"/>
    <x v="0"/>
  </r>
  <r>
    <s v="005ak00000icyWTAAY"/>
    <s v="2026-09-14T21:01:58.000Z"/>
    <n v="30"/>
    <s v="a0Aak00000FtDnfEAF"/>
    <s v="a06ak00000amzC0AAI"/>
    <s v="James Moore"/>
    <s v="Reviewed last week&amp;#39;s assignment."/>
    <x v="9"/>
    <b v="0"/>
    <m/>
    <s v="005ak00000icyWTAAY"/>
    <s v="2026-09-23T19:02:24.000Z"/>
    <s v="2026-09-15T17:58:10.000Z"/>
    <s v="2026-09-15T17:58:10.000Z"/>
    <d v="2026-09-27T00:00:00"/>
    <s v="LSN-00132"/>
    <s v="L-0000131"/>
    <s v="131ak000001XjDtAAK"/>
    <b v="0"/>
    <b v="0"/>
    <s v="L-0000131"/>
    <s v="15:00:00.000Z"/>
    <x v="0"/>
    <s v="a07ak00001rZMpbAAG"/>
    <s v="Sofia Green"/>
    <s v="2026-09-23T19:02:24.000Z"/>
    <b v="1"/>
    <s v="a06ak00000amzC0AAI|2026-09-27|15:00:00.000Z"/>
    <n v="1"/>
    <s v="Red Bank"/>
    <x v="2"/>
    <x v="0"/>
  </r>
  <r>
    <s v="005ak00000icyWTAAY"/>
    <s v="2026-09-14T21:01:58.000Z"/>
    <n v="30"/>
    <s v="a0Aak00000FtDngEAF"/>
    <s v="a06ak00000amzCDAAY"/>
    <s v="Vincent Kelly"/>
    <m/>
    <x v="9"/>
    <b v="0"/>
    <m/>
    <s v="005ak00000icyWTAAY"/>
    <s v="2026-09-16T17:01:26.000Z"/>
    <s v="2026-09-15T17:58:10.000Z"/>
    <s v="2026-09-15T17:58:10.000Z"/>
    <d v="2026-02-19T00:00:00"/>
    <s v="LSN-00133"/>
    <s v="L-0000132"/>
    <s v="131ak000001XjDtAAK"/>
    <b v="0"/>
    <b v="0"/>
    <s v="L-0000132"/>
    <s v="11:00:00.000Z"/>
    <x v="0"/>
    <s v="a07ak00001rZMpbAAG"/>
    <s v="Sofia Green"/>
    <s v="2026-09-16T17:01:26.000Z"/>
    <b v="1"/>
    <s v="a06ak00000amzCDAAY|2026-02-19|11:00:00.000Z"/>
    <n v="1"/>
    <s v="Red Bank"/>
    <x v="1"/>
    <x v="0"/>
  </r>
  <r>
    <s v="005ak00000icyWTAAY"/>
    <s v="2026-09-14T21:01:58.000Z"/>
    <n v="30"/>
    <s v="a0Aak00000FtDnhEAF"/>
    <s v="a06ak00000amzCDAAY"/>
    <s v="Vincent Kelly"/>
    <s v="Focused on sight reading."/>
    <x v="9"/>
    <b v="0"/>
    <m/>
    <s v="005ak00000icyWTAAY"/>
    <s v="2026-09-16T17:01:26.000Z"/>
    <s v="2026-09-15T17:58:10.000Z"/>
    <s v="2026-09-15T17:58:10.000Z"/>
    <d v="2026-06-30T00:00:00"/>
    <s v="LSN-00134"/>
    <s v="L-0000133"/>
    <s v="131ak000001XjDtAAK"/>
    <b v="0"/>
    <b v="0"/>
    <s v="L-0000133"/>
    <s v="10:00:00.000Z"/>
    <x v="0"/>
    <s v="a07ak00001rZMpbAAG"/>
    <s v="Sofia Green"/>
    <s v="2026-09-16T17:01:26.000Z"/>
    <b v="1"/>
    <s v="a06ak00000amzCDAAY|2026-06-30|10:00:00.000Z"/>
    <n v="1"/>
    <s v="Red Bank"/>
    <x v="7"/>
    <x v="0"/>
  </r>
  <r>
    <s v="005ak00000icyWTAAY"/>
    <s v="2026-09-14T21:01:58.000Z"/>
    <n v="30"/>
    <s v="a0Aak00000FtDniEAF"/>
    <s v="a06ak00000amzCDAAY"/>
    <s v="Vincent Kelly"/>
    <s v="Worked on scales and timing."/>
    <x v="9"/>
    <b v="0"/>
    <m/>
    <s v="005ak00000icyWTAAY"/>
    <s v="2026-09-16T17:01:26.000Z"/>
    <s v="2026-09-15T17:58:10.000Z"/>
    <s v="2026-09-15T17:58:10.000Z"/>
    <d v="2026-05-27T00:00:00"/>
    <s v="LSN-00135"/>
    <s v="L-0000134"/>
    <s v="131ak000001XjDtAAK"/>
    <b v="0"/>
    <b v="0"/>
    <s v="L-0000134"/>
    <s v="15:00:00.000Z"/>
    <x v="0"/>
    <s v="a07ak00001rZMpbAAG"/>
    <s v="Sofia Green"/>
    <s v="2026-09-16T17:01:26.000Z"/>
    <b v="1"/>
    <s v="a06ak00000amzCDAAY|2026-05-27|15:00:00.000Z"/>
    <n v="1"/>
    <s v="Red Bank"/>
    <x v="0"/>
    <x v="0"/>
  </r>
  <r>
    <s v="005ak00000icyWTAAY"/>
    <s v="2026-09-14T21:01:58.000Z"/>
    <n v="30"/>
    <s v="a0Aak00000FtDnjEAF"/>
    <s v="a06ak00000amzCIAAY"/>
    <s v="Omar Nelson"/>
    <s v="Reviewed last week&amp;#39;s assignment."/>
    <x v="7"/>
    <b v="0"/>
    <m/>
    <s v="005ak00000icyWTAAY"/>
    <s v="2026-09-16T17:01:26.000Z"/>
    <s v="2026-09-15T17:58:10.000Z"/>
    <s v="2026-09-15T17:58:10.000Z"/>
    <d v="2026-08-08T00:00:00"/>
    <s v="LSN-00137"/>
    <s v="L-0000135"/>
    <s v="131ak000001XjDvAAK"/>
    <b v="0"/>
    <b v="0"/>
    <s v="L-0000135"/>
    <s v="17:00:00.000Z"/>
    <x v="0"/>
    <s v="a07ak00001rZMpcAAG"/>
    <s v="Adrian Sullivan"/>
    <s v="2026-09-16T17:01:26.000Z"/>
    <b v="1"/>
    <s v="a06ak00000amzCIAAY|2026-08-08|17:00:00.000Z"/>
    <n v="1"/>
    <s v="Toms River"/>
    <x v="6"/>
    <x v="0"/>
  </r>
  <r>
    <s v="005ak00000icyWTAAY"/>
    <s v="2026-09-14T21:01:58.000Z"/>
    <n v="60"/>
    <s v="a0Aak00000FtDnkEAF"/>
    <s v="a06ak00000amzCIAAY"/>
    <s v="Omar Nelson"/>
    <s v="Reviewed last week&amp;#39;s assignment."/>
    <x v="7"/>
    <b v="0"/>
    <m/>
    <s v="005ak00000icyWTAAY"/>
    <s v="2026-09-16T17:01:26.000Z"/>
    <s v="2026-09-15T17:58:10.000Z"/>
    <s v="2026-09-15T17:58:10.000Z"/>
    <d v="2026-07-19T00:00:00"/>
    <s v="LSN-00138"/>
    <s v="L-0000136"/>
    <s v="131ak000001XjDvAAK"/>
    <b v="0"/>
    <b v="0"/>
    <s v="L-0000136"/>
    <s v="16:00:00.000Z"/>
    <x v="0"/>
    <s v="a07ak00001rZMpcAAG"/>
    <s v="Adrian Sullivan"/>
    <s v="2026-09-16T17:01:26.000Z"/>
    <b v="1"/>
    <s v="a06ak00000amzCIAAY|2026-07-19|16:00:00.000Z"/>
    <n v="1"/>
    <s v="Toms River"/>
    <x v="8"/>
    <x v="0"/>
  </r>
  <r>
    <s v="005ak00000icyWTAAY"/>
    <s v="2026-09-14T21:01:58.000Z"/>
    <n v="30"/>
    <s v="a0Aak00000FtDnlEAF"/>
    <s v="a06ak00000amzC2AAI"/>
    <s v="Lily Rossi"/>
    <s v="Worked on scales and timing."/>
    <x v="9"/>
    <b v="0"/>
    <m/>
    <s v="005ak00000icyWTAAY"/>
    <s v="2026-09-16T17:01:26.000Z"/>
    <s v="2026-09-15T17:58:10.000Z"/>
    <s v="2026-09-15T17:58:10.000Z"/>
    <d v="2026-08-07T00:00:00"/>
    <s v="LSN-00139"/>
    <s v="L-0000137"/>
    <s v="131ak000001XjDtAAK"/>
    <b v="0"/>
    <b v="0"/>
    <s v="L-0000137"/>
    <s v="17:00:00.000Z"/>
    <x v="0"/>
    <s v="a07ak00001rZMpdAAG"/>
    <s v="Ruby Byrne"/>
    <s v="2026-09-16T17:01:26.000Z"/>
    <b v="1"/>
    <s v="a06ak00000amzC2AAI|2026-08-07|17:00:00.000Z"/>
    <n v="1"/>
    <s v="Red Bank"/>
    <x v="6"/>
    <x v="0"/>
  </r>
  <r>
    <s v="005ak00000icyWTAAY"/>
    <s v="2026-09-14T21:01:58.000Z"/>
    <n v="30"/>
    <s v="a0Aak00000FtDnmEAF"/>
    <s v="a06ak00000amzC2AAI"/>
    <s v="Lily Rossi"/>
    <s v="Worked on scales and timing."/>
    <x v="9"/>
    <b v="0"/>
    <m/>
    <s v="005ak00000icyWTAAY"/>
    <s v="2026-09-16T17:01:26.000Z"/>
    <s v="2026-09-15T17:58:10.000Z"/>
    <s v="2026-09-15T17:58:10.000Z"/>
    <d v="2026-09-01T00:00:00"/>
    <s v="LSN-00140"/>
    <s v="L-0000138"/>
    <s v="131ak000001XjDtAAK"/>
    <b v="0"/>
    <b v="0"/>
    <s v="L-0000138"/>
    <s v="15:30:00.000Z"/>
    <x v="0"/>
    <s v="a07ak00001rZMpdAAG"/>
    <s v="Ruby Byrne"/>
    <s v="2026-09-16T17:01:26.000Z"/>
    <b v="1"/>
    <s v="a06ak00000amzC2AAI|2026-09-01|15:30:00.000Z"/>
    <n v="1"/>
    <s v="Red Bank"/>
    <x v="2"/>
    <x v="0"/>
  </r>
  <r>
    <s v="005ak00000icyWTAAY"/>
    <s v="2026-09-14T21:01:58.000Z"/>
    <n v="30"/>
    <s v="a0Aak00000FtDnnEAF"/>
    <s v="a06ak00000amzC2AAI"/>
    <s v="Lily Rossi"/>
    <m/>
    <x v="9"/>
    <b v="0"/>
    <m/>
    <s v="005ak00000icyWTAAY"/>
    <s v="2026-09-16T17:01:26.000Z"/>
    <s v="2026-09-15T17:58:10.000Z"/>
    <s v="2026-09-15T17:58:10.000Z"/>
    <d v="2026-05-05T00:00:00"/>
    <s v="LSN-00141"/>
    <s v="L-0000139"/>
    <s v="131ak000001XjDtAAK"/>
    <b v="0"/>
    <b v="0"/>
    <s v="L-0000139"/>
    <s v="18:00:00.000Z"/>
    <x v="3"/>
    <s v="a07ak00001rZMpdAAG"/>
    <s v="Ruby Byrne"/>
    <s v="2026-09-16T17:01:26.000Z"/>
    <b v="1"/>
    <s v="a06ak00000amzC2AAI|2026-05-05|18:00:00.000Z"/>
    <n v="1"/>
    <s v="Red Bank"/>
    <x v="0"/>
    <x v="0"/>
  </r>
  <r>
    <s v="005ak00000icyWTAAY"/>
    <s v="2026-09-14T21:01:58.000Z"/>
    <n v="60"/>
    <s v="a0Aak00000FtDnoEAF"/>
    <s v="a06ak00000amzBgAAI"/>
    <s v="Noah Mitchell"/>
    <m/>
    <x v="1"/>
    <b v="0"/>
    <m/>
    <s v="005ak00000icyWTAAY"/>
    <s v="2026-09-16T17:01:26.000Z"/>
    <s v="2026-09-15T17:58:10.000Z"/>
    <s v="2026-09-15T17:58:10.000Z"/>
    <d v="2026-03-05T00:00:00"/>
    <s v="LSN-00142"/>
    <s v="L-0000140"/>
    <s v="131ak000001XjDuAAK"/>
    <b v="0"/>
    <b v="0"/>
    <s v="L-0000140"/>
    <s v="15:00:00.000Z"/>
    <x v="3"/>
    <s v="a07ak00001rZMpeAAG"/>
    <s v="Aubrey Wilson"/>
    <s v="2026-09-16T17:01:26.000Z"/>
    <b v="1"/>
    <s v="a06ak00000amzBgAAI|2026-03-05|15:00:00.000Z"/>
    <n v="1"/>
    <s v="Brick"/>
    <x v="3"/>
    <x v="0"/>
  </r>
  <r>
    <s v="005ak00000icyWTAAY"/>
    <s v="2026-09-14T21:01:58.000Z"/>
    <n v="60"/>
    <s v="a0Aak00000FtDnpEAF"/>
    <s v="a06ak00000amzBgAAI"/>
    <s v="Noah Mitchell"/>
    <m/>
    <x v="1"/>
    <b v="0"/>
    <m/>
    <s v="005ak00000icyWTAAY"/>
    <s v="2026-09-16T17:01:26.000Z"/>
    <s v="2026-09-15T17:58:10.000Z"/>
    <s v="2026-09-15T17:58:10.000Z"/>
    <d v="2026-02-06T00:00:00"/>
    <s v="LSN-00143"/>
    <s v="L-0000141"/>
    <s v="131ak000001XjDuAAK"/>
    <b v="0"/>
    <b v="0"/>
    <s v="L-0000141"/>
    <s v="18:30:00.000Z"/>
    <x v="1"/>
    <s v="a07ak00001rZMpeAAG"/>
    <s v="Aubrey Wilson"/>
    <s v="2026-09-16T17:01:26.000Z"/>
    <b v="1"/>
    <s v=""/>
    <m/>
    <s v="Brick"/>
    <x v="1"/>
    <x v="0"/>
  </r>
  <r>
    <s v="005ak00000icyWTAAY"/>
    <s v="2026-09-14T21:01:58.000Z"/>
    <n v="30"/>
    <s v="a0Aak00000FtDnqEAF"/>
    <s v="a06ak00000amzBgAAI"/>
    <s v="Noah Mitchell"/>
    <m/>
    <x v="1"/>
    <b v="0"/>
    <m/>
    <s v="005ak00000icyWTAAY"/>
    <s v="2026-09-16T17:01:26.000Z"/>
    <s v="2026-09-15T17:58:10.000Z"/>
    <s v="2026-09-15T17:58:10.000Z"/>
    <d v="2026-05-07T00:00:00"/>
    <s v="LSN-00144"/>
    <s v="L-0000142"/>
    <s v="131ak000001XjDuAAK"/>
    <b v="0"/>
    <b v="0"/>
    <s v="L-0000142"/>
    <s v="16:00:00.000Z"/>
    <x v="1"/>
    <s v="a07ak00001rZMpeAAG"/>
    <s v="Aubrey Wilson"/>
    <s v="2026-09-16T17:01:26.000Z"/>
    <b v="1"/>
    <s v=""/>
    <m/>
    <s v="Brick"/>
    <x v="0"/>
    <x v="0"/>
  </r>
  <r>
    <s v="005ak00000icyWTAAY"/>
    <s v="2026-09-14T21:01:58.000Z"/>
    <n v="60"/>
    <s v="a0Aak00000FtDnrEAF"/>
    <s v="a06ak00000amzBgAAI"/>
    <s v="Noah Mitchell"/>
    <m/>
    <x v="1"/>
    <b v="0"/>
    <m/>
    <s v="005ak00000icyWTAAY"/>
    <s v="2026-09-16T17:01:26.000Z"/>
    <s v="2026-09-15T17:58:10.000Z"/>
    <s v="2026-09-15T17:58:10.000Z"/>
    <d v="2026-07-19T00:00:00"/>
    <s v="LSN-00145"/>
    <s v="L-0000143"/>
    <s v="131ak000001XjDuAAK"/>
    <b v="0"/>
    <b v="0"/>
    <s v="L-0000143"/>
    <s v="17:30:00.000Z"/>
    <x v="0"/>
    <s v="a07ak00001rZMpeAAG"/>
    <s v="Aubrey Wilson"/>
    <s v="2026-09-16T17:01:26.000Z"/>
    <b v="1"/>
    <s v="a06ak00000amzBgAAI|2026-07-19|17:30:00.000Z"/>
    <n v="1"/>
    <s v="Brick"/>
    <x v="8"/>
    <x v="0"/>
  </r>
  <r>
    <s v="005ak00000icyWTAAY"/>
    <s v="2026-09-14T21:01:58.000Z"/>
    <n v="60"/>
    <s v="a0Aak00000FtDnsEAF"/>
    <s v="a06ak00000amzBgAAI"/>
    <s v="Noah Mitchell"/>
    <s v="Good progress on technique."/>
    <x v="1"/>
    <b v="0"/>
    <m/>
    <s v="005ak00000icyWTAAY"/>
    <s v="2026-09-16T17:01:26.000Z"/>
    <s v="2026-09-15T17:58:10.000Z"/>
    <s v="2026-09-15T17:58:10.000Z"/>
    <d v="2026-06-04T00:00:00"/>
    <s v="LSN-00146"/>
    <s v="L-0000144"/>
    <s v="131ak000001XjDuAAK"/>
    <b v="0"/>
    <b v="0"/>
    <s v="L-0000144"/>
    <s v="11:00:00.000Z"/>
    <x v="0"/>
    <s v="a07ak00001rZMpeAAG"/>
    <s v="Aubrey Wilson"/>
    <s v="2026-09-16T17:01:26.000Z"/>
    <b v="1"/>
    <s v="a06ak00000amzBgAAI|2026-06-04|11:00:00.000Z"/>
    <n v="1"/>
    <s v="Brick"/>
    <x v="7"/>
    <x v="0"/>
  </r>
  <r>
    <s v="005ak00000icyWTAAY"/>
    <s v="2026-09-14T21:01:58.000Z"/>
    <n v="60"/>
    <s v="a0Aak00000FtDntEAF"/>
    <s v="a06ak00000amzBgAAI"/>
    <s v="Noah Mitchell"/>
    <s v="Started new piece."/>
    <x v="1"/>
    <b v="0"/>
    <m/>
    <s v="005ak00000icyWTAAY"/>
    <s v="2026-09-16T17:01:26.000Z"/>
    <s v="2026-09-15T17:58:10.000Z"/>
    <s v="2026-09-15T17:58:10.000Z"/>
    <d v="2026-06-16T00:00:00"/>
    <s v="LSN-00147"/>
    <s v="L-0000145"/>
    <s v="131ak000001XjDuAAK"/>
    <b v="0"/>
    <b v="0"/>
    <s v="L-0000145"/>
    <s v="15:00:00.000Z"/>
    <x v="0"/>
    <s v="a07ak00001rZMpeAAG"/>
    <s v="Aubrey Wilson"/>
    <s v="2026-09-16T17:01:26.000Z"/>
    <b v="1"/>
    <s v="a06ak00000amzBgAAI|2026-06-16|15:00:00.000Z"/>
    <n v="1"/>
    <s v="Brick"/>
    <x v="7"/>
    <x v="0"/>
  </r>
  <r>
    <s v="005ak00000icyWTAAY"/>
    <s v="2026-09-14T21:01:58.000Z"/>
    <n v="60"/>
    <s v="a0Aak00000FtDnuEAF"/>
    <s v="a06ak00000amzBzAAI"/>
    <s v="Ezra Garcia"/>
    <s v="Focused on sight reading."/>
    <x v="11"/>
    <b v="0"/>
    <m/>
    <s v="005ak00000icyWTAAY"/>
    <s v="2026-09-23T19:02:24.000Z"/>
    <s v="2026-09-15T17:58:10.000Z"/>
    <s v="2026-09-15T17:58:10.000Z"/>
    <d v="2026-10-05T00:00:00"/>
    <s v="LSN-00148"/>
    <s v="L-0000146"/>
    <s v="131ak000001XjDtAAK"/>
    <b v="0"/>
    <b v="0"/>
    <s v="L-0000146"/>
    <s v="17:30:00.000Z"/>
    <x v="0"/>
    <s v="a07ak00001rZMpfAAG"/>
    <s v="Jonah Moore"/>
    <s v="2026-09-23T19:02:24.000Z"/>
    <b v="1"/>
    <s v="a06ak00000amzBzAAI|2026-10-05|17:30:00.000Z"/>
    <n v="1"/>
    <s v="Red Bank"/>
    <x v="9"/>
    <x v="0"/>
  </r>
  <r>
    <s v="005ak00000icyWTAAY"/>
    <s v="2026-09-14T21:01:58.000Z"/>
    <n v="30"/>
    <s v="a0Aak00000FtDnvEAF"/>
    <s v="a06ak00000amzC7AAI"/>
    <s v="Wyatt Hall"/>
    <s v="Focused on sight reading."/>
    <x v="11"/>
    <b v="0"/>
    <m/>
    <s v="005ak00000icyWTAAY"/>
    <s v="2026-09-16T17:01:26.000Z"/>
    <s v="2026-09-15T17:58:10.000Z"/>
    <s v="2026-09-15T17:58:10.000Z"/>
    <d v="2026-05-21T00:00:00"/>
    <s v="LSN-00149"/>
    <s v="L-0000147"/>
    <s v="131ak000001XjDtAAK"/>
    <b v="0"/>
    <b v="0"/>
    <s v="L-0000147"/>
    <s v="16:00:00.000Z"/>
    <x v="0"/>
    <s v="a07ak00001rZMpfAAG"/>
    <s v="Jonah Moore"/>
    <s v="2026-09-16T17:01:26.000Z"/>
    <b v="1"/>
    <s v="a06ak00000amzC7AAI|2026-05-21|16:00:00.000Z"/>
    <n v="1"/>
    <s v="Red Bank"/>
    <x v="0"/>
    <x v="0"/>
  </r>
  <r>
    <s v="005ak00000icyWTAAY"/>
    <s v="2026-09-14T21:01:58.000Z"/>
    <n v="45"/>
    <s v="a0Aak00000FtDnwEAF"/>
    <s v="a06ak00000amzC7AAI"/>
    <s v="Wyatt Hall"/>
    <m/>
    <x v="11"/>
    <b v="0"/>
    <m/>
    <s v="005ak00000icyWTAAY"/>
    <s v="2026-09-16T17:01:26.000Z"/>
    <s v="2026-09-15T17:58:10.000Z"/>
    <s v="2026-09-15T17:58:10.000Z"/>
    <d v="2026-03-01T00:00:00"/>
    <s v="LSN-00150"/>
    <s v="L-0000148"/>
    <s v="131ak000001XjDtAAK"/>
    <b v="0"/>
    <b v="0"/>
    <s v="L-0000148"/>
    <s v="16:30:00.000Z"/>
    <x v="3"/>
    <s v="a07ak00001rZMpfAAG"/>
    <s v="Jonah Moore"/>
    <s v="2026-09-16T17:01:26.000Z"/>
    <b v="1"/>
    <s v="a06ak00000amzC7AAI|2026-03-01|16:30:00.000Z"/>
    <n v="1"/>
    <s v="Red Bank"/>
    <x v="3"/>
    <x v="0"/>
  </r>
  <r>
    <s v="005ak00000icyWTAAY"/>
    <s v="2026-09-14T21:01:58.000Z"/>
    <n v="30"/>
    <s v="a0Aak00000FtDnxEAF"/>
    <s v="a06ak00000amzC7AAI"/>
    <s v="Wyatt Hall"/>
    <s v="Reviewed last week&amp;#39;s assignment."/>
    <x v="11"/>
    <b v="0"/>
    <m/>
    <s v="005ak00000icyWTAAY"/>
    <s v="2026-09-16T17:01:26.000Z"/>
    <s v="2026-09-15T17:58:10.000Z"/>
    <s v="2026-09-15T17:58:10.000Z"/>
    <d v="2026-09-10T00:00:00"/>
    <s v="LSN-00151"/>
    <s v="L-0000149"/>
    <s v="131ak000001XjDvAAK"/>
    <b v="0"/>
    <b v="0"/>
    <s v="L-0000149"/>
    <s v="19:00:00.000Z"/>
    <x v="0"/>
    <s v="a07ak00001rZMpfAAG"/>
    <s v="Jonah Moore"/>
    <s v="2026-09-16T17:01:26.000Z"/>
    <b v="1"/>
    <s v="a06ak00000amzC7AAI|2026-09-10|19:00:00.000Z"/>
    <n v="1"/>
    <s v="Toms River"/>
    <x v="2"/>
    <x v="0"/>
  </r>
  <r>
    <s v="005ak00000icyWTAAY"/>
    <s v="2026-09-14T21:01:58.000Z"/>
    <n v="60"/>
    <s v="a0Aak00000FtDnyEAF"/>
    <s v="a06ak00000amzBiAAI"/>
    <s v="Zoey Torres"/>
    <s v="Reviewed last week&amp;#39;s assignment."/>
    <x v="1"/>
    <b v="0"/>
    <m/>
    <s v="005ak00000icyWTAAY"/>
    <s v="2026-09-16T17:01:26.000Z"/>
    <s v="2026-09-15T17:58:10.000Z"/>
    <s v="2026-09-15T17:58:10.000Z"/>
    <d v="2026-02-25T00:00:00"/>
    <s v="LSN-00152"/>
    <s v="L-0000150"/>
    <s v="131ak000001XjDtAAK"/>
    <b v="0"/>
    <b v="0"/>
    <s v="L-0000150"/>
    <s v="15:00:00.000Z"/>
    <x v="0"/>
    <s v="a07ak00001rZMpgAAG"/>
    <s v="Micah King"/>
    <s v="2026-09-16T17:01:26.000Z"/>
    <b v="1"/>
    <s v="a06ak00000amzBiAAI|2026-02-25|15:00:00.000Z"/>
    <n v="1"/>
    <s v="Red Bank"/>
    <x v="1"/>
    <x v="0"/>
  </r>
  <r>
    <s v="005ak00000icyWTAAY"/>
    <s v="2026-09-14T21:01:58.000Z"/>
    <n v="60"/>
    <s v="a0Aak00000FtDnzEAF"/>
    <s v="a06ak00000amzBiAAI"/>
    <s v="Zoey Torres"/>
    <m/>
    <x v="1"/>
    <b v="0"/>
    <m/>
    <s v="005ak00000icyWTAAY"/>
    <s v="2026-09-16T17:01:26.000Z"/>
    <s v="2026-09-15T17:58:10.000Z"/>
    <s v="2026-09-15T17:58:10.000Z"/>
    <d v="2026-05-06T00:00:00"/>
    <s v="LSN-00153"/>
    <s v="L-0000151"/>
    <s v="131ak000001XjDtAAK"/>
    <b v="0"/>
    <b v="0"/>
    <s v="L-0000151"/>
    <s v="15:00:00.000Z"/>
    <x v="1"/>
    <s v="a07ak00001rZMpgAAG"/>
    <s v="Micah King"/>
    <s v="2026-09-16T17:01:26.000Z"/>
    <b v="1"/>
    <s v=""/>
    <m/>
    <s v="Red Bank"/>
    <x v="0"/>
    <x v="0"/>
  </r>
  <r>
    <s v="005ak00000icyWTAAY"/>
    <s v="2026-09-14T21:01:58.000Z"/>
    <n v="45"/>
    <s v="a0Aak00000FtDo0EAF"/>
    <s v="a06ak00000amzBiAAI"/>
    <s v="Zoey Torres"/>
    <s v="Reviewed last week&amp;#39;s assignment."/>
    <x v="1"/>
    <b v="0"/>
    <m/>
    <s v="005ak00000icyWTAAY"/>
    <s v="2026-09-16T17:01:26.000Z"/>
    <m/>
    <m/>
    <d v="2026-07-26T00:00:00"/>
    <s v="LSN-00154"/>
    <s v="L-0000152"/>
    <s v="131ak000001XjDtAAK"/>
    <b v="0"/>
    <b v="0"/>
    <s v="L-0000152"/>
    <s v="18:30:00.000Z"/>
    <x v="0"/>
    <s v="a07ak00001rZMpgAAG"/>
    <s v="Micah King"/>
    <s v="2026-09-16T17:01:26.000Z"/>
    <b v="1"/>
    <s v="a06ak00000amzBiAAI|2026-07-26|18:30:00.000Z"/>
    <n v="1"/>
    <s v="Red Bank"/>
    <x v="8"/>
    <x v="0"/>
  </r>
  <r>
    <s v="005ak00000icyWTAAY"/>
    <s v="2026-09-14T21:01:58.000Z"/>
    <n v="60"/>
    <s v="a0Aak00000FtDo1EAF"/>
    <s v="a06ak00000amzBiAAI"/>
    <s v="Zoey Torres"/>
    <s v="Started new piece."/>
    <x v="1"/>
    <b v="0"/>
    <m/>
    <s v="005ak00000icyWTAAY"/>
    <s v="2026-09-16T17:01:26.000Z"/>
    <m/>
    <m/>
    <d v="2026-01-27T00:00:00"/>
    <s v="LSN-00155"/>
    <s v="L-0000153"/>
    <s v="131ak000001XjDtAAK"/>
    <b v="0"/>
    <b v="0"/>
    <s v="L-0000153"/>
    <s v="17:30:00.000Z"/>
    <x v="0"/>
    <s v="a07ak00001rZMpgAAG"/>
    <s v="Micah King"/>
    <s v="2026-09-16T17:01:26.000Z"/>
    <b v="1"/>
    <s v="a06ak00000amzBiAAI|2026-01-27|17:30:00.000Z"/>
    <n v="1"/>
    <s v="Red Bank"/>
    <x v="4"/>
    <x v="0"/>
  </r>
  <r>
    <s v="005ak00000icyWTAAY"/>
    <s v="2026-09-14T21:01:58.000Z"/>
    <n v="45"/>
    <s v="a0Aak00000FtDo2EAF"/>
    <s v="a06ak00000amzC8AAI"/>
    <s v="Adrian Byrne"/>
    <s v="Started new piece."/>
    <x v="9"/>
    <b v="0"/>
    <m/>
    <s v="005ak00000icyWTAAY"/>
    <s v="2026-09-16T17:01:26.000Z"/>
    <m/>
    <m/>
    <d v="2026-09-29T00:00:00"/>
    <s v="LSN-00156"/>
    <s v="L-0000154"/>
    <s v="131ak000001XjDuAAK"/>
    <b v="0"/>
    <b v="0"/>
    <s v="L-0000154"/>
    <s v="10:00:00.000Z"/>
    <x v="0"/>
    <s v="a07ak00001rZMphAAG"/>
    <s v="Aiden Roberts"/>
    <s v="2026-09-16T17:01:26.000Z"/>
    <b v="1"/>
    <s v="a06ak00000amzC8AAI|2026-09-29|10:00:00.000Z"/>
    <n v="1"/>
    <s v="Brick"/>
    <x v="2"/>
    <x v="0"/>
  </r>
  <r>
    <s v="005ak00000icyWTAAY"/>
    <s v="2026-09-14T21:01:58.000Z"/>
    <n v="30"/>
    <s v="a0Aak00000FtDo3EAF"/>
    <s v="a06ak00000amzC8AAI"/>
    <s v="Adrian Byrne"/>
    <m/>
    <x v="9"/>
    <b v="0"/>
    <m/>
    <s v="005ak00000icyWTAAY"/>
    <s v="2026-09-25T18:00:49.000Z"/>
    <m/>
    <m/>
    <d v="2026-07-07T00:00:00"/>
    <s v="LSN-00157"/>
    <s v="L-0000155"/>
    <s v="131ak000001XjDuAAK"/>
    <b v="1"/>
    <b v="1"/>
    <s v="L-0000155"/>
    <s v="16:30:00.000Z"/>
    <x v="4"/>
    <s v="a07ak00001rZMphAAG"/>
    <s v="Aiden Roberts"/>
    <s v="2026-09-25T18:00:49.000Z"/>
    <b v="1"/>
    <s v=""/>
    <m/>
    <s v="Brick"/>
    <x v="8"/>
    <x v="0"/>
  </r>
  <r>
    <s v="005ak00000icyWTAAY"/>
    <s v="2026-09-14T21:01:58.000Z"/>
    <n v="60"/>
    <s v="a0Aak00000FtDo4EAF"/>
    <s v="a06ak00000amzC8AAI"/>
    <s v="Adrian Byrne"/>
    <m/>
    <x v="9"/>
    <b v="0"/>
    <m/>
    <s v="005ak00000icyWTAAY"/>
    <s v="2026-09-25T18:00:49.000Z"/>
    <m/>
    <m/>
    <d v="2026-03-28T00:00:00"/>
    <s v="LSN-00158"/>
    <s v="L-0000156"/>
    <s v="131ak000001XjDuAAK"/>
    <b v="1"/>
    <b v="1"/>
    <s v="L-0000156"/>
    <s v="15:30:00.000Z"/>
    <x v="4"/>
    <s v="a07ak00001rZMphAAG"/>
    <s v="Aiden Roberts"/>
    <s v="2026-09-25T18:00:49.000Z"/>
    <b v="1"/>
    <s v=""/>
    <m/>
    <s v="Brick"/>
    <x v="3"/>
    <x v="0"/>
  </r>
  <r>
    <s v="005ak00000icyWTAAY"/>
    <s v="2026-09-14T21:01:58.000Z"/>
    <n v="60"/>
    <s v="a0Aak00000FtDo5EAF"/>
    <s v="a06ak00000amzC8AAI"/>
    <s v="Adrian Byrne"/>
    <s v="Started new piece."/>
    <x v="9"/>
    <b v="0"/>
    <m/>
    <s v="005ak00000icyWTAAY"/>
    <s v="2026-09-16T17:01:26.000Z"/>
    <m/>
    <m/>
    <d v="2026-04-12T00:00:00"/>
    <s v="LSN-00159"/>
    <s v="L-0000157"/>
    <s v="131ak000001XjDuAAK"/>
    <b v="0"/>
    <b v="0"/>
    <s v="L-0000157"/>
    <s v="19:00:00.000Z"/>
    <x v="0"/>
    <s v="a07ak00001rZMphAAG"/>
    <s v="Aiden Roberts"/>
    <s v="2026-09-16T17:01:26.000Z"/>
    <b v="1"/>
    <s v="a06ak00000amzC8AAI|2026-04-12|19:00:00.000Z"/>
    <n v="1"/>
    <s v="Brick"/>
    <x v="5"/>
    <x v="0"/>
  </r>
  <r>
    <s v="005ak00000icyWTAAY"/>
    <s v="2026-09-14T21:01:58.000Z"/>
    <n v="30"/>
    <s v="a0Aak00000FtDo6EAF"/>
    <s v="a06ak00000amzC8AAI"/>
    <s v="Adrian Byrne"/>
    <m/>
    <x v="9"/>
    <b v="0"/>
    <m/>
    <s v="005ak00000icyWTAAY"/>
    <s v="2026-09-16T17:01:26.000Z"/>
    <m/>
    <m/>
    <d v="2026-07-20T00:00:00"/>
    <s v="LSN-00160"/>
    <s v="L-0000158"/>
    <s v="131ak000001XjDuAAK"/>
    <b v="0"/>
    <b v="0"/>
    <s v="L-0000158"/>
    <s v="17:30:00.000Z"/>
    <x v="0"/>
    <s v="a07ak00001rZMphAAG"/>
    <s v="Aiden Roberts"/>
    <s v="2026-09-16T17:01:26.000Z"/>
    <b v="1"/>
    <s v="a06ak00000amzC8AAI|2026-07-20|17:30:00.000Z"/>
    <n v="1"/>
    <s v="Brick"/>
    <x v="8"/>
    <x v="0"/>
  </r>
  <r>
    <s v="005ak00000icyWTAAY"/>
    <s v="2026-09-14T21:01:58.000Z"/>
    <n v="45"/>
    <s v="a0Aak00000FtDo7EAF"/>
    <s v="a06ak00000amzC8AAI"/>
    <s v="Adrian Byrne"/>
    <s v="Focused on sight reading."/>
    <x v="9"/>
    <b v="0"/>
    <m/>
    <s v="005ak00000icyWTAAY"/>
    <s v="2026-09-16T17:01:26.000Z"/>
    <m/>
    <m/>
    <d v="2026-07-16T00:00:00"/>
    <s v="LSN-00161"/>
    <s v="L-0000159"/>
    <s v="131ak000001XjDuAAK"/>
    <b v="0"/>
    <b v="0"/>
    <s v="L-0000159"/>
    <s v="15:30:00.000Z"/>
    <x v="0"/>
    <s v="a07ak00001rZMphAAG"/>
    <s v="Aiden Roberts"/>
    <s v="2026-09-16T17:01:26.000Z"/>
    <b v="1"/>
    <s v="a06ak00000amzC8AAI|2026-07-16|15:30:00.000Z"/>
    <n v="1"/>
    <s v="Brick"/>
    <x v="8"/>
    <x v="0"/>
  </r>
  <r>
    <s v="005ak00000icyWTAAY"/>
    <s v="2026-09-14T21:01:58.000Z"/>
    <n v="30"/>
    <s v="a0Aak00000FtDo8EAF"/>
    <s v="a06ak00000amzC8AAI"/>
    <s v="Adrian Byrne"/>
    <s v="Focused on sight reading."/>
    <x v="9"/>
    <b v="0"/>
    <m/>
    <s v="005ak00000icyWTAAY"/>
    <s v="2026-09-16T17:01:26.000Z"/>
    <m/>
    <m/>
    <d v="2026-01-31T00:00:00"/>
    <s v="LSN-00162"/>
    <s v="L-0000160"/>
    <s v="131ak000001XjDuAAK"/>
    <b v="0"/>
    <b v="0"/>
    <s v="L-0000160"/>
    <s v="11:00:00.000Z"/>
    <x v="0"/>
    <s v="a07ak00001rZMphAAG"/>
    <s v="Aiden Roberts"/>
    <s v="2026-09-16T17:01:26.000Z"/>
    <b v="1"/>
    <s v="a06ak00000amzC8AAI|2026-01-31|11:00:00.000Z"/>
    <n v="1"/>
    <s v="Brick"/>
    <x v="4"/>
    <x v="0"/>
  </r>
  <r>
    <s v="005ak00000icyWTAAY"/>
    <s v="2026-09-14T21:01:58.000Z"/>
    <n v="60"/>
    <s v="a0Aak00000FtDo9EAF"/>
    <s v="a06ak00000amzC8AAI"/>
    <s v="Adrian Byrne"/>
    <s v="Started new piece."/>
    <x v="9"/>
    <b v="0"/>
    <m/>
    <s v="005ak00000icyWTAAY"/>
    <s v="2026-09-16T17:01:26.000Z"/>
    <m/>
    <m/>
    <d v="2026-06-29T00:00:00"/>
    <s v="LSN-00163"/>
    <s v="L-0000161"/>
    <s v="131ak000001XjDuAAK"/>
    <b v="0"/>
    <b v="0"/>
    <s v="L-0000161"/>
    <s v="18:30:00.000Z"/>
    <x v="0"/>
    <s v="a07ak00001rZMphAAG"/>
    <s v="Aiden Roberts"/>
    <s v="2026-09-16T17:01:26.000Z"/>
    <b v="1"/>
    <s v="a06ak00000amzC8AAI|2026-06-29|18:30:00.000Z"/>
    <n v="1"/>
    <s v="Brick"/>
    <x v="7"/>
    <x v="0"/>
  </r>
  <r>
    <s v="005ak00000icyWTAAY"/>
    <s v="2026-09-14T21:01:58.000Z"/>
    <n v="30"/>
    <s v="a0Aak00000FtDoAEAV"/>
    <s v="a06ak00000amzC8AAI"/>
    <s v="Adrian Byrne"/>
    <s v="Worked on scales and timing."/>
    <x v="9"/>
    <b v="0"/>
    <m/>
    <s v="005ak00000icyWTAAY"/>
    <s v="2026-09-16T17:01:26.000Z"/>
    <m/>
    <m/>
    <d v="2026-02-15T00:00:00"/>
    <s v="LSN-00164"/>
    <s v="L-0000162"/>
    <s v="131ak000001XjDuAAK"/>
    <b v="0"/>
    <b v="0"/>
    <s v="L-0000162"/>
    <s v="17:30:00.000Z"/>
    <x v="0"/>
    <s v="a07ak00001rZMphAAG"/>
    <s v="Aiden Roberts"/>
    <s v="2026-09-16T17:01:26.000Z"/>
    <b v="1"/>
    <s v="a06ak00000amzC8AAI|2026-02-15|17:30:00.000Z"/>
    <n v="1"/>
    <s v="Brick"/>
    <x v="1"/>
    <x v="0"/>
  </r>
  <r>
    <s v="005ak00000icyWTAAY"/>
    <s v="2026-09-14T21:01:58.000Z"/>
    <n v="30"/>
    <s v="a0Aak00000FtDoBEAV"/>
    <s v="a06ak00000amzC8AAI"/>
    <s v="Adrian Byrne"/>
    <s v="Good progress on technique."/>
    <x v="2"/>
    <b v="0"/>
    <m/>
    <s v="005ak00000icyWTAAY"/>
    <s v="2026-09-23T19:02:24.000Z"/>
    <m/>
    <m/>
    <d v="2026-09-30T00:00:00"/>
    <s v="LSN-00165"/>
    <s v="L-0000163"/>
    <s v="131ak000001XjDuAAK"/>
    <b v="0"/>
    <b v="0"/>
    <s v="L-0000163"/>
    <s v="19:00:00.000Z"/>
    <x v="0"/>
    <s v="a07ak00001rZMpiAAG"/>
    <s v="Bella Adams"/>
    <s v="2026-09-23T19:02:24.000Z"/>
    <b v="1"/>
    <s v="a06ak00000amzC8AAI|2026-09-30|19:00:00.000Z"/>
    <n v="1"/>
    <s v="Brick"/>
    <x v="2"/>
    <x v="0"/>
  </r>
  <r>
    <s v="005ak00000icyWTAAY"/>
    <s v="2026-09-14T21:01:58.000Z"/>
    <n v="60"/>
    <s v="a0Aak00000FtDoCEAV"/>
    <s v="a06ak00000amzC4AAI"/>
    <s v="Logan Davis"/>
    <m/>
    <x v="2"/>
    <b v="0"/>
    <m/>
    <s v="005ak00000icyWTAAY"/>
    <s v="2026-09-25T18:00:49.000Z"/>
    <m/>
    <m/>
    <d v="2026-03-20T00:00:00"/>
    <s v="LSN-00166"/>
    <s v="L-0000164"/>
    <s v="131ak000001XjDuAAK"/>
    <b v="1"/>
    <b v="0"/>
    <s v="L-0000164"/>
    <s v="18:00:00.000Z"/>
    <x v="4"/>
    <s v="a07ak00001rZMpiAAG"/>
    <s v="Bella Adams"/>
    <s v="2026-09-25T18:00:49.000Z"/>
    <b v="1"/>
    <s v=""/>
    <m/>
    <s v="Brick"/>
    <x v="3"/>
    <x v="0"/>
  </r>
  <r>
    <s v="005ak00000icyWTAAY"/>
    <s v="2026-09-14T21:01:58.000Z"/>
    <n v="30"/>
    <s v="a0Aak00000FtDoDEAV"/>
    <s v="a06ak00000amzBfAAI"/>
    <s v="Mia Smith"/>
    <s v="Worked on scales and timing."/>
    <x v="6"/>
    <b v="0"/>
    <m/>
    <s v="005ak00000icyWTAAY"/>
    <s v="2026-09-16T17:01:26.000Z"/>
    <m/>
    <m/>
    <d v="2026-07-21T00:00:00"/>
    <s v="LSN-00167"/>
    <s v="L-0000165"/>
    <s v="131ak000001XjDuAAK"/>
    <b v="0"/>
    <b v="0"/>
    <s v="L-0000165"/>
    <s v="18:30:00.000Z"/>
    <x v="0"/>
    <s v="a07ak00001rZMpjAAG"/>
    <s v="Genesis Novak"/>
    <s v="2026-09-16T17:01:26.000Z"/>
    <b v="1"/>
    <s v="a06ak00000amzBfAAI|2026-07-21|18:30:00.000Z"/>
    <n v="1"/>
    <s v="Brick"/>
    <x v="8"/>
    <x v="0"/>
  </r>
  <r>
    <s v="005ak00000icyWTAAY"/>
    <s v="2026-09-14T21:01:58.000Z"/>
    <n v="60"/>
    <s v="a0Aak00000FtDoEEAV"/>
    <s v="a06ak00000amzBfAAI"/>
    <s v="Mia Smith"/>
    <s v="Worked on scales and timing."/>
    <x v="6"/>
    <b v="0"/>
    <m/>
    <s v="005ak00000icyWTAAY"/>
    <s v="2026-09-16T17:01:26.000Z"/>
    <m/>
    <m/>
    <d v="2026-04-10T00:00:00"/>
    <s v="LSN-00168"/>
    <s v="L-0000166"/>
    <s v="131ak000001XjDuAAK"/>
    <b v="0"/>
    <b v="0"/>
    <s v="L-0000166"/>
    <s v="17:30:00.000Z"/>
    <x v="0"/>
    <s v="a07ak00001rZMpjAAG"/>
    <s v="Genesis Novak"/>
    <s v="2026-09-16T17:01:26.000Z"/>
    <b v="1"/>
    <s v="a06ak00000amzBfAAI|2026-04-10|17:30:00.000Z"/>
    <n v="1"/>
    <s v="Brick"/>
    <x v="5"/>
    <x v="0"/>
  </r>
  <r>
    <s v="005ak00000icyWTAAY"/>
    <s v="2026-09-14T21:01:58.000Z"/>
    <n v="30"/>
    <s v="a0Aak00000FtDoFEAV"/>
    <s v="a06ak00000amzBfAAI"/>
    <s v="Mia Smith"/>
    <m/>
    <x v="6"/>
    <b v="0"/>
    <m/>
    <s v="005ak00000icyWTAAY"/>
    <s v="2026-09-16T17:01:26.000Z"/>
    <m/>
    <m/>
    <d v="2026-06-04T00:00:00"/>
    <s v="LSN-00169"/>
    <s v="L-0000167"/>
    <s v="131ak000001XjDuAAK"/>
    <b v="0"/>
    <b v="0"/>
    <s v="L-0000167"/>
    <s v="15:00:00.000Z"/>
    <x v="1"/>
    <s v="a07ak00001rZMpjAAG"/>
    <s v="Genesis Novak"/>
    <s v="2026-09-16T17:01:26.000Z"/>
    <b v="1"/>
    <s v=""/>
    <m/>
    <s v="Brick"/>
    <x v="7"/>
    <x v="0"/>
  </r>
  <r>
    <s v="005ak00000icyWTAAY"/>
    <s v="2026-09-14T21:01:58.000Z"/>
    <n v="60"/>
    <s v="a0Aak00000FtDoGEAV"/>
    <s v="a06ak00000amzBfAAI"/>
    <s v="Mia Smith"/>
    <m/>
    <x v="6"/>
    <b v="0"/>
    <m/>
    <s v="005ak00000icyWTAAY"/>
    <s v="2026-09-16T17:01:26.000Z"/>
    <m/>
    <m/>
    <d v="2026-09-19T00:00:00"/>
    <s v="LSN-00170"/>
    <s v="L-0000168"/>
    <s v="131ak000001XjDuAAK"/>
    <b v="0"/>
    <b v="0"/>
    <s v="L-0000168"/>
    <s v="15:30:00.000Z"/>
    <x v="1"/>
    <s v="a07ak00001rZMpjAAG"/>
    <s v="Genesis Novak"/>
    <s v="2026-09-16T17:01:26.000Z"/>
    <b v="1"/>
    <s v=""/>
    <n v="114"/>
    <s v="Brick"/>
    <x v="2"/>
    <x v="0"/>
  </r>
  <r>
    <s v="005ak00000icyWTAAY"/>
    <s v="2026-09-14T21:01:58.000Z"/>
    <n v="30"/>
    <s v="a0Aak00000FtDoHEAV"/>
    <s v="a06ak00000amzBfAAI"/>
    <s v="Mia Smith"/>
    <s v="Worked on scales and timing."/>
    <x v="6"/>
    <b v="0"/>
    <m/>
    <s v="005ak00000icyWTAAY"/>
    <s v="2026-09-16T17:01:26.000Z"/>
    <m/>
    <m/>
    <d v="2026-05-23T00:00:00"/>
    <s v="LSN-00171"/>
    <s v="L-0000169"/>
    <s v="131ak000001XjDuAAK"/>
    <b v="0"/>
    <b v="0"/>
    <s v="L-0000169"/>
    <s v="15:30:00.000Z"/>
    <x v="0"/>
    <s v="a07ak00001rZMpjAAG"/>
    <s v="Genesis Novak"/>
    <s v="2026-09-16T17:01:26.000Z"/>
    <b v="1"/>
    <s v="a06ak00000amzBfAAI|2026-05-23|15:30:00.000Z"/>
    <n v="1"/>
    <s v="Brick"/>
    <x v="0"/>
    <x v="0"/>
  </r>
  <r>
    <s v="005ak00000icyWTAAY"/>
    <s v="2026-09-14T21:01:58.000Z"/>
    <n v="30"/>
    <s v="a0Aak00000FtDoIEAV"/>
    <s v="a06ak00000amzBfAAI"/>
    <s v="Mia Smith"/>
    <m/>
    <x v="6"/>
    <b v="0"/>
    <m/>
    <s v="005ak00000icyWTAAY"/>
    <s v="2026-09-16T17:01:26.000Z"/>
    <m/>
    <m/>
    <d v="2026-07-15T00:00:00"/>
    <s v="LSN-00172"/>
    <s v="L-0000170"/>
    <s v="131ak000001XjDuAAK"/>
    <b v="0"/>
    <b v="0"/>
    <s v="L-0000170"/>
    <s v="17:30:00.000Z"/>
    <x v="0"/>
    <s v="a07ak00001rZMpjAAG"/>
    <s v="Genesis Novak"/>
    <s v="2026-09-16T17:01:26.000Z"/>
    <b v="1"/>
    <s v="a06ak00000amzBfAAI|2026-07-15|17:30:00.000Z"/>
    <n v="1"/>
    <s v="Brick"/>
    <x v="8"/>
    <x v="0"/>
  </r>
  <r>
    <s v="005ak00000icyWTAAY"/>
    <s v="2026-09-14T21:01:58.000Z"/>
    <n v="30"/>
    <s v="a0Aak00000FtDoJEAV"/>
    <s v="a06ak00000amzBfAAI"/>
    <s v="Mia Smith"/>
    <m/>
    <x v="6"/>
    <b v="0"/>
    <m/>
    <s v="005ak00000icyWTAAY"/>
    <s v="2026-09-16T17:01:26.000Z"/>
    <m/>
    <m/>
    <d v="2026-10-05T00:00:00"/>
    <s v="LSN-00173"/>
    <s v="L-0000171"/>
    <s v="131ak000001XjDuAAK"/>
    <b v="0"/>
    <b v="0"/>
    <s v="L-0000171"/>
    <s v="10:00:00.000Z"/>
    <x v="0"/>
    <s v="a07ak00001rZMpjAAG"/>
    <s v="Genesis Novak"/>
    <s v="2026-09-16T17:01:26.000Z"/>
    <b v="1"/>
    <s v="a06ak00000amzBfAAI|2026-10-05|10:00:00.000Z"/>
    <n v="1"/>
    <s v="Brick"/>
    <x v="9"/>
    <x v="0"/>
  </r>
  <r>
    <s v="005ak00000icyWTAAY"/>
    <s v="2026-09-14T21:01:58.000Z"/>
    <n v="30"/>
    <s v="a0Aak00000FtDoKEAV"/>
    <s v="a06ak00000amzCFAAY"/>
    <s v="Valentina Sanchez"/>
    <s v="Worked on scales and timing."/>
    <x v="11"/>
    <b v="0"/>
    <m/>
    <s v="005ak00000icyWTAAY"/>
    <s v="2026-09-16T17:01:26.000Z"/>
    <m/>
    <m/>
    <d v="2026-09-01T00:00:00"/>
    <s v="LSN-00174"/>
    <s v="L-0000172"/>
    <s v="131ak000001XjDuAAK"/>
    <b v="0"/>
    <b v="0"/>
    <s v="L-0000172"/>
    <s v="15:00:00.000Z"/>
    <x v="0"/>
    <s v="a07ak00001rZMpkAAG"/>
    <s v="Fatima Jones"/>
    <s v="2026-09-16T17:01:26.000Z"/>
    <b v="1"/>
    <s v="a06ak00000amzCFAAY|2026-09-01|15:00:00.000Z"/>
    <n v="1"/>
    <s v="Brick"/>
    <x v="2"/>
    <x v="0"/>
  </r>
  <r>
    <s v="005ak00000icyWTAAY"/>
    <s v="2026-09-14T21:01:58.000Z"/>
    <n v="30"/>
    <s v="a0Aak00000FtDoLEAV"/>
    <s v="a06ak00000amzCFAAY"/>
    <s v="Valentina Sanchez"/>
    <s v="Reviewed last week&amp;#39;s assignment."/>
    <x v="11"/>
    <b v="0"/>
    <m/>
    <s v="005ak00000icyWTAAY"/>
    <s v="2026-09-16T17:01:26.000Z"/>
    <m/>
    <m/>
    <d v="2026-04-07T00:00:00"/>
    <s v="LSN-00175"/>
    <s v="L-0000173"/>
    <s v="131ak000001XjDuAAK"/>
    <b v="0"/>
    <b v="0"/>
    <s v="L-0000173"/>
    <s v="18:00:00.000Z"/>
    <x v="0"/>
    <s v="a07ak00001rZMpkAAG"/>
    <s v="Fatima Jones"/>
    <s v="2026-09-16T17:01:26.000Z"/>
    <b v="1"/>
    <s v="a06ak00000amzCFAAY|2026-04-07|18:00:00.000Z"/>
    <n v="1"/>
    <s v="Brick"/>
    <x v="5"/>
    <x v="0"/>
  </r>
  <r>
    <s v="005ak00000icyWTAAY"/>
    <s v="2026-09-14T21:01:58.000Z"/>
    <n v="60"/>
    <s v="a0Aak00000FtDoMEAV"/>
    <s v="a06ak00000amzCFAAY"/>
    <s v="Valentina Sanchez"/>
    <m/>
    <x v="11"/>
    <b v="0"/>
    <m/>
    <s v="005ak00000icyWTAAY"/>
    <s v="2026-09-16T17:01:26.000Z"/>
    <m/>
    <m/>
    <d v="2026-01-31T00:00:00"/>
    <s v="LSN-00176"/>
    <s v="L-0000174"/>
    <s v="131ak000001XjDuAAK"/>
    <b v="0"/>
    <b v="0"/>
    <s v="L-0000174"/>
    <s v="15:00:00.000Z"/>
    <x v="0"/>
    <s v="a07ak00001rZMpkAAG"/>
    <s v="Fatima Jones"/>
    <s v="2026-09-16T17:01:26.000Z"/>
    <b v="1"/>
    <s v="a06ak00000amzCFAAY|2026-01-31|15:00:00.000Z"/>
    <n v="1"/>
    <s v="Brick"/>
    <x v="4"/>
    <x v="0"/>
  </r>
  <r>
    <s v="005ak00000icyWTAAY"/>
    <s v="2026-09-14T21:01:58.000Z"/>
    <n v="30"/>
    <s v="a0Aak00000FtDoNEAV"/>
    <s v="a06ak00000amzCFAAY"/>
    <s v="Valentina Sanchez"/>
    <s v="Good progress on technique."/>
    <x v="11"/>
    <b v="0"/>
    <m/>
    <s v="005ak00000icyWTAAY"/>
    <s v="2026-09-16T17:01:26.000Z"/>
    <m/>
    <m/>
    <d v="2026-05-24T00:00:00"/>
    <s v="LSN-00177"/>
    <s v="L-0000175"/>
    <s v="131ak000001XjDuAAK"/>
    <b v="0"/>
    <b v="0"/>
    <s v="L-0000175"/>
    <s v="16:30:00.000Z"/>
    <x v="0"/>
    <s v="a07ak00001rZMpkAAG"/>
    <s v="Fatima Jones"/>
    <s v="2026-09-16T17:01:26.000Z"/>
    <b v="1"/>
    <s v="a06ak00000amzCFAAY|2026-05-24|16:30:00.000Z"/>
    <n v="1"/>
    <s v="Brick"/>
    <x v="0"/>
    <x v="0"/>
  </r>
  <r>
    <s v="005ak00000icyWTAAY"/>
    <s v="2026-09-14T21:01:58.000Z"/>
    <n v="30"/>
    <s v="a0Aak00000FtDoOEAV"/>
    <s v="a06ak00000amzCFAAY"/>
    <s v="Valentina Sanchez"/>
    <s v="Reviewed last week&amp;#39;s assignment."/>
    <x v="11"/>
    <b v="0"/>
    <m/>
    <s v="005ak00000icyWTAAY"/>
    <s v="2026-09-16T17:01:26.000Z"/>
    <m/>
    <m/>
    <d v="2026-08-13T00:00:00"/>
    <s v="LSN-00178"/>
    <s v="L-0000176"/>
    <s v="131ak000001XjDuAAK"/>
    <b v="0"/>
    <b v="0"/>
    <s v="L-0000176"/>
    <s v="15:30:00.000Z"/>
    <x v="0"/>
    <s v="a07ak00001rZMpkAAG"/>
    <s v="Fatima Jones"/>
    <s v="2026-09-16T17:01:26.000Z"/>
    <b v="1"/>
    <s v="a06ak00000amzCFAAY|2026-08-13|15:30:00.000Z"/>
    <n v="1"/>
    <s v="Brick"/>
    <x v="6"/>
    <x v="0"/>
  </r>
  <r>
    <s v="005ak00000icyWTAAY"/>
    <s v="2026-09-14T21:01:58.000Z"/>
    <n v="45"/>
    <s v="a0Aak00000FtDoPEAV"/>
    <s v="a06ak00000amzCFAAY"/>
    <s v="Valentina Sanchez"/>
    <m/>
    <x v="11"/>
    <b v="0"/>
    <m/>
    <s v="005ak00000icyWTAAY"/>
    <s v="2026-09-16T17:01:26.000Z"/>
    <m/>
    <m/>
    <d v="2026-01-19T00:00:00"/>
    <s v="LSN-00179"/>
    <s v="L-0000177"/>
    <s v="131ak000001XjDuAAK"/>
    <b v="0"/>
    <b v="0"/>
    <s v="L-0000177"/>
    <s v="17:00:00.000Z"/>
    <x v="0"/>
    <s v="a07ak00001rZMpkAAG"/>
    <s v="Fatima Jones"/>
    <s v="2026-09-16T17:01:26.000Z"/>
    <b v="1"/>
    <s v="a06ak00000amzCFAAY|2026-01-19|17:00:00.000Z"/>
    <n v="1"/>
    <s v="Brick"/>
    <x v="4"/>
    <x v="0"/>
  </r>
  <r>
    <s v="005ak00000icyWTAAY"/>
    <s v="2026-09-14T21:01:58.000Z"/>
    <n v="30"/>
    <s v="a0Aak00000FtDoQEAV"/>
    <s v="a06ak00000amzCFAAY"/>
    <s v="Valentina Sanchez"/>
    <m/>
    <x v="11"/>
    <b v="0"/>
    <m/>
    <s v="005ak00000icyWTAAY"/>
    <s v="2026-09-16T17:01:26.000Z"/>
    <m/>
    <m/>
    <d v="2026-05-27T00:00:00"/>
    <s v="LSN-00180"/>
    <s v="L-0000178"/>
    <s v="131ak000001XjDuAAK"/>
    <b v="0"/>
    <b v="0"/>
    <s v="L-0000178"/>
    <s v="16:00:00.000Z"/>
    <x v="0"/>
    <s v="a07ak00001rZMpkAAG"/>
    <s v="Fatima Jones"/>
    <s v="2026-09-16T17:01:26.000Z"/>
    <b v="1"/>
    <s v="a06ak00000amzCFAAY|2026-05-27|16:00:00.000Z"/>
    <n v="1"/>
    <s v="Brick"/>
    <x v="0"/>
    <x v="0"/>
  </r>
  <r>
    <s v="005ak00000icyWTAAY"/>
    <s v="2026-09-14T21:01:58.000Z"/>
    <n v="60"/>
    <s v="a0Aak00000FtDoREAV"/>
    <s v="a06ak00000amzBnAAI"/>
    <s v="Charlotte Nakamura"/>
    <s v="Good progress on technique."/>
    <x v="7"/>
    <b v="0"/>
    <m/>
    <s v="005ak00000icyWTAAY"/>
    <s v="2026-09-16T17:01:26.000Z"/>
    <m/>
    <m/>
    <d v="2026-09-10T00:00:00"/>
    <s v="LSN-00181"/>
    <s v="L-0000179"/>
    <s v="131ak000001XjDtAAK"/>
    <b v="0"/>
    <b v="0"/>
    <s v="L-0000179"/>
    <s v="16:30:00.000Z"/>
    <x v="0"/>
    <s v="a07ak00001rZMpmAAG"/>
    <s v="Scarlett Jackson"/>
    <s v="2026-09-16T17:01:26.000Z"/>
    <b v="1"/>
    <s v="a06ak00000amzBnAAI|2026-09-10|16:30:00.000Z"/>
    <n v="1"/>
    <s v="Red Bank"/>
    <x v="2"/>
    <x v="0"/>
  </r>
  <r>
    <s v="005ak00000icyWTAAY"/>
    <s v="2026-09-14T21:01:58.000Z"/>
    <n v="30"/>
    <s v="a0Aak00000FtDoSEAV"/>
    <s v="a06ak00000amzBnAAI"/>
    <s v="Charlotte Nakamura"/>
    <m/>
    <x v="7"/>
    <b v="0"/>
    <m/>
    <s v="005ak00000icyWTAAY"/>
    <s v="2026-09-16T17:01:26.000Z"/>
    <m/>
    <m/>
    <d v="2026-06-27T00:00:00"/>
    <s v="LSN-00182"/>
    <s v="L-0000180"/>
    <s v="131ak000001XjDtAAK"/>
    <b v="0"/>
    <b v="0"/>
    <s v="L-0000180"/>
    <s v="10:00:00.000Z"/>
    <x v="0"/>
    <s v="a07ak00001rZMpmAAG"/>
    <s v="Scarlett Jackson"/>
    <s v="2026-09-16T17:01:26.000Z"/>
    <b v="1"/>
    <s v="a06ak00000amzBnAAI|2026-06-27|10:00:00.000Z"/>
    <n v="1"/>
    <s v="Red Bank"/>
    <x v="7"/>
    <x v="0"/>
  </r>
  <r>
    <s v="005ak00000icyWTAAY"/>
    <s v="2026-09-14T21:01:58.000Z"/>
    <n v="30"/>
    <s v="a0Aak00000FtDoTEAV"/>
    <s v="a06ak00000amzBnAAI"/>
    <s v="Charlotte Nakamura"/>
    <m/>
    <x v="7"/>
    <b v="0"/>
    <m/>
    <s v="005ak00000icyWTAAY"/>
    <s v="2026-09-16T17:01:26.000Z"/>
    <m/>
    <m/>
    <d v="2026-04-04T00:00:00"/>
    <s v="LSN-00183"/>
    <s v="L-0000181"/>
    <s v="131ak000001XjDtAAK"/>
    <b v="0"/>
    <b v="0"/>
    <s v="L-0000181"/>
    <s v="16:30:00.000Z"/>
    <x v="0"/>
    <s v="a07ak00001rZMpmAAG"/>
    <s v="Scarlett Jackson"/>
    <s v="2026-09-16T17:01:26.000Z"/>
    <b v="1"/>
    <s v="a06ak00000amzBnAAI|2026-04-04|16:30:00.000Z"/>
    <n v="1"/>
    <s v="Red Bank"/>
    <x v="5"/>
    <x v="0"/>
  </r>
  <r>
    <s v="005ak00000icyWTAAY"/>
    <s v="2026-09-14T21:01:58.000Z"/>
    <n v="30"/>
    <s v="a0Aak00000FtDoUEAV"/>
    <s v="a06ak00000amzByAAI"/>
    <s v="Vincent Sullivan"/>
    <s v="Worked on scales and timing."/>
    <x v="10"/>
    <b v="0"/>
    <m/>
    <s v="005ak00000icyWTAAY"/>
    <s v="2026-09-16T17:01:26.000Z"/>
    <m/>
    <m/>
    <d v="2026-06-20T00:00:00"/>
    <s v="LSN-00184"/>
    <s v="L-0000182"/>
    <s v="131ak000001XjDvAAK"/>
    <b v="0"/>
    <b v="0"/>
    <s v="L-0000182"/>
    <s v="16:00:00.000Z"/>
    <x v="0"/>
    <s v="a07ak00001rZMpnAAG"/>
    <s v="Leo Mitchell"/>
    <s v="2026-09-16T17:01:26.000Z"/>
    <b v="1"/>
    <s v="a06ak00000amzByAAI|2026-06-20|16:00:00.000Z"/>
    <n v="1"/>
    <s v="Toms River"/>
    <x v="7"/>
    <x v="0"/>
  </r>
  <r>
    <s v="005ak00000icyWTAAY"/>
    <s v="2026-09-14T21:01:58.000Z"/>
    <n v="60"/>
    <s v="a0Aak00000FtDoVEAV"/>
    <s v="a06ak00000amzByAAI"/>
    <s v="Vincent Sullivan"/>
    <s v="Good progress on technique."/>
    <x v="10"/>
    <b v="0"/>
    <m/>
    <s v="005ak00000icyWTAAY"/>
    <s v="2026-09-16T17:01:26.000Z"/>
    <m/>
    <m/>
    <d v="2026-10-02T00:00:00"/>
    <s v="LSN-00185"/>
    <s v="L-0000183"/>
    <s v="131ak000001XjDvAAK"/>
    <b v="0"/>
    <b v="0"/>
    <s v="L-0000183"/>
    <s v="18:00:00.000Z"/>
    <x v="0"/>
    <s v="a07ak00001rZMpnAAG"/>
    <s v="Leo Mitchell"/>
    <s v="2026-09-16T17:01:26.000Z"/>
    <b v="1"/>
    <s v="a06ak00000amzByAAI|2026-10-02|18:00:00.000Z"/>
    <n v="1"/>
    <s v="Toms River"/>
    <x v="9"/>
    <x v="0"/>
  </r>
  <r>
    <s v="005ak00000icyWTAAY"/>
    <s v="2026-09-14T21:01:58.000Z"/>
    <n v="30"/>
    <s v="a0Aak00000FtDoWEAV"/>
    <s v="a06ak00000amzByAAI"/>
    <s v="Vincent Sullivan"/>
    <s v="Started new piece."/>
    <x v="10"/>
    <b v="0"/>
    <m/>
    <s v="005ak00000icyWTAAY"/>
    <s v="2026-09-16T17:01:26.000Z"/>
    <m/>
    <m/>
    <d v="2026-02-11T00:00:00"/>
    <s v="LSN-00186"/>
    <s v="L-0000184"/>
    <s v="131ak000001XjDvAAK"/>
    <b v="0"/>
    <b v="0"/>
    <s v="L-0000184"/>
    <s v="18:30:00.000Z"/>
    <x v="0"/>
    <s v="a07ak00001rZMpnAAG"/>
    <s v="Leo Mitchell"/>
    <s v="2026-09-16T17:01:26.000Z"/>
    <b v="1"/>
    <s v="a06ak00000amzByAAI|2026-02-11|18:30:00.000Z"/>
    <n v="1"/>
    <s v="Toms River"/>
    <x v="1"/>
    <x v="0"/>
  </r>
  <r>
    <s v="005ak00000icyWTAAY"/>
    <s v="2026-09-14T21:01:58.000Z"/>
    <n v="45"/>
    <s v="a0Aak00000FtDoXEAV"/>
    <s v="a06ak00000amzByAAI"/>
    <s v="Vincent Sullivan"/>
    <s v="Reviewed last week&amp;#39;s assignment."/>
    <x v="10"/>
    <b v="0"/>
    <m/>
    <s v="005ak00000icyWTAAY"/>
    <s v="2026-09-16T17:01:26.000Z"/>
    <m/>
    <m/>
    <d v="2026-04-09T00:00:00"/>
    <s v="LSN-00187"/>
    <s v="L-0000185"/>
    <s v="131ak000001XjDvAAK"/>
    <b v="0"/>
    <b v="0"/>
    <s v="L-0000185"/>
    <s v="16:00:00.000Z"/>
    <x v="0"/>
    <s v="a07ak00001rZMpnAAG"/>
    <s v="Leo Mitchell"/>
    <s v="2026-09-16T17:01:26.000Z"/>
    <b v="1"/>
    <s v="a06ak00000amzByAAI|2026-04-09|16:00:00.000Z"/>
    <n v="1"/>
    <s v="Toms River"/>
    <x v="5"/>
    <x v="0"/>
  </r>
  <r>
    <s v="005ak00000icyWTAAY"/>
    <s v="2026-09-14T21:01:58.000Z"/>
    <n v="30"/>
    <s v="a0Aak00000FtDoYEAV"/>
    <s v="a06ak00000amzByAAI"/>
    <s v="Vincent Sullivan"/>
    <m/>
    <x v="10"/>
    <b v="0"/>
    <m/>
    <s v="005ak00000icyWTAAY"/>
    <s v="2026-09-16T17:01:26.000Z"/>
    <m/>
    <m/>
    <d v="2026-08-12T00:00:00"/>
    <s v="LSN-00188"/>
    <s v="L-0000186"/>
    <s v="131ak000001XjDvAAK"/>
    <b v="0"/>
    <b v="0"/>
    <s v="L-0000186"/>
    <s v="17:00:00.000Z"/>
    <x v="0"/>
    <s v="a07ak00001rZMpnAAG"/>
    <s v="Leo Mitchell"/>
    <s v="2026-09-16T17:01:26.000Z"/>
    <b v="1"/>
    <s v="a06ak00000amzByAAI|2026-08-12|17:00:00.000Z"/>
    <n v="1"/>
    <s v="Toms River"/>
    <x v="6"/>
    <x v="0"/>
  </r>
  <r>
    <s v="005ak00000icyWTAAY"/>
    <s v="2026-09-14T21:01:58.000Z"/>
    <n v="60"/>
    <s v="a0Aak00000FtDoZEAV"/>
    <s v="a06ak00000amzC9AAI"/>
    <s v="Kai Okafor"/>
    <s v="Focused on sight reading."/>
    <x v="11"/>
    <b v="0"/>
    <m/>
    <s v="005ak00000icyWTAAY"/>
    <s v="2026-09-16T17:01:26.000Z"/>
    <m/>
    <m/>
    <d v="2026-08-16T00:00:00"/>
    <s v="LSN-00189"/>
    <s v="L-0000187"/>
    <s v="131ak000001XjDtAAK"/>
    <b v="0"/>
    <b v="0"/>
    <s v="L-0000187"/>
    <s v="17:00:00.000Z"/>
    <x v="0"/>
    <s v="a07ak00001rZMpoAAG"/>
    <s v="Naomi Rodriguez"/>
    <s v="2026-09-16T17:01:26.000Z"/>
    <b v="1"/>
    <s v="a06ak00000amzC9AAI|2026-08-16|17:00:00.000Z"/>
    <n v="1"/>
    <s v="Red Bank"/>
    <x v="6"/>
    <x v="0"/>
  </r>
  <r>
    <s v="005ak00000icyWTAAY"/>
    <s v="2026-09-14T21:01:58.000Z"/>
    <n v="45"/>
    <s v="a0Aak00000FtDoaEAF"/>
    <s v="a06ak00000amzC9AAI"/>
    <s v="Kai Okafor"/>
    <s v="Focused on sight reading."/>
    <x v="11"/>
    <b v="0"/>
    <m/>
    <s v="005ak00000icyWTAAY"/>
    <s v="2026-09-16T17:01:26.000Z"/>
    <m/>
    <m/>
    <d v="2026-03-30T00:00:00"/>
    <s v="LSN-00190"/>
    <s v="L-0000188"/>
    <s v="131ak000001XjDtAAK"/>
    <b v="0"/>
    <b v="0"/>
    <s v="L-0000188"/>
    <s v="15:00:00.000Z"/>
    <x v="0"/>
    <s v="a07ak00001rZMpoAAG"/>
    <s v="Naomi Rodriguez"/>
    <s v="2026-09-16T17:01:26.000Z"/>
    <b v="1"/>
    <s v="a06ak00000amzC9AAI|2026-03-30|15:00:00.000Z"/>
    <n v="1"/>
    <s v="Red Bank"/>
    <x v="3"/>
    <x v="0"/>
  </r>
  <r>
    <s v="005ak00000icyWTAAY"/>
    <s v="2026-09-14T21:01:58.000Z"/>
    <n v="45"/>
    <s v="a0Aak00000FtDobEAF"/>
    <s v="a06ak00000amzCBAAY"/>
    <s v="Aiden Hill"/>
    <s v="Worked on scales and timing."/>
    <x v="3"/>
    <b v="0"/>
    <m/>
    <s v="005ak00000icyWTAAY"/>
    <s v="2026-09-16T17:01:26.000Z"/>
    <m/>
    <m/>
    <d v="2026-01-15T00:00:00"/>
    <s v="LSN-00191"/>
    <s v="L-0000189"/>
    <s v="131ak000001XjDtAAK"/>
    <b v="0"/>
    <b v="0"/>
    <s v="L-0000189"/>
    <s v="11:00:00.000Z"/>
    <x v="0"/>
    <s v="a07ak00001rZMppAAG"/>
    <s v="Ruby Taylor"/>
    <s v="2026-09-16T17:01:26.000Z"/>
    <b v="1"/>
    <s v="a06ak00000amzCBAAY|2026-01-15|11:00:00.000Z"/>
    <n v="1"/>
    <s v="Red Bank"/>
    <x v="4"/>
    <x v="0"/>
  </r>
  <r>
    <s v="005ak00000icyWTAAY"/>
    <s v="2026-09-14T21:01:58.000Z"/>
    <n v="30"/>
    <s v="a0Aak00000FtDocEAF"/>
    <s v="a06ak00000amzCBAAY"/>
    <s v="Aiden Hill"/>
    <m/>
    <x v="3"/>
    <b v="0"/>
    <m/>
    <s v="005ak00000icyWTAAY"/>
    <s v="2026-09-16T17:01:26.000Z"/>
    <m/>
    <m/>
    <d v="2026-10-02T00:00:00"/>
    <s v="LSN-00192"/>
    <s v="L-0000190"/>
    <s v="131ak000001XjDtAAK"/>
    <b v="0"/>
    <b v="0"/>
    <s v="L-0000190"/>
    <s v="19:00:00.000Z"/>
    <x v="0"/>
    <s v="a07ak00001rZMppAAG"/>
    <s v="Ruby Taylor"/>
    <s v="2026-09-16T17:01:26.000Z"/>
    <b v="1"/>
    <s v="a06ak00000amzCBAAY|2026-10-02|19:00:00.000Z"/>
    <n v="1"/>
    <s v="Red Bank"/>
    <x v="9"/>
    <x v="0"/>
  </r>
  <r>
    <s v="005ak00000icyWTAAY"/>
    <s v="2026-09-14T21:01:58.000Z"/>
    <n v="60"/>
    <s v="a0Aak00000FtDodEAF"/>
    <s v="a06ak00000amzCBAAY"/>
    <s v="Aiden Hill"/>
    <s v="Worked on scales and timing."/>
    <x v="3"/>
    <b v="0"/>
    <m/>
    <s v="005ak00000icyWTAAY"/>
    <s v="2026-09-16T17:01:26.000Z"/>
    <m/>
    <m/>
    <d v="2026-04-17T00:00:00"/>
    <s v="LSN-00193"/>
    <s v="L-0000191"/>
    <s v="131ak000001XjDtAAK"/>
    <b v="0"/>
    <b v="0"/>
    <s v="L-0000191"/>
    <s v="18:00:00.000Z"/>
    <x v="0"/>
    <s v="a07ak00001rZMppAAG"/>
    <s v="Ruby Taylor"/>
    <s v="2026-09-16T17:01:26.000Z"/>
    <b v="1"/>
    <s v="a06ak00000amzCBAAY|2026-04-17|18:00:00.000Z"/>
    <n v="1"/>
    <s v="Red Bank"/>
    <x v="5"/>
    <x v="0"/>
  </r>
  <r>
    <s v="005ak00000icyWTAAY"/>
    <s v="2026-09-14T21:01:58.000Z"/>
    <n v="30"/>
    <s v="a0Aak00000FtDoeEAF"/>
    <s v="a06ak00000amzCBAAY"/>
    <s v="Aiden Hill"/>
    <s v="Worked on scales and timing."/>
    <x v="3"/>
    <b v="0"/>
    <m/>
    <s v="005ak00000icyWTAAY"/>
    <s v="2026-09-16T17:01:26.000Z"/>
    <m/>
    <m/>
    <d v="2026-07-29T00:00:00"/>
    <s v="LSN-00194"/>
    <s v="L-0000192"/>
    <s v="131ak000001XjDtAAK"/>
    <b v="0"/>
    <b v="0"/>
    <s v="L-0000192"/>
    <s v="18:30:00.000Z"/>
    <x v="0"/>
    <s v="a07ak00001rZMppAAG"/>
    <s v="Ruby Taylor"/>
    <s v="2026-09-16T17:01:26.000Z"/>
    <b v="1"/>
    <s v="a06ak00000amzCBAAY|2026-07-29|18:30:00.000Z"/>
    <n v="1"/>
    <s v="Red Bank"/>
    <x v="8"/>
    <x v="0"/>
  </r>
  <r>
    <s v="005ak00000icyWTAAY"/>
    <s v="2026-09-14T21:01:58.000Z"/>
    <n v="30"/>
    <s v="a0Aak00000FtDofEAF"/>
    <s v="a06ak00000amzCBAAY"/>
    <s v="Aiden Hill"/>
    <m/>
    <x v="3"/>
    <b v="0"/>
    <m/>
    <s v="005ak00000icyWTAAY"/>
    <s v="2026-09-16T17:01:26.000Z"/>
    <m/>
    <m/>
    <d v="2026-01-17T00:00:00"/>
    <s v="LSN-00195"/>
    <s v="L-0000193"/>
    <s v="131ak000001XjDtAAK"/>
    <b v="0"/>
    <b v="0"/>
    <s v="L-0000193"/>
    <s v="16:30:00.000Z"/>
    <x v="0"/>
    <s v="a07ak00001rZMppAAG"/>
    <s v="Ruby Taylor"/>
    <s v="2026-09-16T17:01:26.000Z"/>
    <b v="1"/>
    <s v="a06ak00000amzCBAAY|2026-01-17|16:30:00.000Z"/>
    <n v="1"/>
    <s v="Red Bank"/>
    <x v="4"/>
    <x v="0"/>
  </r>
  <r>
    <s v="005ak00000icyWTAAY"/>
    <s v="2026-09-14T21:01:58.000Z"/>
    <n v="60"/>
    <s v="a0Aak00000FtDogEAF"/>
    <s v="a06ak00000amzCBAAY"/>
    <s v="Aiden Hill"/>
    <s v="Good progress on technique."/>
    <x v="3"/>
    <b v="0"/>
    <m/>
    <s v="005ak00000icyWTAAY"/>
    <s v="2026-09-16T17:01:26.000Z"/>
    <m/>
    <m/>
    <d v="2026-06-18T00:00:00"/>
    <s v="LSN-00196"/>
    <s v="L-0000194"/>
    <s v="131ak000001XjDtAAK"/>
    <b v="0"/>
    <b v="0"/>
    <s v="L-0000194"/>
    <s v="16:30:00.000Z"/>
    <x v="0"/>
    <s v="a07ak00001rZMppAAG"/>
    <s v="Ruby Taylor"/>
    <s v="2026-09-16T17:01:26.000Z"/>
    <b v="1"/>
    <s v="a06ak00000amzCBAAY|2026-06-18|16:30:00.000Z"/>
    <n v="1"/>
    <s v="Red Bank"/>
    <x v="7"/>
    <x v="0"/>
  </r>
  <r>
    <s v="005ak00000icyWTAAY"/>
    <s v="2026-09-14T21:01:58.000Z"/>
    <n v="60"/>
    <s v="a0Aak00000FtDohEAF"/>
    <s v="a06ak00000amzCBAAY"/>
    <s v="Aiden Hill"/>
    <s v="Good progress on technique."/>
    <x v="3"/>
    <b v="0"/>
    <m/>
    <s v="005ak00000icyWTAAY"/>
    <s v="2026-09-16T17:01:26.000Z"/>
    <m/>
    <m/>
    <d v="2026-03-10T00:00:00"/>
    <s v="LSN-00197"/>
    <s v="L-0000195"/>
    <s v="131ak000001XjDtAAK"/>
    <b v="0"/>
    <b v="0"/>
    <s v="L-0000195"/>
    <s v="15:00:00.000Z"/>
    <x v="0"/>
    <s v="a07ak00001rZMppAAG"/>
    <s v="Ruby Taylor"/>
    <s v="2026-09-16T17:01:26.000Z"/>
    <b v="1"/>
    <s v="a06ak00000amzCBAAY|2026-03-10|15:00:00.000Z"/>
    <n v="1"/>
    <s v="Red Bank"/>
    <x v="3"/>
    <x v="0"/>
  </r>
  <r>
    <s v="005ak00000icyWTAAY"/>
    <s v="2026-09-14T21:01:58.000Z"/>
    <n v="30"/>
    <s v="a0Aak00000FtDoiEAF"/>
    <s v="a06ak00000amzBqAAI"/>
    <s v="Aubrey Miller"/>
    <s v="Focused on sight reading."/>
    <x v="1"/>
    <b v="0"/>
    <m/>
    <s v="005ak00000icyWTAAY"/>
    <s v="2026-09-16T17:01:26.000Z"/>
    <m/>
    <m/>
    <d v="2026-07-01T00:00:00"/>
    <s v="LSN-00198"/>
    <s v="L-0000196"/>
    <s v="131ak000001XjDtAAK"/>
    <b v="0"/>
    <b v="0"/>
    <s v="L-0000196"/>
    <s v="18:00:00.000Z"/>
    <x v="0"/>
    <s v="a07ak00001rZMpqAAG"/>
    <s v="Isaac Harris"/>
    <s v="2026-09-16T17:01:26.000Z"/>
    <b v="1"/>
    <s v="a06ak00000amzBqAAI|2026-07-01|18:00:00.000Z"/>
    <n v="1"/>
    <s v="Red Bank"/>
    <x v="8"/>
    <x v="0"/>
  </r>
  <r>
    <s v="005ak00000icyWTAAY"/>
    <s v="2026-09-14T21:01:58.000Z"/>
    <n v="45"/>
    <s v="a0Aak00000FtDojEAF"/>
    <s v="a06ak00000amzBiAAI"/>
    <s v="Zoey Torres"/>
    <s v="Good progress on technique."/>
    <x v="1"/>
    <b v="0"/>
    <m/>
    <s v="005ak00000icyWTAAY"/>
    <s v="2026-09-23T19:02:24.000Z"/>
    <m/>
    <m/>
    <d v="2026-09-26T00:00:00"/>
    <s v="LSN-00199"/>
    <s v="L-0000197"/>
    <s v="131ak000001XjDtAAK"/>
    <b v="0"/>
    <b v="0"/>
    <s v="L-0000197"/>
    <s v="15:00:00.000Z"/>
    <x v="0"/>
    <s v="a07ak00001rZMpqAAG"/>
    <s v="Isaac Harris"/>
    <s v="2026-09-23T19:02:24.000Z"/>
    <b v="1"/>
    <s v="a06ak00000amzBiAAI|2026-09-26|15:00:00.000Z"/>
    <n v="1"/>
    <s v="Red Bank"/>
    <x v="2"/>
    <x v="0"/>
  </r>
  <r>
    <s v="005ak00000icyWTAAY"/>
    <s v="2026-09-14T21:01:58.000Z"/>
    <n v="30"/>
    <s v="a0Aak00000FtDokEAF"/>
    <s v="a06ak00000amzBqAAI"/>
    <s v="Aubrey Miller"/>
    <s v="Started new piece."/>
    <x v="1"/>
    <b v="0"/>
    <m/>
    <s v="005ak00000icyWTAAY"/>
    <s v="2026-09-16T17:01:26.000Z"/>
    <m/>
    <m/>
    <d v="2026-07-06T00:00:00"/>
    <s v="LSN-00200"/>
    <s v="L-0000198"/>
    <s v="131ak000001XjDtAAK"/>
    <b v="0"/>
    <b v="0"/>
    <s v="L-0000198"/>
    <s v="18:30:00.000Z"/>
    <x v="0"/>
    <s v="a07ak00001rZMpqAAG"/>
    <s v="Isaac Harris"/>
    <s v="2026-09-16T17:01:26.000Z"/>
    <b v="1"/>
    <s v="a06ak00000amzBqAAI|2026-07-06|18:30:00.000Z"/>
    <n v="1"/>
    <s v="Red Bank"/>
    <x v="8"/>
    <x v="0"/>
  </r>
  <r>
    <s v="005ak00000icyWTAAY"/>
    <s v="2026-09-14T21:01:58.000Z"/>
    <n v="30"/>
    <s v="a0Aak00000FtDolEAF"/>
    <s v="a06ak00000amzBlAAI"/>
    <s v="Micah Novak"/>
    <m/>
    <x v="0"/>
    <b v="0"/>
    <m/>
    <s v="005ak00000icyWTAAY"/>
    <s v="2026-09-25T18:00:49.000Z"/>
    <m/>
    <m/>
    <d v="2026-02-23T00:00:00"/>
    <s v="LSN-00201"/>
    <s v="L-0000199"/>
    <s v="131ak000001XjDuAAK"/>
    <b v="1"/>
    <b v="1"/>
    <s v="L-0000199"/>
    <s v="15:30:00.000Z"/>
    <x v="4"/>
    <s v="a07ak00001rZMprAAG"/>
    <s v="Henry Brown"/>
    <s v="2026-09-25T18:00:49.000Z"/>
    <b v="1"/>
    <s v=""/>
    <m/>
    <s v="Brick"/>
    <x v="1"/>
    <x v="0"/>
  </r>
  <r>
    <s v="005ak00000icyWTAAY"/>
    <s v="2026-09-14T21:01:58.000Z"/>
    <n v="30"/>
    <s v="a0Aak00000FtDomEAF"/>
    <s v="a06ak00000amzBlAAI"/>
    <s v="Micah Novak"/>
    <m/>
    <x v="0"/>
    <b v="0"/>
    <m/>
    <s v="005ak00000icyWTAAY"/>
    <s v="2026-09-16T17:01:26.000Z"/>
    <m/>
    <m/>
    <d v="2026-08-01T00:00:00"/>
    <s v="LSN-00202"/>
    <s v="L-0000200"/>
    <s v="131ak000001XjDuAAK"/>
    <b v="0"/>
    <b v="0"/>
    <s v="L-0000200"/>
    <s v="11:00:00.000Z"/>
    <x v="1"/>
    <s v="a07ak00001rZMprAAG"/>
    <s v="Henry Brown"/>
    <s v="2026-09-16T17:01:26.000Z"/>
    <b v="1"/>
    <s v=""/>
    <m/>
    <s v="Brick"/>
    <x v="6"/>
    <x v="0"/>
  </r>
  <r>
    <s v="005ak00000icyWTAAY"/>
    <s v="2026-09-14T21:01:58.000Z"/>
    <n v="60"/>
    <s v="a0Aak00000FtDonEAF"/>
    <s v="a06ak00000amzC1AAI"/>
    <s v="Valentina Nakamura"/>
    <m/>
    <x v="0"/>
    <b v="0"/>
    <m/>
    <s v="005ak00000icyWTAAY"/>
    <s v="2026-09-23T19:02:24.000Z"/>
    <m/>
    <m/>
    <d v="2026-10-01T00:00:00"/>
    <s v="LSN-00203"/>
    <s v="L-0000201"/>
    <s v="131ak000001XjDuAAK"/>
    <b v="0"/>
    <b v="0"/>
    <s v="L-0000201"/>
    <s v="18:30:00.000Z"/>
    <x v="1"/>
    <s v="a07ak00001rZMprAAG"/>
    <s v="Henry Brown"/>
    <s v="2026-09-23T19:02:24.000Z"/>
    <b v="1"/>
    <s v=""/>
    <n v="114"/>
    <s v="Brick"/>
    <x v="9"/>
    <x v="0"/>
  </r>
  <r>
    <s v="005ak00000icyWTAAY"/>
    <s v="2026-09-14T21:01:58.000Z"/>
    <n v="30"/>
    <s v="a0Aak00000FtDooEAF"/>
    <s v="a06ak00000amzBlAAI"/>
    <s v="Micah Novak"/>
    <s v="Good progress on technique."/>
    <x v="0"/>
    <b v="0"/>
    <m/>
    <s v="005ak00000icyWTAAY"/>
    <s v="2026-09-16T17:01:26.000Z"/>
    <m/>
    <m/>
    <d v="2026-03-03T00:00:00"/>
    <s v="LSN-00204"/>
    <s v="L-0000202"/>
    <s v="131ak000001XjDuAAK"/>
    <b v="0"/>
    <b v="0"/>
    <s v="L-0000202"/>
    <s v="18:00:00.000Z"/>
    <x v="0"/>
    <s v="a07ak00001rZMprAAG"/>
    <s v="Henry Brown"/>
    <s v="2026-09-16T17:01:26.000Z"/>
    <b v="1"/>
    <s v="a06ak00000amzBlAAI|2026-03-03|18:00:00.000Z"/>
    <n v="1"/>
    <s v="Brick"/>
    <x v="3"/>
    <x v="0"/>
  </r>
  <r>
    <s v="005ak00000icyWTAAY"/>
    <s v="2026-09-14T21:01:58.000Z"/>
    <n v="45"/>
    <s v="a0Aak00000FtDopEAF"/>
    <s v="a06ak00000amzBhAAI"/>
    <s v="Layla Sullivan"/>
    <s v="Reviewed last week&amp;#39;s assignment."/>
    <x v="0"/>
    <b v="0"/>
    <m/>
    <s v="005ak00000icyWTAAY"/>
    <s v="2026-09-16T16:41:26.000Z"/>
    <m/>
    <m/>
    <d v="2026-03-11T00:00:00"/>
    <s v="LSN-00205"/>
    <s v="L-0000203"/>
    <s v="131ak000001XjDuAAK"/>
    <b v="0"/>
    <b v="0"/>
    <s v="L-0000203"/>
    <s v="19:00:00.000Z"/>
    <x v="2"/>
    <s v="a07ak00001rZMprAAG"/>
    <s v="Henry Brown"/>
    <s v="2026-09-16T16:41:26.000Z"/>
    <b v="0"/>
    <s v="a06ak00000amzBhAAI|2026-03-11|19:00:00.000Z"/>
    <n v="1"/>
    <s v="Brick"/>
    <x v="3"/>
    <x v="0"/>
  </r>
  <r>
    <s v="005ak00000icyWTAAY"/>
    <s v="2026-09-14T21:01:58.000Z"/>
    <n v="60"/>
    <s v="a0Aak00000FtDoqEAF"/>
    <s v="a06ak00000amzBlAAI"/>
    <s v="Micah Novak"/>
    <s v="Started new piece."/>
    <x v="0"/>
    <b v="0"/>
    <m/>
    <s v="005ak00000icyWTAAY"/>
    <s v="2026-09-16T17:01:26.000Z"/>
    <m/>
    <m/>
    <d v="2026-07-13T00:00:00"/>
    <s v="LSN-00206"/>
    <s v="L-0000204"/>
    <s v="131ak000001XjDuAAK"/>
    <b v="0"/>
    <b v="0"/>
    <s v="L-0000204"/>
    <s v="16:30:00.000Z"/>
    <x v="0"/>
    <s v="a07ak00001rZMprAAG"/>
    <s v="Henry Brown"/>
    <s v="2026-09-16T17:01:26.000Z"/>
    <b v="1"/>
    <s v="a06ak00000amzBlAAI|2026-07-13|16:30:00.000Z"/>
    <n v="1"/>
    <s v="Brick"/>
    <x v="8"/>
    <x v="0"/>
  </r>
  <r>
    <s v="005ak00000icyWTAAY"/>
    <s v="2026-09-14T21:01:58.000Z"/>
    <n v="60"/>
    <s v="a0Aak00000FtDorEAF"/>
    <s v="a06ak00000amzCLAAY"/>
    <s v="Liam Moore"/>
    <s v="Worked on scales and timing."/>
    <x v="7"/>
    <b v="0"/>
    <m/>
    <s v="005ak00000icyWTAAY"/>
    <s v="2026-09-16T17:01:26.000Z"/>
    <m/>
    <m/>
    <d v="2026-02-06T00:00:00"/>
    <s v="LSN-00207"/>
    <s v="L-0000205"/>
    <s v="131ak000001XjDtAAK"/>
    <b v="0"/>
    <b v="0"/>
    <s v="L-0000205"/>
    <s v="19:00:00.000Z"/>
    <x v="0"/>
    <s v="a07ak00001rZMpsAAG"/>
    <s v="Aubrey Clark"/>
    <s v="2026-09-16T17:01:26.000Z"/>
    <b v="1"/>
    <s v="a06ak00000amzCLAAY|2026-02-06|19:00:00.000Z"/>
    <n v="1"/>
    <s v="Red Bank"/>
    <x v="1"/>
    <x v="0"/>
  </r>
  <r>
    <s v="005ak00000icyWTAAY"/>
    <s v="2026-09-14T21:01:58.000Z"/>
    <n v="60"/>
    <s v="a0Aak00000FtDosEAF"/>
    <s v="a06ak00000amzCLAAY"/>
    <s v="Liam Moore"/>
    <s v="Focused on sight reading."/>
    <x v="7"/>
    <b v="0"/>
    <m/>
    <s v="005ak00000icyWTAAY"/>
    <s v="2026-09-16T17:01:26.000Z"/>
    <m/>
    <m/>
    <d v="2026-01-25T00:00:00"/>
    <s v="LSN-00208"/>
    <s v="L-0000206"/>
    <s v="131ak000001XjDtAAK"/>
    <b v="0"/>
    <b v="0"/>
    <s v="L-0000206"/>
    <s v="16:00:00.000Z"/>
    <x v="0"/>
    <s v="a07ak00001rZMpsAAG"/>
    <s v="Aubrey Clark"/>
    <s v="2026-09-16T17:01:26.000Z"/>
    <b v="1"/>
    <s v="a06ak00000amzCLAAY|2026-01-25|16:00:00.000Z"/>
    <n v="1"/>
    <s v="Red Bank"/>
    <x v="4"/>
    <x v="0"/>
  </r>
  <r>
    <s v="005ak00000icyWTAAY"/>
    <s v="2026-09-14T21:01:58.000Z"/>
    <n v="45"/>
    <s v="a0Aak00000FtDotEAF"/>
    <s v="a06ak00000amzCLAAY"/>
    <s v="Liam Moore"/>
    <s v="Focused on sight reading."/>
    <x v="7"/>
    <b v="0"/>
    <m/>
    <s v="005ak00000icyWTAAY"/>
    <s v="2026-09-16T17:01:26.000Z"/>
    <m/>
    <m/>
    <d v="2026-01-29T00:00:00"/>
    <s v="LSN-00209"/>
    <s v="L-0000207"/>
    <s v="131ak000001XjDtAAK"/>
    <b v="0"/>
    <b v="0"/>
    <s v="L-0000207"/>
    <s v="17:00:00.000Z"/>
    <x v="0"/>
    <s v="a07ak00001rZMpsAAG"/>
    <s v="Aubrey Clark"/>
    <s v="2026-09-16T17:01:26.000Z"/>
    <b v="1"/>
    <s v="a06ak00000amzCLAAY|2026-01-29|17:00:00.000Z"/>
    <n v="1"/>
    <s v="Red Bank"/>
    <x v="4"/>
    <x v="0"/>
  </r>
  <r>
    <s v="005ak00000icyWTAAY"/>
    <s v="2026-09-14T21:01:58.000Z"/>
    <n v="60"/>
    <s v="a0Aak00000FtDouEAF"/>
    <s v="a06ak00000amzCLAAY"/>
    <s v="Liam Moore"/>
    <s v="Worked on scales and timing."/>
    <x v="7"/>
    <b v="0"/>
    <m/>
    <s v="005ak00000icyWTAAY"/>
    <s v="2026-09-16T17:01:26.000Z"/>
    <m/>
    <m/>
    <d v="2026-07-16T00:00:00"/>
    <s v="LSN-00210"/>
    <s v="L-0000208"/>
    <s v="131ak000001XjDtAAK"/>
    <b v="0"/>
    <b v="0"/>
    <s v="L-0000208"/>
    <s v="16:30:00.000Z"/>
    <x v="0"/>
    <s v="a07ak00001rZMpsAAG"/>
    <s v="Aubrey Clark"/>
    <s v="2026-09-16T17:01:26.000Z"/>
    <b v="1"/>
    <s v="a06ak00000amzCLAAY|2026-07-16|16:30:00.000Z"/>
    <n v="1"/>
    <s v="Red Bank"/>
    <x v="8"/>
    <x v="0"/>
  </r>
  <r>
    <s v="005ak00000icyWTAAY"/>
    <s v="2026-09-14T21:01:58.000Z"/>
    <n v="60"/>
    <s v="a0Aak00000FtDovEAF"/>
    <s v="a06ak00000amzCLAAY"/>
    <s v="Liam Moore"/>
    <m/>
    <x v="7"/>
    <b v="0"/>
    <m/>
    <s v="005ak00000icyWTAAY"/>
    <s v="2026-09-16T17:01:26.000Z"/>
    <m/>
    <m/>
    <d v="2026-05-05T00:00:00"/>
    <s v="LSN-00211"/>
    <s v="L-0000209"/>
    <s v="131ak000001XjDtAAK"/>
    <b v="0"/>
    <b v="0"/>
    <s v="L-0000209"/>
    <s v="15:00:00.000Z"/>
    <x v="0"/>
    <s v="a07ak00001rZMpsAAG"/>
    <s v="Aubrey Clark"/>
    <s v="2026-09-16T17:01:26.000Z"/>
    <b v="1"/>
    <s v="a06ak00000amzCLAAY|2026-05-05|15:00:00.000Z"/>
    <n v="1"/>
    <s v="Red Bank"/>
    <x v="0"/>
    <x v="0"/>
  </r>
  <r>
    <s v="005ak00000icyWTAAY"/>
    <s v="2026-09-14T21:01:58.000Z"/>
    <n v="60"/>
    <s v="a0Aak00000FtDowEAF"/>
    <s v="a06ak00000amzCLAAY"/>
    <s v="Liam Moore"/>
    <s v="Started new piece."/>
    <x v="7"/>
    <b v="0"/>
    <m/>
    <s v="005ak00000icyWTAAY"/>
    <s v="2026-09-16T17:01:26.000Z"/>
    <m/>
    <m/>
    <d v="2026-04-01T00:00:00"/>
    <s v="LSN-00212"/>
    <s v="L-0000210"/>
    <s v="131ak000001XjDtAAK"/>
    <b v="0"/>
    <b v="0"/>
    <s v="L-0000210"/>
    <s v="10:00:00.000Z"/>
    <x v="0"/>
    <s v="a07ak00001rZMpsAAG"/>
    <s v="Aubrey Clark"/>
    <s v="2026-09-16T17:01:26.000Z"/>
    <b v="1"/>
    <s v="a06ak00000amzCLAAY|2026-04-01|10:00:00.000Z"/>
    <n v="1"/>
    <s v="Red Bank"/>
    <x v="5"/>
    <x v="0"/>
  </r>
  <r>
    <s v="005ak00000icyWTAAY"/>
    <s v="2026-09-14T21:01:58.000Z"/>
    <n v="45"/>
    <s v="a0Aak00000FtDoxEAF"/>
    <s v="a06ak00000amzCLAAY"/>
    <s v="Liam Moore"/>
    <s v="Good progress on technique."/>
    <x v="7"/>
    <b v="0"/>
    <m/>
    <s v="005ak00000icyWTAAY"/>
    <s v="2026-09-16T17:01:26.000Z"/>
    <m/>
    <m/>
    <d v="2026-03-11T00:00:00"/>
    <s v="LSN-00214"/>
    <s v="L-0000211"/>
    <s v="131ak000001XjDtAAK"/>
    <b v="0"/>
    <b v="0"/>
    <s v="L-0000211"/>
    <s v="15:30:00.000Z"/>
    <x v="0"/>
    <s v="a07ak00001rZMpsAAG"/>
    <s v="Aubrey Clark"/>
    <s v="2026-09-16T17:01:26.000Z"/>
    <b v="1"/>
    <s v="a06ak00000amzCLAAY|2026-03-11|15:30:00.000Z"/>
    <n v="1"/>
    <s v="Red Bank"/>
    <x v="3"/>
    <x v="0"/>
  </r>
  <r>
    <s v="005ak00000icyWTAAY"/>
    <s v="2026-09-14T21:01:58.000Z"/>
    <n v="30"/>
    <s v="a0Aak00000FtDoyEAF"/>
    <s v="a06ak00000amzC3AAI"/>
    <s v="Isabella Rivera"/>
    <s v="Focused on sight reading."/>
    <x v="11"/>
    <b v="0"/>
    <m/>
    <s v="005ak00000icyWTAAY"/>
    <s v="2026-09-16T17:01:26.000Z"/>
    <m/>
    <m/>
    <d v="2026-01-10T00:00:00"/>
    <s v="LSN-00215"/>
    <s v="L-0000212"/>
    <s v="131ak000001XjDtAAK"/>
    <b v="0"/>
    <b v="0"/>
    <s v="L-0000212"/>
    <s v="17:30:00.000Z"/>
    <x v="0"/>
    <s v="a07ak00001rZMpuAAG"/>
    <s v="Everly Nelson"/>
    <s v="2026-09-16T17:01:26.000Z"/>
    <b v="1"/>
    <s v="a06ak00000amzC3AAI|2026-01-10|17:30:00.000Z"/>
    <n v="1"/>
    <s v="Red Bank"/>
    <x v="4"/>
    <x v="0"/>
  </r>
  <r>
    <s v="005ak00000icyWTAAY"/>
    <s v="2026-09-14T21:01:58.000Z"/>
    <n v="45"/>
    <s v="a0Aak00000FtDozEAF"/>
    <s v="a06ak00000amzC3AAI"/>
    <s v="Isabella Rivera"/>
    <m/>
    <x v="11"/>
    <b v="0"/>
    <m/>
    <s v="005ak00000icyWTAAY"/>
    <s v="2026-09-16T17:01:26.000Z"/>
    <m/>
    <m/>
    <d v="2026-08-24T00:00:00"/>
    <s v="LSN-00216"/>
    <s v="L-0000213"/>
    <s v="131ak000001XjDtAAK"/>
    <b v="0"/>
    <b v="0"/>
    <s v="L-0000213"/>
    <s v="16:00:00.000Z"/>
    <x v="1"/>
    <s v="a07ak00001rZMpuAAG"/>
    <s v="Everly Nelson"/>
    <s v="2026-09-16T17:01:26.000Z"/>
    <b v="1"/>
    <s v=""/>
    <m/>
    <s v="Red Bank"/>
    <x v="6"/>
    <x v="0"/>
  </r>
  <r>
    <s v="005ak00000icyWTAAY"/>
    <s v="2026-09-14T21:01:58.000Z"/>
    <n v="30"/>
    <s v="a0Aak00000FtDp0EAF"/>
    <s v="a06ak00000amzC3AAI"/>
    <s v="Isabella Rivera"/>
    <s v="Reviewed last week&amp;#39;s assignment."/>
    <x v="11"/>
    <b v="0"/>
    <m/>
    <s v="005ak00000icyWTAAY"/>
    <s v="2026-09-16T17:01:26.000Z"/>
    <m/>
    <m/>
    <d v="2026-03-25T00:00:00"/>
    <s v="LSN-00217"/>
    <s v="L-0000214"/>
    <s v="131ak000001XjDtAAK"/>
    <b v="0"/>
    <b v="0"/>
    <s v="L-0000214"/>
    <s v="18:00:00.000Z"/>
    <x v="0"/>
    <s v="a07ak00001rZMpuAAG"/>
    <s v="Everly Nelson"/>
    <s v="2026-09-16T17:01:26.000Z"/>
    <b v="1"/>
    <s v="a06ak00000amzC3AAI|2026-03-25|18:00:00.000Z"/>
    <n v="1"/>
    <s v="Red Bank"/>
    <x v="3"/>
    <x v="0"/>
  </r>
  <r>
    <s v="005ak00000icyWTAAY"/>
    <s v="2026-09-14T21:01:58.000Z"/>
    <n v="30"/>
    <s v="a0Aak00000FtDp1EAF"/>
    <s v="a06ak00000amzC3AAI"/>
    <s v="Isabella Rivera"/>
    <m/>
    <x v="11"/>
    <b v="0"/>
    <m/>
    <s v="005ak00000icyWTAAY"/>
    <s v="2026-09-16T17:01:26.000Z"/>
    <m/>
    <m/>
    <d v="2026-03-01T00:00:00"/>
    <s v="LSN-00218"/>
    <s v="L-0000215"/>
    <s v="131ak000001XjDtAAK"/>
    <b v="0"/>
    <b v="0"/>
    <s v="L-0000215"/>
    <s v="11:00:00.000Z"/>
    <x v="1"/>
    <s v="a07ak00001rZMpuAAG"/>
    <s v="Everly Nelson"/>
    <s v="2026-09-16T17:01:26.000Z"/>
    <b v="1"/>
    <s v=""/>
    <m/>
    <s v="Red Bank"/>
    <x v="3"/>
    <x v="0"/>
  </r>
  <r>
    <s v="005ak00000icyWTAAY"/>
    <s v="2026-09-14T21:01:58.000Z"/>
    <n v="30"/>
    <s v="a0Aak00000FtDp2EAF"/>
    <s v="a06ak00000amzCMAAY"/>
    <s v="Yusuf Jackson"/>
    <s v="Good progress on technique."/>
    <x v="5"/>
    <b v="0"/>
    <m/>
    <s v="005ak00000icyWTAAY"/>
    <s v="2026-09-16T17:01:26.000Z"/>
    <m/>
    <m/>
    <d v="2026-01-12T00:00:00"/>
    <s v="LSN-00219"/>
    <s v="L-0000216"/>
    <s v="131ak000001XjDtAAK"/>
    <b v="0"/>
    <b v="0"/>
    <s v="L-0000216"/>
    <s v="18:00:00.000Z"/>
    <x v="0"/>
    <s v="a07ak00001rZMpvAAG"/>
    <s v="Anna Roberts"/>
    <s v="2026-09-16T17:01:26.000Z"/>
    <b v="1"/>
    <s v="a06ak00000amzCMAAY|2026-01-12|18:00:00.000Z"/>
    <n v="1"/>
    <s v="Red Bank"/>
    <x v="4"/>
    <x v="0"/>
  </r>
  <r>
    <s v="005ak00000icyWTAAY"/>
    <s v="2026-09-14T21:01:58.000Z"/>
    <n v="30"/>
    <s v="a0Aak00000FtDp3EAF"/>
    <s v="a06ak00000amzCMAAY"/>
    <s v="Yusuf Jackson"/>
    <s v="Reviewed last week&amp;#39;s assignment."/>
    <x v="5"/>
    <b v="0"/>
    <m/>
    <s v="005ak00000icyWTAAY"/>
    <s v="2026-09-16T17:01:26.000Z"/>
    <m/>
    <m/>
    <d v="2026-03-22T00:00:00"/>
    <s v="LSN-00220"/>
    <s v="L-0000217"/>
    <s v="131ak000001XjDtAAK"/>
    <b v="0"/>
    <b v="0"/>
    <s v="L-0000217"/>
    <s v="18:30:00.000Z"/>
    <x v="0"/>
    <s v="a07ak00001rZMpvAAG"/>
    <s v="Anna Roberts"/>
    <s v="2026-09-16T17:01:26.000Z"/>
    <b v="1"/>
    <s v="a06ak00000amzCMAAY|2026-03-22|18:30:00.000Z"/>
    <n v="1"/>
    <s v="Red Bank"/>
    <x v="3"/>
    <x v="0"/>
  </r>
  <r>
    <s v="005ak00000icyWTAAY"/>
    <s v="2026-09-14T21:01:58.000Z"/>
    <n v="45"/>
    <s v="a0Aak00000FtDp4EAF"/>
    <s v="a06ak00000amzCMAAY"/>
    <s v="Yusuf Jackson"/>
    <s v="Reviewed last week&amp;#39;s assignment."/>
    <x v="5"/>
    <b v="0"/>
    <m/>
    <s v="005ak00000icyWTAAY"/>
    <s v="2026-09-16T17:01:26.000Z"/>
    <m/>
    <m/>
    <d v="2026-02-19T00:00:00"/>
    <s v="LSN-00221"/>
    <s v="L-0000218"/>
    <s v="131ak000001XjDtAAK"/>
    <b v="0"/>
    <b v="0"/>
    <s v="L-0000218"/>
    <s v="18:00:00.000Z"/>
    <x v="0"/>
    <s v="a07ak00001rZMpvAAG"/>
    <s v="Anna Roberts"/>
    <s v="2026-09-16T17:01:26.000Z"/>
    <b v="1"/>
    <s v="a06ak00000amzCMAAY|2026-02-19|18:00:00.000Z"/>
    <n v="1"/>
    <s v="Red Bank"/>
    <x v="1"/>
    <x v="0"/>
  </r>
  <r>
    <s v="005ak00000icyWTAAY"/>
    <s v="2026-09-14T21:01:58.000Z"/>
    <n v="60"/>
    <s v="a0Aak00000FtDp5EAF"/>
    <s v="a06ak00000amzCMAAY"/>
    <s v="Yusuf Jackson"/>
    <m/>
    <x v="5"/>
    <b v="0"/>
    <m/>
    <s v="005ak00000icyWTAAY"/>
    <s v="2026-09-16T17:01:26.000Z"/>
    <m/>
    <m/>
    <d v="2026-04-04T00:00:00"/>
    <s v="LSN-00222"/>
    <s v="L-0000219"/>
    <s v="131ak000001XjDtAAK"/>
    <b v="0"/>
    <b v="0"/>
    <s v="L-0000219"/>
    <s v="15:30:00.000Z"/>
    <x v="0"/>
    <s v="a07ak00001rZMpvAAG"/>
    <s v="Anna Roberts"/>
    <s v="2026-09-16T17:01:26.000Z"/>
    <b v="1"/>
    <s v="a06ak00000amzCMAAY|2026-04-04|15:30:00.000Z"/>
    <n v="1"/>
    <s v="Red Bank"/>
    <x v="5"/>
    <x v="0"/>
  </r>
  <r>
    <s v="005ak00000icyWTAAY"/>
    <s v="2026-09-14T21:01:58.000Z"/>
    <n v="30"/>
    <s v="a0Aak00000FtDp6EAF"/>
    <s v="a06ak00000amzCMAAY"/>
    <s v="Yusuf Jackson"/>
    <m/>
    <x v="5"/>
    <b v="0"/>
    <m/>
    <s v="005ak00000icyWTAAY"/>
    <s v="2026-09-16T17:01:26.000Z"/>
    <m/>
    <m/>
    <d v="2026-01-14T00:00:00"/>
    <s v="LSN-00223"/>
    <s v="L-0000220"/>
    <s v="131ak000001XjDtAAK"/>
    <b v="0"/>
    <b v="0"/>
    <s v="L-0000220"/>
    <s v="17:00:00.000Z"/>
    <x v="0"/>
    <s v="a07ak00001rZMpvAAG"/>
    <s v="Anna Roberts"/>
    <s v="2026-09-16T17:01:26.000Z"/>
    <b v="1"/>
    <s v="a06ak00000amzCMAAY|2026-01-14|17:00:00.000Z"/>
    <n v="1"/>
    <s v="Red Bank"/>
    <x v="4"/>
    <x v="0"/>
  </r>
  <r>
    <s v="005ak00000icyWTAAY"/>
    <s v="2026-09-14T21:01:58.000Z"/>
    <n v="45"/>
    <s v="a0Aak00000FtDp7EAF"/>
    <s v="a06ak00000amzCMAAY"/>
    <s v="Yusuf Jackson"/>
    <s v="Started new piece."/>
    <x v="5"/>
    <b v="0"/>
    <m/>
    <s v="005ak00000icyWTAAY"/>
    <s v="2026-09-16T17:01:26.000Z"/>
    <m/>
    <m/>
    <d v="2026-07-18T00:00:00"/>
    <s v="LSN-00224"/>
    <s v="L-0000221"/>
    <s v="131ak000001XjDtAAK"/>
    <b v="0"/>
    <b v="0"/>
    <s v="L-0000221"/>
    <s v="16:30:00.000Z"/>
    <x v="0"/>
    <s v="a07ak00001rZMpvAAG"/>
    <s v="Anna Roberts"/>
    <s v="2026-09-16T17:01:26.000Z"/>
    <b v="1"/>
    <s v="a06ak00000amzCMAAY|2026-07-18|16:30:00.000Z"/>
    <n v="1"/>
    <s v="Red Bank"/>
    <x v="8"/>
    <x v="0"/>
  </r>
  <r>
    <s v="005ak00000icyWTAAY"/>
    <s v="2026-09-14T21:01:58.000Z"/>
    <n v="45"/>
    <s v="a0Aak00000FtDp8EAF"/>
    <s v="a06ak00000amzCEAAY"/>
    <s v="Caroline Baker"/>
    <s v="Started new piece."/>
    <x v="11"/>
    <b v="0"/>
    <m/>
    <s v="005ak00000icyWTAAY"/>
    <s v="2026-09-16T17:01:26.000Z"/>
    <m/>
    <m/>
    <d v="2026-01-05T00:00:00"/>
    <s v="LSN-00225"/>
    <s v="L-0000222"/>
    <s v="131ak000001XjDvAAK"/>
    <b v="0"/>
    <b v="0"/>
    <s v="L-0000222"/>
    <s v="17:30:00.000Z"/>
    <x v="0"/>
    <s v="a07ak00001rZMpwAAG"/>
    <s v="Brooklyn Young"/>
    <s v="2026-09-16T17:01:26.000Z"/>
    <b v="1"/>
    <s v="a06ak00000amzCEAAY|2026-01-05|17:30:00.000Z"/>
    <n v="1"/>
    <s v="Toms River"/>
    <x v="4"/>
    <x v="0"/>
  </r>
  <r>
    <s v="005ak00000icyWTAAY"/>
    <s v="2026-09-14T21:01:58.000Z"/>
    <n v="30"/>
    <s v="a0Aak00000FtDp9EAF"/>
    <s v="a06ak00000amzC1AAI"/>
    <s v="Valentina Nakamura"/>
    <s v="Worked on scales and timing."/>
    <x v="11"/>
    <b v="0"/>
    <m/>
    <s v="005ak00000icyWTAAY"/>
    <s v="2026-09-23T19:02:24.000Z"/>
    <m/>
    <m/>
    <d v="2026-09-26T00:00:00"/>
    <s v="LSN-00226"/>
    <s v="L-0000223"/>
    <s v="131ak000001XjDvAAK"/>
    <b v="0"/>
    <b v="0"/>
    <s v="L-0000223"/>
    <s v="17:00:00.000Z"/>
    <x v="0"/>
    <s v="a07ak00001rZMpwAAG"/>
    <s v="Brooklyn Young"/>
    <s v="2026-09-23T19:02:24.000Z"/>
    <b v="1"/>
    <s v="a06ak00000amzC1AAI|2026-09-26|17:00:00.000Z"/>
    <n v="1"/>
    <s v="Toms River"/>
    <x v="2"/>
    <x v="0"/>
  </r>
  <r>
    <s v="005ak00000icyWTAAY"/>
    <s v="2026-09-14T21:01:58.000Z"/>
    <n v="60"/>
    <s v="a0Aak00000FtDpAEAV"/>
    <s v="a06ak00000amzByAAI"/>
    <s v="Vincent Sullivan"/>
    <m/>
    <x v="10"/>
    <b v="0"/>
    <m/>
    <s v="005ak00000icyWTAAY"/>
    <s v="2026-09-16T17:01:26.000Z"/>
    <m/>
    <m/>
    <d v="2026-02-13T00:00:00"/>
    <s v="LSN-00227"/>
    <s v="L-0000224"/>
    <s v="131ak000001XjDuAAK"/>
    <b v="0"/>
    <b v="0"/>
    <s v="L-0000224"/>
    <s v="18:30:00.000Z"/>
    <x v="0"/>
    <s v="a07ak00001rZMpxAAG"/>
    <s v="Mei White"/>
    <s v="2026-09-16T17:01:26.000Z"/>
    <b v="1"/>
    <s v="a06ak00000amzByAAI|2026-02-13|18:30:00.000Z"/>
    <n v="1"/>
    <s v="Brick"/>
    <x v="1"/>
    <x v="0"/>
  </r>
  <r>
    <s v="005ak00000icyWTAAY"/>
    <s v="2026-09-14T21:01:58.000Z"/>
    <n v="60"/>
    <s v="a0Aak00000FtDpBEAV"/>
    <s v="a06ak00000amzByAAI"/>
    <s v="Vincent Sullivan"/>
    <m/>
    <x v="10"/>
    <b v="0"/>
    <m/>
    <s v="005ak00000icyWTAAY"/>
    <s v="2026-09-16T17:01:26.000Z"/>
    <m/>
    <m/>
    <d v="2026-02-27T00:00:00"/>
    <s v="LSN-00228"/>
    <s v="L-0000225"/>
    <s v="131ak000001XjDuAAK"/>
    <b v="0"/>
    <b v="0"/>
    <s v="L-0000225"/>
    <s v="18:30:00.000Z"/>
    <x v="3"/>
    <s v="a07ak00001rZMpxAAG"/>
    <s v="Mei White"/>
    <s v="2026-09-16T17:01:26.000Z"/>
    <b v="1"/>
    <s v="a06ak00000amzByAAI|2026-02-27|18:30:00.000Z"/>
    <n v="1"/>
    <s v="Brick"/>
    <x v="1"/>
    <x v="0"/>
  </r>
  <r>
    <s v="005ak00000icyWTAAY"/>
    <s v="2026-09-14T21:01:58.000Z"/>
    <n v="45"/>
    <s v="a0Aak00000FtDpCEAV"/>
    <s v="a06ak00000amzByAAI"/>
    <s v="Vincent Sullivan"/>
    <s v="Good progress on technique."/>
    <x v="10"/>
    <b v="0"/>
    <m/>
    <s v="005ak00000icyWTAAY"/>
    <s v="2026-09-16T17:01:26.000Z"/>
    <m/>
    <m/>
    <d v="2026-09-17T00:00:00"/>
    <s v="LSN-00229"/>
    <s v="L-0000226"/>
    <s v="131ak000001XjDuAAK"/>
    <b v="0"/>
    <b v="0"/>
    <s v="L-0000226"/>
    <s v="18:00:00.000Z"/>
    <x v="0"/>
    <s v="a07ak00001rZMpxAAG"/>
    <s v="Mei White"/>
    <s v="2026-09-16T17:01:26.000Z"/>
    <b v="1"/>
    <s v="a06ak00000amzByAAI|2026-09-17|18:00:00.000Z"/>
    <n v="1"/>
    <s v="Brick"/>
    <x v="2"/>
    <x v="0"/>
  </r>
  <r>
    <s v="005ak00000icyWTAAY"/>
    <s v="2026-09-14T21:01:58.000Z"/>
    <n v="30"/>
    <s v="a0Aak00000FtDpDEAV"/>
    <s v="a06ak00000amzBtAAI"/>
    <s v="Jamal Torres"/>
    <s v="Good progress on technique."/>
    <x v="2"/>
    <b v="0"/>
    <m/>
    <s v="005ak00000icyWTAAY"/>
    <s v="2026-09-16T17:01:26.000Z"/>
    <m/>
    <m/>
    <d v="2026-04-22T00:00:00"/>
    <s v="LSN-00230"/>
    <s v="L-0000227"/>
    <s v="131ak000001XjDvAAK"/>
    <b v="0"/>
    <b v="0"/>
    <s v="L-0000227"/>
    <s v="16:00:00.000Z"/>
    <x v="0"/>
    <s v="a07ak00001rZMpzAAG"/>
    <s v="Skylar Rivera"/>
    <s v="2026-09-16T17:01:26.000Z"/>
    <b v="1"/>
    <s v="a06ak00000amzBtAAI|2026-04-22|16:00:00.000Z"/>
    <n v="1"/>
    <s v="Toms River"/>
    <x v="5"/>
    <x v="0"/>
  </r>
  <r>
    <s v="005ak00000icyWTAAY"/>
    <s v="2026-09-14T21:01:58.000Z"/>
    <n v="30"/>
    <s v="a0Aak00000FtDpEEAV"/>
    <s v="a06ak00000amzBtAAI"/>
    <s v="Jamal Torres"/>
    <s v="Started new piece."/>
    <x v="2"/>
    <b v="0"/>
    <m/>
    <s v="005ak00000icyWTAAY"/>
    <s v="2026-09-16T17:01:26.000Z"/>
    <m/>
    <m/>
    <d v="2026-10-03T00:00:00"/>
    <s v="LSN-00231"/>
    <s v="L-0000228"/>
    <s v="131ak000001XjDvAAK"/>
    <b v="0"/>
    <b v="0"/>
    <s v="L-0000228"/>
    <s v="15:00:00.000Z"/>
    <x v="0"/>
    <s v="a07ak00001rZMpzAAG"/>
    <s v="Skylar Rivera"/>
    <s v="2026-09-16T17:01:26.000Z"/>
    <b v="1"/>
    <s v="a06ak00000amzBtAAI|2026-10-03|15:00:00.000Z"/>
    <n v="1"/>
    <s v="Toms River"/>
    <x v="9"/>
    <x v="0"/>
  </r>
  <r>
    <s v="005ak00000icyWTAAY"/>
    <s v="2026-09-14T21:01:58.000Z"/>
    <n v="60"/>
    <s v="a0Aak00000FtDpFEAV"/>
    <s v="a06ak00000amzBtAAI"/>
    <s v="Jamal Torres"/>
    <s v="Focused on sight reading."/>
    <x v="2"/>
    <b v="0"/>
    <m/>
    <s v="005ak00000icyWTAAY"/>
    <s v="2026-09-16T17:01:26.000Z"/>
    <m/>
    <m/>
    <d v="2026-08-01T00:00:00"/>
    <s v="LSN-00232"/>
    <s v="L-0000229"/>
    <s v="131ak000001XjDvAAK"/>
    <b v="0"/>
    <b v="0"/>
    <s v="L-0000229"/>
    <s v="15:00:00.000Z"/>
    <x v="0"/>
    <s v="a07ak00001rZMpzAAG"/>
    <s v="Skylar Rivera"/>
    <s v="2026-09-16T17:01:26.000Z"/>
    <b v="1"/>
    <s v="a06ak00000amzBtAAI|2026-08-01|15:00:00.000Z"/>
    <n v="1"/>
    <s v="Toms River"/>
    <x v="6"/>
    <x v="0"/>
  </r>
  <r>
    <s v="005ak00000icyWTAAY"/>
    <s v="2026-09-14T21:01:58.000Z"/>
    <n v="30"/>
    <s v="a0Aak00000FtDpGEAV"/>
    <s v="a06ak00000amzBtAAI"/>
    <s v="Jamal Torres"/>
    <m/>
    <x v="2"/>
    <b v="0"/>
    <m/>
    <s v="005ak00000icyWTAAY"/>
    <s v="2026-09-16T17:01:26.000Z"/>
    <m/>
    <m/>
    <d v="2026-07-26T00:00:00"/>
    <s v="LSN-00233"/>
    <s v="L-0000230"/>
    <s v="131ak000001XjDvAAK"/>
    <b v="0"/>
    <b v="0"/>
    <s v="L-0000230"/>
    <s v="16:30:00.000Z"/>
    <x v="0"/>
    <s v="a07ak00001rZMpzAAG"/>
    <s v="Skylar Rivera"/>
    <s v="2026-09-16T17:01:26.000Z"/>
    <b v="1"/>
    <s v="a06ak00000amzBtAAI|2026-07-26|16:30:00.000Z"/>
    <n v="1"/>
    <s v="Toms River"/>
    <x v="8"/>
    <x v="0"/>
  </r>
  <r>
    <s v="005ak00000icyWTAAY"/>
    <s v="2026-09-14T21:01:58.000Z"/>
    <n v="30"/>
    <s v="a0Aak00000FtDpHEAV"/>
    <s v="a06ak00000amzBtAAI"/>
    <s v="Jamal Torres"/>
    <s v="Reviewed last week&amp;#39;s assignment."/>
    <x v="2"/>
    <b v="0"/>
    <m/>
    <s v="005ak00000icyWTAAY"/>
    <s v="2026-09-16T17:01:26.000Z"/>
    <m/>
    <m/>
    <d v="2026-05-23T00:00:00"/>
    <s v="LSN-00234"/>
    <s v="L-0000231"/>
    <s v="131ak000001XjDvAAK"/>
    <b v="0"/>
    <b v="0"/>
    <s v="L-0000231"/>
    <s v="15:00:00.000Z"/>
    <x v="0"/>
    <s v="a07ak00001rZMpzAAG"/>
    <s v="Skylar Rivera"/>
    <s v="2026-09-16T17:01:26.000Z"/>
    <b v="1"/>
    <s v="a06ak00000amzBtAAI|2026-05-23|15:00:00.000Z"/>
    <n v="1"/>
    <s v="Toms River"/>
    <x v="0"/>
    <x v="0"/>
  </r>
  <r>
    <s v="005ak00000icyWTAAY"/>
    <s v="2026-09-14T21:01:58.000Z"/>
    <n v="30"/>
    <s v="a0Aak00000FtDpIEAV"/>
    <s v="a06ak00000amzC1AAI"/>
    <s v="Valentina Nakamura"/>
    <s v="Focused on sight reading."/>
    <x v="5"/>
    <b v="0"/>
    <m/>
    <s v="005ak00000icyWTAAY"/>
    <s v="2026-09-16T17:01:26.000Z"/>
    <m/>
    <m/>
    <d v="2026-03-27T00:00:00"/>
    <s v="LSN-00235"/>
    <s v="L-0000232"/>
    <s v="131ak000001XjDuAAK"/>
    <b v="0"/>
    <b v="0"/>
    <s v="L-0000232"/>
    <s v="17:30:00.000Z"/>
    <x v="0"/>
    <s v="a07ak00001rZMq0AAG"/>
    <s v="Henry Ryan"/>
    <s v="2026-09-16T17:01:26.000Z"/>
    <b v="1"/>
    <s v="a06ak00000amzC1AAI|2026-03-27|17:30:00.000Z"/>
    <n v="1"/>
    <s v="Brick"/>
    <x v="3"/>
    <x v="0"/>
  </r>
  <r>
    <s v="005ak00000icyWTAAY"/>
    <s v="2026-09-14T21:01:58.000Z"/>
    <n v="30"/>
    <s v="a0Aak00000FtDpJEAV"/>
    <s v="a06ak00000amzC1AAI"/>
    <s v="Valentina Nakamura"/>
    <m/>
    <x v="5"/>
    <b v="0"/>
    <m/>
    <s v="005ak00000icyWTAAY"/>
    <s v="2026-09-16T17:01:26.000Z"/>
    <m/>
    <m/>
    <d v="2026-02-07T00:00:00"/>
    <s v="LSN-00236"/>
    <s v="L-0000233"/>
    <s v="131ak000001XjDuAAK"/>
    <b v="0"/>
    <b v="0"/>
    <s v="L-0000233"/>
    <s v="19:00:00.000Z"/>
    <x v="0"/>
    <s v="a07ak00001rZMq0AAG"/>
    <s v="Henry Ryan"/>
    <s v="2026-09-16T17:01:26.000Z"/>
    <b v="1"/>
    <s v="a06ak00000amzC1AAI|2026-02-07|19:00:00.000Z"/>
    <n v="1"/>
    <s v="Brick"/>
    <x v="1"/>
    <x v="0"/>
  </r>
  <r>
    <s v="005ak00000icyWTAAY"/>
    <s v="2026-09-14T21:01:58.000Z"/>
    <n v="60"/>
    <s v="a0Aak00000FtDpKEAV"/>
    <s v="a06ak00000amzC1AAI"/>
    <s v="Valentina Nakamura"/>
    <s v="Started new piece."/>
    <x v="5"/>
    <b v="0"/>
    <m/>
    <s v="005ak00000icyWTAAY"/>
    <s v="2026-09-16T17:01:26.000Z"/>
    <m/>
    <m/>
    <d v="2026-01-05T00:00:00"/>
    <s v="LSN-00237"/>
    <s v="L-0000234"/>
    <s v="131ak000001XjDuAAK"/>
    <b v="0"/>
    <b v="0"/>
    <s v="L-0000234"/>
    <s v="15:00:00.000Z"/>
    <x v="0"/>
    <s v="a07ak00001rZMq0AAG"/>
    <s v="Henry Ryan"/>
    <s v="2026-09-16T17:01:26.000Z"/>
    <b v="1"/>
    <s v="a06ak00000amzC1AAI|2026-01-05|15:00:00.000Z"/>
    <n v="1"/>
    <s v="Brick"/>
    <x v="4"/>
    <x v="0"/>
  </r>
  <r>
    <s v="005ak00000icyWTAAY"/>
    <s v="2026-09-14T21:01:58.000Z"/>
    <n v="30"/>
    <s v="a0Aak00000FtDpLEAV"/>
    <s v="a06ak00000amzC1AAI"/>
    <s v="Valentina Nakamura"/>
    <m/>
    <x v="5"/>
    <b v="0"/>
    <m/>
    <s v="005ak00000icyWTAAY"/>
    <s v="2026-09-16T17:01:26.000Z"/>
    <m/>
    <m/>
    <d v="2026-03-23T00:00:00"/>
    <s v="LSN-00238"/>
    <s v="L-0000235"/>
    <s v="131ak000001XjDuAAK"/>
    <b v="0"/>
    <b v="0"/>
    <s v="L-0000235"/>
    <s v="17:00:00.000Z"/>
    <x v="3"/>
    <s v="a07ak00001rZMq0AAG"/>
    <s v="Henry Ryan"/>
    <s v="2026-09-16T17:01:26.000Z"/>
    <b v="1"/>
    <s v="a06ak00000amzC1AAI|2026-03-23|17:00:00.000Z"/>
    <n v="1"/>
    <s v="Brick"/>
    <x v="3"/>
    <x v="0"/>
  </r>
  <r>
    <s v="005ak00000icyWTAAY"/>
    <s v="2026-09-14T21:01:58.000Z"/>
    <n v="60"/>
    <s v="a0Aak00000FtDpMEAV"/>
    <s v="a06ak00000amzC1AAI"/>
    <s v="Valentina Nakamura"/>
    <m/>
    <x v="5"/>
    <b v="0"/>
    <m/>
    <s v="005ak00000icyWTAAY"/>
    <s v="2026-09-16T17:01:26.000Z"/>
    <m/>
    <m/>
    <d v="2026-04-14T00:00:00"/>
    <s v="LSN-00239"/>
    <s v="L-0000236"/>
    <s v="131ak000001XjDuAAK"/>
    <b v="0"/>
    <b v="0"/>
    <s v="L-0000236"/>
    <s v="15:30:00.000Z"/>
    <x v="0"/>
    <s v="a07ak00001rZMq0AAG"/>
    <s v="Henry Ryan"/>
    <s v="2026-09-16T17:01:26.000Z"/>
    <b v="1"/>
    <s v="a06ak00000amzC1AAI|2026-04-14|15:30:00.000Z"/>
    <n v="1"/>
    <s v="Brick"/>
    <x v="5"/>
    <x v="0"/>
  </r>
  <r>
    <s v="005ak00000icyWTAAY"/>
    <s v="2026-09-14T21:01:58.000Z"/>
    <n v="30"/>
    <s v="a0Aak00000FtDpNEAV"/>
    <s v="a06ak00000amzC1AAI"/>
    <s v="Valentina Nakamura"/>
    <m/>
    <x v="5"/>
    <b v="0"/>
    <m/>
    <s v="005ak00000icyWTAAY"/>
    <s v="2026-09-16T17:01:26.000Z"/>
    <m/>
    <m/>
    <d v="2026-03-31T00:00:00"/>
    <s v="LSN-00240"/>
    <s v="L-0000237"/>
    <s v="131ak000001XjDuAAK"/>
    <b v="0"/>
    <b v="0"/>
    <s v="L-0000237"/>
    <s v="18:30:00.000Z"/>
    <x v="0"/>
    <s v="a07ak00001rZMq0AAG"/>
    <s v="Henry Ryan"/>
    <s v="2026-09-16T17:01:26.000Z"/>
    <b v="1"/>
    <s v="a06ak00000amzC1AAI|2026-03-31|18:30:00.000Z"/>
    <n v="1"/>
    <s v="Brick"/>
    <x v="3"/>
    <x v="0"/>
  </r>
  <r>
    <s v="005ak00000icyWTAAY"/>
    <s v="2026-09-14T21:01:58.000Z"/>
    <n v="30"/>
    <s v="a0Aak00000FtDpOEAV"/>
    <s v="a06ak00000amzBoAAI"/>
    <s v="Elijah Johnson"/>
    <s v="Good progress on technique."/>
    <x v="5"/>
    <b v="0"/>
    <m/>
    <s v="005ak00000icyWTAAY"/>
    <s v="2026-09-16T17:01:26.000Z"/>
    <m/>
    <m/>
    <d v="2026-07-03T00:00:00"/>
    <s v="LSN-00241"/>
    <s v="L-0000238"/>
    <s v="131ak000001XjDtAAK"/>
    <b v="0"/>
    <b v="0"/>
    <s v="L-0000238"/>
    <s v="18:00:00.000Z"/>
    <x v="0"/>
    <s v="a07ak00001rZMq1AAG"/>
    <s v="Grace Sanchez"/>
    <s v="2026-09-16T17:01:26.000Z"/>
    <b v="1"/>
    <s v="a06ak00000amzBoAAI|2026-07-03|18:00:00.000Z"/>
    <n v="1"/>
    <s v="Red Bank"/>
    <x v="8"/>
    <x v="0"/>
  </r>
  <r>
    <s v="005ak00000icyWTAAY"/>
    <s v="2026-09-14T21:01:58.000Z"/>
    <n v="30"/>
    <s v="a0Aak00000FtDpPEAV"/>
    <s v="a06ak00000amzBoAAI"/>
    <s v="Elijah Johnson"/>
    <m/>
    <x v="5"/>
    <b v="0"/>
    <m/>
    <s v="005ak00000icyWTAAY"/>
    <s v="2026-09-16T17:01:26.000Z"/>
    <m/>
    <m/>
    <d v="2026-03-22T00:00:00"/>
    <s v="LSN-00242"/>
    <s v="L-0000239"/>
    <s v="131ak000001XjDtAAK"/>
    <b v="0"/>
    <b v="0"/>
    <s v="L-0000239"/>
    <s v="18:00:00.000Z"/>
    <x v="1"/>
    <s v="a07ak00001rZMq1AAG"/>
    <s v="Grace Sanchez"/>
    <s v="2026-09-16T17:01:26.000Z"/>
    <b v="1"/>
    <s v=""/>
    <m/>
    <s v="Red Bank"/>
    <x v="3"/>
    <x v="0"/>
  </r>
  <r>
    <s v="005ak00000icyWTAAY"/>
    <s v="2026-09-14T21:01:58.000Z"/>
    <n v="45"/>
    <s v="a0Aak00000FtDpQEAV"/>
    <s v="a06ak00000amzBoAAI"/>
    <s v="Elijah Johnson"/>
    <m/>
    <x v="5"/>
    <b v="0"/>
    <m/>
    <s v="005ak00000icyWTAAY"/>
    <s v="2026-09-16T17:01:26.000Z"/>
    <m/>
    <m/>
    <d v="2026-03-13T00:00:00"/>
    <s v="LSN-00243"/>
    <s v="L-0000240"/>
    <s v="131ak000001XjDtAAK"/>
    <b v="0"/>
    <b v="0"/>
    <s v="L-0000240"/>
    <s v="11:00:00.000Z"/>
    <x v="1"/>
    <s v="a07ak00001rZMq1AAG"/>
    <s v="Grace Sanchez"/>
    <s v="2026-09-16T17:01:26.000Z"/>
    <b v="1"/>
    <s v=""/>
    <m/>
    <s v="Red Bank"/>
    <x v="3"/>
    <x v="0"/>
  </r>
  <r>
    <s v="005ak00000icyWTAAY"/>
    <s v="2026-09-14T21:01:58.000Z"/>
    <n v="30"/>
    <s v="a0Aak00000FtDpREAV"/>
    <s v="a06ak00000amzBoAAI"/>
    <s v="Elijah Johnson"/>
    <s v="Started new piece."/>
    <x v="5"/>
    <b v="0"/>
    <m/>
    <s v="005ak00000icyWTAAY"/>
    <s v="2026-09-16T17:01:26.000Z"/>
    <m/>
    <m/>
    <d v="2026-06-19T00:00:00"/>
    <s v="LSN-00244"/>
    <s v="L-0000241"/>
    <s v="131ak000001XjDtAAK"/>
    <b v="0"/>
    <b v="0"/>
    <s v="L-0000241"/>
    <s v="19:00:00.000Z"/>
    <x v="0"/>
    <s v="a07ak00001rZMq1AAG"/>
    <s v="Grace Sanchez"/>
    <s v="2026-09-16T17:01:26.000Z"/>
    <b v="1"/>
    <s v="a06ak00000amzBoAAI|2026-06-19|19:00:00.000Z"/>
    <n v="1"/>
    <s v="Red Bank"/>
    <x v="7"/>
    <x v="0"/>
  </r>
  <r>
    <s v="005ak00000icyWTAAY"/>
    <s v="2026-09-14T21:01:58.000Z"/>
    <n v="30"/>
    <s v="a0Aak00000FtDpSEAV"/>
    <s v="a06ak00000amzBoAAI"/>
    <s v="Elijah Johnson"/>
    <s v="Started new piece."/>
    <x v="5"/>
    <b v="0"/>
    <m/>
    <s v="005ak00000icyWTAAY"/>
    <s v="2026-09-16T17:01:26.000Z"/>
    <m/>
    <m/>
    <d v="2026-07-22T00:00:00"/>
    <s v="LSN-00245"/>
    <s v="L-0000242"/>
    <s v="131ak000001XjDtAAK"/>
    <b v="0"/>
    <b v="0"/>
    <s v="L-0000242"/>
    <s v="19:00:00.000Z"/>
    <x v="0"/>
    <s v="a07ak00001rZMq1AAG"/>
    <s v="Grace Sanchez"/>
    <s v="2026-09-16T17:01:26.000Z"/>
    <b v="1"/>
    <s v="a06ak00000amzBoAAI|2026-07-22|19:00:00.000Z"/>
    <n v="1"/>
    <s v="Red Bank"/>
    <x v="8"/>
    <x v="0"/>
  </r>
  <r>
    <s v="005ak00000icyWTAAY"/>
    <s v="2026-09-14T21:01:58.000Z"/>
    <n v="45"/>
    <s v="a0Aak00000FtDpTEAV"/>
    <s v="a06ak00000amzC5AAI"/>
    <s v="Penelope Wilson"/>
    <m/>
    <x v="5"/>
    <b v="0"/>
    <m/>
    <s v="005ak00000icyWTAAY"/>
    <s v="2026-09-16T17:01:26.000Z"/>
    <m/>
    <m/>
    <d v="2026-02-19T00:00:00"/>
    <s v="LSN-00246"/>
    <s v="L-0000243"/>
    <s v="131ak000001XjDvAAK"/>
    <b v="0"/>
    <b v="0"/>
    <s v="L-0000243"/>
    <s v="17:30:00.000Z"/>
    <x v="3"/>
    <s v="a07ak00001rZMq3AAG"/>
    <s v="Anthony Nakamura"/>
    <s v="2026-09-16T17:01:26.000Z"/>
    <b v="1"/>
    <s v="a06ak00000amzC5AAI|2026-02-19|17:30:00.000Z"/>
    <n v="1"/>
    <s v="Toms River"/>
    <x v="1"/>
    <x v="0"/>
  </r>
  <r>
    <s v="005ak00000icyWTAAY"/>
    <s v="2026-09-14T21:01:58.000Z"/>
    <n v="30"/>
    <s v="a0Aak00000FtDpUEAV"/>
    <s v="a06ak00000amzC5AAI"/>
    <s v="Penelope Wilson"/>
    <s v="Good progress on technique."/>
    <x v="5"/>
    <b v="0"/>
    <m/>
    <s v="005ak00000icyWTAAY"/>
    <s v="2026-09-16T17:01:26.000Z"/>
    <m/>
    <m/>
    <d v="2026-05-19T00:00:00"/>
    <s v="LSN-00247"/>
    <s v="L-0000244"/>
    <s v="131ak000001XjDvAAK"/>
    <b v="0"/>
    <b v="0"/>
    <s v="L-0000244"/>
    <s v="15:30:00.000Z"/>
    <x v="0"/>
    <s v="a07ak00001rZMq3AAG"/>
    <s v="Anthony Nakamura"/>
    <s v="2026-09-16T17:01:26.000Z"/>
    <b v="1"/>
    <s v="a06ak00000amzC5AAI|2026-05-19|15:30:00.000Z"/>
    <n v="1"/>
    <s v="Toms River"/>
    <x v="0"/>
    <x v="0"/>
  </r>
  <r>
    <s v="005ak00000icyWTAAY"/>
    <s v="2026-09-14T21:01:58.000Z"/>
    <n v="45"/>
    <s v="a0Aak00000FtDpVEAV"/>
    <s v="a06ak00000amzC5AAI"/>
    <s v="Penelope Wilson"/>
    <m/>
    <x v="5"/>
    <b v="0"/>
    <m/>
    <s v="005ak00000icyWTAAY"/>
    <s v="2026-09-16T17:01:26.000Z"/>
    <m/>
    <m/>
    <d v="2026-09-22T00:00:00"/>
    <s v="LSN-00248"/>
    <s v="L-0000245"/>
    <s v="131ak000001XjDvAAK"/>
    <b v="1"/>
    <b v="1"/>
    <s v="L-0000245"/>
    <s v="16:00:00.000Z"/>
    <x v="4"/>
    <s v="a07ak00001rZMq3AAG"/>
    <s v="Anthony Nakamura"/>
    <s v="2026-09-16T17:01:26.000Z"/>
    <b v="1"/>
    <s v=""/>
    <n v="114"/>
    <s v="Toms River"/>
    <x v="2"/>
    <x v="0"/>
  </r>
  <r>
    <s v="005ak00000icyWTAAY"/>
    <s v="2026-09-14T21:01:58.000Z"/>
    <n v="45"/>
    <s v="a0Aak00000FtDpWEAV"/>
    <s v="a06ak00000amzC5AAI"/>
    <s v="Penelope Wilson"/>
    <m/>
    <x v="5"/>
    <b v="0"/>
    <m/>
    <s v="005ak00000icyWTAAY"/>
    <s v="2026-09-16T17:01:26.000Z"/>
    <m/>
    <m/>
    <d v="2026-01-27T00:00:00"/>
    <s v="LSN-00249"/>
    <s v="L-0000246"/>
    <s v="131ak000001XjDvAAK"/>
    <b v="0"/>
    <b v="0"/>
    <s v="L-0000246"/>
    <s v="17:30:00.000Z"/>
    <x v="1"/>
    <s v="a07ak00001rZMq3AAG"/>
    <s v="Anthony Nakamura"/>
    <s v="2026-09-16T17:01:26.000Z"/>
    <b v="1"/>
    <s v=""/>
    <m/>
    <s v="Toms River"/>
    <x v="4"/>
    <x v="0"/>
  </r>
  <r>
    <s v="005ak00000icyWTAAY"/>
    <s v="2026-09-14T21:01:58.000Z"/>
    <n v="60"/>
    <s v="a0Aak00000FtDpXEAV"/>
    <s v="a06ak00000amzC5AAI"/>
    <s v="Penelope Wilson"/>
    <s v="Good progress on technique."/>
    <x v="5"/>
    <b v="0"/>
    <m/>
    <s v="005ak00000icyWTAAY"/>
    <s v="2026-09-16T17:01:26.000Z"/>
    <m/>
    <m/>
    <d v="2026-07-04T00:00:00"/>
    <s v="LSN-00250"/>
    <s v="L-0000247"/>
    <s v="131ak000001XjDvAAK"/>
    <b v="0"/>
    <b v="0"/>
    <s v="L-0000247"/>
    <s v="10:00:00.000Z"/>
    <x v="0"/>
    <s v="a07ak00001rZMq3AAG"/>
    <s v="Anthony Nakamura"/>
    <s v="2026-09-16T17:01:26.000Z"/>
    <b v="1"/>
    <s v="a06ak00000amzC5AAI|2026-07-04|10:00:00.000Z"/>
    <n v="1"/>
    <s v="Toms River"/>
    <x v="8"/>
    <x v="0"/>
  </r>
  <r>
    <s v="005ak00000icyWTAAY"/>
    <s v="2026-09-14T21:01:58.000Z"/>
    <n v="60"/>
    <s v="a0Aak00000FtDpYEAV"/>
    <s v="a06ak00000amzBzAAI"/>
    <s v="Ezra Garcia"/>
    <s v="Reviewed last week&amp;#39;s assignment."/>
    <x v="5"/>
    <b v="0"/>
    <m/>
    <s v="005ak00000icyWTAAY"/>
    <s v="2026-09-23T19:02:24.000Z"/>
    <m/>
    <m/>
    <d v="2026-09-29T00:00:00"/>
    <s v="LSN-00251"/>
    <s v="L-0000248"/>
    <s v="131ak000001XjDvAAK"/>
    <b v="0"/>
    <b v="0"/>
    <s v="L-0000248"/>
    <s v="17:30:00.000Z"/>
    <x v="0"/>
    <s v="a07ak00001rZMq3AAG"/>
    <s v="Anthony Nakamura"/>
    <s v="2026-09-23T19:02:24.000Z"/>
    <b v="1"/>
    <s v="a06ak00000amzBzAAI|2026-09-29|17:30:00.000Z"/>
    <n v="1"/>
    <s v="Toms River"/>
    <x v="2"/>
    <x v="0"/>
  </r>
  <r>
    <s v="005ak00000icyWTAAY"/>
    <s v="2026-09-14T21:01:58.000Z"/>
    <n v="60"/>
    <s v="a0Aak00000FtDpZEAV"/>
    <s v="a06ak00000amzC5AAI"/>
    <s v="Penelope Wilson"/>
    <s v="Reviewed last week&amp;#39;s assignment."/>
    <x v="5"/>
    <b v="0"/>
    <m/>
    <s v="005ak00000icyWTAAY"/>
    <s v="2026-09-16T17:01:26.000Z"/>
    <m/>
    <m/>
    <d v="2026-08-03T00:00:00"/>
    <s v="LSN-00252"/>
    <s v="L-0000249"/>
    <s v="131ak000001XjDvAAK"/>
    <b v="0"/>
    <b v="0"/>
    <s v="L-0000249"/>
    <s v="15:00:00.000Z"/>
    <x v="0"/>
    <s v="a07ak00001rZMq3AAG"/>
    <s v="Anthony Nakamura"/>
    <s v="2026-09-16T17:01:26.000Z"/>
    <b v="1"/>
    <s v="a06ak00000amzC5AAI|2026-08-03|15:00:00.000Z"/>
    <n v="1"/>
    <s v="Toms River"/>
    <x v="6"/>
    <x v="0"/>
  </r>
  <r>
    <s v="005ak00000icyWTAAY"/>
    <s v="2026-09-14T21:01:58.000Z"/>
    <n v="30"/>
    <s v="a0Aak00000FtDpaEAF"/>
    <s v="a06ak00000amzC5AAI"/>
    <s v="Penelope Wilson"/>
    <m/>
    <x v="5"/>
    <b v="0"/>
    <m/>
    <s v="005ak00000icyWTAAY"/>
    <s v="2026-09-25T18:00:49.000Z"/>
    <m/>
    <m/>
    <d v="2026-02-15T00:00:00"/>
    <s v="LSN-00253"/>
    <s v="L-0000250"/>
    <s v="131ak000001XjDvAAK"/>
    <b v="1"/>
    <b v="1"/>
    <s v="L-0000250"/>
    <s v="10:00:00.000Z"/>
    <x v="4"/>
    <s v="a07ak00001rZMq3AAG"/>
    <s v="Anthony Nakamura"/>
    <s v="2026-09-25T18:00:49.000Z"/>
    <b v="1"/>
    <s v=""/>
    <m/>
    <s v="Toms River"/>
    <x v="1"/>
    <x v="0"/>
  </r>
  <r>
    <s v="005ak00000icyWTAAY"/>
    <s v="2026-09-14T21:01:58.000Z"/>
    <n v="45"/>
    <s v="a0Aak00000FtDpbEAF"/>
    <s v="a06ak00000amzC5AAI"/>
    <s v="Penelope Wilson"/>
    <s v="Reviewed last week&amp;#39;s assignment."/>
    <x v="5"/>
    <b v="0"/>
    <m/>
    <s v="005ak00000icyWTAAY"/>
    <s v="2026-09-16T17:01:26.000Z"/>
    <m/>
    <m/>
    <d v="2026-02-11T00:00:00"/>
    <s v="LSN-00254"/>
    <s v="L-0000251"/>
    <s v="131ak000001XjDvAAK"/>
    <b v="0"/>
    <b v="0"/>
    <s v="L-0000251"/>
    <s v="18:00:00.000Z"/>
    <x v="0"/>
    <s v="a07ak00001rZMq3AAG"/>
    <s v="Anthony Nakamura"/>
    <s v="2026-09-16T17:01:26.000Z"/>
    <b v="1"/>
    <s v="a06ak00000amzC5AAI|2026-02-11|18:00:00.000Z"/>
    <n v="1"/>
    <s v="Toms River"/>
    <x v="1"/>
    <x v="0"/>
  </r>
  <r>
    <s v="005ak00000icyWTAAY"/>
    <s v="2026-09-14T21:01:58.000Z"/>
    <n v="30"/>
    <s v="a0Aak00000FtDpcEAF"/>
    <s v="a06ak00000amzBvAAI"/>
    <s v="Caroline Okafor"/>
    <s v="Focused on sight reading."/>
    <x v="1"/>
    <b v="0"/>
    <m/>
    <s v="005ak00000icyWTAAY"/>
    <s v="2026-09-16T17:01:26.000Z"/>
    <m/>
    <m/>
    <d v="2026-05-18T00:00:00"/>
    <s v="LSN-00256"/>
    <s v="L-0000252"/>
    <s v="131ak000001XjDuAAK"/>
    <b v="0"/>
    <b v="0"/>
    <s v="L-0000252"/>
    <s v="11:00:00.000Z"/>
    <x v="0"/>
    <s v="a07ak00001rZMq4AAG"/>
    <s v="Sofia Johnson"/>
    <s v="2026-09-16T17:01:26.000Z"/>
    <b v="1"/>
    <s v="a06ak00000amzBvAAI|2026-05-18|11:00:00.000Z"/>
    <n v="1"/>
    <s v="Brick"/>
    <x v="0"/>
    <x v="0"/>
  </r>
  <r>
    <s v="005ak00000icyWTAAY"/>
    <s v="2026-09-14T21:01:58.000Z"/>
    <n v="60"/>
    <s v="a0Aak00000FtDpdEAF"/>
    <s v="a06ak00000amzBvAAI"/>
    <s v="Caroline Okafor"/>
    <s v="Worked on scales and timing."/>
    <x v="1"/>
    <b v="0"/>
    <m/>
    <s v="005ak00000icyWTAAY"/>
    <s v="2026-09-16T17:01:26.000Z"/>
    <m/>
    <m/>
    <d v="2026-08-07T00:00:00"/>
    <s v="LSN-00257"/>
    <s v="L-0000253"/>
    <s v="131ak000001XjDuAAK"/>
    <b v="0"/>
    <b v="0"/>
    <s v="L-0000253"/>
    <s v="19:00:00.000Z"/>
    <x v="0"/>
    <s v="a07ak00001rZMq4AAG"/>
    <s v="Sofia Johnson"/>
    <s v="2026-09-16T17:01:26.000Z"/>
    <b v="1"/>
    <s v="a06ak00000amzBvAAI|2026-08-07|19:00:00.000Z"/>
    <n v="1"/>
    <s v="Brick"/>
    <x v="6"/>
    <x v="0"/>
  </r>
  <r>
    <s v="005ak00000icyWTAAY"/>
    <s v="2026-09-14T21:01:58.000Z"/>
    <n v="60"/>
    <s v="a0Aak00000FtDpeEAF"/>
    <s v="a06ak00000amzBvAAI"/>
    <s v="Caroline Okafor"/>
    <m/>
    <x v="1"/>
    <b v="0"/>
    <m/>
    <s v="005ak00000icyWTAAY"/>
    <s v="2026-09-16T17:01:26.000Z"/>
    <m/>
    <m/>
    <d v="2026-03-28T00:00:00"/>
    <s v="LSN-00258"/>
    <s v="L-0000254"/>
    <s v="131ak000001XjDuAAK"/>
    <b v="0"/>
    <b v="0"/>
    <s v="L-0000254"/>
    <s v="10:00:00.000Z"/>
    <x v="0"/>
    <s v="a07ak00001rZMq4AAG"/>
    <s v="Sofia Johnson"/>
    <s v="2026-09-16T17:01:26.000Z"/>
    <b v="1"/>
    <s v="a06ak00000amzBvAAI|2026-03-28|10:00:00.000Z"/>
    <n v="1"/>
    <s v="Brick"/>
    <x v="3"/>
    <x v="0"/>
  </r>
  <r>
    <s v="005ak00000icyWTAAY"/>
    <s v="2026-09-14T21:01:58.000Z"/>
    <n v="45"/>
    <s v="a0Aak00000FtDpfEAF"/>
    <s v="a06ak00000amzBvAAI"/>
    <s v="Caroline Okafor"/>
    <m/>
    <x v="1"/>
    <b v="0"/>
    <m/>
    <s v="005ak00000icyWTAAY"/>
    <s v="2026-09-16T17:01:26.000Z"/>
    <m/>
    <m/>
    <d v="2026-03-02T00:00:00"/>
    <s v="LSN-00259"/>
    <s v="L-0000255"/>
    <s v="131ak000001XjDuAAK"/>
    <b v="0"/>
    <b v="0"/>
    <s v="L-0000255"/>
    <s v="15:00:00.000Z"/>
    <x v="0"/>
    <s v="a07ak00001rZMq4AAG"/>
    <s v="Sofia Johnson"/>
    <s v="2026-09-16T17:01:26.000Z"/>
    <b v="1"/>
    <s v="a06ak00000amzBvAAI|2026-03-02|15:00:00.000Z"/>
    <n v="1"/>
    <s v="Brick"/>
    <x v="3"/>
    <x v="0"/>
  </r>
  <r>
    <s v="005ak00000icyWTAAY"/>
    <s v="2026-09-14T21:01:58.000Z"/>
    <n v="30"/>
    <s v="a0Aak00000FtDpgEAF"/>
    <s v="a06ak00000amzCCAAY"/>
    <s v="Rowan Jones"/>
    <m/>
    <x v="9"/>
    <b v="0"/>
    <m/>
    <s v="005ak00000icyWTAAY"/>
    <s v="2026-09-16T17:01:26.000Z"/>
    <m/>
    <m/>
    <d v="2026-09-14T00:00:00"/>
    <s v="LSN-00260"/>
    <s v="L-0000256"/>
    <s v="131ak000001XjDuAAK"/>
    <b v="0"/>
    <b v="0"/>
    <s v="L-0000256"/>
    <s v="15:30:00.000Z"/>
    <x v="1"/>
    <s v="a07ak00001rZMq5AAG"/>
    <s v="Omar Clark"/>
    <s v="2026-09-16T17:01:26.000Z"/>
    <b v="1"/>
    <s v=""/>
    <m/>
    <s v="Brick"/>
    <x v="2"/>
    <x v="0"/>
  </r>
  <r>
    <s v="005ak00000icyWTAAY"/>
    <s v="2026-09-14T21:01:58.000Z"/>
    <n v="30"/>
    <s v="a0Aak00000FtDphEAF"/>
    <s v="a06ak00000amzCCAAY"/>
    <s v="Rowan Jones"/>
    <m/>
    <x v="9"/>
    <b v="0"/>
    <m/>
    <s v="005ak00000icyWTAAY"/>
    <s v="2026-09-16T17:01:26.000Z"/>
    <m/>
    <m/>
    <d v="2026-02-16T00:00:00"/>
    <s v="LSN-00261"/>
    <s v="L-0000257"/>
    <s v="131ak000001XjDuAAK"/>
    <b v="0"/>
    <b v="0"/>
    <s v="L-0000257"/>
    <s v="17:00:00.000Z"/>
    <x v="0"/>
    <s v="a07ak00001rZMq5AAG"/>
    <s v="Omar Clark"/>
    <s v="2026-09-16T17:01:26.000Z"/>
    <b v="1"/>
    <s v="a06ak00000amzCCAAY|2026-02-16|17:00:00.000Z"/>
    <n v="1"/>
    <s v="Brick"/>
    <x v="1"/>
    <x v="0"/>
  </r>
  <r>
    <s v="005ak00000icyWTAAY"/>
    <s v="2026-09-14T21:01:58.000Z"/>
    <n v="45"/>
    <s v="a0Aak00000FtDpiEAF"/>
    <s v="a06ak00000amzBiAAI"/>
    <s v="Zoey Torres"/>
    <s v="Started new piece."/>
    <x v="1"/>
    <b v="0"/>
    <m/>
    <s v="005ak00000icyWTAAY"/>
    <s v="2026-09-16T17:01:26.000Z"/>
    <m/>
    <m/>
    <d v="2026-08-11T00:00:00"/>
    <s v="LSN-00262"/>
    <s v="L-0000258"/>
    <s v="131ak000001XjDtAAK"/>
    <b v="0"/>
    <b v="0"/>
    <s v="L-0000258"/>
    <s v="18:00:00.000Z"/>
    <x v="0"/>
    <s v="a07ak00001rZMq6AAG"/>
    <s v="Miles Jones"/>
    <s v="2026-09-16T17:01:26.000Z"/>
    <b v="1"/>
    <s v="a06ak00000amzBiAAI|2026-08-11|18:00:00.000Z"/>
    <n v="1"/>
    <s v="Red Bank"/>
    <x v="6"/>
    <x v="0"/>
  </r>
  <r>
    <s v="005ak00000icyWTAAY"/>
    <s v="2026-09-14T21:01:58.000Z"/>
    <n v="45"/>
    <s v="a0Aak00000FtDpjEAF"/>
    <s v="a06ak00000amzBiAAI"/>
    <s v="Zoey Torres"/>
    <s v="Focused on sight reading."/>
    <x v="1"/>
    <b v="0"/>
    <m/>
    <s v="005ak00000icyWTAAY"/>
    <s v="2026-09-16T17:01:26.000Z"/>
    <m/>
    <m/>
    <d v="2026-02-02T00:00:00"/>
    <s v="LSN-00263"/>
    <s v="L-0000259"/>
    <s v="131ak000001XjDtAAK"/>
    <b v="0"/>
    <b v="0"/>
    <s v="L-0000259"/>
    <s v="18:30:00.000Z"/>
    <x v="0"/>
    <s v="a07ak00001rZMq6AAG"/>
    <s v="Miles Jones"/>
    <s v="2026-09-16T17:01:26.000Z"/>
    <b v="1"/>
    <s v="a06ak00000amzBiAAI|2026-02-02|18:30:00.000Z"/>
    <n v="1"/>
    <s v="Red Bank"/>
    <x v="1"/>
    <x v="0"/>
  </r>
  <r>
    <s v="005ak00000icyWTAAY"/>
    <s v="2026-09-14T21:01:58.000Z"/>
    <n v="60"/>
    <s v="a0Aak00000FtDpkEAF"/>
    <s v="a06ak00000amzBiAAI"/>
    <s v="Zoey Torres"/>
    <s v="Reviewed last week&amp;#39;s assignment."/>
    <x v="1"/>
    <b v="0"/>
    <m/>
    <s v="005ak00000icyWTAAY"/>
    <s v="2026-09-16T17:01:26.000Z"/>
    <m/>
    <m/>
    <d v="2026-06-05T00:00:00"/>
    <s v="LSN-00264"/>
    <s v="L-0000260"/>
    <s v="131ak000001XjDtAAK"/>
    <b v="0"/>
    <b v="0"/>
    <s v="L-0000260"/>
    <s v="18:00:00.000Z"/>
    <x v="0"/>
    <s v="a07ak00001rZMq6AAG"/>
    <s v="Miles Jones"/>
    <s v="2026-09-16T17:01:26.000Z"/>
    <b v="1"/>
    <s v="a06ak00000amzBiAAI|2026-06-05|18:00:00.000Z"/>
    <n v="1"/>
    <s v="Red Bank"/>
    <x v="7"/>
    <x v="0"/>
  </r>
  <r>
    <s v="005ak00000icyWTAAY"/>
    <s v="2026-09-14T21:01:58.000Z"/>
    <n v="45"/>
    <s v="a0Aak00000FtDplEAF"/>
    <s v="a06ak00000amzBiAAI"/>
    <s v="Zoey Torres"/>
    <s v="Worked on scales and timing."/>
    <x v="1"/>
    <b v="0"/>
    <m/>
    <s v="005ak00000icyWTAAY"/>
    <s v="2026-09-16T17:01:26.000Z"/>
    <m/>
    <m/>
    <d v="2026-01-30T00:00:00"/>
    <s v="LSN-00265"/>
    <s v="L-0000261"/>
    <s v="131ak000001XjDtAAK"/>
    <b v="0"/>
    <b v="0"/>
    <s v="L-0000261"/>
    <s v="17:00:00.000Z"/>
    <x v="0"/>
    <s v="a07ak00001rZMq6AAG"/>
    <s v="Miles Jones"/>
    <s v="2026-09-16T17:01:26.000Z"/>
    <b v="1"/>
    <s v="a06ak00000amzBiAAI|2026-01-30|17:00:00.000Z"/>
    <n v="1"/>
    <s v="Red Bank"/>
    <x v="4"/>
    <x v="0"/>
  </r>
  <r>
    <s v="005ak00000icyWTAAY"/>
    <s v="2026-09-14T21:01:58.000Z"/>
    <n v="60"/>
    <s v="a0Aak00000FtDpmEAF"/>
    <s v="a06ak00000amzBiAAI"/>
    <s v="Zoey Torres"/>
    <s v="Started new piece."/>
    <x v="1"/>
    <b v="0"/>
    <m/>
    <s v="005ak00000icyWTAAY"/>
    <s v="2026-09-16T17:01:26.000Z"/>
    <m/>
    <m/>
    <d v="2026-06-14T00:00:00"/>
    <s v="LSN-00266"/>
    <s v="L-0000262"/>
    <s v="131ak000001XjDtAAK"/>
    <b v="0"/>
    <b v="0"/>
    <s v="L-0000262"/>
    <s v="18:00:00.000Z"/>
    <x v="0"/>
    <s v="a07ak00001rZMq6AAG"/>
    <s v="Miles Jones"/>
    <s v="2026-09-16T17:01:26.000Z"/>
    <b v="1"/>
    <s v="a06ak00000amzBiAAI|2026-06-14|18:00:00.000Z"/>
    <n v="1"/>
    <s v="Red Bank"/>
    <x v="7"/>
    <x v="0"/>
  </r>
  <r>
    <s v="005ak00000icyWTAAY"/>
    <s v="2026-09-14T21:01:58.000Z"/>
    <n v="30"/>
    <s v="a0Aak00000FtDpnEAF"/>
    <s v="a06ak00000amzBiAAI"/>
    <s v="Zoey Torres"/>
    <s v="Worked on scales and timing."/>
    <x v="1"/>
    <b v="0"/>
    <m/>
    <s v="005ak00000icyWTAAY"/>
    <s v="2026-09-16T17:01:26.000Z"/>
    <m/>
    <m/>
    <d v="2026-04-12T00:00:00"/>
    <s v="LSN-00267"/>
    <s v="L-0000263"/>
    <s v="131ak000001XjDtAAK"/>
    <b v="0"/>
    <b v="0"/>
    <s v="L-0000263"/>
    <s v="17:00:00.000Z"/>
    <x v="0"/>
    <s v="a07ak00001rZMq6AAG"/>
    <s v="Miles Jones"/>
    <s v="2026-09-16T17:01:26.000Z"/>
    <b v="1"/>
    <s v="a06ak00000amzBiAAI|2026-04-12|17:00:00.000Z"/>
    <n v="1"/>
    <s v="Red Bank"/>
    <x v="5"/>
    <x v="0"/>
  </r>
  <r>
    <s v="005ak00000icyWTAAY"/>
    <s v="2026-09-14T21:01:58.000Z"/>
    <n v="30"/>
    <s v="a0Aak00000FtDpoEAF"/>
    <s v="a06ak00000amzBiAAI"/>
    <s v="Zoey Torres"/>
    <s v="Started new piece."/>
    <x v="1"/>
    <b v="0"/>
    <m/>
    <s v="005ak00000icyWTAAY"/>
    <s v="2026-09-16T17:01:26.000Z"/>
    <m/>
    <m/>
    <d v="2026-02-19T00:00:00"/>
    <s v="LSN-00268"/>
    <s v="L-0000264"/>
    <s v="131ak000001XjDtAAK"/>
    <b v="0"/>
    <b v="0"/>
    <s v="L-0000264"/>
    <s v="16:00:00.000Z"/>
    <x v="0"/>
    <s v="a07ak00001rZMq6AAG"/>
    <s v="Miles Jones"/>
    <s v="2026-09-16T17:01:26.000Z"/>
    <b v="1"/>
    <s v="a06ak00000amzBiAAI|2026-02-19|16:00:00.000Z"/>
    <n v="1"/>
    <s v="Red Bank"/>
    <x v="1"/>
    <x v="0"/>
  </r>
  <r>
    <s v="005ak00000icyWTAAY"/>
    <s v="2026-09-14T21:01:58.000Z"/>
    <n v="60"/>
    <s v="a0Aak00000FtDppEAF"/>
    <s v="a06ak00000amzBsAAI"/>
    <s v="Leo Perez"/>
    <s v="Good progress on technique."/>
    <x v="0"/>
    <b v="0"/>
    <m/>
    <s v="005ak00000icyWTAAY"/>
    <s v="2026-09-16T17:01:26.000Z"/>
    <m/>
    <m/>
    <d v="2026-09-08T00:00:00"/>
    <s v="LSN-00269"/>
    <s v="L-0000265"/>
    <s v="131ak000001XjDuAAK"/>
    <b v="0"/>
    <b v="0"/>
    <s v="L-0000265"/>
    <s v="15:30:00.000Z"/>
    <x v="0"/>
    <s v="a07ak00001rZMq7AAG"/>
    <s v="Jackson Sullivan"/>
    <s v="2026-09-16T17:01:26.000Z"/>
    <b v="1"/>
    <s v="a06ak00000amzBsAAI|2026-09-08|15:30:00.000Z"/>
    <n v="1"/>
    <s v="Brick"/>
    <x v="2"/>
    <x v="0"/>
  </r>
  <r>
    <s v="005ak00000icyWTAAY"/>
    <s v="2026-09-14T21:01:58.000Z"/>
    <n v="30"/>
    <s v="a0Aak00000FtDpqEAF"/>
    <s v="a06ak00000amzBsAAI"/>
    <s v="Leo Perez"/>
    <s v="Good progress on technique."/>
    <x v="0"/>
    <b v="0"/>
    <m/>
    <s v="005ak00000icyWTAAY"/>
    <s v="2026-09-16T17:01:26.000Z"/>
    <m/>
    <m/>
    <d v="2026-01-23T00:00:00"/>
    <s v="LSN-00270"/>
    <s v="L-0000266"/>
    <s v="131ak000001XjDuAAK"/>
    <b v="0"/>
    <b v="0"/>
    <s v="L-0000266"/>
    <s v="15:00:00.000Z"/>
    <x v="0"/>
    <s v="a07ak00001rZMq7AAG"/>
    <s v="Jackson Sullivan"/>
    <s v="2026-09-16T17:01:26.000Z"/>
    <b v="1"/>
    <s v="a06ak00000amzBsAAI|2026-01-23|15:00:00.000Z"/>
    <n v="1"/>
    <s v="Brick"/>
    <x v="4"/>
    <x v="0"/>
  </r>
  <r>
    <s v="005ak00000icyWTAAY"/>
    <s v="2026-09-14T21:01:58.000Z"/>
    <n v="30"/>
    <s v="a0Aak00000FtDprEAF"/>
    <s v="a06ak00000amzBsAAI"/>
    <s v="Leo Perez"/>
    <s v="Good progress on technique."/>
    <x v="0"/>
    <b v="0"/>
    <m/>
    <s v="005ak00000icyWTAAY"/>
    <s v="2026-09-16T17:01:26.000Z"/>
    <m/>
    <m/>
    <d v="2026-05-15T00:00:00"/>
    <s v="LSN-00271"/>
    <s v="L-0000267"/>
    <s v="131ak000001XjDuAAK"/>
    <b v="0"/>
    <b v="0"/>
    <s v="L-0000267"/>
    <s v="15:30:00.000Z"/>
    <x v="0"/>
    <s v="a07ak00001rZMq7AAG"/>
    <s v="Jackson Sullivan"/>
    <s v="2026-09-16T17:01:26.000Z"/>
    <b v="1"/>
    <s v="a06ak00000amzBsAAI|2026-05-15|15:30:00.000Z"/>
    <n v="1"/>
    <s v="Brick"/>
    <x v="0"/>
    <x v="0"/>
  </r>
  <r>
    <s v="005ak00000icyWTAAY"/>
    <s v="2026-09-14T21:01:58.000Z"/>
    <n v="60"/>
    <s v="a0Aak00000FtDpsEAF"/>
    <s v="a06ak00000amzBsAAI"/>
    <s v="Leo Perez"/>
    <s v="Good progress on technique."/>
    <x v="0"/>
    <b v="0"/>
    <m/>
    <s v="005ak00000icyWTAAY"/>
    <s v="2026-09-16T17:01:26.000Z"/>
    <m/>
    <m/>
    <d v="2026-02-23T00:00:00"/>
    <s v="LSN-00272"/>
    <s v="L-0000268"/>
    <s v="131ak000001XjDuAAK"/>
    <b v="0"/>
    <b v="0"/>
    <s v="L-0000268"/>
    <s v="19:00:00.000Z"/>
    <x v="0"/>
    <s v="a07ak00001rZMq7AAG"/>
    <s v="Jackson Sullivan"/>
    <s v="2026-09-16T17:01:26.000Z"/>
    <b v="1"/>
    <s v="a06ak00000amzBsAAI|2026-02-23|19:00:00.000Z"/>
    <n v="1"/>
    <s v="Brick"/>
    <x v="1"/>
    <x v="0"/>
  </r>
  <r>
    <s v="005ak00000icyWTAAY"/>
    <s v="2026-09-14T21:01:58.000Z"/>
    <n v="30"/>
    <s v="a0Aak00000FtDptEAF"/>
    <s v="a06ak00000amzBsAAI"/>
    <s v="Leo Perez"/>
    <m/>
    <x v="0"/>
    <b v="0"/>
    <m/>
    <s v="005ak00000icyWTAAY"/>
    <s v="2026-09-16T17:01:26.000Z"/>
    <m/>
    <m/>
    <d v="2026-01-18T00:00:00"/>
    <s v="LSN-00273"/>
    <s v="L-0000269"/>
    <s v="131ak000001XjDuAAK"/>
    <b v="0"/>
    <b v="0"/>
    <s v="L-0000269"/>
    <s v="19:00:00.000Z"/>
    <x v="1"/>
    <s v="a07ak00001rZMq7AAG"/>
    <s v="Jackson Sullivan"/>
    <s v="2026-09-16T17:01:26.000Z"/>
    <b v="1"/>
    <s v=""/>
    <m/>
    <s v="Brick"/>
    <x v="4"/>
    <x v="0"/>
  </r>
  <r>
    <s v="005ak00000icyWTAAY"/>
    <s v="2026-09-14T21:01:58.000Z"/>
    <n v="60"/>
    <s v="a0Aak00000FtDpuEAF"/>
    <s v="a06ak00000amzBsAAI"/>
    <s v="Leo Perez"/>
    <m/>
    <x v="0"/>
    <b v="0"/>
    <m/>
    <s v="005ak00000icyWTAAY"/>
    <s v="2026-09-16T17:01:26.000Z"/>
    <m/>
    <m/>
    <d v="2026-04-29T00:00:00"/>
    <s v="LSN-00274"/>
    <s v="L-0000270"/>
    <s v="131ak000001XjDuAAK"/>
    <b v="0"/>
    <b v="0"/>
    <s v="L-0000270"/>
    <s v="16:30:00.000Z"/>
    <x v="0"/>
    <s v="a07ak00001rZMq7AAG"/>
    <s v="Jackson Sullivan"/>
    <s v="2026-09-16T17:01:26.000Z"/>
    <b v="1"/>
    <s v="a06ak00000amzBsAAI|2026-04-29|16:30:00.000Z"/>
    <n v="1"/>
    <s v="Brick"/>
    <x v="5"/>
    <x v="0"/>
  </r>
  <r>
    <s v="005ak00000icyWTAAY"/>
    <s v="2026-09-14T21:01:58.000Z"/>
    <n v="30"/>
    <s v="a0Aak00000FtDpvEAF"/>
    <s v="a06ak00000amzBsAAI"/>
    <s v="Leo Perez"/>
    <m/>
    <x v="0"/>
    <b v="0"/>
    <m/>
    <s v="005ak00000icyWTAAY"/>
    <s v="2026-09-16T17:01:26.000Z"/>
    <m/>
    <m/>
    <d v="2026-07-13T00:00:00"/>
    <s v="LSN-00275"/>
    <s v="L-0000271"/>
    <s v="131ak000001XjDuAAK"/>
    <b v="0"/>
    <b v="0"/>
    <s v="L-0000271"/>
    <s v="18:00:00.000Z"/>
    <x v="0"/>
    <s v="a07ak00001rZMq7AAG"/>
    <s v="Jackson Sullivan"/>
    <s v="2026-09-16T17:01:26.000Z"/>
    <b v="1"/>
    <s v="a06ak00000amzBsAAI|2026-07-13|18:00:00.000Z"/>
    <n v="1"/>
    <s v="Brick"/>
    <x v="8"/>
    <x v="0"/>
  </r>
  <r>
    <s v="005ak00000icyWTAAY"/>
    <s v="2026-09-14T21:01:58.000Z"/>
    <n v="30"/>
    <s v="a0Aak00000FtDpwEAF"/>
    <s v="a06ak00000amzBsAAI"/>
    <s v="Leo Perez"/>
    <m/>
    <x v="0"/>
    <b v="0"/>
    <m/>
    <s v="005ak00000icyWTAAY"/>
    <s v="2026-09-16T17:01:26.000Z"/>
    <m/>
    <m/>
    <d v="2026-03-27T00:00:00"/>
    <s v="LSN-00276"/>
    <s v="L-0000272"/>
    <s v="131ak000001XjDuAAK"/>
    <b v="0"/>
    <b v="0"/>
    <s v="L-0000272"/>
    <s v="18:00:00.000Z"/>
    <x v="0"/>
    <s v="a07ak00001rZMq8AAG"/>
    <s v="Evelyn Robinson"/>
    <s v="2026-09-16T17:01:26.000Z"/>
    <b v="1"/>
    <s v="a06ak00000amzBsAAI|2026-03-27|18:00:00.000Z"/>
    <n v="1"/>
    <s v="Brick"/>
    <x v="3"/>
    <x v="0"/>
  </r>
  <r>
    <s v="005ak00000icyWTAAY"/>
    <s v="2026-09-14T21:01:58.000Z"/>
    <n v="60"/>
    <s v="a0Aak00000FtDpxEAF"/>
    <s v="a06ak00000amzBsAAI"/>
    <s v="Leo Perez"/>
    <s v="Started new piece."/>
    <x v="0"/>
    <b v="0"/>
    <m/>
    <s v="005ak00000icyWTAAY"/>
    <s v="2026-09-16T17:01:26.000Z"/>
    <m/>
    <m/>
    <d v="2026-06-13T00:00:00"/>
    <s v="LSN-00277"/>
    <s v="L-0000273"/>
    <s v="131ak000001XjDuAAK"/>
    <b v="0"/>
    <b v="0"/>
    <s v="L-0000273"/>
    <s v="18:00:00.000Z"/>
    <x v="0"/>
    <s v="a07ak00001rZMq8AAG"/>
    <s v="Evelyn Robinson"/>
    <s v="2026-09-16T17:01:26.000Z"/>
    <b v="1"/>
    <s v="a06ak00000amzBsAAI|2026-06-13|18:00:00.000Z"/>
    <n v="1"/>
    <s v="Brick"/>
    <x v="7"/>
    <x v="0"/>
  </r>
  <r>
    <s v="005ak00000icyWTAAY"/>
    <s v="2026-09-14T21:01:58.000Z"/>
    <n v="30"/>
    <s v="a0Aak00000FtDpyEAF"/>
    <s v="a06ak00000amzBsAAI"/>
    <s v="Leo Perez"/>
    <m/>
    <x v="0"/>
    <b v="0"/>
    <m/>
    <s v="005ak00000icyWTAAY"/>
    <s v="2026-09-16T17:01:26.000Z"/>
    <m/>
    <m/>
    <d v="2026-05-23T00:00:00"/>
    <s v="LSN-00278"/>
    <s v="L-0000274"/>
    <s v="131ak000001XjDuAAK"/>
    <b v="0"/>
    <b v="0"/>
    <s v="L-0000274"/>
    <s v="17:00:00.000Z"/>
    <x v="1"/>
    <s v="a07ak00001rZMq8AAG"/>
    <s v="Evelyn Robinson"/>
    <s v="2026-09-16T17:01:26.000Z"/>
    <b v="1"/>
    <s v=""/>
    <m/>
    <s v="Brick"/>
    <x v="0"/>
    <x v="0"/>
  </r>
  <r>
    <s v="005ak00000icyWTAAY"/>
    <s v="2026-09-14T21:01:58.000Z"/>
    <n v="60"/>
    <s v="a0Aak00000FtDpzEAF"/>
    <s v="a06ak00000amzBrAAI"/>
    <s v="Savannah Silva"/>
    <m/>
    <x v="8"/>
    <b v="0"/>
    <m/>
    <s v="005ak00000icyWTAAY"/>
    <s v="2026-09-16T17:01:26.000Z"/>
    <m/>
    <m/>
    <d v="2026-05-07T00:00:00"/>
    <s v="LSN-00279"/>
    <s v="L-0000275"/>
    <s v="131ak000001XjDtAAK"/>
    <b v="0"/>
    <b v="0"/>
    <s v="L-0000275"/>
    <s v="15:00:00.000Z"/>
    <x v="0"/>
    <s v="a07ak00001rZMq9AAG"/>
    <s v="Grace Harris"/>
    <s v="2026-09-16T17:01:26.000Z"/>
    <b v="1"/>
    <s v="a06ak00000amzBrAAI|2026-05-07|15:00:00.000Z"/>
    <n v="1"/>
    <s v="Red Bank"/>
    <x v="0"/>
    <x v="0"/>
  </r>
  <r>
    <s v="005ak00000icyWTAAY"/>
    <s v="2026-09-14T21:01:58.000Z"/>
    <n v="30"/>
    <s v="a0Aak00000FtDq0EAF"/>
    <s v="a06ak00000amzBrAAI"/>
    <s v="Savannah Silva"/>
    <s v="Reviewed last week&amp;#39;s assignment."/>
    <x v="8"/>
    <b v="0"/>
    <m/>
    <s v="005ak00000icyWTAAY"/>
    <s v="2026-09-16T17:01:26.000Z"/>
    <m/>
    <m/>
    <d v="2026-01-27T00:00:00"/>
    <s v="LSN-00280"/>
    <s v="L-0000276"/>
    <s v="131ak000001XjDtAAK"/>
    <b v="0"/>
    <b v="0"/>
    <s v="L-0000276"/>
    <s v="11:00:00.000Z"/>
    <x v="0"/>
    <s v="a07ak00001rZMq9AAG"/>
    <s v="Grace Harris"/>
    <s v="2026-09-16T17:01:26.000Z"/>
    <b v="1"/>
    <s v="a06ak00000amzBrAAI|2026-01-27|11:00:00.000Z"/>
    <n v="1"/>
    <s v="Red Bank"/>
    <x v="4"/>
    <x v="0"/>
  </r>
  <r>
    <s v="005ak00000icyWTAAY"/>
    <s v="2026-09-14T21:01:58.000Z"/>
    <n v="30"/>
    <s v="a0Aak00000FtDq1EAF"/>
    <s v="a06ak00000amzBrAAI"/>
    <s v="Savannah Silva"/>
    <s v="Focused on sight reading."/>
    <x v="8"/>
    <b v="0"/>
    <m/>
    <s v="005ak00000icyWTAAY"/>
    <s v="2026-09-16T17:01:26.000Z"/>
    <m/>
    <m/>
    <d v="2026-08-22T00:00:00"/>
    <s v="LSN-00281"/>
    <s v="L-0000277"/>
    <s v="131ak000001XjDtAAK"/>
    <b v="0"/>
    <b v="0"/>
    <s v="L-0000277"/>
    <s v="19:00:00.000Z"/>
    <x v="0"/>
    <s v="a07ak00001rZMq9AAG"/>
    <s v="Grace Harris"/>
    <s v="2026-09-16T17:01:26.000Z"/>
    <b v="1"/>
    <s v="a06ak00000amzBrAAI|2026-08-22|19:00:00.000Z"/>
    <n v="1"/>
    <s v="Red Bank"/>
    <x v="6"/>
    <x v="0"/>
  </r>
  <r>
    <s v="005ak00000icyWTAAY"/>
    <s v="2026-09-14T21:01:58.000Z"/>
    <n v="45"/>
    <s v="a0Aak00000FtDq2EAF"/>
    <s v="a06ak00000amzBrAAI"/>
    <s v="Savannah Silva"/>
    <s v="Focused on sight reading."/>
    <x v="8"/>
    <b v="0"/>
    <m/>
    <s v="005ak00000icyWTAAY"/>
    <s v="2026-09-16T17:01:26.000Z"/>
    <m/>
    <m/>
    <d v="2026-04-11T00:00:00"/>
    <s v="LSN-00282"/>
    <s v="L-0000278"/>
    <s v="131ak000001XjDtAAK"/>
    <b v="0"/>
    <b v="0"/>
    <s v="L-0000278"/>
    <s v="17:00:00.000Z"/>
    <x v="0"/>
    <s v="a07ak00001rZMq9AAG"/>
    <s v="Grace Harris"/>
    <s v="2026-09-16T17:01:26.000Z"/>
    <b v="1"/>
    <s v="a06ak00000amzBrAAI|2026-04-11|17:00:00.000Z"/>
    <n v="1"/>
    <s v="Red Bank"/>
    <x v="5"/>
    <x v="0"/>
  </r>
  <r>
    <s v="005ak00000icyWTAAY"/>
    <s v="2026-09-14T21:01:58.000Z"/>
    <n v="60"/>
    <s v="a0Aak00000FtDq3EAF"/>
    <s v="a06ak00000amzBrAAI"/>
    <s v="Savannah Silva"/>
    <s v="Reviewed last week&amp;#39;s assignment."/>
    <x v="8"/>
    <b v="0"/>
    <m/>
    <s v="005ak00000icyWTAAY"/>
    <s v="2026-09-16T17:01:26.000Z"/>
    <m/>
    <m/>
    <d v="2026-04-15T00:00:00"/>
    <s v="LSN-00283"/>
    <s v="L-0000279"/>
    <s v="131ak000001XjDtAAK"/>
    <b v="0"/>
    <b v="0"/>
    <s v="L-0000279"/>
    <s v="18:30:00.000Z"/>
    <x v="0"/>
    <s v="a07ak00001rZMq9AAG"/>
    <s v="Grace Harris"/>
    <s v="2026-09-16T17:01:26.000Z"/>
    <b v="1"/>
    <s v="a06ak00000amzBrAAI|2026-04-15|18:30:00.000Z"/>
    <n v="1"/>
    <s v="Red Bank"/>
    <x v="5"/>
    <x v="0"/>
  </r>
  <r>
    <s v="005ak00000icyWTAAY"/>
    <s v="2026-09-14T21:01:58.000Z"/>
    <n v="30"/>
    <s v="a0Aak00000FtDq4EAF"/>
    <s v="a06ak00000amzBrAAI"/>
    <s v="Savannah Silva"/>
    <s v="Focused on sight reading."/>
    <x v="8"/>
    <b v="0"/>
    <m/>
    <s v="005ak00000icyWTAAY"/>
    <s v="2026-09-16T17:01:26.000Z"/>
    <m/>
    <m/>
    <d v="2026-01-20T00:00:00"/>
    <s v="LSN-00284"/>
    <s v="L-0000280"/>
    <s v="131ak000001XjDtAAK"/>
    <b v="0"/>
    <b v="0"/>
    <s v="L-0000280"/>
    <s v="17:00:00.000Z"/>
    <x v="0"/>
    <s v="a07ak00001rZMq9AAG"/>
    <s v="Grace Harris"/>
    <s v="2026-09-16T17:01:26.000Z"/>
    <b v="1"/>
    <s v="a06ak00000amzBrAAI|2026-01-20|17:00:00.000Z"/>
    <n v="1"/>
    <s v="Red Bank"/>
    <x v="4"/>
    <x v="0"/>
  </r>
  <r>
    <s v="005ak00000icyWTAAY"/>
    <s v="2026-09-14T21:01:58.000Z"/>
    <n v="30"/>
    <s v="a0Aak00000FtDq5EAF"/>
    <s v="a06ak00000amzBxAAI"/>
    <s v="Miles Allen"/>
    <m/>
    <x v="7"/>
    <b v="0"/>
    <m/>
    <s v="005ak00000icyWTAAY"/>
    <s v="2026-09-25T18:00:49.000Z"/>
    <m/>
    <m/>
    <d v="2026-09-10T00:00:00"/>
    <s v="LSN-00285"/>
    <s v="L-0000281"/>
    <s v="131ak000001XjDuAAK"/>
    <b v="1"/>
    <b v="0"/>
    <s v="L-0000281"/>
    <s v="17:00:00.000Z"/>
    <x v="4"/>
    <s v="a07ak00001rZMqAAAW"/>
    <s v="Elijah Jones"/>
    <s v="2026-09-25T18:00:49.000Z"/>
    <b v="1"/>
    <s v=""/>
    <m/>
    <s v="Brick"/>
    <x v="2"/>
    <x v="0"/>
  </r>
  <r>
    <s v="005ak00000icyWTAAY"/>
    <s v="2026-09-14T21:01:58.000Z"/>
    <n v="60"/>
    <s v="a0Aak00000FtDq6EAF"/>
    <s v="a06ak00000amzBxAAI"/>
    <s v="Miles Allen"/>
    <s v="Worked on scales and timing."/>
    <x v="7"/>
    <b v="0"/>
    <m/>
    <s v="005ak00000icyWTAAY"/>
    <s v="2026-09-16T17:01:26.000Z"/>
    <m/>
    <m/>
    <d v="2026-04-12T00:00:00"/>
    <s v="LSN-00286"/>
    <s v="L-0000282"/>
    <s v="131ak000001XjDuAAK"/>
    <b v="0"/>
    <b v="0"/>
    <s v="L-0000282"/>
    <s v="18:00:00.000Z"/>
    <x v="0"/>
    <s v="a07ak00001rZMqAAAW"/>
    <s v="Elijah Jones"/>
    <s v="2026-09-16T17:01:26.000Z"/>
    <b v="1"/>
    <s v="a06ak00000amzBxAAI|2026-04-12|18:00:00.000Z"/>
    <n v="1"/>
    <s v="Brick"/>
    <x v="5"/>
    <x v="0"/>
  </r>
  <r>
    <s v="005ak00000icyWTAAY"/>
    <s v="2026-09-14T21:01:58.000Z"/>
    <n v="60"/>
    <s v="a0Aak00000FtDq7EAF"/>
    <s v="a06ak00000amzBmAAI"/>
    <s v="Emily Taylor"/>
    <s v="Reviewed last week&amp;#39;s assignment."/>
    <x v="6"/>
    <b v="0"/>
    <m/>
    <s v="005ak00000icyWTAAY"/>
    <s v="2026-09-16T17:01:26.000Z"/>
    <m/>
    <m/>
    <d v="2026-07-22T00:00:00"/>
    <s v="LSN-00287"/>
    <s v="L-0000283"/>
    <s v="131ak000001XjDtAAK"/>
    <b v="0"/>
    <b v="0"/>
    <s v="L-0000283"/>
    <s v="10:00:00.000Z"/>
    <x v="0"/>
    <s v="a07ak00001rZMqCAAW"/>
    <s v="Omar Smith"/>
    <s v="2026-09-16T17:01:26.000Z"/>
    <b v="1"/>
    <s v="a06ak00000amzBmAAI|2026-07-22|10:00:00.000Z"/>
    <n v="1"/>
    <s v="Red Bank"/>
    <x v="8"/>
    <x v="0"/>
  </r>
  <r>
    <s v="005ak00000icyWTAAY"/>
    <s v="2026-09-14T21:01:58.000Z"/>
    <n v="30"/>
    <s v="a0Aak00000FtDq8EAF"/>
    <s v="a06ak00000amzBmAAI"/>
    <s v="Emily Taylor"/>
    <m/>
    <x v="6"/>
    <b v="0"/>
    <m/>
    <s v="005ak00000icyWTAAY"/>
    <s v="2026-09-16T17:01:26.000Z"/>
    <m/>
    <m/>
    <d v="2026-07-17T00:00:00"/>
    <s v="LSN-00288"/>
    <s v="L-0000284"/>
    <s v="131ak000001XjDtAAK"/>
    <b v="0"/>
    <b v="0"/>
    <s v="L-0000284"/>
    <s v="15:00:00.000Z"/>
    <x v="1"/>
    <s v="a07ak00001rZMqCAAW"/>
    <s v="Omar Smith"/>
    <s v="2026-09-16T17:01:26.000Z"/>
    <b v="1"/>
    <s v=""/>
    <m/>
    <s v="Red Bank"/>
    <x v="8"/>
    <x v="0"/>
  </r>
  <r>
    <s v="005ak00000icyWTAAY"/>
    <s v="2026-09-14T21:01:58.000Z"/>
    <n v="30"/>
    <s v="a0Aak00000FtDq9EAF"/>
    <s v="a06ak00000amzBmAAI"/>
    <s v="Emily Taylor"/>
    <m/>
    <x v="6"/>
    <b v="0"/>
    <m/>
    <s v="005ak00000icyWTAAY"/>
    <s v="2026-09-16T17:01:26.000Z"/>
    <m/>
    <m/>
    <d v="2026-06-25T00:00:00"/>
    <s v="LSN-00289"/>
    <s v="L-0000285"/>
    <s v="131ak000001XjDtAAK"/>
    <b v="0"/>
    <b v="0"/>
    <s v="L-0000285"/>
    <s v="16:00:00.000Z"/>
    <x v="3"/>
    <s v="a07ak00001rZMqCAAW"/>
    <s v="Omar Smith"/>
    <s v="2026-09-16T17:01:26.000Z"/>
    <b v="1"/>
    <s v="a06ak00000amzBmAAI|2026-06-25|16:00:00.000Z"/>
    <n v="1"/>
    <s v="Red Bank"/>
    <x v="7"/>
    <x v="0"/>
  </r>
  <r>
    <s v="005ak00000icyWTAAY"/>
    <s v="2026-09-14T21:01:58.000Z"/>
    <n v="30"/>
    <s v="a0Aak00000FtDqAEAV"/>
    <s v="a06ak00000amzBmAAI"/>
    <s v="Emily Taylor"/>
    <m/>
    <x v="6"/>
    <b v="0"/>
    <m/>
    <s v="005ak00000icyWTAAY"/>
    <s v="2026-09-16T17:01:26.000Z"/>
    <m/>
    <m/>
    <d v="2026-03-03T00:00:00"/>
    <s v="LSN-00290"/>
    <s v="L-0000286"/>
    <s v="131ak000001XjDtAAK"/>
    <b v="0"/>
    <b v="0"/>
    <s v="L-0000286"/>
    <s v="15:00:00.000Z"/>
    <x v="0"/>
    <s v="a07ak00001rZMqCAAW"/>
    <s v="Omar Smith"/>
    <s v="2026-09-16T17:01:26.000Z"/>
    <b v="1"/>
    <s v="a06ak00000amzBmAAI|2026-03-03|15:00:00.000Z"/>
    <n v="1"/>
    <s v="Red Bank"/>
    <x v="3"/>
    <x v="0"/>
  </r>
  <r>
    <s v="005ak00000icyWTAAY"/>
    <s v="2026-09-14T21:01:58.000Z"/>
    <n v="45"/>
    <s v="a0Aak00000FtDqBEAV"/>
    <s v="a06ak00000amzBmAAI"/>
    <s v="Emily Taylor"/>
    <s v="Focused on sight reading."/>
    <x v="6"/>
    <b v="0"/>
    <m/>
    <s v="005ak00000icyWTAAY"/>
    <s v="2026-09-16T17:01:26.000Z"/>
    <m/>
    <m/>
    <d v="2026-08-24T00:00:00"/>
    <s v="LSN-00291"/>
    <s v="L-0000287"/>
    <s v="131ak000001XjDtAAK"/>
    <b v="0"/>
    <b v="0"/>
    <s v="L-0000287"/>
    <s v="11:00:00.000Z"/>
    <x v="0"/>
    <s v="a07ak00001rZMqCAAW"/>
    <s v="Omar Smith"/>
    <s v="2026-09-16T17:01:26.000Z"/>
    <b v="1"/>
    <s v="a06ak00000amzBmAAI|2026-08-24|11:00:00.000Z"/>
    <n v="1"/>
    <s v="Red Bank"/>
    <x v="6"/>
    <x v="0"/>
  </r>
  <r>
    <s v="005ak00000icyWTAAY"/>
    <s v="2026-09-14T21:01:58.000Z"/>
    <n v="45"/>
    <s v="a0Aak00000FtDqCEAV"/>
    <s v="a06ak00000amzBmAAI"/>
    <s v="Emily Taylor"/>
    <s v="Good progress on technique."/>
    <x v="6"/>
    <b v="0"/>
    <m/>
    <s v="005ak00000icyWTAAY"/>
    <s v="2026-09-16T17:01:26.000Z"/>
    <m/>
    <m/>
    <d v="2026-02-14T00:00:00"/>
    <s v="LSN-00292"/>
    <s v="L-0000288"/>
    <s v="131ak000001XjDtAAK"/>
    <b v="0"/>
    <b v="0"/>
    <s v="L-0000288"/>
    <s v="18:30:00.000Z"/>
    <x v="0"/>
    <s v="a07ak00001rZMqCAAW"/>
    <s v="Omar Smith"/>
    <s v="2026-09-16T17:01:26.000Z"/>
    <b v="1"/>
    <s v="a06ak00000amzBmAAI|2026-02-14|18:30:00.000Z"/>
    <n v="1"/>
    <s v="Red Bank"/>
    <x v="1"/>
    <x v="0"/>
  </r>
  <r>
    <s v="005ak00000icyWTAAY"/>
    <s v="2026-09-14T21:01:58.000Z"/>
    <n v="30"/>
    <s v="a0Aak00000FtDqDEAV"/>
    <s v="a06ak00000amzBmAAI"/>
    <s v="Emily Taylor"/>
    <m/>
    <x v="6"/>
    <b v="0"/>
    <m/>
    <s v="005ak00000icyWTAAY"/>
    <s v="2026-09-16T17:01:26.000Z"/>
    <m/>
    <m/>
    <d v="2026-05-04T00:00:00"/>
    <s v="LSN-00293"/>
    <s v="L-0000289"/>
    <s v="131ak000001XjDtAAK"/>
    <b v="0"/>
    <b v="0"/>
    <s v="L-0000289"/>
    <s v="18:00:00.000Z"/>
    <x v="0"/>
    <s v="a07ak00001rZMqCAAW"/>
    <s v="Omar Smith"/>
    <s v="2026-09-16T17:01:26.000Z"/>
    <b v="1"/>
    <s v="a06ak00000amzBmAAI|2026-05-04|18:00:00.000Z"/>
    <n v="1"/>
    <s v="Red Bank"/>
    <x v="0"/>
    <x v="0"/>
  </r>
  <r>
    <s v="005ak00000icyWTAAY"/>
    <s v="2026-09-14T21:01:58.000Z"/>
    <n v="60"/>
    <s v="a0Aak00000FtDqEEAV"/>
    <s v="a06ak00000amzBmAAI"/>
    <s v="Emily Taylor"/>
    <s v="Started new piece."/>
    <x v="6"/>
    <b v="0"/>
    <m/>
    <s v="005ak00000icyWTAAY"/>
    <s v="2026-09-16T17:01:26.000Z"/>
    <m/>
    <m/>
    <d v="2026-07-22T00:00:00"/>
    <s v="LSN-00294"/>
    <s v="L-0000290"/>
    <s v="131ak000001XjDtAAK"/>
    <b v="0"/>
    <b v="0"/>
    <s v="L-0000290"/>
    <s v="18:00:00.000Z"/>
    <x v="0"/>
    <s v="a07ak00001rZMqCAAW"/>
    <s v="Omar Smith"/>
    <s v="2026-09-16T17:01:26.000Z"/>
    <b v="1"/>
    <s v="a06ak00000amzBmAAI|2026-07-22|18:00:00.000Z"/>
    <n v="1"/>
    <s v="Red Bank"/>
    <x v="8"/>
    <x v="0"/>
  </r>
  <r>
    <s v="005ak00000icyWTAAY"/>
    <s v="2026-09-14T21:01:58.000Z"/>
    <n v="45"/>
    <s v="a0Aak00000FtDqFEAV"/>
    <s v="a06ak00000amzCJAAY"/>
    <s v="Sofia Harris"/>
    <m/>
    <x v="4"/>
    <b v="0"/>
    <m/>
    <s v="005ak00000icyWTAAY"/>
    <s v="2026-09-16T17:01:26.000Z"/>
    <m/>
    <m/>
    <d v="2026-04-23T00:00:00"/>
    <s v="LSN-00297"/>
    <s v="L-0000291"/>
    <s v="131ak000001XjDvAAK"/>
    <b v="0"/>
    <b v="0"/>
    <s v="L-0000291"/>
    <s v="18:00:00.000Z"/>
    <x v="3"/>
    <s v="a07ak00001rZMqDAAW"/>
    <s v="Ryan Lopez"/>
    <s v="2026-09-16T17:01:26.000Z"/>
    <b v="1"/>
    <s v="a06ak00000amzCJAAY|2026-04-23|18:00:00.000Z"/>
    <n v="1"/>
    <s v="Toms River"/>
    <x v="5"/>
    <x v="0"/>
  </r>
  <r>
    <s v="005ak00000icyWTAAY"/>
    <s v="2026-09-14T21:01:58.000Z"/>
    <n v="30"/>
    <s v="a0Aak00000FtDqGEAV"/>
    <s v="a06ak00000amzCJAAY"/>
    <s v="Sofia Harris"/>
    <m/>
    <x v="4"/>
    <b v="0"/>
    <m/>
    <s v="005ak00000icyWTAAY"/>
    <s v="2026-09-16T17:01:26.000Z"/>
    <m/>
    <m/>
    <d v="2026-07-26T00:00:00"/>
    <s v="LSN-00298"/>
    <s v="L-0000292"/>
    <s v="131ak000001XjDvAAK"/>
    <b v="0"/>
    <b v="0"/>
    <s v="L-0000292"/>
    <s v="19:00:00.000Z"/>
    <x v="0"/>
    <s v="a07ak00001rZMqDAAW"/>
    <s v="Ryan Lopez"/>
    <s v="2026-09-16T17:01:26.000Z"/>
    <b v="1"/>
    <s v="a06ak00000amzCJAAY|2026-07-26|19:00:00.000Z"/>
    <n v="1"/>
    <s v="Toms River"/>
    <x v="8"/>
    <x v="0"/>
  </r>
  <r>
    <s v="005ak00000icyWTAAY"/>
    <s v="2026-09-14T21:01:58.000Z"/>
    <n v="60"/>
    <s v="a0Aak00000FtDqHEAV"/>
    <s v="a06ak00000amzCJAAY"/>
    <s v="Sofia Harris"/>
    <m/>
    <x v="4"/>
    <b v="0"/>
    <m/>
    <s v="005ak00000icyWTAAY"/>
    <s v="2026-09-16T17:01:26.000Z"/>
    <m/>
    <m/>
    <d v="2026-05-19T00:00:00"/>
    <s v="LSN-00299"/>
    <s v="L-0000293"/>
    <s v="131ak000001XjDvAAK"/>
    <b v="0"/>
    <b v="0"/>
    <s v="L-0000293"/>
    <s v="11:00:00.000Z"/>
    <x v="0"/>
    <s v="a07ak00001rZMqDAAW"/>
    <s v="Ryan Lopez"/>
    <s v="2026-09-16T17:01:26.000Z"/>
    <b v="1"/>
    <s v="a06ak00000amzCJAAY|2026-05-19|11:00:00.000Z"/>
    <n v="1"/>
    <s v="Toms River"/>
    <x v="0"/>
    <x v="0"/>
  </r>
  <r>
    <s v="005ak00000icyWTAAY"/>
    <s v="2026-09-14T21:01:58.000Z"/>
    <n v="30"/>
    <s v="a0Aak00000FtDqIEAV"/>
    <s v="a06ak00000amzCJAAY"/>
    <s v="Sofia Harris"/>
    <s v="Focused on sight reading."/>
    <x v="4"/>
    <b v="0"/>
    <m/>
    <s v="005ak00000icyWTAAY"/>
    <s v="2026-09-16T17:01:26.000Z"/>
    <m/>
    <m/>
    <d v="2026-05-03T00:00:00"/>
    <s v="LSN-00300"/>
    <s v="L-0000294"/>
    <s v="131ak000001XjDvAAK"/>
    <b v="0"/>
    <b v="0"/>
    <s v="L-0000294"/>
    <s v="11:00:00.000Z"/>
    <x v="0"/>
    <s v="a07ak00001rZMqDAAW"/>
    <s v="Ryan Lopez"/>
    <s v="2026-09-16T17:01:26.000Z"/>
    <b v="1"/>
    <s v="a06ak00000amzCJAAY|2026-05-03|11:00:00.000Z"/>
    <n v="1"/>
    <s v="Toms River"/>
    <x v="0"/>
    <x v="0"/>
  </r>
  <r>
    <s v="005ak00000icyWTAAY"/>
    <s v="2026-09-14T21:01:58.000Z"/>
    <n v="45"/>
    <s v="a0Aak00000FtDqJEAV"/>
    <s v="a06ak00000amzCJAAY"/>
    <s v="Sofia Harris"/>
    <m/>
    <x v="4"/>
    <b v="0"/>
    <m/>
    <s v="005ak00000icyWTAAY"/>
    <s v="2026-09-16T17:01:26.000Z"/>
    <m/>
    <m/>
    <d v="2026-09-22T00:00:00"/>
    <s v="LSN-00301"/>
    <s v="L-0000295"/>
    <s v="131ak000001XjDvAAK"/>
    <b v="1"/>
    <b v="1"/>
    <s v="L-0000295"/>
    <s v="16:30:00.000Z"/>
    <x v="4"/>
    <s v="a07ak00001rZMqDAAW"/>
    <s v="Ryan Lopez"/>
    <s v="2026-09-16T17:01:26.000Z"/>
    <b v="1"/>
    <s v=""/>
    <n v="114"/>
    <s v="Toms River"/>
    <x v="2"/>
    <x v="0"/>
  </r>
  <r>
    <s v="005ak00000icyWTAAY"/>
    <s v="2026-09-14T21:01:58.000Z"/>
    <n v="45"/>
    <s v="a0Aak00000FtDqKEAV"/>
    <s v="a06ak00000amzCJAAY"/>
    <s v="Sofia Harris"/>
    <m/>
    <x v="4"/>
    <b v="0"/>
    <m/>
    <s v="005ak00000icyWTAAY"/>
    <s v="2026-09-16T17:01:26.000Z"/>
    <m/>
    <m/>
    <d v="2026-01-10T00:00:00"/>
    <s v="LSN-00302"/>
    <s v="L-0000296"/>
    <s v="131ak000001XjDvAAK"/>
    <b v="0"/>
    <b v="0"/>
    <s v="L-0000296"/>
    <s v="19:00:00.000Z"/>
    <x v="0"/>
    <s v="a07ak00001rZMqDAAW"/>
    <s v="Ryan Lopez"/>
    <s v="2026-09-16T17:01:26.000Z"/>
    <b v="1"/>
    <s v="a06ak00000amzCJAAY|2026-01-10|19:00:00.000Z"/>
    <n v="1"/>
    <s v="Toms River"/>
    <x v="4"/>
    <x v="0"/>
  </r>
  <r>
    <s v="005ak00000icyWTAAY"/>
    <s v="2026-09-14T21:01:58.000Z"/>
    <n v="30"/>
    <s v="a0Aak00000FtDqLEAV"/>
    <s v="a06ak00000amzCJAAY"/>
    <s v="Sofia Harris"/>
    <s v="Reviewed last week&amp;#39;s assignment."/>
    <x v="4"/>
    <b v="0"/>
    <m/>
    <s v="005ak00000icyWTAAY"/>
    <s v="2026-09-16T17:01:26.000Z"/>
    <m/>
    <m/>
    <d v="2026-06-07T00:00:00"/>
    <s v="LSN-00303"/>
    <s v="L-0000297"/>
    <s v="131ak000001XjDvAAK"/>
    <b v="0"/>
    <b v="0"/>
    <s v="L-0000297"/>
    <s v="10:00:00.000Z"/>
    <x v="0"/>
    <s v="a07ak00001rZMqDAAW"/>
    <s v="Ryan Lopez"/>
    <s v="2026-09-16T17:01:26.000Z"/>
    <b v="1"/>
    <s v="a06ak00000amzCJAAY|2026-06-07|10:00:00.000Z"/>
    <n v="1"/>
    <s v="Toms River"/>
    <x v="7"/>
    <x v="0"/>
  </r>
  <r>
    <s v="005ak00000icyWTAAY"/>
    <s v="2026-09-14T21:01:58.000Z"/>
    <n v="60"/>
    <s v="a0Aak00000FtDqMEAV"/>
    <s v="a06ak00000amzCJAAY"/>
    <s v="Sofia Harris"/>
    <m/>
    <x v="4"/>
    <b v="0"/>
    <m/>
    <s v="005ak00000icyWTAAY"/>
    <s v="2026-09-16T17:01:26.000Z"/>
    <m/>
    <m/>
    <d v="2026-06-24T00:00:00"/>
    <s v="LSN-00304"/>
    <s v="L-0000298"/>
    <s v="131ak000001XjDvAAK"/>
    <b v="0"/>
    <b v="0"/>
    <s v="L-0000298"/>
    <s v="11:00:00.000Z"/>
    <x v="0"/>
    <s v="a07ak00001rZMqDAAW"/>
    <s v="Ryan Lopez"/>
    <s v="2026-09-16T17:01:26.000Z"/>
    <b v="1"/>
    <s v="a06ak00000amzCJAAY|2026-06-24|11:00:00.000Z"/>
    <n v="1"/>
    <s v="Toms River"/>
    <x v="7"/>
    <x v="0"/>
  </r>
  <r>
    <s v="005ak00000icyWTAAY"/>
    <s v="2026-09-14T21:01:58.000Z"/>
    <n v="60"/>
    <s v="a0Aak00000FtDqNEAV"/>
    <s v="a06ak00000amzCJAAY"/>
    <s v="Sofia Harris"/>
    <s v="Worked on scales and timing."/>
    <x v="4"/>
    <b v="0"/>
    <m/>
    <s v="005ak00000icyWTAAY"/>
    <s v="2026-09-16T17:01:26.000Z"/>
    <m/>
    <m/>
    <d v="2026-04-12T00:00:00"/>
    <s v="LSN-00305"/>
    <s v="L-0000299"/>
    <s v="131ak000001XjDuAAK"/>
    <b v="0"/>
    <b v="0"/>
    <s v="L-0000299"/>
    <s v="17:00:00.000Z"/>
    <x v="0"/>
    <s v="a07ak00001rZMqEAAW"/>
    <s v="Lucas Rodriguez"/>
    <s v="2026-09-16T17:01:26.000Z"/>
    <b v="1"/>
    <s v="a06ak00000amzCJAAY|2026-04-12|17:00:00.000Z"/>
    <n v="1"/>
    <s v="Brick"/>
    <x v="5"/>
    <x v="0"/>
  </r>
  <r>
    <s v="005ak00000icyWTAAY"/>
    <s v="2026-09-14T21:01:58.000Z"/>
    <n v="30"/>
    <s v="a0Aak00000FtDqOEAV"/>
    <s v="a06ak00000amzCJAAY"/>
    <s v="Sofia Harris"/>
    <m/>
    <x v="4"/>
    <b v="0"/>
    <m/>
    <s v="005ak00000icyWTAAY"/>
    <s v="2026-09-25T18:00:49.000Z"/>
    <m/>
    <m/>
    <d v="2026-06-11T00:00:00"/>
    <s v="LSN-00306"/>
    <s v="L-0000300"/>
    <s v="131ak000001XjDuAAK"/>
    <b v="1"/>
    <b v="1"/>
    <s v="L-0000300"/>
    <s v="11:00:00.000Z"/>
    <x v="4"/>
    <s v="a07ak00001rZMqEAAW"/>
    <s v="Lucas Rodriguez"/>
    <s v="2026-09-25T18:00:49.000Z"/>
    <b v="1"/>
    <s v=""/>
    <m/>
    <s v="Brick"/>
    <x v="7"/>
    <x v="0"/>
  </r>
  <r>
    <s v="005ak00000icyWTAAY"/>
    <s v="2026-09-14T21:01:58.000Z"/>
    <n v="45"/>
    <s v="a0Aak00000FtDqPEAV"/>
    <s v="a06ak00000amzCJAAY"/>
    <s v="Sofia Harris"/>
    <m/>
    <x v="4"/>
    <b v="0"/>
    <m/>
    <s v="005ak00000icyWTAAY"/>
    <s v="2026-09-16T17:01:26.000Z"/>
    <m/>
    <m/>
    <d v="2026-09-18T00:00:00"/>
    <s v="LSN-00307"/>
    <s v="L-0000301"/>
    <s v="131ak000001XjDuAAK"/>
    <b v="1"/>
    <b v="1"/>
    <s v="L-0000301"/>
    <s v="16:30:00.000Z"/>
    <x v="4"/>
    <s v="a07ak00001rZMqEAAW"/>
    <s v="Lucas Rodriguez"/>
    <s v="2026-09-16T17:01:26.000Z"/>
    <b v="1"/>
    <s v=""/>
    <n v="114"/>
    <s v="Brick"/>
    <x v="2"/>
    <x v="0"/>
  </r>
  <r>
    <s v="005ak00000icyWTAAY"/>
    <s v="2026-09-14T21:01:58.000Z"/>
    <n v="30"/>
    <s v="a0Aak00000FtDqQEAV"/>
    <s v="a06ak00000amzBuAAI"/>
    <s v="Ryan Clark"/>
    <s v="Focused on sight reading."/>
    <x v="8"/>
    <b v="0"/>
    <m/>
    <s v="005ak00000icyWTAAY"/>
    <s v="2026-09-16T17:01:26.000Z"/>
    <m/>
    <m/>
    <d v="2026-06-07T00:00:00"/>
    <s v="LSN-00308"/>
    <s v="L-0000302"/>
    <s v="131ak000001XjDtAAK"/>
    <b v="0"/>
    <b v="0"/>
    <s v="L-0000302"/>
    <s v="18:30:00.000Z"/>
    <x v="0"/>
    <s v="a07ak00001rZMqFAAW"/>
    <s v="Nathan Novak"/>
    <s v="2026-09-16T17:01:26.000Z"/>
    <b v="1"/>
    <s v="a06ak00000amzBuAAI|2026-06-07|18:30:00.000Z"/>
    <n v="1"/>
    <s v="Red Bank"/>
    <x v="7"/>
    <x v="0"/>
  </r>
  <r>
    <s v="005ak00000icyWTAAY"/>
    <s v="2026-09-14T21:01:58.000Z"/>
    <n v="30"/>
    <s v="a0Aak00000FtDqREAV"/>
    <s v="a06ak00000amzBuAAI"/>
    <s v="Ryan Clark"/>
    <m/>
    <x v="8"/>
    <b v="0"/>
    <m/>
    <s v="005ak00000icyWTAAY"/>
    <s v="2026-09-16T17:01:26.000Z"/>
    <m/>
    <m/>
    <d v="2026-01-14T00:00:00"/>
    <s v="LSN-00309"/>
    <s v="L-0000303"/>
    <s v="131ak000001XjDtAAK"/>
    <b v="0"/>
    <b v="0"/>
    <s v="L-0000303"/>
    <s v="11:00:00.000Z"/>
    <x v="3"/>
    <s v="a07ak00001rZMqFAAW"/>
    <s v="Nathan Novak"/>
    <s v="2026-09-16T17:01:26.000Z"/>
    <b v="1"/>
    <s v="a06ak00000amzBuAAI|2026-01-14|11:00:00.000Z"/>
    <n v="1"/>
    <s v="Red Bank"/>
    <x v="4"/>
    <x v="0"/>
  </r>
  <r>
    <s v="005ak00000icyWTAAY"/>
    <s v="2026-09-14T21:01:58.000Z"/>
    <n v="30"/>
    <s v="a0Aak00000FtDqSEAV"/>
    <s v="a06ak00000amzBuAAI"/>
    <s v="Ryan Clark"/>
    <s v="Started new piece."/>
    <x v="8"/>
    <b v="0"/>
    <m/>
    <s v="005ak00000icyWTAAY"/>
    <s v="2026-09-16T17:01:26.000Z"/>
    <m/>
    <m/>
    <d v="2026-03-08T00:00:00"/>
    <s v="LSN-00310"/>
    <s v="L-0000304"/>
    <s v="131ak000001XjDtAAK"/>
    <b v="0"/>
    <b v="0"/>
    <s v="L-0000304"/>
    <s v="15:30:00.000Z"/>
    <x v="0"/>
    <s v="a07ak00001rZMqFAAW"/>
    <s v="Nathan Novak"/>
    <s v="2026-09-16T17:01:26.000Z"/>
    <b v="1"/>
    <s v="a06ak00000amzBuAAI|2026-03-08|15:30:00.000Z"/>
    <n v="1"/>
    <s v="Red Bank"/>
    <x v="3"/>
    <x v="0"/>
  </r>
  <r>
    <s v="005ak00000icyWTAAY"/>
    <s v="2026-09-14T21:01:58.000Z"/>
    <m/>
    <s v="a0Aak00000FtDqTEAV"/>
    <s v="a06ak00000amzCKAAY"/>
    <s v="Priya Carter"/>
    <s v="Started new piece."/>
    <x v="8"/>
    <b v="0"/>
    <m/>
    <s v="005ak00000icyWTAAY"/>
    <s v="2026-09-16T16:41:26.000Z"/>
    <m/>
    <m/>
    <d v="2026-04-08T00:00:00"/>
    <s v="LSN-00311"/>
    <s v="L-0000305"/>
    <s v="131ak000001XjDtAAK"/>
    <b v="0"/>
    <b v="0"/>
    <s v="L-0000305"/>
    <s v="17:30:00.000Z"/>
    <x v="0"/>
    <s v="a07ak00001rZMqFAAW"/>
    <s v="Nathan Novak"/>
    <s v="2026-09-16T16:41:26.000Z"/>
    <b v="0"/>
    <s v="a06ak00000amzCKAAY|2026-04-08|17:30:00.000Z"/>
    <n v="1"/>
    <s v="Red Bank"/>
    <x v="5"/>
    <x v="0"/>
  </r>
  <r>
    <s v="005ak00000icyWTAAY"/>
    <s v="2026-09-14T21:01:58.000Z"/>
    <n v="60"/>
    <s v="a0Aak00000FtDqUEAV"/>
    <s v="a06ak00000amzBzAAI"/>
    <s v="Ezra Garcia"/>
    <s v="Started new piece."/>
    <x v="5"/>
    <b v="0"/>
    <m/>
    <s v="005ak00000icyWTAAY"/>
    <s v="2026-09-16T17:01:26.000Z"/>
    <m/>
    <m/>
    <d v="2026-03-24T00:00:00"/>
    <s v="LSN-00312"/>
    <s v="L-0000306"/>
    <s v="131ak000001XjDtAAK"/>
    <b v="0"/>
    <b v="0"/>
    <s v="L-0000306"/>
    <s v="16:00:00.000Z"/>
    <x v="0"/>
    <s v="a07ak00001rZMqGAAW"/>
    <s v="Josiah Clark"/>
    <s v="2026-09-16T17:01:26.000Z"/>
    <b v="1"/>
    <s v="a06ak00000amzBzAAI|2026-03-24|16:00:00.000Z"/>
    <n v="1"/>
    <s v="Red Bank"/>
    <x v="3"/>
    <x v="0"/>
  </r>
  <r>
    <s v="005ak00000icyWTAAY"/>
    <s v="2026-09-14T21:01:58.000Z"/>
    <n v="60"/>
    <s v="a0Aak00000FtDqVEAV"/>
    <s v="a06ak00000amzBzAAI"/>
    <s v="Ezra Garcia"/>
    <s v="Started new piece."/>
    <x v="5"/>
    <b v="0"/>
    <m/>
    <s v="005ak00000icyWTAAY"/>
    <s v="2026-09-16T17:01:26.000Z"/>
    <m/>
    <m/>
    <d v="2026-04-07T00:00:00"/>
    <s v="LSN-00313"/>
    <s v="L-0000307"/>
    <s v="131ak000001XjDtAAK"/>
    <b v="0"/>
    <b v="0"/>
    <s v="L-0000307"/>
    <s v="15:30:00.000Z"/>
    <x v="0"/>
    <s v="a07ak00001rZMqGAAW"/>
    <s v="Josiah Clark"/>
    <s v="2026-09-16T17:01:26.000Z"/>
    <b v="1"/>
    <s v="a06ak00000amzBzAAI|2026-04-07|15:30:00.000Z"/>
    <n v="1"/>
    <s v="Red Bank"/>
    <x v="5"/>
    <x v="0"/>
  </r>
  <r>
    <s v="005ak00000icyWTAAY"/>
    <s v="2026-09-14T21:01:58.000Z"/>
    <n v="60"/>
    <s v="a0Aak00000FtDqWEAV"/>
    <s v="a06ak00000amzBrAAI"/>
    <s v="Savannah Silva"/>
    <s v="Started new piece."/>
    <x v="8"/>
    <b v="0"/>
    <m/>
    <s v="005ak00000icyWTAAY"/>
    <s v="2026-09-16T17:01:26.000Z"/>
    <m/>
    <m/>
    <d v="2026-08-19T00:00:00"/>
    <s v="LSN-00314"/>
    <s v="L-0000308"/>
    <s v="131ak000001XjDtAAK"/>
    <b v="0"/>
    <b v="0"/>
    <s v="L-0000308"/>
    <s v="11:00:00.000Z"/>
    <x v="0"/>
    <s v="a07ak00001rZMqHAAW"/>
    <s v="Skylar Harris"/>
    <s v="2026-09-16T17:01:26.000Z"/>
    <b v="1"/>
    <s v="a06ak00000amzBrAAI|2026-08-19|11:00:00.000Z"/>
    <n v="1"/>
    <s v="Red Bank"/>
    <x v="6"/>
    <x v="0"/>
  </r>
  <r>
    <s v="005ak00000icyWTAAY"/>
    <s v="2026-09-14T21:01:58.000Z"/>
    <n v="45"/>
    <s v="a0Aak00000FtDqXEAV"/>
    <s v="a06ak00000amzBrAAI"/>
    <s v="Savannah Silva"/>
    <s v="Reviewed last week&amp;#39;s assignment."/>
    <x v="8"/>
    <b v="0"/>
    <m/>
    <s v="005ak00000icyWTAAY"/>
    <s v="2026-09-16T17:01:26.000Z"/>
    <m/>
    <m/>
    <d v="2026-03-28T00:00:00"/>
    <s v="LSN-00315"/>
    <s v="L-0000309"/>
    <s v="131ak000001XjDtAAK"/>
    <b v="0"/>
    <b v="0"/>
    <s v="L-0000309"/>
    <s v="19:00:00.000Z"/>
    <x v="0"/>
    <s v="a07ak00001rZMqHAAW"/>
    <s v="Skylar Harris"/>
    <s v="2026-09-16T17:01:26.000Z"/>
    <b v="1"/>
    <s v="a06ak00000amzBrAAI|2026-03-28|19:00:00.000Z"/>
    <n v="1"/>
    <s v="Red Bank"/>
    <x v="3"/>
    <x v="0"/>
  </r>
  <r>
    <s v="005ak00000icyWTAAY"/>
    <s v="2026-09-14T21:01:58.000Z"/>
    <n v="60"/>
    <s v="a0Aak00000FtDqYEAV"/>
    <s v="a06ak00000amzBrAAI"/>
    <s v="Savannah Silva"/>
    <m/>
    <x v="8"/>
    <b v="0"/>
    <m/>
    <s v="005ak00000icyWTAAY"/>
    <s v="2026-09-16T17:01:26.000Z"/>
    <m/>
    <m/>
    <d v="2026-02-15T00:00:00"/>
    <s v="LSN-00316"/>
    <s v="L-0000310"/>
    <s v="131ak000001XjDtAAK"/>
    <b v="0"/>
    <b v="0"/>
    <s v="L-0000310"/>
    <s v="11:00:00.000Z"/>
    <x v="0"/>
    <s v="a07ak00001rZMqHAAW"/>
    <s v="Skylar Harris"/>
    <s v="2026-09-16T17:01:26.000Z"/>
    <b v="1"/>
    <s v="a06ak00000amzBrAAI|2026-02-15|11:00:00.000Z"/>
    <n v="1"/>
    <s v="Red Bank"/>
    <x v="1"/>
    <x v="0"/>
  </r>
  <r>
    <s v="005ak00000icyWTAAY"/>
    <s v="2026-09-14T21:01:58.000Z"/>
    <n v="30"/>
    <s v="a0Aak00000FtDqZEAV"/>
    <s v="a06ak00000amzBrAAI"/>
    <s v="Savannah Silva"/>
    <m/>
    <x v="8"/>
    <b v="0"/>
    <m/>
    <s v="005ak00000icyWTAAY"/>
    <s v="2026-09-16T17:01:26.000Z"/>
    <m/>
    <m/>
    <d v="2026-07-07T00:00:00"/>
    <s v="LSN-00317"/>
    <s v="L-0000311"/>
    <s v="131ak000001XjDtAAK"/>
    <b v="0"/>
    <b v="0"/>
    <s v="L-0000311"/>
    <s v="17:00:00.000Z"/>
    <x v="0"/>
    <s v="a07ak00001rZMqHAAW"/>
    <s v="Skylar Harris"/>
    <s v="2026-09-16T17:01:26.000Z"/>
    <b v="1"/>
    <s v="a06ak00000amzBrAAI|2026-07-07|17:00:00.000Z"/>
    <n v="1"/>
    <s v="Red Bank"/>
    <x v="8"/>
    <x v="0"/>
  </r>
  <r>
    <s v="005ak00000icyWTAAY"/>
    <s v="2026-09-14T21:01:58.000Z"/>
    <n v="30"/>
    <s v="a0Aak00000FtDqaEAF"/>
    <s v="a06ak00000amzBrAAI"/>
    <s v="Savannah Silva"/>
    <m/>
    <x v="8"/>
    <b v="0"/>
    <m/>
    <s v="005ak00000icyWTAAY"/>
    <s v="2026-09-16T17:01:26.000Z"/>
    <m/>
    <m/>
    <d v="2026-06-08T00:00:00"/>
    <s v="LSN-00318"/>
    <s v="L-0000312"/>
    <s v="131ak000001XjDtAAK"/>
    <b v="0"/>
    <b v="0"/>
    <s v="L-0000312"/>
    <s v="11:00:00.000Z"/>
    <x v="3"/>
    <s v="a07ak00001rZMqHAAW"/>
    <s v="Skylar Harris"/>
    <s v="2026-09-16T17:01:26.000Z"/>
    <b v="1"/>
    <s v="a06ak00000amzBrAAI|2026-06-08|11:00:00.000Z"/>
    <n v="1"/>
    <s v="Red Bank"/>
    <x v="7"/>
    <x v="0"/>
  </r>
  <r>
    <s v="005ak00000icyWTAAY"/>
    <s v="2026-09-14T21:01:58.000Z"/>
    <n v="30"/>
    <s v="a0Aak00000FtDqbEAF"/>
    <s v="a06ak00000amzBuAAI"/>
    <s v="Ryan Clark"/>
    <s v="Started new piece."/>
    <x v="8"/>
    <b v="0"/>
    <m/>
    <s v="005ak00000icyWTAAY"/>
    <s v="2026-09-16T17:01:26.000Z"/>
    <m/>
    <m/>
    <d v="2026-05-16T00:00:00"/>
    <s v="LSN-00319"/>
    <s v="L-0000313"/>
    <s v="131ak000001XjDtAAK"/>
    <b v="0"/>
    <b v="0"/>
    <s v="L-0000313"/>
    <s v="11:00:00.000Z"/>
    <x v="0"/>
    <s v="a07ak00001rZMqIAAW"/>
    <s v="Gabriel Baker"/>
    <s v="2026-09-16T17:01:26.000Z"/>
    <b v="1"/>
    <s v="a06ak00000amzBuAAI|2026-05-16|11:00:00.000Z"/>
    <n v="1"/>
    <s v="Red Bank"/>
    <x v="0"/>
    <x v="0"/>
  </r>
  <r>
    <s v="005ak00000icyWTAAY"/>
    <s v="2026-09-14T21:01:58.000Z"/>
    <n v="30"/>
    <s v="a0Aak00000FtDqcEAF"/>
    <s v="a06ak00000amzBuAAI"/>
    <s v="Ryan Clark"/>
    <s v="Good progress on technique."/>
    <x v="8"/>
    <b v="0"/>
    <m/>
    <s v="005ak00000icyWTAAY"/>
    <s v="2026-09-16T17:01:26.000Z"/>
    <m/>
    <m/>
    <d v="2026-04-21T00:00:00"/>
    <s v="LSN-00320"/>
    <s v="L-0000314"/>
    <s v="131ak000001XjDtAAK"/>
    <b v="0"/>
    <b v="0"/>
    <s v="L-0000314"/>
    <s v="16:30:00.000Z"/>
    <x v="0"/>
    <s v="a07ak00001rZMqIAAW"/>
    <s v="Gabriel Baker"/>
    <s v="2026-09-16T17:01:26.000Z"/>
    <b v="1"/>
    <s v="a06ak00000amzBuAAI|2026-04-21|16:30:00.000Z"/>
    <n v="1"/>
    <s v="Red Bank"/>
    <x v="5"/>
    <x v="0"/>
  </r>
  <r>
    <s v="005ak00000icyWTAAY"/>
    <s v="2026-09-14T21:01:58.000Z"/>
    <n v="30"/>
    <s v="a0Aak00000FtDqdEAF"/>
    <s v="a06ak00000amzBuAAI"/>
    <s v="Ryan Clark"/>
    <m/>
    <x v="8"/>
    <b v="0"/>
    <m/>
    <s v="005ak00000icyWTAAY"/>
    <s v="2026-09-16T17:01:26.000Z"/>
    <m/>
    <m/>
    <d v="2026-07-25T00:00:00"/>
    <s v="LSN-00321"/>
    <s v="L-0000315"/>
    <s v="131ak000001XjDtAAK"/>
    <b v="0"/>
    <b v="0"/>
    <s v="L-0000315"/>
    <s v="19:00:00.000Z"/>
    <x v="0"/>
    <s v="a07ak00001rZMqIAAW"/>
    <s v="Gabriel Baker"/>
    <s v="2026-09-16T17:01:26.000Z"/>
    <b v="1"/>
    <s v="a06ak00000amzBuAAI|2026-07-25|19:00:00.000Z"/>
    <n v="1"/>
    <s v="Red Bank"/>
    <x v="8"/>
    <x v="0"/>
  </r>
  <r>
    <s v="005ak00000icyWTAAY"/>
    <s v="2026-09-14T21:01:58.000Z"/>
    <n v="45"/>
    <s v="a0Aak00000FtDqeEAF"/>
    <s v="a06ak00000amzBuAAI"/>
    <s v="Ryan Clark"/>
    <s v="Started new piece."/>
    <x v="8"/>
    <b v="0"/>
    <m/>
    <s v="005ak00000icyWTAAY"/>
    <s v="2026-09-16T17:01:26.000Z"/>
    <m/>
    <m/>
    <d v="2026-07-18T00:00:00"/>
    <s v="LSN-00322"/>
    <s v="L-0000316"/>
    <s v="131ak000001XjDtAAK"/>
    <b v="0"/>
    <b v="0"/>
    <s v="L-0000316"/>
    <s v="17:00:00.000Z"/>
    <x v="0"/>
    <s v="a07ak00001rZMqIAAW"/>
    <s v="Gabriel Baker"/>
    <s v="2026-09-16T17:01:26.000Z"/>
    <b v="1"/>
    <s v="a06ak00000amzBuAAI|2026-07-18|17:00:00.000Z"/>
    <n v="1"/>
    <s v="Red Bank"/>
    <x v="8"/>
    <x v="0"/>
  </r>
  <r>
    <s v="005ak00000icyWTAAY"/>
    <s v="2026-09-14T21:01:58.000Z"/>
    <n v="30"/>
    <s v="a0Aak00000FtDqfEAF"/>
    <s v="a06ak00000amzBuAAI"/>
    <s v="Ryan Clark"/>
    <s v="Worked on scales and timing."/>
    <x v="8"/>
    <b v="0"/>
    <m/>
    <s v="005ak00000icyWTAAY"/>
    <s v="2026-09-16T17:01:26.000Z"/>
    <m/>
    <m/>
    <d v="2026-02-14T00:00:00"/>
    <s v="LSN-00323"/>
    <s v="L-0000317"/>
    <s v="131ak000001XjDtAAK"/>
    <b v="0"/>
    <b v="0"/>
    <s v="L-0000317"/>
    <s v="18:00:00.000Z"/>
    <x v="0"/>
    <s v="a07ak00001rZMqIAAW"/>
    <s v="Gabriel Baker"/>
    <s v="2026-09-16T17:01:26.000Z"/>
    <b v="1"/>
    <s v="a06ak00000amzBuAAI|2026-02-14|18:00:00.000Z"/>
    <n v="1"/>
    <s v="Red Bank"/>
    <x v="1"/>
    <x v="0"/>
  </r>
  <r>
    <s v="005ak00000icyWTAAY"/>
    <s v="2026-09-14T21:01:58.000Z"/>
    <n v="45"/>
    <s v="a0Aak00000FtDqgEAF"/>
    <s v="a06ak00000amzBuAAI"/>
    <s v="Ryan Clark"/>
    <s v="Focused on sight reading."/>
    <x v="8"/>
    <b v="0"/>
    <m/>
    <s v="005ak00000icyWTAAY"/>
    <s v="2026-09-16T17:01:26.000Z"/>
    <m/>
    <m/>
    <d v="2026-04-30T00:00:00"/>
    <s v="LSN-00324"/>
    <s v="L-0000318"/>
    <s v="131ak000001XjDtAAK"/>
    <b v="0"/>
    <b v="0"/>
    <s v="L-0000318"/>
    <s v="18:30:00.000Z"/>
    <x v="0"/>
    <s v="a07ak00001rZMqIAAW"/>
    <s v="Gabriel Baker"/>
    <s v="2026-09-16T17:01:26.000Z"/>
    <b v="1"/>
    <s v="a06ak00000amzBuAAI|2026-04-30|18:30:00.000Z"/>
    <n v="1"/>
    <s v="Red Bank"/>
    <x v="5"/>
    <x v="0"/>
  </r>
  <r>
    <s v="005ak00000icyWTAAY"/>
    <s v="2026-09-14T21:01:58.000Z"/>
    <n v="60"/>
    <s v="a0Aak00000FtDqhEAF"/>
    <s v="a06ak00000amzCBAAY"/>
    <s v="Aiden Hill"/>
    <s v="Worked on scales and timing."/>
    <x v="3"/>
    <b v="0"/>
    <m/>
    <s v="005ak00000icyWTAAY"/>
    <s v="2026-09-16T17:01:26.000Z"/>
    <m/>
    <m/>
    <d v="2026-07-17T00:00:00"/>
    <s v="LSN-00325"/>
    <s v="L-0000319"/>
    <s v="131ak000001XjDtAAK"/>
    <b v="0"/>
    <b v="0"/>
    <s v="L-0000319"/>
    <s v="19:00:00.000Z"/>
    <x v="0"/>
    <s v="a07ak00001rZMqJAAW"/>
    <s v="Emma Smith"/>
    <s v="2026-09-16T17:01:26.000Z"/>
    <b v="1"/>
    <s v="a06ak00000amzCBAAY|2026-07-17|19:00:00.000Z"/>
    <n v="1"/>
    <s v="Red Bank"/>
    <x v="8"/>
    <x v="0"/>
  </r>
  <r>
    <s v="005ak00000icyWTAAY"/>
    <s v="2026-09-14T21:01:58.000Z"/>
    <n v="45"/>
    <s v="a0Aak00000FtDqiEAF"/>
    <s v="a06ak00000amzCBAAY"/>
    <s v="Aiden Hill"/>
    <s v="Started new piece."/>
    <x v="3"/>
    <b v="0"/>
    <m/>
    <s v="005ak00000icyWTAAY"/>
    <s v="2026-09-16T17:01:26.000Z"/>
    <m/>
    <m/>
    <d v="2026-04-25T00:00:00"/>
    <s v="LSN-00326"/>
    <s v="L-0000320"/>
    <s v="131ak000001XjDtAAK"/>
    <b v="0"/>
    <b v="0"/>
    <s v="L-0000320"/>
    <s v="11:00:00.000Z"/>
    <x v="0"/>
    <s v="a07ak00001rZMqJAAW"/>
    <s v="Emma Smith"/>
    <s v="2026-09-16T17:01:26.000Z"/>
    <b v="1"/>
    <s v="a06ak00000amzCBAAY|2026-04-25|11:00:00.000Z"/>
    <n v="1"/>
    <s v="Red Bank"/>
    <x v="5"/>
    <x v="0"/>
  </r>
  <r>
    <s v="005ak00000icyWTAAY"/>
    <s v="2026-09-14T21:01:58.000Z"/>
    <n v="30"/>
    <s v="a0Aak00000FtDqjEAF"/>
    <s v="a06ak00000amzCBAAY"/>
    <s v="Aiden Hill"/>
    <s v="Good progress on technique."/>
    <x v="3"/>
    <b v="0"/>
    <m/>
    <s v="005ak00000icyWTAAY"/>
    <s v="2026-09-16T17:01:26.000Z"/>
    <m/>
    <m/>
    <d v="2026-05-23T00:00:00"/>
    <s v="LSN-00327"/>
    <s v="L-0000321"/>
    <s v="131ak000001XjDtAAK"/>
    <b v="0"/>
    <b v="0"/>
    <s v="L-0000321"/>
    <s v="18:00:00.000Z"/>
    <x v="0"/>
    <s v="a07ak00001rZMqJAAW"/>
    <s v="Emma Smith"/>
    <s v="2026-09-16T17:01:26.000Z"/>
    <b v="1"/>
    <s v="a06ak00000amzCBAAY|2026-05-23|18:00:00.000Z"/>
    <n v="1"/>
    <s v="Red Bank"/>
    <x v="0"/>
    <x v="0"/>
  </r>
  <r>
    <s v="005ak00000icyWTAAY"/>
    <s v="2026-09-14T21:01:58.000Z"/>
    <n v="30"/>
    <s v="a0Aak00000FtDqkEAF"/>
    <s v="a06ak00000amzCBAAY"/>
    <s v="Aiden Hill"/>
    <s v="Started new piece."/>
    <x v="3"/>
    <b v="0"/>
    <m/>
    <s v="005ak00000icyWTAAY"/>
    <s v="2026-09-16T17:01:26.000Z"/>
    <m/>
    <m/>
    <d v="2026-01-19T00:00:00"/>
    <s v="LSN-00328"/>
    <s v="L-0000322"/>
    <s v="131ak000001XjDtAAK"/>
    <b v="0"/>
    <b v="0"/>
    <s v="L-0000322"/>
    <s v="16:30:00.000Z"/>
    <x v="0"/>
    <s v="a07ak00001rZMqJAAW"/>
    <s v="Emma Smith"/>
    <s v="2026-09-16T17:01:26.000Z"/>
    <b v="1"/>
    <s v="a06ak00000amzCBAAY|2026-01-19|16:30:00.000Z"/>
    <n v="1"/>
    <s v="Red Bank"/>
    <x v="4"/>
    <x v="0"/>
  </r>
  <r>
    <s v="005ak00000icyWTAAY"/>
    <s v="2026-09-14T21:01:58.000Z"/>
    <n v="30"/>
    <s v="a0Aak00000FtDqlEAF"/>
    <s v="a06ak00000amzBxAAI"/>
    <s v="Miles Allen"/>
    <s v="Good progress on technique."/>
    <x v="7"/>
    <b v="0"/>
    <m/>
    <s v="005ak00000icyWTAAY"/>
    <s v="2026-09-16T17:01:26.000Z"/>
    <m/>
    <m/>
    <d v="2026-04-28T00:00:00"/>
    <s v="LSN-00329"/>
    <s v="L-0000323"/>
    <s v="131ak000001XjDuAAK"/>
    <b v="0"/>
    <b v="0"/>
    <s v="L-0000323"/>
    <s v="16:30:00.000Z"/>
    <x v="0"/>
    <s v="a07ak00001rZMqKAAW"/>
    <s v="Kai Mitchell"/>
    <s v="2026-09-16T17:01:26.000Z"/>
    <b v="1"/>
    <s v="a06ak00000amzBxAAI|2026-04-28|16:30:00.000Z"/>
    <n v="1"/>
    <s v="Brick"/>
    <x v="5"/>
    <x v="0"/>
  </r>
  <r>
    <s v="005ak00000icyWTAAY"/>
    <s v="2026-09-14T21:01:58.000Z"/>
    <n v="30"/>
    <s v="a0Aak00000FtDqmEAF"/>
    <s v="a06ak00000amzBxAAI"/>
    <s v="Miles Allen"/>
    <s v="Focused on sight reading."/>
    <x v="7"/>
    <b v="0"/>
    <m/>
    <s v="005ak00000icyWTAAY"/>
    <s v="2026-09-16T17:01:26.000Z"/>
    <m/>
    <m/>
    <d v="2026-02-05T00:00:00"/>
    <s v="LSN-00330"/>
    <s v="L-0000324"/>
    <s v="131ak000001XjDuAAK"/>
    <b v="0"/>
    <b v="0"/>
    <s v="L-0000324"/>
    <s v="11:00:00.000Z"/>
    <x v="0"/>
    <s v="a07ak00001rZMqKAAW"/>
    <s v="Kai Mitchell"/>
    <s v="2026-09-16T17:01:26.000Z"/>
    <b v="1"/>
    <s v="a06ak00000amzBxAAI|2026-02-05|11:00:00.000Z"/>
    <n v="1"/>
    <s v="Brick"/>
    <x v="1"/>
    <x v="0"/>
  </r>
  <r>
    <s v="005ak00000icyWTAAY"/>
    <s v="2026-09-14T21:01:58.000Z"/>
    <n v="30"/>
    <s v="a0Aak00000FtDqnEAF"/>
    <s v="a06ak00000amzBxAAI"/>
    <s v="Miles Allen"/>
    <m/>
    <x v="7"/>
    <b v="0"/>
    <m/>
    <s v="005ak00000icyWTAAY"/>
    <s v="2026-09-16T17:01:26.000Z"/>
    <m/>
    <m/>
    <d v="2026-07-25T00:00:00"/>
    <s v="LSN-00331"/>
    <s v="L-0000325"/>
    <s v="131ak000001XjDuAAK"/>
    <b v="0"/>
    <b v="0"/>
    <s v="L-0000325"/>
    <s v="17:30:00.000Z"/>
    <x v="3"/>
    <s v="a07ak00001rZMqKAAW"/>
    <s v="Kai Mitchell"/>
    <s v="2026-09-16T17:01:26.000Z"/>
    <b v="1"/>
    <s v="a06ak00000amzBxAAI|2026-07-25|17:30:00.000Z"/>
    <n v="1"/>
    <s v="Brick"/>
    <x v="8"/>
    <x v="0"/>
  </r>
  <r>
    <s v="005ak00000icyWTAAY"/>
    <s v="2026-09-14T21:01:58.000Z"/>
    <n v="30"/>
    <s v="a0Aak00000FtDqoEAF"/>
    <s v="a06ak00000amzC7AAI"/>
    <s v="Wyatt Hall"/>
    <s v="Focused on sight reading."/>
    <x v="10"/>
    <b v="0"/>
    <m/>
    <s v="005ak00000icyWTAAY"/>
    <s v="2026-09-16T17:01:26.000Z"/>
    <m/>
    <m/>
    <d v="2026-06-10T00:00:00"/>
    <s v="LSN-00332"/>
    <s v="L-0000326"/>
    <s v="131ak000001XjDtAAK"/>
    <b v="0"/>
    <b v="0"/>
    <s v="L-0000326"/>
    <s v="19:00:00.000Z"/>
    <x v="0"/>
    <s v="a07ak00001rZMqLAAW"/>
    <s v="Everly Roberts"/>
    <s v="2026-09-16T17:01:26.000Z"/>
    <b v="1"/>
    <s v="a06ak00000amzC7AAI|2026-06-10|19:00:00.000Z"/>
    <n v="1"/>
    <s v="Red Bank"/>
    <x v="7"/>
    <x v="0"/>
  </r>
  <r>
    <s v="005ak00000icyWTAAY"/>
    <s v="2026-09-14T21:01:58.000Z"/>
    <n v="45"/>
    <s v="a0Aak00000FtDqpEAF"/>
    <s v="a06ak00000amzC7AAI"/>
    <s v="Wyatt Hall"/>
    <s v="Good progress on technique."/>
    <x v="10"/>
    <b v="0"/>
    <m/>
    <s v="005ak00000icyWTAAY"/>
    <s v="2026-09-16T17:01:26.000Z"/>
    <m/>
    <m/>
    <d v="2026-08-02T00:00:00"/>
    <s v="LSN-00333"/>
    <s v="L-0000327"/>
    <s v="131ak000001XjDtAAK"/>
    <b v="0"/>
    <b v="0"/>
    <s v="L-0000327"/>
    <s v="19:00:00.000Z"/>
    <x v="0"/>
    <s v="a07ak00001rZMqLAAW"/>
    <s v="Everly Roberts"/>
    <s v="2026-09-16T17:01:26.000Z"/>
    <b v="1"/>
    <s v="a06ak00000amzC7AAI|2026-08-02|19:00:00.000Z"/>
    <n v="1"/>
    <s v="Red Bank"/>
    <x v="6"/>
    <x v="0"/>
  </r>
  <r>
    <s v="005ak00000icyWTAAY"/>
    <s v="2026-09-14T21:01:58.000Z"/>
    <n v="30"/>
    <s v="a0Aak00000FtDqqEAF"/>
    <s v="a06ak00000amzC7AAI"/>
    <s v="Wyatt Hall"/>
    <s v="Good progress on technique."/>
    <x v="10"/>
    <b v="0"/>
    <m/>
    <s v="005ak00000icyWTAAY"/>
    <s v="2026-09-16T17:01:26.000Z"/>
    <m/>
    <m/>
    <d v="2026-03-13T00:00:00"/>
    <s v="LSN-00334"/>
    <s v="L-0000328"/>
    <s v="131ak000001XjDtAAK"/>
    <b v="0"/>
    <b v="0"/>
    <s v="L-0000328"/>
    <s v="18:00:00.000Z"/>
    <x v="0"/>
    <s v="a07ak00001rZMqLAAW"/>
    <s v="Everly Roberts"/>
    <s v="2026-09-16T17:01:26.000Z"/>
    <b v="1"/>
    <s v="a06ak00000amzC7AAI|2026-03-13|18:00:00.000Z"/>
    <n v="1"/>
    <s v="Red Bank"/>
    <x v="3"/>
    <x v="0"/>
  </r>
  <r>
    <s v="005ak00000icyWTAAY"/>
    <s v="2026-09-14T21:01:58.000Z"/>
    <n v="30"/>
    <s v="a0Aak00000FtDqrEAF"/>
    <s v="a06ak00000amzC7AAI"/>
    <s v="Wyatt Hall"/>
    <m/>
    <x v="10"/>
    <b v="0"/>
    <m/>
    <s v="005ak00000icyWTAAY"/>
    <s v="2026-09-16T17:01:26.000Z"/>
    <m/>
    <m/>
    <d v="2026-06-25T00:00:00"/>
    <s v="LSN-00335"/>
    <s v="L-0000329"/>
    <s v="131ak000001XjDtAAK"/>
    <b v="0"/>
    <b v="0"/>
    <s v="L-0000329"/>
    <s v="19:00:00.000Z"/>
    <x v="3"/>
    <s v="a07ak00001rZMqLAAW"/>
    <s v="Everly Roberts"/>
    <s v="2026-09-16T17:01:26.000Z"/>
    <b v="1"/>
    <s v="a06ak00000amzC7AAI|2026-06-25|19:00:00.000Z"/>
    <n v="1"/>
    <s v="Red Bank"/>
    <x v="7"/>
    <x v="0"/>
  </r>
  <r>
    <s v="005ak00000icyWTAAY"/>
    <s v="2026-09-14T21:01:58.000Z"/>
    <n v="45"/>
    <s v="a0Aak00000FtDqsEAF"/>
    <s v="a06ak00000amzCFAAY"/>
    <s v="Valentina Sanchez"/>
    <m/>
    <x v="11"/>
    <b v="0"/>
    <m/>
    <s v="005ak00000icyWTAAY"/>
    <s v="2026-09-25T18:00:49.000Z"/>
    <m/>
    <m/>
    <d v="2026-01-18T00:00:00"/>
    <s v="LSN-00336"/>
    <s v="L-0000330"/>
    <s v="131ak000001XjDuAAK"/>
    <b v="1"/>
    <b v="1"/>
    <s v="L-0000330"/>
    <s v="11:00:00.000Z"/>
    <x v="4"/>
    <s v="a07ak00001rZMqMAAW"/>
    <s v="Adrian Chen"/>
    <s v="2026-09-25T18:00:49.000Z"/>
    <b v="1"/>
    <s v=""/>
    <m/>
    <s v="Brick"/>
    <x v="4"/>
    <x v="0"/>
  </r>
  <r>
    <s v="005ak00000icyWTAAY"/>
    <s v="2026-09-14T21:01:58.000Z"/>
    <n v="30"/>
    <s v="a0Aak00000FtDqtEAF"/>
    <s v="a06ak00000amzCFAAY"/>
    <s v="Valentina Sanchez"/>
    <s v="Started new piece."/>
    <x v="11"/>
    <b v="0"/>
    <m/>
    <s v="005ak00000icyWTAAY"/>
    <s v="2026-09-16T17:01:26.000Z"/>
    <m/>
    <m/>
    <d v="2026-07-04T00:00:00"/>
    <s v="LSN-00337"/>
    <s v="L-0000331"/>
    <s v="131ak000001XjDuAAK"/>
    <b v="0"/>
    <b v="0"/>
    <s v="L-0000331"/>
    <s v="18:00:00.000Z"/>
    <x v="0"/>
    <s v="a07ak00001rZMqMAAW"/>
    <s v="Adrian Chen"/>
    <s v="2026-09-16T17:01:26.000Z"/>
    <b v="1"/>
    <s v="a06ak00000amzCFAAY|2026-07-04|18:00:00.000Z"/>
    <n v="1"/>
    <s v="Brick"/>
    <x v="8"/>
    <x v="0"/>
  </r>
  <r>
    <s v="005ak00000icyWTAAY"/>
    <s v="2026-09-14T21:01:58.000Z"/>
    <n v="30"/>
    <s v="a0Aak00000FtDquEAF"/>
    <s v="a06ak00000amzC1AAI"/>
    <s v="Valentina Nakamura"/>
    <m/>
    <x v="11"/>
    <b v="0"/>
    <m/>
    <s v="005ak00000icyWTAAY"/>
    <s v="2026-09-23T19:02:24.000Z"/>
    <m/>
    <m/>
    <d v="2026-09-29T00:00:00"/>
    <s v="LSN-00338"/>
    <s v="L-0000332"/>
    <s v="131ak000001XjDuAAK"/>
    <b v="0"/>
    <b v="0"/>
    <s v="L-0000332"/>
    <s v="10:00:00.000Z"/>
    <x v="1"/>
    <s v="a07ak00001rZMqMAAW"/>
    <s v="Adrian Chen"/>
    <s v="2026-09-23T19:02:24.000Z"/>
    <b v="1"/>
    <s v=""/>
    <n v="114"/>
    <s v="Brick"/>
    <x v="2"/>
    <x v="0"/>
  </r>
  <r>
    <s v="005ak00000icyWTAAY"/>
    <s v="2026-09-14T21:01:58.000Z"/>
    <n v="45"/>
    <s v="a0Aak00000FtDqvEAF"/>
    <s v="a06ak00000amzCFAAY"/>
    <s v="Valentina Sanchez"/>
    <s v="Good progress on technique."/>
    <x v="11"/>
    <b v="0"/>
    <m/>
    <s v="005ak00000icyWTAAY"/>
    <s v="2026-09-16T17:01:26.000Z"/>
    <m/>
    <m/>
    <d v="2026-05-05T00:00:00"/>
    <s v="LSN-00339"/>
    <s v="L-0000333"/>
    <s v="131ak000001XjDuAAK"/>
    <b v="0"/>
    <b v="0"/>
    <s v="L-0000333"/>
    <s v="15:00:00.000Z"/>
    <x v="0"/>
    <s v="a07ak00001rZMqMAAW"/>
    <s v="Adrian Chen"/>
    <s v="2026-09-16T17:01:26.000Z"/>
    <b v="1"/>
    <s v="a06ak00000amzCFAAY|2026-05-05|15:00:00.000Z"/>
    <n v="1"/>
    <s v="Brick"/>
    <x v="0"/>
    <x v="0"/>
  </r>
  <r>
    <s v="005ak00000icyWTAAY"/>
    <s v="2026-09-14T21:01:58.000Z"/>
    <n v="45"/>
    <s v="a0Aak00000FtDqwEAF"/>
    <s v="a06ak00000amzC1AAI"/>
    <s v="Valentina Nakamura"/>
    <m/>
    <x v="11"/>
    <b v="0"/>
    <m/>
    <s v="005ak00000icyWTAAY"/>
    <s v="2026-09-23T19:02:24.000Z"/>
    <m/>
    <m/>
    <d v="2026-10-01T00:00:00"/>
    <s v="LSN-00340"/>
    <s v="L-0000334"/>
    <s v="131ak000001XjDuAAK"/>
    <b v="0"/>
    <b v="0"/>
    <s v="L-0000334"/>
    <s v="15:30:00.000Z"/>
    <x v="1"/>
    <s v="a07ak00001rZMqMAAW"/>
    <s v="Adrian Chen"/>
    <s v="2026-09-23T19:02:24.000Z"/>
    <b v="1"/>
    <s v=""/>
    <n v="114"/>
    <s v="Brick"/>
    <x v="9"/>
    <x v="0"/>
  </r>
  <r>
    <s v="005ak00000icyWTAAY"/>
    <s v="2026-09-14T21:01:58.000Z"/>
    <n v="45"/>
    <s v="a0Aak00000FtDqxEAF"/>
    <s v="a06ak00000amzCFAAY"/>
    <s v="Valentina Sanchez"/>
    <m/>
    <x v="11"/>
    <b v="0"/>
    <m/>
    <s v="005ak00000icyWTAAY"/>
    <s v="2026-09-16T17:01:26.000Z"/>
    <m/>
    <m/>
    <d v="2026-07-14T00:00:00"/>
    <s v="LSN-00341"/>
    <s v="L-0000335"/>
    <s v="131ak000001XjDuAAK"/>
    <b v="0"/>
    <b v="0"/>
    <s v="L-0000335"/>
    <s v="15:30:00.000Z"/>
    <x v="3"/>
    <s v="a07ak00001rZMqMAAW"/>
    <s v="Adrian Chen"/>
    <s v="2026-09-16T17:01:26.000Z"/>
    <b v="1"/>
    <s v="a06ak00000amzCFAAY|2026-07-14|15:30:00.000Z"/>
    <n v="1"/>
    <s v="Brick"/>
    <x v="8"/>
    <x v="0"/>
  </r>
  <r>
    <s v="005ak00000icyWTAAY"/>
    <s v="2026-09-14T21:01:58.000Z"/>
    <n v="45"/>
    <s v="a0Aak00000FtDqyEAF"/>
    <s v="a06ak00000amzCFAAY"/>
    <s v="Valentina Sanchez"/>
    <s v="Focused on sight reading."/>
    <x v="11"/>
    <b v="0"/>
    <m/>
    <s v="005ak00000icyWTAAY"/>
    <s v="2026-09-16T17:01:26.000Z"/>
    <m/>
    <m/>
    <d v="2026-01-21T00:00:00"/>
    <s v="LSN-00342"/>
    <s v="L-0000336"/>
    <s v="131ak000001XjDuAAK"/>
    <b v="0"/>
    <b v="0"/>
    <s v="L-0000336"/>
    <s v="10:00:00.000Z"/>
    <x v="0"/>
    <s v="a07ak00001rZMqMAAW"/>
    <s v="Adrian Chen"/>
    <s v="2026-09-16T17:01:26.000Z"/>
    <b v="1"/>
    <s v="a06ak00000amzCFAAY|2026-01-21|10:00:00.000Z"/>
    <n v="1"/>
    <s v="Brick"/>
    <x v="4"/>
    <x v="0"/>
  </r>
  <r>
    <s v="005ak00000icyWTAAY"/>
    <s v="2026-09-14T21:01:58.000Z"/>
    <n v="60"/>
    <s v="a0Aak00000FtDqzEAF"/>
    <s v="a06ak00000amzCCAAY"/>
    <s v="Rowan Jones"/>
    <m/>
    <x v="7"/>
    <b v="0"/>
    <m/>
    <s v="005ak00000icyWTAAY"/>
    <s v="2026-09-16T17:01:26.000Z"/>
    <m/>
    <m/>
    <d v="2026-01-12T00:00:00"/>
    <s v="LSN-00343"/>
    <s v="L-0000337"/>
    <s v="131ak000001XjDuAAK"/>
    <b v="0"/>
    <b v="0"/>
    <s v="L-0000337"/>
    <s v="16:00:00.000Z"/>
    <x v="0"/>
    <s v="a07ak00001rZMqNAAW"/>
    <s v="Matthew Jackson"/>
    <s v="2026-09-16T17:01:26.000Z"/>
    <b v="1"/>
    <s v="a06ak00000amzCCAAY|2026-01-12|16:00:00.000Z"/>
    <n v="1"/>
    <s v="Brick"/>
    <x v="4"/>
    <x v="0"/>
  </r>
  <r>
    <s v="005ak00000icyWTAAY"/>
    <s v="2026-09-14T21:01:58.000Z"/>
    <n v="45"/>
    <s v="a0Aak00000FtDr0EAF"/>
    <s v="a06ak00000amzCCAAY"/>
    <s v="Rowan Jones"/>
    <s v="Started new piece."/>
    <x v="7"/>
    <b v="0"/>
    <m/>
    <s v="005ak00000icyWTAAY"/>
    <s v="2026-09-16T17:01:26.000Z"/>
    <m/>
    <m/>
    <d v="2026-05-12T00:00:00"/>
    <s v="LSN-00344"/>
    <s v="L-0000338"/>
    <s v="131ak000001XjDuAAK"/>
    <b v="0"/>
    <b v="0"/>
    <s v="L-0000338"/>
    <s v="10:00:00.000Z"/>
    <x v="0"/>
    <s v="a07ak00001rZMqNAAW"/>
    <s v="Matthew Jackson"/>
    <s v="2026-09-16T17:01:26.000Z"/>
    <b v="1"/>
    <s v="a06ak00000amzCCAAY|2026-05-12|10:00:00.000Z"/>
    <n v="1"/>
    <s v="Brick"/>
    <x v="0"/>
    <x v="0"/>
  </r>
  <r>
    <s v="005ak00000icyWTAAY"/>
    <s v="2026-09-14T21:01:58.000Z"/>
    <n v="30"/>
    <s v="a0Aak00000FtDr1EAF"/>
    <s v="a06ak00000amzCCAAY"/>
    <s v="Rowan Jones"/>
    <s v="Worked on scales and timing."/>
    <x v="7"/>
    <b v="0"/>
    <m/>
    <s v="005ak00000icyWTAAY"/>
    <s v="2026-09-16T17:01:26.000Z"/>
    <m/>
    <m/>
    <d v="2026-02-15T00:00:00"/>
    <s v="LSN-00345"/>
    <s v="L-0000339"/>
    <s v="131ak000001XjDuAAK"/>
    <b v="0"/>
    <b v="0"/>
    <s v="L-0000339"/>
    <s v="11:00:00.000Z"/>
    <x v="0"/>
    <s v="a07ak00001rZMqNAAW"/>
    <s v="Matthew Jackson"/>
    <s v="2026-09-16T17:01:26.000Z"/>
    <b v="1"/>
    <s v="a06ak00000amzCCAAY|2026-02-15|11:00:00.000Z"/>
    <n v="1"/>
    <s v="Brick"/>
    <x v="1"/>
    <x v="0"/>
  </r>
  <r>
    <s v="005ak00000icyWTAAY"/>
    <s v="2026-09-14T21:01:58.000Z"/>
    <n v="60"/>
    <s v="a0Aak00000FtDr2EAF"/>
    <s v="a06ak00000amzCCAAY"/>
    <s v="Rowan Jones"/>
    <m/>
    <x v="7"/>
    <b v="0"/>
    <m/>
    <s v="005ak00000icyWTAAY"/>
    <s v="2026-09-16T17:01:26.000Z"/>
    <m/>
    <m/>
    <d v="2026-03-20T00:00:00"/>
    <s v="LSN-00346"/>
    <s v="L-0000340"/>
    <s v="131ak000001XjDuAAK"/>
    <b v="0"/>
    <b v="0"/>
    <s v="L-0000340"/>
    <s v="15:30:00.000Z"/>
    <x v="0"/>
    <s v="a07ak00001rZMqNAAW"/>
    <s v="Matthew Jackson"/>
    <s v="2026-09-16T17:01:26.000Z"/>
    <b v="1"/>
    <s v="a06ak00000amzCCAAY|2026-03-20|15:30:00.000Z"/>
    <n v="1"/>
    <s v="Brick"/>
    <x v="3"/>
    <x v="0"/>
  </r>
  <r>
    <s v="005ak00000icyWTAAY"/>
    <s v="2026-09-14T21:01:58.000Z"/>
    <n v="45"/>
    <s v="a0Aak00000FtDr3EAF"/>
    <s v="a06ak00000amzCCAAY"/>
    <s v="Rowan Jones"/>
    <s v="Worked on scales and timing."/>
    <x v="7"/>
    <b v="0"/>
    <m/>
    <s v="005ak00000icyWTAAY"/>
    <s v="2026-09-16T17:01:26.000Z"/>
    <s v="2026-09-15T18:30:38.000Z"/>
    <s v="2026-09-15T18:30:38.000Z"/>
    <d v="2026-09-08T00:00:00"/>
    <s v="LSN-00347"/>
    <s v="L-0000341"/>
    <s v="131ak000001XjDuAAK"/>
    <b v="0"/>
    <b v="0"/>
    <s v="L-0000341"/>
    <s v="16:30:00.000Z"/>
    <x v="0"/>
    <s v="a07ak00001rZMqNAAW"/>
    <s v="Matthew Jackson"/>
    <s v="2026-09-16T17:01:26.000Z"/>
    <b v="1"/>
    <s v="a06ak00000amzCCAAY|2026-09-08|16:30:00.000Z"/>
    <n v="1"/>
    <s v="Brick"/>
    <x v="2"/>
    <x v="0"/>
  </r>
  <r>
    <s v="005ak00000icyWTAAY"/>
    <s v="2026-09-14T21:01:58.000Z"/>
    <n v="60"/>
    <s v="a0Aak00000FtDr4EAF"/>
    <s v="a06ak00000amzCCAAY"/>
    <s v="Rowan Jones"/>
    <m/>
    <x v="7"/>
    <b v="0"/>
    <m/>
    <s v="005ak00000icyWTAAY"/>
    <s v="2026-09-16T17:01:26.000Z"/>
    <m/>
    <m/>
    <d v="2026-08-05T00:00:00"/>
    <s v="LSN-00348"/>
    <s v="L-0000342"/>
    <s v="131ak000001XjDuAAK"/>
    <b v="0"/>
    <b v="0"/>
    <s v="L-0000342"/>
    <s v="18:00:00.000Z"/>
    <x v="1"/>
    <s v="a07ak00001rZMqNAAW"/>
    <s v="Matthew Jackson"/>
    <s v="2026-09-16T17:01:26.000Z"/>
    <b v="1"/>
    <s v=""/>
    <m/>
    <s v="Brick"/>
    <x v="6"/>
    <x v="0"/>
  </r>
  <r>
    <s v="005ak00000icyWTAAY"/>
    <s v="2026-09-14T21:01:58.000Z"/>
    <n v="30"/>
    <s v="a0Aak00000FtDr5EAF"/>
    <s v="a06ak00000amzCCAAY"/>
    <s v="Rowan Jones"/>
    <m/>
    <x v="7"/>
    <b v="0"/>
    <m/>
    <s v="005ak00000icyWTAAY"/>
    <s v="2026-09-16T17:01:26.000Z"/>
    <m/>
    <m/>
    <d v="2026-02-05T00:00:00"/>
    <s v="LSN-00349"/>
    <s v="L-0000343"/>
    <s v="131ak000001XjDuAAK"/>
    <b v="0"/>
    <b v="0"/>
    <s v="L-0000343"/>
    <s v="19:00:00.000Z"/>
    <x v="0"/>
    <s v="a07ak00001rZMqNAAW"/>
    <s v="Matthew Jackson"/>
    <s v="2026-09-16T17:01:26.000Z"/>
    <b v="1"/>
    <s v="a06ak00000amzCCAAY|2026-02-05|19:00:00.000Z"/>
    <n v="1"/>
    <s v="Brick"/>
    <x v="1"/>
    <x v="0"/>
  </r>
  <r>
    <s v="005ak00000icyWTAAY"/>
    <s v="2026-09-14T21:01:58.000Z"/>
    <n v="30"/>
    <s v="a0Aak00000FtDr6EAF"/>
    <s v="a06ak00000amzCCAAY"/>
    <s v="Rowan Jones"/>
    <s v="Focused on sight reading."/>
    <x v="7"/>
    <b v="0"/>
    <m/>
    <s v="005ak00000icyWTAAY"/>
    <s v="2026-09-16T17:01:26.000Z"/>
    <m/>
    <m/>
    <d v="2026-01-06T00:00:00"/>
    <s v="LSN-00350"/>
    <s v="L-0000344"/>
    <s v="131ak000001XjDuAAK"/>
    <b v="0"/>
    <b v="0"/>
    <s v="L-0000344"/>
    <s v="16:00:00.000Z"/>
    <x v="0"/>
    <s v="a07ak00001rZMqNAAW"/>
    <s v="Matthew Jackson"/>
    <s v="2026-09-16T17:01:26.000Z"/>
    <b v="1"/>
    <s v="a06ak00000amzCCAAY|2026-01-06|16:00:00.000Z"/>
    <n v="1"/>
    <s v="Brick"/>
    <x v="4"/>
    <x v="0"/>
  </r>
  <r>
    <s v="005ak00000icyWTAAY"/>
    <s v="2026-09-14T21:01:58.000Z"/>
    <n v="30"/>
    <s v="a0Aak00000FtDr7EAF"/>
    <s v="a06ak00000amzCBAAY"/>
    <s v="Aiden Hill"/>
    <m/>
    <x v="3"/>
    <b v="0"/>
    <m/>
    <s v="005ak00000icyWTAAY"/>
    <s v="2026-09-16T17:01:26.000Z"/>
    <m/>
    <m/>
    <d v="2026-05-18T00:00:00"/>
    <s v="LSN-00351"/>
    <s v="L-0000345"/>
    <s v="131ak000001XjDtAAK"/>
    <b v="0"/>
    <b v="0"/>
    <s v="L-0000345"/>
    <s v="15:30:00.000Z"/>
    <x v="0"/>
    <s v="a07ak00001rZMqOAAW"/>
    <s v="Brandon Byrne"/>
    <s v="2026-09-16T17:01:26.000Z"/>
    <b v="1"/>
    <s v="a06ak00000amzCBAAY|2026-05-18|15:30:00.000Z"/>
    <n v="1"/>
    <s v="Red Bank"/>
    <x v="0"/>
    <x v="0"/>
  </r>
  <r>
    <s v="005ak00000icyWTAAY"/>
    <s v="2026-09-14T21:01:58.000Z"/>
    <n v="30"/>
    <s v="a0Aak00000FtDr8EAF"/>
    <s v="a06ak00000amzCBAAY"/>
    <s v="Aiden Hill"/>
    <s v="Worked on scales and timing."/>
    <x v="3"/>
    <b v="0"/>
    <m/>
    <s v="005ak00000icyWTAAY"/>
    <s v="2026-09-16T17:01:26.000Z"/>
    <m/>
    <m/>
    <d v="2026-05-04T00:00:00"/>
    <s v="LSN-00352"/>
    <s v="L-0000346"/>
    <s v="131ak000001XjDtAAK"/>
    <b v="0"/>
    <b v="0"/>
    <s v="L-0000346"/>
    <s v="19:00:00.000Z"/>
    <x v="0"/>
    <s v="a07ak00001rZMqOAAW"/>
    <s v="Brandon Byrne"/>
    <s v="2026-09-16T17:01:26.000Z"/>
    <b v="1"/>
    <s v="a06ak00000amzCBAAY|2026-05-04|19:00:00.000Z"/>
    <n v="1"/>
    <s v="Red Bank"/>
    <x v="0"/>
    <x v="0"/>
  </r>
  <r>
    <s v="005ak00000icyWTAAY"/>
    <s v="2026-09-14T21:01:58.000Z"/>
    <n v="60"/>
    <s v="a0Aak00000FtDr9EAF"/>
    <s v="a06ak00000amzCBAAY"/>
    <s v="Aiden Hill"/>
    <s v="Focused on sight reading."/>
    <x v="3"/>
    <b v="0"/>
    <m/>
    <s v="005ak00000icyWTAAY"/>
    <s v="2026-09-16T17:01:26.000Z"/>
    <m/>
    <m/>
    <d v="2026-09-20T00:00:00"/>
    <s v="LSN-00353"/>
    <s v="L-0000347"/>
    <s v="131ak000001XjDtAAK"/>
    <b v="0"/>
    <b v="0"/>
    <s v="L-0000347"/>
    <s v="17:00:00.000Z"/>
    <x v="0"/>
    <s v="a07ak00001rZMqOAAW"/>
    <s v="Brandon Byrne"/>
    <s v="2026-09-16T17:01:26.000Z"/>
    <b v="1"/>
    <s v="a06ak00000amzCBAAY|2026-09-20|17:00:00.000Z"/>
    <n v="1"/>
    <s v="Red Bank"/>
    <x v="2"/>
    <x v="0"/>
  </r>
  <r>
    <s v="005ak00000icyWTAAY"/>
    <s v="2026-09-14T21:01:58.000Z"/>
    <n v="30"/>
    <s v="a0Aak00000FtDrAEAV"/>
    <s v="a06ak00000amzCBAAY"/>
    <s v="Aiden Hill"/>
    <s v="Reviewed last week&amp;#39;s assignment."/>
    <x v="3"/>
    <b v="0"/>
    <m/>
    <s v="005ak00000icyWTAAY"/>
    <s v="2026-09-16T17:01:26.000Z"/>
    <m/>
    <m/>
    <d v="2026-07-08T00:00:00"/>
    <s v="LSN-00354"/>
    <s v="L-0000348"/>
    <s v="131ak000001XjDtAAK"/>
    <b v="0"/>
    <b v="0"/>
    <s v="L-0000348"/>
    <s v="18:00:00.000Z"/>
    <x v="0"/>
    <s v="a07ak00001rZMqOAAW"/>
    <s v="Brandon Byrne"/>
    <s v="2026-09-16T17:01:26.000Z"/>
    <b v="1"/>
    <s v="a06ak00000amzCBAAY|2026-07-08|18:00:00.000Z"/>
    <n v="1"/>
    <s v="Red Bank"/>
    <x v="8"/>
    <x v="0"/>
  </r>
  <r>
    <s v="005ak00000icyWTAAY"/>
    <s v="2026-09-14T21:01:58.000Z"/>
    <n v="30"/>
    <s v="a0Aak00000FtDrBEAV"/>
    <s v="a06ak00000amzCBAAY"/>
    <s v="Aiden Hill"/>
    <m/>
    <x v="3"/>
    <b v="0"/>
    <m/>
    <s v="005ak00000icyWTAAY"/>
    <s v="2026-09-16T17:01:26.000Z"/>
    <m/>
    <m/>
    <d v="2026-09-24T00:00:00"/>
    <s v="LSN-00355"/>
    <s v="L-0000349"/>
    <s v="131ak000001XjDtAAK"/>
    <b v="1"/>
    <b v="1"/>
    <s v="L-0000349"/>
    <s v="17:30:00.000Z"/>
    <x v="4"/>
    <s v="a07ak00001rZMqOAAW"/>
    <s v="Brandon Byrne"/>
    <s v="2026-09-16T17:01:26.000Z"/>
    <b v="1"/>
    <s v=""/>
    <n v="114"/>
    <s v="Red Bank"/>
    <x v="2"/>
    <x v="0"/>
  </r>
  <r>
    <s v="005ak00000icyWTAAY"/>
    <s v="2026-09-14T21:01:58.000Z"/>
    <n v="30"/>
    <s v="a0Aak00000FtDrCEAV"/>
    <s v="a06ak00000amzCBAAY"/>
    <s v="Aiden Hill"/>
    <s v="Focused on sight reading."/>
    <x v="3"/>
    <b v="0"/>
    <m/>
    <s v="005ak00000icyWTAAY"/>
    <s v="2026-09-16T17:01:26.000Z"/>
    <m/>
    <m/>
    <d v="2026-09-25T00:00:00"/>
    <s v="LSN-00356"/>
    <s v="L-0000350"/>
    <s v="131ak000001XjDtAAK"/>
    <b v="0"/>
    <b v="0"/>
    <s v="L-0000350"/>
    <s v="17:30:00.000Z"/>
    <x v="0"/>
    <s v="a07ak00001rZMqOAAW"/>
    <s v="Brandon Byrne"/>
    <s v="2026-09-16T17:01:26.000Z"/>
    <b v="1"/>
    <s v="a06ak00000amzCBAAY|2026-09-25|17:30:00.000Z"/>
    <n v="1"/>
    <s v="Red Bank"/>
    <x v="2"/>
    <x v="0"/>
  </r>
  <r>
    <s v="005ak00000icyWTAAY"/>
    <s v="2026-09-14T21:01:58.000Z"/>
    <n v="30"/>
    <s v="a0Aak00000FtDrDEAV"/>
    <s v="a06ak00000amzCHAAY"/>
    <s v="Liam Flores"/>
    <s v="Reviewed last week&amp;#39;s assignment."/>
    <x v="4"/>
    <b v="0"/>
    <m/>
    <s v="005ak00000icyWTAAY"/>
    <s v="2026-09-16T17:01:26.000Z"/>
    <m/>
    <m/>
    <d v="2026-08-30T00:00:00"/>
    <s v="LSN-00357"/>
    <s v="L-0000351"/>
    <s v="131ak000001XjDtAAK"/>
    <b v="0"/>
    <b v="0"/>
    <s v="L-0000351"/>
    <s v="19:00:00.000Z"/>
    <x v="0"/>
    <s v="a07ak00001rZMqPAAW"/>
    <s v="Tyler Byrne"/>
    <s v="2026-09-16T17:01:26.000Z"/>
    <b v="1"/>
    <s v="a06ak00000amzCHAAY|2026-08-30|19:00:00.000Z"/>
    <n v="1"/>
    <s v="Red Bank"/>
    <x v="6"/>
    <x v="0"/>
  </r>
  <r>
    <s v="005ak00000icyWTAAY"/>
    <s v="2026-09-14T21:01:58.000Z"/>
    <n v="30"/>
    <s v="a0Aak00000FtDrEEAV"/>
    <s v="a06ak00000amzCHAAY"/>
    <s v="Liam Flores"/>
    <m/>
    <x v="4"/>
    <b v="0"/>
    <m/>
    <s v="005ak00000icyWTAAY"/>
    <s v="2026-09-16T17:01:26.000Z"/>
    <m/>
    <m/>
    <d v="2026-10-01T00:00:00"/>
    <s v="LSN-00358"/>
    <s v="L-0000352"/>
    <s v="131ak000001XjDtAAK"/>
    <b v="0"/>
    <b v="0"/>
    <s v="L-0000352"/>
    <s v="18:00:00.000Z"/>
    <x v="0"/>
    <s v="a07ak00001rZMqPAAW"/>
    <s v="Tyler Byrne"/>
    <s v="2026-09-16T17:01:26.000Z"/>
    <b v="1"/>
    <s v="a06ak00000amzCHAAY|2026-10-01|18:00:00.000Z"/>
    <n v="1"/>
    <s v="Red Bank"/>
    <x v="9"/>
    <x v="0"/>
  </r>
  <r>
    <s v="005ak00000icyWTAAY"/>
    <s v="2026-09-14T21:01:58.000Z"/>
    <n v="30"/>
    <s v="a0Aak00000FtDrFEAV"/>
    <s v="a06ak00000amzCHAAY"/>
    <s v="Liam Flores"/>
    <s v="Started new piece."/>
    <x v="4"/>
    <b v="0"/>
    <m/>
    <s v="005ak00000icyWTAAY"/>
    <s v="2026-09-16T17:01:26.000Z"/>
    <m/>
    <m/>
    <d v="2026-09-12T00:00:00"/>
    <s v="LSN-00359"/>
    <s v="L-0000353"/>
    <s v="131ak000001XjDtAAK"/>
    <b v="0"/>
    <b v="0"/>
    <s v="L-0000353"/>
    <s v="17:30:00.000Z"/>
    <x v="0"/>
    <s v="a07ak00001rZMqPAAW"/>
    <s v="Tyler Byrne"/>
    <s v="2026-09-16T17:01:26.000Z"/>
    <b v="1"/>
    <s v="a06ak00000amzCHAAY|2026-09-12|17:30:00.000Z"/>
    <n v="1"/>
    <s v="Red Bank"/>
    <x v="2"/>
    <x v="0"/>
  </r>
  <r>
    <s v="005ak00000icyWTAAY"/>
    <s v="2026-09-14T21:01:58.000Z"/>
    <n v="60"/>
    <s v="a0Aak00000FtDrGEAV"/>
    <s v="a06ak00000amzC6AAI"/>
    <s v="Omar Perez"/>
    <m/>
    <x v="5"/>
    <b v="0"/>
    <m/>
    <s v="005ak00000icyWTAAY"/>
    <s v="2026-09-16T17:01:26.000Z"/>
    <m/>
    <m/>
    <d v="2026-07-01T00:00:00"/>
    <s v="LSN-00360"/>
    <s v="L-0000354"/>
    <s v="131ak000001XjDtAAK"/>
    <b v="0"/>
    <b v="0"/>
    <s v="L-0000354"/>
    <s v="16:00:00.000Z"/>
    <x v="1"/>
    <s v="a07ak00001rZMqRAAW"/>
    <s v="Anna Thomas"/>
    <s v="2026-09-16T17:01:26.000Z"/>
    <b v="1"/>
    <s v=""/>
    <m/>
    <s v="Red Bank"/>
    <x v="8"/>
    <x v="0"/>
  </r>
  <r>
    <s v="005ak00000icyWTAAY"/>
    <s v="2026-09-14T21:01:58.000Z"/>
    <n v="30"/>
    <s v="a0Aak00000FtDrHEAV"/>
    <s v="a06ak00000amzC6AAI"/>
    <s v="Omar Perez"/>
    <m/>
    <x v="5"/>
    <b v="0"/>
    <m/>
    <s v="005ak00000icyWTAAY"/>
    <s v="2026-09-16T17:01:26.000Z"/>
    <m/>
    <m/>
    <d v="2026-02-09T00:00:00"/>
    <s v="LSN-00361"/>
    <s v="L-0000355"/>
    <s v="131ak000001XjDtAAK"/>
    <b v="0"/>
    <b v="0"/>
    <s v="L-0000355"/>
    <s v="19:00:00.000Z"/>
    <x v="0"/>
    <s v="a07ak00001rZMqRAAW"/>
    <s v="Anna Thomas"/>
    <s v="2026-09-16T17:01:26.000Z"/>
    <b v="1"/>
    <s v="a06ak00000amzC6AAI|2026-02-09|19:00:00.000Z"/>
    <n v="1"/>
    <s v="Red Bank"/>
    <x v="1"/>
    <x v="0"/>
  </r>
  <r>
    <s v="005ak00000icyWTAAY"/>
    <s v="2026-09-14T21:01:58.000Z"/>
    <n v="30"/>
    <s v="a0Aak00000FtDrIEAV"/>
    <s v="a06ak00000amzC6AAI"/>
    <s v="Omar Perez"/>
    <m/>
    <x v="5"/>
    <b v="0"/>
    <m/>
    <s v="005ak00000icyWTAAY"/>
    <s v="2026-09-16T17:01:26.000Z"/>
    <m/>
    <m/>
    <d v="2026-08-29T00:00:00"/>
    <s v="LSN-00362"/>
    <s v="L-0000356"/>
    <s v="131ak000001XjDtAAK"/>
    <b v="0"/>
    <b v="0"/>
    <s v="L-0000356"/>
    <s v="10:00:00.000Z"/>
    <x v="3"/>
    <s v="a07ak00001rZMqRAAW"/>
    <s v="Anna Thomas"/>
    <s v="2026-09-16T17:01:26.000Z"/>
    <b v="1"/>
    <s v="a06ak00000amzC6AAI|2026-08-29|10:00:00.000Z"/>
    <n v="1"/>
    <s v="Red Bank"/>
    <x v="6"/>
    <x v="0"/>
  </r>
  <r>
    <s v="005ak00000icyWTAAY"/>
    <s v="2026-09-14T21:01:58.000Z"/>
    <n v="60"/>
    <s v="a0Aak00000FtDrJEAV"/>
    <s v="a06ak00000amzC6AAI"/>
    <s v="Omar Perez"/>
    <m/>
    <x v="5"/>
    <b v="0"/>
    <m/>
    <s v="005ak00000icyWTAAY"/>
    <s v="2026-09-16T17:01:26.000Z"/>
    <m/>
    <m/>
    <d v="2026-04-11T00:00:00"/>
    <s v="LSN-00363"/>
    <s v="L-0000357"/>
    <s v="131ak000001XjDtAAK"/>
    <b v="0"/>
    <b v="0"/>
    <s v="L-0000357"/>
    <s v="18:00:00.000Z"/>
    <x v="3"/>
    <s v="a07ak00001rZMqRAAW"/>
    <s v="Anna Thomas"/>
    <s v="2026-09-16T17:01:26.000Z"/>
    <b v="1"/>
    <s v="a06ak00000amzC6AAI|2026-04-11|18:00:00.000Z"/>
    <n v="1"/>
    <s v="Red Bank"/>
    <x v="5"/>
    <x v="0"/>
  </r>
  <r>
    <s v="005ak00000icyWTAAY"/>
    <s v="2026-09-14T21:01:58.000Z"/>
    <n v="30"/>
    <s v="a0Aak00000FtDrKEAV"/>
    <s v="a06ak00000amzC6AAI"/>
    <s v="Omar Perez"/>
    <s v="Good progress on technique."/>
    <x v="5"/>
    <b v="0"/>
    <m/>
    <s v="005ak00000icyWTAAY"/>
    <s v="2026-09-16T17:01:26.000Z"/>
    <m/>
    <m/>
    <d v="2026-02-14T00:00:00"/>
    <s v="LSN-00364"/>
    <s v="L-0000358"/>
    <s v="131ak000001XjDtAAK"/>
    <b v="0"/>
    <b v="0"/>
    <s v="L-0000358"/>
    <s v="10:00:00.000Z"/>
    <x v="0"/>
    <s v="a07ak00001rZMqRAAW"/>
    <s v="Anna Thomas"/>
    <s v="2026-09-16T17:01:26.000Z"/>
    <b v="1"/>
    <s v="a06ak00000amzC6AAI|2026-02-14|10:00:00.000Z"/>
    <n v="1"/>
    <s v="Red Bank"/>
    <x v="1"/>
    <x v="0"/>
  </r>
  <r>
    <s v="005ak00000icyWTAAY"/>
    <s v="2026-09-14T21:01:58.000Z"/>
    <n v="30"/>
    <s v="a0Aak00000FtDrLEAV"/>
    <s v="a06ak00000amzBzAAI"/>
    <s v="Ezra Garcia"/>
    <m/>
    <x v="5"/>
    <b v="0"/>
    <m/>
    <s v="005ak00000icyWTAAY"/>
    <s v="2026-09-23T19:02:24.000Z"/>
    <m/>
    <m/>
    <d v="2026-09-27T00:00:00"/>
    <s v="LSN-00365"/>
    <s v="L-0000359"/>
    <s v="131ak000001XjDtAAK"/>
    <b v="0"/>
    <b v="0"/>
    <s v="L-0000359"/>
    <s v="16:00:00.000Z"/>
    <x v="1"/>
    <s v="a07ak00001rZMqRAAW"/>
    <s v="Anna Thomas"/>
    <s v="2026-09-23T19:02:24.000Z"/>
    <b v="1"/>
    <s v=""/>
    <n v="114"/>
    <s v="Red Bank"/>
    <x v="2"/>
    <x v="0"/>
  </r>
  <r>
    <s v="005ak00000icyWTAAY"/>
    <s v="2026-09-14T21:01:58.000Z"/>
    <n v="60"/>
    <s v="a0Aak00000FtDrMEAV"/>
    <s v="a06ak00000amzC6AAI"/>
    <s v="Omar Perez"/>
    <s v="Focused on sight reading."/>
    <x v="5"/>
    <b v="0"/>
    <m/>
    <s v="005ak00000icyWTAAY"/>
    <s v="2026-09-16T17:01:26.000Z"/>
    <m/>
    <m/>
    <d v="2026-04-27T00:00:00"/>
    <s v="LSN-00366"/>
    <s v="L-0000360"/>
    <s v="131ak000001XjDtAAK"/>
    <b v="0"/>
    <b v="0"/>
    <s v="L-0000360"/>
    <s v="19:00:00.000Z"/>
    <x v="0"/>
    <s v="a07ak00001rZMqRAAW"/>
    <s v="Anna Thomas"/>
    <s v="2026-09-16T17:01:26.000Z"/>
    <b v="1"/>
    <s v="a06ak00000amzC6AAI|2026-04-27|19:00:00.000Z"/>
    <n v="1"/>
    <s v="Red Bank"/>
    <x v="5"/>
    <x v="0"/>
  </r>
  <r>
    <s v="005ak00000icyWTAAY"/>
    <s v="2026-09-14T21:01:58.000Z"/>
    <n v="30"/>
    <s v="a0Aak00000FtDrNEAV"/>
    <s v="a06ak00000amzC6AAI"/>
    <s v="Omar Perez"/>
    <s v="Good progress on technique."/>
    <x v="5"/>
    <b v="0"/>
    <m/>
    <s v="005ak00000icyWTAAY"/>
    <s v="2026-09-16T17:01:26.000Z"/>
    <m/>
    <m/>
    <d v="2026-03-15T00:00:00"/>
    <s v="LSN-00367"/>
    <s v="L-0000361"/>
    <s v="131ak000001XjDtAAK"/>
    <b v="0"/>
    <b v="0"/>
    <s v="L-0000361"/>
    <s v="19:00:00.000Z"/>
    <x v="0"/>
    <s v="a07ak00001rZMqRAAW"/>
    <s v="Anna Thomas"/>
    <s v="2026-09-16T17:01:26.000Z"/>
    <b v="1"/>
    <s v="a06ak00000amzC6AAI|2026-03-15|19:00:00.000Z"/>
    <n v="1"/>
    <s v="Red Bank"/>
    <x v="3"/>
    <x v="0"/>
  </r>
  <r>
    <s v="005ak00000icyWTAAY"/>
    <s v="2026-09-14T21:01:58.000Z"/>
    <n v="30"/>
    <s v="a0Aak00000FtDrOEAV"/>
    <s v="a06ak00000amzC6AAI"/>
    <s v="Omar Perez"/>
    <s v="Good progress on technique."/>
    <x v="5"/>
    <b v="0"/>
    <m/>
    <s v="005ak00000icyWTAAY"/>
    <s v="2026-09-16T17:01:26.000Z"/>
    <m/>
    <m/>
    <d v="2026-07-17T00:00:00"/>
    <s v="LSN-00368"/>
    <s v="L-0000362"/>
    <s v="131ak000001XjDtAAK"/>
    <b v="0"/>
    <b v="0"/>
    <s v="L-0000362"/>
    <s v="11:00:00.000Z"/>
    <x v="0"/>
    <s v="a07ak00001rZMqRAAW"/>
    <s v="Anna Thomas"/>
    <s v="2026-09-16T17:01:26.000Z"/>
    <b v="1"/>
    <s v="a06ak00000amzC6AAI|2026-07-17|11:00:00.000Z"/>
    <n v="1"/>
    <s v="Red Bank"/>
    <x v="8"/>
    <x v="0"/>
  </r>
  <r>
    <s v="005ak00000icyWTAAY"/>
    <s v="2026-09-14T21:01:58.000Z"/>
    <n v="60"/>
    <s v="a0Aak00000FtDrPEAV"/>
    <s v="a06ak00000amzBnAAI"/>
    <s v="Charlotte Nakamura"/>
    <m/>
    <x v="7"/>
    <b v="0"/>
    <m/>
    <s v="005ak00000icyWTAAY"/>
    <s v="2026-09-16T17:01:26.000Z"/>
    <m/>
    <m/>
    <d v="2026-02-18T00:00:00"/>
    <s v="LSN-00369"/>
    <s v="L-0000363"/>
    <s v="131ak000001XjDtAAK"/>
    <b v="0"/>
    <b v="0"/>
    <s v="L-0000363"/>
    <s v="16:30:00.000Z"/>
    <x v="1"/>
    <s v="a07ak00001rZMqTAAW"/>
    <s v="Naomi Kowalski"/>
    <s v="2026-09-16T17:01:26.000Z"/>
    <b v="1"/>
    <s v=""/>
    <m/>
    <s v="Red Bank"/>
    <x v="1"/>
    <x v="0"/>
  </r>
  <r>
    <s v="005ak00000icyWTAAY"/>
    <s v="2026-09-14T21:01:58.000Z"/>
    <n v="45"/>
    <s v="a0Aak00000FtDrQEAV"/>
    <s v="a06ak00000amzBnAAI"/>
    <s v="Charlotte Nakamura"/>
    <m/>
    <x v="7"/>
    <b v="0"/>
    <m/>
    <s v="005ak00000icyWTAAY"/>
    <s v="2026-09-16T17:01:26.000Z"/>
    <m/>
    <m/>
    <d v="2026-07-30T00:00:00"/>
    <s v="LSN-00371"/>
    <s v="L-0000364"/>
    <s v="131ak000001XjDtAAK"/>
    <b v="0"/>
    <b v="0"/>
    <s v="L-0000364"/>
    <s v="10:00:00.000Z"/>
    <x v="3"/>
    <s v="a07ak00001rZMqTAAW"/>
    <s v="Naomi Kowalski"/>
    <s v="2026-09-16T17:01:26.000Z"/>
    <b v="1"/>
    <s v="a06ak00000amzBnAAI|2026-07-30|10:00:00.000Z"/>
    <n v="1"/>
    <s v="Red Bank"/>
    <x v="8"/>
    <x v="0"/>
  </r>
  <r>
    <s v="005ak00000icyWTAAY"/>
    <s v="2026-09-14T21:01:58.000Z"/>
    <n v="30"/>
    <s v="a0Aak00000FtDrREAV"/>
    <s v="a06ak00000amzBnAAI"/>
    <s v="Charlotte Nakamura"/>
    <s v="Good progress on technique."/>
    <x v="7"/>
    <b v="0"/>
    <m/>
    <s v="005ak00000icyWTAAY"/>
    <s v="2026-09-16T17:01:26.000Z"/>
    <m/>
    <m/>
    <d v="2026-04-02T00:00:00"/>
    <s v="LSN-00372"/>
    <s v="L-0000365"/>
    <s v="131ak000001XjDtAAK"/>
    <b v="0"/>
    <b v="0"/>
    <s v="L-0000365"/>
    <s v="17:30:00.000Z"/>
    <x v="0"/>
    <s v="a07ak00001rZMqTAAW"/>
    <s v="Naomi Kowalski"/>
    <s v="2026-09-16T17:01:26.000Z"/>
    <b v="1"/>
    <s v="a06ak00000amzBnAAI|2026-04-02|17:30:00.000Z"/>
    <n v="1"/>
    <s v="Red Bank"/>
    <x v="5"/>
    <x v="0"/>
  </r>
  <r>
    <s v="005ak00000icyWTAAY"/>
    <s v="2026-09-14T21:01:58.000Z"/>
    <n v="45"/>
    <s v="a0Aak00000FtDrSEAV"/>
    <s v="a06ak00000amzBnAAI"/>
    <s v="Charlotte Nakamura"/>
    <s v="Focused on sight reading."/>
    <x v="7"/>
    <b v="0"/>
    <m/>
    <s v="005ak00000icyWTAAY"/>
    <s v="2026-09-16T17:01:26.000Z"/>
    <m/>
    <m/>
    <d v="2026-07-14T00:00:00"/>
    <s v="LSN-00373"/>
    <s v="L-0000366"/>
    <s v="131ak000001XjDtAAK"/>
    <b v="0"/>
    <b v="0"/>
    <s v="L-0000366"/>
    <s v="11:00:00.000Z"/>
    <x v="0"/>
    <s v="a07ak00001rZMqTAAW"/>
    <s v="Naomi Kowalski"/>
    <s v="2026-09-16T17:01:26.000Z"/>
    <b v="1"/>
    <s v="a06ak00000amzBnAAI|2026-07-14|11:00:00.000Z"/>
    <n v="1"/>
    <s v="Red Bank"/>
    <x v="8"/>
    <x v="0"/>
  </r>
  <r>
    <s v="005ak00000icyWTAAY"/>
    <s v="2026-09-14T21:01:58.000Z"/>
    <n v="45"/>
    <s v="a0Aak00000FtDrTEAV"/>
    <s v="a06ak00000amzBnAAI"/>
    <s v="Charlotte Nakamura"/>
    <m/>
    <x v="7"/>
    <b v="0"/>
    <m/>
    <s v="005ak00000icyWTAAY"/>
    <s v="2026-09-16T17:01:26.000Z"/>
    <m/>
    <m/>
    <d v="2026-05-18T00:00:00"/>
    <s v="LSN-00374"/>
    <s v="L-0000367"/>
    <s v="131ak000001XjDtAAK"/>
    <b v="0"/>
    <b v="0"/>
    <s v="L-0000367"/>
    <s v="15:00:00.000Z"/>
    <x v="0"/>
    <s v="a07ak00001rZMqTAAW"/>
    <s v="Naomi Kowalski"/>
    <s v="2026-09-16T17:01:26.000Z"/>
    <b v="1"/>
    <s v="a06ak00000amzBnAAI|2026-05-18|15:00:00.000Z"/>
    <n v="1"/>
    <s v="Red Bank"/>
    <x v="0"/>
    <x v="0"/>
  </r>
  <r>
    <s v="005ak00000icyWTAAY"/>
    <s v="2026-09-14T21:01:58.000Z"/>
    <n v="60"/>
    <s v="a0Aak00000FtDrUEAV"/>
    <s v="a06ak00000amzBnAAI"/>
    <s v="Charlotte Nakamura"/>
    <s v="Started new piece."/>
    <x v="7"/>
    <b v="0"/>
    <m/>
    <s v="005ak00000icyWTAAY"/>
    <s v="2026-09-16T17:01:26.000Z"/>
    <m/>
    <m/>
    <d v="2026-07-01T00:00:00"/>
    <s v="LSN-00375"/>
    <s v="L-0000368"/>
    <s v="131ak000001XjDtAAK"/>
    <b v="0"/>
    <b v="0"/>
    <s v="L-0000368"/>
    <s v="16:00:00.000Z"/>
    <x v="0"/>
    <s v="a07ak00001rZMqTAAW"/>
    <s v="Naomi Kowalski"/>
    <s v="2026-09-16T17:01:26.000Z"/>
    <b v="1"/>
    <s v="a06ak00000amzBnAAI|2026-07-01|16:00:00.000Z"/>
    <n v="1"/>
    <s v="Red Bank"/>
    <x v="8"/>
    <x v="0"/>
  </r>
  <r>
    <s v="005ak00000icyWTAAY"/>
    <s v="2026-09-14T21:01:58.000Z"/>
    <n v="30"/>
    <s v="a0Aak00000FtDrVEAV"/>
    <s v="a06ak00000amzBnAAI"/>
    <s v="Charlotte Nakamura"/>
    <s v="Reviewed last week&amp;#39;s assignment."/>
    <x v="7"/>
    <b v="0"/>
    <m/>
    <s v="005ak00000icyWTAAY"/>
    <s v="2026-09-16T17:01:26.000Z"/>
    <m/>
    <m/>
    <d v="2026-03-10T00:00:00"/>
    <s v="LSN-00376"/>
    <s v="L-0000369"/>
    <s v="131ak000001XjDtAAK"/>
    <b v="0"/>
    <b v="0"/>
    <s v="L-0000369"/>
    <s v="15:00:00.000Z"/>
    <x v="0"/>
    <s v="a07ak00001rZMqTAAW"/>
    <s v="Naomi Kowalski"/>
    <s v="2026-09-16T17:01:26.000Z"/>
    <b v="1"/>
    <s v="a06ak00000amzBnAAI|2026-03-10|15:00:00.000Z"/>
    <n v="1"/>
    <s v="Red Bank"/>
    <x v="3"/>
    <x v="0"/>
  </r>
  <r>
    <s v="005ak00000icyWTAAY"/>
    <s v="2026-09-14T21:01:58.000Z"/>
    <n v="30"/>
    <s v="a0Aak00000FtDrWEAV"/>
    <s v="a06ak00000amzC9AAI"/>
    <s v="Kai Okafor"/>
    <s v="Good progress on technique."/>
    <x v="0"/>
    <b v="0"/>
    <m/>
    <s v="005ak00000icyWTAAY"/>
    <s v="2026-09-16T17:01:26.000Z"/>
    <m/>
    <m/>
    <d v="2026-05-16T00:00:00"/>
    <s v="LSN-00377"/>
    <s v="L-0000370"/>
    <s v="131ak000001XjDtAAK"/>
    <b v="0"/>
    <b v="0"/>
    <s v="L-0000370"/>
    <s v="10:00:00.000Z"/>
    <x v="0"/>
    <s v="a07ak00001rZMqUAAW"/>
    <s v="Riley Silva"/>
    <s v="2026-09-16T17:01:26.000Z"/>
    <b v="1"/>
    <s v="a06ak00000amzC9AAI|2026-05-16|10:00:00.000Z"/>
    <n v="1"/>
    <s v="Red Bank"/>
    <x v="0"/>
    <x v="0"/>
  </r>
  <r>
    <s v="005ak00000icyWTAAY"/>
    <s v="2026-09-14T21:01:58.000Z"/>
    <n v="30"/>
    <s v="a0Aak00000FtDrXEAV"/>
    <s v="a06ak00000amzC9AAI"/>
    <s v="Kai Okafor"/>
    <m/>
    <x v="0"/>
    <b v="0"/>
    <m/>
    <s v="005ak00000icyWTAAY"/>
    <s v="2026-09-16T17:01:26.000Z"/>
    <m/>
    <m/>
    <d v="2026-09-20T00:00:00"/>
    <s v="LSN-00378"/>
    <s v="L-0000371"/>
    <s v="131ak000001XjDtAAK"/>
    <b v="1"/>
    <b v="1"/>
    <s v="L-0000371"/>
    <s v="17:00:00.000Z"/>
    <x v="4"/>
    <s v="a07ak00001rZMqUAAW"/>
    <s v="Riley Silva"/>
    <s v="2026-09-16T17:01:26.000Z"/>
    <b v="1"/>
    <s v=""/>
    <n v="114"/>
    <s v="Red Bank"/>
    <x v="2"/>
    <x v="0"/>
  </r>
  <r>
    <s v="005ak00000icyWTAAY"/>
    <s v="2026-09-14T21:01:58.000Z"/>
    <n v="60"/>
    <s v="a0Aak00000FtDrYEAV"/>
    <s v="a06ak00000amzC9AAI"/>
    <s v="Kai Okafor"/>
    <s v="Worked on scales and timing."/>
    <x v="0"/>
    <b v="0"/>
    <m/>
    <s v="005ak00000icyWTAAY"/>
    <s v="2026-09-16T17:01:26.000Z"/>
    <m/>
    <m/>
    <d v="2026-03-27T00:00:00"/>
    <s v="LSN-00379"/>
    <s v="L-0000372"/>
    <s v="131ak000001XjDtAAK"/>
    <b v="0"/>
    <b v="0"/>
    <s v="L-0000372"/>
    <s v="15:30:00.000Z"/>
    <x v="0"/>
    <s v="a07ak00001rZMqUAAW"/>
    <s v="Riley Silva"/>
    <s v="2026-09-16T17:01:26.000Z"/>
    <b v="1"/>
    <s v="a06ak00000amzC9AAI|2026-03-27|15:30:00.000Z"/>
    <n v="1"/>
    <s v="Red Bank"/>
    <x v="3"/>
    <x v="0"/>
  </r>
  <r>
    <s v="005ak00000icyWTAAY"/>
    <s v="2026-09-14T21:01:58.000Z"/>
    <n v="30"/>
    <s v="a0Aak00000FtDrZEAV"/>
    <s v="a06ak00000amzC9AAI"/>
    <s v="Kai Okafor"/>
    <s v="Worked on scales and timing."/>
    <x v="0"/>
    <b v="0"/>
    <m/>
    <s v="005ak00000icyWTAAY"/>
    <s v="2026-09-16T17:01:26.000Z"/>
    <m/>
    <m/>
    <d v="2026-07-08T00:00:00"/>
    <s v="LSN-00380"/>
    <s v="L-0000373"/>
    <s v="131ak000001XjDtAAK"/>
    <b v="0"/>
    <b v="0"/>
    <s v="L-0000373"/>
    <s v="16:00:00.000Z"/>
    <x v="0"/>
    <s v="a07ak00001rZMqUAAW"/>
    <s v="Riley Silva"/>
    <s v="2026-09-16T17:01:26.000Z"/>
    <b v="1"/>
    <s v="a06ak00000amzC9AAI|2026-07-08|16:00:00.000Z"/>
    <n v="1"/>
    <s v="Red Bank"/>
    <x v="8"/>
    <x v="0"/>
  </r>
  <r>
    <s v="005ak00000icyWTAAY"/>
    <s v="2026-09-14T21:01:58.000Z"/>
    <n v="30"/>
    <s v="a0Aak00000FtDraEAF"/>
    <s v="a06ak00000amzC9AAI"/>
    <s v="Kai Okafor"/>
    <s v="Reviewed last week&amp;#39;s assignment."/>
    <x v="0"/>
    <b v="0"/>
    <m/>
    <s v="005ak00000icyWTAAY"/>
    <s v="2026-09-16T17:01:26.000Z"/>
    <m/>
    <m/>
    <d v="2026-01-12T00:00:00"/>
    <s v="LSN-00381"/>
    <s v="L-0000374"/>
    <s v="131ak000001XjDtAAK"/>
    <b v="0"/>
    <b v="0"/>
    <s v="L-0000374"/>
    <s v="19:00:00.000Z"/>
    <x v="0"/>
    <s v="a07ak00001rZMqUAAW"/>
    <s v="Riley Silva"/>
    <s v="2026-09-16T17:01:26.000Z"/>
    <b v="1"/>
    <s v="a06ak00000amzC9AAI|2026-01-12|19:00:00.000Z"/>
    <n v="1"/>
    <s v="Red Bank"/>
    <x v="4"/>
    <x v="0"/>
  </r>
  <r>
    <s v="005ak00000icyWTAAY"/>
    <s v="2026-09-14T21:01:58.000Z"/>
    <n v="30"/>
    <s v="a0Aak00000FtDrbEAF"/>
    <s v="a06ak00000amzC1AAI"/>
    <s v="Valentina Nakamura"/>
    <s v="Reviewed last week&amp;#39;s assignment."/>
    <x v="5"/>
    <b v="0"/>
    <m/>
    <s v="005ak00000icyWTAAY"/>
    <s v="2026-09-16T17:01:26.000Z"/>
    <m/>
    <m/>
    <d v="2026-07-06T00:00:00"/>
    <s v="LSN-00382"/>
    <s v="L-0000375"/>
    <s v="131ak000001XjDuAAK"/>
    <b v="0"/>
    <b v="0"/>
    <s v="L-0000375"/>
    <s v="18:30:00.000Z"/>
    <x v="0"/>
    <s v="a07ak00001rZMqWAAW"/>
    <s v="Jackson Ryan"/>
    <s v="2026-09-16T17:01:26.000Z"/>
    <b v="1"/>
    <s v="a06ak00000amzC1AAI|2026-07-06|18:30:00.000Z"/>
    <n v="1"/>
    <s v="Brick"/>
    <x v="8"/>
    <x v="0"/>
  </r>
  <r>
    <s v="005ak00000icyWTAAY"/>
    <s v="2026-09-14T21:01:58.000Z"/>
    <n v="60"/>
    <s v="a0Aak00000FtDrcEAF"/>
    <s v="a06ak00000amzC1AAI"/>
    <s v="Valentina Nakamura"/>
    <s v="Reviewed last week&amp;#39;s assignment."/>
    <x v="5"/>
    <b v="0"/>
    <m/>
    <s v="005ak00000icyWTAAY"/>
    <s v="2026-09-16T17:01:26.000Z"/>
    <m/>
    <m/>
    <d v="2026-08-23T00:00:00"/>
    <s v="LSN-00383"/>
    <s v="L-0000376"/>
    <s v="131ak000001XjDuAAK"/>
    <b v="0"/>
    <b v="0"/>
    <s v="L-0000376"/>
    <s v="17:30:00.000Z"/>
    <x v="0"/>
    <s v="a07ak00001rZMqWAAW"/>
    <s v="Jackson Ryan"/>
    <s v="2026-09-16T17:01:26.000Z"/>
    <b v="1"/>
    <s v="a06ak00000amzC1AAI|2026-08-23|17:30:00.000Z"/>
    <n v="1"/>
    <s v="Brick"/>
    <x v="6"/>
    <x v="0"/>
  </r>
  <r>
    <s v="005ak00000icyWTAAY"/>
    <s v="2026-09-14T21:01:58.000Z"/>
    <n v="60"/>
    <s v="a0Aak00000FtDrdEAF"/>
    <s v="a06ak00000amzC1AAI"/>
    <s v="Valentina Nakamura"/>
    <s v="Good progress on technique."/>
    <x v="5"/>
    <b v="0"/>
    <m/>
    <s v="005ak00000icyWTAAY"/>
    <s v="2026-09-16T17:01:26.000Z"/>
    <m/>
    <m/>
    <d v="2026-05-23T00:00:00"/>
    <s v="LSN-00385"/>
    <s v="L-0000377"/>
    <s v="131ak000001XjDuAAK"/>
    <b v="0"/>
    <b v="0"/>
    <s v="L-0000377"/>
    <s v="10:00:00.000Z"/>
    <x v="0"/>
    <s v="a07ak00001rZMqWAAW"/>
    <s v="Jackson Ryan"/>
    <s v="2026-09-16T17:01:26.000Z"/>
    <b v="1"/>
    <s v="a06ak00000amzC1AAI|2026-05-23|10:00:00.000Z"/>
    <n v="1"/>
    <s v="Brick"/>
    <x v="0"/>
    <x v="0"/>
  </r>
  <r>
    <s v="005ak00000icyWTAAY"/>
    <s v="2026-09-14T21:01:58.000Z"/>
    <n v="30"/>
    <s v="a0Aak00000FtDreEAF"/>
    <s v="a06ak00000amzC1AAI"/>
    <s v="Valentina Nakamura"/>
    <m/>
    <x v="5"/>
    <b v="0"/>
    <m/>
    <s v="005ak00000icyWTAAY"/>
    <s v="2026-09-16T17:01:26.000Z"/>
    <m/>
    <m/>
    <d v="2026-08-19T00:00:00"/>
    <s v="LSN-00386"/>
    <s v="L-0000378"/>
    <s v="131ak000001XjDuAAK"/>
    <b v="0"/>
    <b v="0"/>
    <s v="L-0000378"/>
    <s v="11:00:00.000Z"/>
    <x v="0"/>
    <s v="a07ak00001rZMqWAAW"/>
    <s v="Jackson Ryan"/>
    <s v="2026-09-16T17:01:26.000Z"/>
    <b v="1"/>
    <s v="a06ak00000amzC1AAI|2026-08-19|11:00:00.000Z"/>
    <n v="1"/>
    <s v="Brick"/>
    <x v="6"/>
    <x v="0"/>
  </r>
  <r>
    <s v="005ak00000icyWTAAY"/>
    <s v="2026-09-14T21:01:58.000Z"/>
    <n v="30"/>
    <s v="a0Aak00000FtDrfEAF"/>
    <s v="a06ak00000amzC1AAI"/>
    <s v="Valentina Nakamura"/>
    <s v="Reviewed last week&amp;#39;s assignment."/>
    <x v="5"/>
    <b v="0"/>
    <m/>
    <s v="005ak00000icyWTAAY"/>
    <s v="2026-09-16T17:01:26.000Z"/>
    <m/>
    <m/>
    <d v="2026-02-14T00:00:00"/>
    <s v="LSN-00387"/>
    <s v="L-0000379"/>
    <s v="131ak000001XjDuAAK"/>
    <b v="0"/>
    <b v="0"/>
    <s v="L-0000379"/>
    <s v="18:30:00.000Z"/>
    <x v="0"/>
    <s v="a07ak00001rZMqWAAW"/>
    <s v="Jackson Ryan"/>
    <s v="2026-09-16T17:01:26.000Z"/>
    <b v="1"/>
    <s v="a06ak00000amzC1AAI|2026-02-14|18:30:00.000Z"/>
    <n v="1"/>
    <s v="Brick"/>
    <x v="1"/>
    <x v="0"/>
  </r>
  <r>
    <s v="005ak00000icyWTAAY"/>
    <s v="2026-09-14T21:01:58.000Z"/>
    <n v="30"/>
    <s v="a0Aak00000FtDrgEAF"/>
    <s v="a06ak00000amzC1AAI"/>
    <s v="Valentina Nakamura"/>
    <s v="Worked on scales and timing."/>
    <x v="5"/>
    <b v="0"/>
    <m/>
    <s v="005ak00000icyWTAAY"/>
    <s v="2026-09-16T17:01:26.000Z"/>
    <m/>
    <m/>
    <d v="2026-07-07T00:00:00"/>
    <s v="LSN-00388"/>
    <s v="L-0000380"/>
    <s v="131ak000001XjDuAAK"/>
    <b v="0"/>
    <b v="0"/>
    <s v="L-0000380"/>
    <s v="17:00:00.000Z"/>
    <x v="0"/>
    <s v="a07ak00001rZMqWAAW"/>
    <s v="Jackson Ryan"/>
    <s v="2026-09-16T17:01:26.000Z"/>
    <b v="1"/>
    <s v="a06ak00000amzC1AAI|2026-07-07|17:00:00.000Z"/>
    <n v="1"/>
    <s v="Brick"/>
    <x v="8"/>
    <x v="0"/>
  </r>
  <r>
    <s v="005ak00000icyWTAAY"/>
    <s v="2026-09-14T21:01:58.000Z"/>
    <n v="30"/>
    <s v="a0Aak00000FtDrhEAF"/>
    <s v="a06ak00000amzC1AAI"/>
    <s v="Valentina Nakamura"/>
    <m/>
    <x v="5"/>
    <b v="0"/>
    <m/>
    <s v="005ak00000icyWTAAY"/>
    <s v="2026-09-16T17:01:26.000Z"/>
    <m/>
    <m/>
    <d v="2026-03-28T00:00:00"/>
    <s v="LSN-00389"/>
    <s v="L-0000381"/>
    <s v="131ak000001XjDuAAK"/>
    <b v="0"/>
    <b v="0"/>
    <s v="L-0000381"/>
    <s v="11:00:00.000Z"/>
    <x v="3"/>
    <s v="a07ak00001rZMqWAAW"/>
    <s v="Jackson Ryan"/>
    <s v="2026-09-16T17:01:26.000Z"/>
    <b v="1"/>
    <s v="a06ak00000amzC1AAI|2026-03-28|11:00:00.000Z"/>
    <n v="1"/>
    <s v="Brick"/>
    <x v="3"/>
    <x v="0"/>
  </r>
  <r>
    <s v="005ak00000icyWTAAY"/>
    <s v="2026-09-14T21:01:58.000Z"/>
    <n v="45"/>
    <s v="a0Aak00000FtDriEAF"/>
    <s v="a06ak00000amzC1AAI"/>
    <s v="Valentina Nakamura"/>
    <s v="Good progress on technique."/>
    <x v="5"/>
    <b v="0"/>
    <m/>
    <s v="005ak00000icyWTAAY"/>
    <s v="2026-09-16T17:01:26.000Z"/>
    <m/>
    <m/>
    <d v="2026-08-30T00:00:00"/>
    <s v="LSN-00390"/>
    <s v="L-0000382"/>
    <s v="131ak000001XjDuAAK"/>
    <b v="0"/>
    <b v="0"/>
    <s v="L-0000382"/>
    <s v="18:30:00.000Z"/>
    <x v="0"/>
    <s v="a07ak00001rZMqWAAW"/>
    <s v="Jackson Ryan"/>
    <s v="2026-09-16T17:01:26.000Z"/>
    <b v="1"/>
    <s v="a06ak00000amzC1AAI|2026-08-30|18:30:00.000Z"/>
    <n v="1"/>
    <s v="Brick"/>
    <x v="6"/>
    <x v="0"/>
  </r>
  <r>
    <s v="005ak00000icyWTAAY"/>
    <s v="2026-09-14T21:01:58.000Z"/>
    <n v="45"/>
    <s v="a0Aak00000FtDrjEAF"/>
    <s v="a06ak00000amzBzAAI"/>
    <s v="Ezra Garcia"/>
    <s v="Worked on scales and timing."/>
    <x v="0"/>
    <b v="0"/>
    <m/>
    <s v="005ak00000icyWTAAY"/>
    <s v="2026-09-16T17:01:26.000Z"/>
    <m/>
    <m/>
    <d v="2026-01-30T00:00:00"/>
    <s v="LSN-00391"/>
    <s v="L-0000383"/>
    <s v="131ak000001XjDtAAK"/>
    <b v="0"/>
    <b v="0"/>
    <s v="L-0000383"/>
    <s v="19:00:00.000Z"/>
    <x v="0"/>
    <s v="a07ak00001rZMqXAAW"/>
    <s v="Malachi Torres"/>
    <s v="2026-09-16T17:01:26.000Z"/>
    <b v="1"/>
    <s v="a06ak00000amzBzAAI|2026-01-30|19:00:00.000Z"/>
    <n v="1"/>
    <s v="Red Bank"/>
    <x v="4"/>
    <x v="0"/>
  </r>
  <r>
    <s v="005ak00000icyWTAAY"/>
    <s v="2026-09-14T21:01:58.000Z"/>
    <n v="60"/>
    <s v="a0Aak00000FtDrkEAF"/>
    <s v="a06ak00000amzBzAAI"/>
    <s v="Ezra Garcia"/>
    <m/>
    <x v="0"/>
    <b v="0"/>
    <m/>
    <s v="005ak00000icyWTAAY"/>
    <s v="2026-09-16T17:01:26.000Z"/>
    <m/>
    <m/>
    <d v="2026-01-05T00:00:00"/>
    <s v="LSN-00392"/>
    <s v="L-0000384"/>
    <s v="131ak000001XjDtAAK"/>
    <b v="0"/>
    <b v="0"/>
    <s v="L-0000384"/>
    <s v="19:00:00.000Z"/>
    <x v="0"/>
    <s v="a07ak00001rZMqXAAW"/>
    <s v="Malachi Torres"/>
    <s v="2026-09-16T17:01:26.000Z"/>
    <b v="1"/>
    <s v="a06ak00000amzBzAAI|2026-01-05|19:00:00.000Z"/>
    <n v="1"/>
    <s v="Red Bank"/>
    <x v="4"/>
    <x v="0"/>
  </r>
  <r>
    <s v="005ak00000icyWTAAY"/>
    <s v="2026-09-14T21:01:58.000Z"/>
    <n v="45"/>
    <s v="a0Aak00000FtDrlEAF"/>
    <s v="a06ak00000amzBzAAI"/>
    <s v="Ezra Garcia"/>
    <m/>
    <x v="0"/>
    <b v="0"/>
    <m/>
    <s v="005ak00000icyWTAAY"/>
    <s v="2026-09-16T17:01:26.000Z"/>
    <m/>
    <m/>
    <d v="2026-07-24T00:00:00"/>
    <s v="LSN-00393"/>
    <s v="L-0000385"/>
    <s v="131ak000001XjDtAAK"/>
    <b v="0"/>
    <b v="0"/>
    <s v="L-0000385"/>
    <s v="16:00:00.000Z"/>
    <x v="0"/>
    <s v="a07ak00001rZMqXAAW"/>
    <s v="Malachi Torres"/>
    <s v="2026-09-16T17:01:26.000Z"/>
    <b v="1"/>
    <s v="a06ak00000amzBzAAI|2026-07-24|16:00:00.000Z"/>
    <n v="1"/>
    <s v="Red Bank"/>
    <x v="8"/>
    <x v="0"/>
  </r>
  <r>
    <s v="005ak00000icyWTAAY"/>
    <s v="2026-09-14T21:01:58.000Z"/>
    <n v="45"/>
    <s v="a0Aak00000FtDrmEAF"/>
    <s v="a06ak00000amzBzAAI"/>
    <s v="Ezra Garcia"/>
    <s v="Focused on sight reading."/>
    <x v="0"/>
    <b v="0"/>
    <m/>
    <s v="005ak00000icyWTAAY"/>
    <s v="2026-09-16T17:01:26.000Z"/>
    <m/>
    <m/>
    <d v="2026-06-14T00:00:00"/>
    <s v="LSN-00394"/>
    <s v="L-0000386"/>
    <s v="131ak000001XjDtAAK"/>
    <b v="0"/>
    <b v="0"/>
    <s v="L-0000386"/>
    <s v="10:00:00.000Z"/>
    <x v="0"/>
    <s v="a07ak00001rZMqXAAW"/>
    <s v="Malachi Torres"/>
    <s v="2026-09-16T17:01:26.000Z"/>
    <b v="1"/>
    <s v="a06ak00000amzBzAAI|2026-06-14|10:00:00.000Z"/>
    <n v="1"/>
    <s v="Red Bank"/>
    <x v="7"/>
    <x v="0"/>
  </r>
  <r>
    <s v="005ak00000icyWTAAY"/>
    <s v="2026-09-14T21:01:58.000Z"/>
    <n v="45"/>
    <s v="a0Aak00000FtDrnEAF"/>
    <s v="a06ak00000amzBzAAI"/>
    <s v="Ezra Garcia"/>
    <m/>
    <x v="0"/>
    <b v="0"/>
    <m/>
    <s v="005ak00000icyWTAAY"/>
    <s v="2026-09-16T17:01:26.000Z"/>
    <m/>
    <m/>
    <d v="2026-03-03T00:00:00"/>
    <s v="LSN-00395"/>
    <s v="L-0000387"/>
    <s v="131ak000001XjDtAAK"/>
    <b v="0"/>
    <b v="0"/>
    <s v="L-0000387"/>
    <s v="15:00:00.000Z"/>
    <x v="3"/>
    <s v="a07ak00001rZMqXAAW"/>
    <s v="Malachi Torres"/>
    <s v="2026-09-16T17:01:26.000Z"/>
    <b v="1"/>
    <s v="a06ak00000amzBzAAI|2026-03-03|15:00:00.000Z"/>
    <n v="1"/>
    <s v="Red Bank"/>
    <x v="3"/>
    <x v="0"/>
  </r>
  <r>
    <s v="005ak00000icyWTAAY"/>
    <s v="2026-09-14T21:01:58.000Z"/>
    <n v="30"/>
    <s v="a0Aak00000FtDroEAF"/>
    <s v="a06ak00000amzBzAAI"/>
    <s v="Ezra Garcia"/>
    <m/>
    <x v="0"/>
    <b v="0"/>
    <m/>
    <s v="005ak00000icyWTAAY"/>
    <s v="2026-09-16T17:01:26.000Z"/>
    <m/>
    <m/>
    <d v="2026-01-20T00:00:00"/>
    <s v="LSN-00396"/>
    <s v="L-0000388"/>
    <s v="131ak000001XjDtAAK"/>
    <b v="0"/>
    <b v="0"/>
    <s v="L-0000388"/>
    <s v="18:00:00.000Z"/>
    <x v="0"/>
    <s v="a07ak00001rZMqXAAW"/>
    <s v="Malachi Torres"/>
    <s v="2026-09-16T17:01:26.000Z"/>
    <b v="1"/>
    <s v="a06ak00000amzBzAAI|2026-01-20|18:00:00.000Z"/>
    <n v="1"/>
    <s v="Red Bank"/>
    <x v="4"/>
    <x v="0"/>
  </r>
  <r>
    <s v="005ak00000icyWTAAY"/>
    <s v="2026-09-14T21:01:58.000Z"/>
    <n v="30"/>
    <s v="a0Aak00000FtDrpEAF"/>
    <s v="a06ak00000amzBzAAI"/>
    <s v="Ezra Garcia"/>
    <s v="Good progress on technique."/>
    <x v="0"/>
    <b v="0"/>
    <m/>
    <s v="005ak00000icyWTAAY"/>
    <s v="2026-09-16T17:01:26.000Z"/>
    <m/>
    <m/>
    <d v="2026-06-06T00:00:00"/>
    <s v="LSN-00397"/>
    <s v="L-0000389"/>
    <s v="131ak000001XjDtAAK"/>
    <b v="0"/>
    <b v="0"/>
    <s v="L-0000389"/>
    <s v="15:00:00.000Z"/>
    <x v="0"/>
    <s v="a07ak00001rZMqXAAW"/>
    <s v="Malachi Torres"/>
    <s v="2026-09-16T17:01:26.000Z"/>
    <b v="1"/>
    <s v="a06ak00000amzBzAAI|2026-06-06|15:00:00.000Z"/>
    <n v="1"/>
    <s v="Red Bank"/>
    <x v="7"/>
    <x v="0"/>
  </r>
  <r>
    <s v="005ak00000icyWTAAY"/>
    <s v="2026-09-14T21:01:58.000Z"/>
    <n v="45"/>
    <s v="a0Aak00000FtDrqEAF"/>
    <s v="a06ak00000amzBzAAI"/>
    <s v="Ezra Garcia"/>
    <s v="Good progress on technique."/>
    <x v="0"/>
    <b v="0"/>
    <m/>
    <s v="005ak00000icyWTAAY"/>
    <s v="2026-09-16T17:01:26.000Z"/>
    <m/>
    <m/>
    <d v="2026-06-23T00:00:00"/>
    <s v="LSN-00398"/>
    <s v="L-0000390"/>
    <s v="131ak000001XjDtAAK"/>
    <b v="0"/>
    <b v="0"/>
    <s v="L-0000390"/>
    <s v="16:30:00.000Z"/>
    <x v="0"/>
    <s v="a07ak00001rZMqXAAW"/>
    <s v="Malachi Torres"/>
    <s v="2026-09-16T17:01:26.000Z"/>
    <b v="1"/>
    <s v="a06ak00000amzBzAAI|2026-06-23|16:30:00.000Z"/>
    <n v="1"/>
    <s v="Red Bank"/>
    <x v="7"/>
    <x v="0"/>
  </r>
  <r>
    <s v="005ak00000icyWTAAY"/>
    <s v="2026-09-14T21:01:58.000Z"/>
    <n v="30"/>
    <s v="a0Aak00000FtDrrEAF"/>
    <s v="a06ak00000amzBzAAI"/>
    <s v="Ezra Garcia"/>
    <m/>
    <x v="0"/>
    <b v="0"/>
    <m/>
    <s v="005ak00000icyWTAAY"/>
    <s v="2026-09-16T17:01:26.000Z"/>
    <m/>
    <m/>
    <d v="2026-09-09T00:00:00"/>
    <s v="LSN-00399"/>
    <s v="L-0000391"/>
    <s v="131ak000001XjDtAAK"/>
    <b v="0"/>
    <b v="0"/>
    <s v="L-0000391"/>
    <s v="11:00:00.000Z"/>
    <x v="0"/>
    <s v="a07ak00001rZMqXAAW"/>
    <s v="Malachi Torres"/>
    <s v="2026-09-16T17:01:26.000Z"/>
    <b v="1"/>
    <s v="a06ak00000amzBzAAI|2026-09-09|11:00:00.000Z"/>
    <n v="1"/>
    <s v="Red Bank"/>
    <x v="2"/>
    <x v="0"/>
  </r>
  <r>
    <s v="005ak00000icyWTAAY"/>
    <s v="2026-09-14T21:01:58.000Z"/>
    <n v="30"/>
    <s v="a0Aak00000FtDrsEAF"/>
    <s v="a06ak00000amzC4AAI"/>
    <s v="Logan Davis"/>
    <m/>
    <x v="2"/>
    <b v="0"/>
    <m/>
    <s v="005ak00000icyWTAAY"/>
    <s v="2026-09-16T17:01:26.000Z"/>
    <m/>
    <m/>
    <d v="2026-06-19T00:00:00"/>
    <s v="LSN-00400"/>
    <s v="L-0000392"/>
    <s v="131ak000001XjDuAAK"/>
    <b v="0"/>
    <b v="0"/>
    <s v="L-0000392"/>
    <s v="19:00:00.000Z"/>
    <x v="0"/>
    <s v="a07ak00001rZMqYAAW"/>
    <s v="Chen Mitchell"/>
    <s v="2026-09-16T17:01:26.000Z"/>
    <b v="1"/>
    <s v="a06ak00000amzC4AAI|2026-06-19|19:00:00.000Z"/>
    <n v="1"/>
    <s v="Brick"/>
    <x v="7"/>
    <x v="0"/>
  </r>
  <r>
    <s v="005ak00000icyWTAAY"/>
    <s v="2026-09-14T21:01:58.000Z"/>
    <n v="60"/>
    <s v="a0Aak00000FtDrtEAF"/>
    <s v="a06ak00000amzC4AAI"/>
    <s v="Logan Davis"/>
    <s v="Good progress on technique."/>
    <x v="2"/>
    <b v="0"/>
    <m/>
    <s v="005ak00000icyWTAAY"/>
    <s v="2026-09-16T17:01:27.000Z"/>
    <m/>
    <m/>
    <d v="2026-07-14T00:00:00"/>
    <s v="LSN-00401"/>
    <s v="L-0000393"/>
    <s v="131ak000001XjDuAAK"/>
    <b v="0"/>
    <b v="0"/>
    <s v="L-0000393"/>
    <s v="17:00:00.000Z"/>
    <x v="0"/>
    <s v="a07ak00001rZMqYAAW"/>
    <s v="Chen Mitchell"/>
    <s v="2026-09-16T17:01:27.000Z"/>
    <b v="1"/>
    <s v="a06ak00000amzC4AAI|2026-07-14|17:00:00.000Z"/>
    <n v="1"/>
    <s v="Brick"/>
    <x v="8"/>
    <x v="0"/>
  </r>
  <r>
    <s v="005ak00000icyWTAAY"/>
    <s v="2026-09-14T21:01:58.000Z"/>
    <n v="30"/>
    <s v="a0Aak00000FtDruEAF"/>
    <s v="a06ak00000amzC8AAI"/>
    <s v="Adrian Byrne"/>
    <m/>
    <x v="2"/>
    <b v="0"/>
    <m/>
    <s v="005ak00000icyWTAAY"/>
    <s v="2026-09-23T19:02:24.000Z"/>
    <m/>
    <m/>
    <d v="2026-10-02T00:00:00"/>
    <s v="LSN-00402"/>
    <s v="L-0000394"/>
    <s v="131ak000001XjDuAAK"/>
    <b v="1"/>
    <b v="1"/>
    <s v="L-0000394"/>
    <s v="18:00:00.000Z"/>
    <x v="4"/>
    <s v="a07ak00001rZMqYAAW"/>
    <s v="Chen Mitchell"/>
    <s v="2026-09-23T19:02:24.000Z"/>
    <b v="1"/>
    <s v=""/>
    <n v="114"/>
    <s v="Brick"/>
    <x v="9"/>
    <x v="0"/>
  </r>
  <r>
    <s v="005ak00000icyWTAAY"/>
    <s v="2026-09-14T21:01:58.000Z"/>
    <n v="30"/>
    <s v="a0Aak00000FtDrvEAF"/>
    <s v="a06ak00000amzC4AAI"/>
    <s v="Logan Davis"/>
    <m/>
    <x v="2"/>
    <b v="0"/>
    <m/>
    <s v="005ak00000icyWTAAY"/>
    <s v="2026-09-16T17:01:27.000Z"/>
    <m/>
    <m/>
    <d v="2026-02-26T00:00:00"/>
    <s v="LSN-00403"/>
    <s v="L-0000395"/>
    <s v="131ak000001XjDuAAK"/>
    <b v="0"/>
    <b v="0"/>
    <s v="L-0000395"/>
    <s v="10:00:00.000Z"/>
    <x v="3"/>
    <s v="a07ak00001rZMqYAAW"/>
    <s v="Chen Mitchell"/>
    <s v="2026-09-16T17:01:27.000Z"/>
    <b v="1"/>
    <s v="a06ak00000amzC4AAI|2026-02-26|10:00:00.000Z"/>
    <n v="1"/>
    <s v="Brick"/>
    <x v="1"/>
    <x v="0"/>
  </r>
  <r>
    <s v="005ak00000icyWTAAY"/>
    <s v="2026-09-14T21:01:58.000Z"/>
    <n v="45"/>
    <s v="a0Aak00000FtDrwEAF"/>
    <s v="a06ak00000amzC4AAI"/>
    <s v="Logan Davis"/>
    <s v="Started new piece."/>
    <x v="2"/>
    <b v="0"/>
    <m/>
    <s v="005ak00000icyWTAAY"/>
    <s v="2026-09-16T17:01:27.000Z"/>
    <m/>
    <m/>
    <d v="2026-08-29T00:00:00"/>
    <s v="LSN-00404"/>
    <s v="L-0000396"/>
    <s v="131ak000001XjDuAAK"/>
    <b v="0"/>
    <b v="0"/>
    <s v="L-0000396"/>
    <s v="19:00:00.000Z"/>
    <x v="0"/>
    <s v="a07ak00001rZMqYAAW"/>
    <s v="Chen Mitchell"/>
    <s v="2026-09-16T17:01:27.000Z"/>
    <b v="1"/>
    <s v="a06ak00000amzC4AAI|2026-08-29|19:00:00.000Z"/>
    <n v="1"/>
    <s v="Brick"/>
    <x v="6"/>
    <x v="0"/>
  </r>
  <r>
    <s v="005ak00000icyWTAAY"/>
    <s v="2026-09-14T21:01:58.000Z"/>
    <n v="45"/>
    <s v="a0Aak00000FtDrxEAF"/>
    <s v="a06ak00000amzBjAAI"/>
    <s v="Fatima Lewis"/>
    <s v="Good progress on technique."/>
    <x v="9"/>
    <b v="0"/>
    <m/>
    <s v="005ak00000icyWTAAY"/>
    <s v="2026-09-16T17:01:27.000Z"/>
    <m/>
    <m/>
    <d v="2026-02-22T00:00:00"/>
    <s v="LSN-00405"/>
    <s v="L-0000397"/>
    <s v="131ak000001XjDtAAK"/>
    <b v="0"/>
    <b v="0"/>
    <s v="L-0000397"/>
    <s v="11:00:00.000Z"/>
    <x v="0"/>
    <s v="a07ak00001rZMqZAAW"/>
    <s v="Nathan Perez"/>
    <s v="2026-09-16T17:01:27.000Z"/>
    <b v="1"/>
    <s v="a06ak00000amzBjAAI|2026-02-22|11:00:00.000Z"/>
    <n v="1"/>
    <s v="Red Bank"/>
    <x v="1"/>
    <x v="0"/>
  </r>
  <r>
    <s v="005ak00000icyWTAAY"/>
    <s v="2026-09-14T21:01:58.000Z"/>
    <n v="30"/>
    <s v="a0Aak00000FtDryEAF"/>
    <s v="a06ak00000amzBjAAI"/>
    <s v="Fatima Lewis"/>
    <s v="Worked on scales and timing."/>
    <x v="9"/>
    <b v="0"/>
    <m/>
    <s v="005ak00000icyWTAAY"/>
    <s v="2026-09-16T17:01:27.000Z"/>
    <m/>
    <m/>
    <d v="2026-04-29T00:00:00"/>
    <s v="LSN-00406"/>
    <s v="L-0000398"/>
    <s v="131ak000001XjDtAAK"/>
    <b v="0"/>
    <b v="0"/>
    <s v="L-0000398"/>
    <s v="18:30:00.000Z"/>
    <x v="0"/>
    <s v="a07ak00001rZMqZAAW"/>
    <s v="Nathan Perez"/>
    <s v="2026-09-16T17:01:27.000Z"/>
    <b v="1"/>
    <s v="a06ak00000amzBjAAI|2026-04-29|18:30:00.000Z"/>
    <n v="1"/>
    <s v="Red Bank"/>
    <x v="5"/>
    <x v="0"/>
  </r>
  <r>
    <s v="005ak00000icyWTAAY"/>
    <s v="2026-09-14T21:01:58.000Z"/>
    <n v="30"/>
    <s v="a0Aak00000FtDrzEAF"/>
    <s v="a06ak00000amzBjAAI"/>
    <s v="Fatima Lewis"/>
    <s v="Good progress on technique."/>
    <x v="9"/>
    <b v="0"/>
    <m/>
    <s v="005ak00000icyWTAAY"/>
    <s v="2026-09-16T17:01:27.000Z"/>
    <m/>
    <m/>
    <d v="2026-02-19T00:00:00"/>
    <s v="LSN-00407"/>
    <s v="L-0000399"/>
    <s v="131ak000001XjDtAAK"/>
    <b v="0"/>
    <b v="0"/>
    <s v="L-0000399"/>
    <s v="17:00:00.000Z"/>
    <x v="0"/>
    <s v="a07ak00001rZMqZAAW"/>
    <s v="Nathan Perez"/>
    <s v="2026-09-16T17:01:27.000Z"/>
    <b v="1"/>
    <s v="a06ak00000amzBjAAI|2026-02-19|17:00:00.000Z"/>
    <n v="1"/>
    <s v="Red Bank"/>
    <x v="1"/>
    <x v="0"/>
  </r>
  <r>
    <s v="005ak00000icyWTAAY"/>
    <s v="2026-09-14T21:01:58.000Z"/>
    <n v="30"/>
    <s v="a0Aak00000FtDs0EAF"/>
    <s v="a06ak00000amzBjAAI"/>
    <s v="Fatima Lewis"/>
    <s v="Good progress on technique."/>
    <x v="9"/>
    <b v="0"/>
    <m/>
    <s v="005ak00000icyWTAAY"/>
    <s v="2026-09-16T17:01:27.000Z"/>
    <m/>
    <m/>
    <d v="2026-06-30T00:00:00"/>
    <s v="LSN-00408"/>
    <s v="L-0000400"/>
    <s v="131ak000001XjDtAAK"/>
    <b v="0"/>
    <b v="0"/>
    <s v="L-0000400"/>
    <s v="18:00:00.000Z"/>
    <x v="0"/>
    <s v="a07ak00001rZMqZAAW"/>
    <s v="Nathan Perez"/>
    <s v="2026-09-16T17:01:27.000Z"/>
    <b v="1"/>
    <s v="a06ak00000amzBjAAI|2026-06-30|18:00:00.000Z"/>
    <n v="1"/>
    <s v="Red Bank"/>
    <x v="7"/>
    <x v="0"/>
  </r>
  <r>
    <s v="005ak00000icyWTAAY"/>
    <s v="2026-09-14T21:01:58.000Z"/>
    <n v="30"/>
    <s v="a0Aak00000FtDs1EAF"/>
    <s v="a06ak00000amzBjAAI"/>
    <s v="Fatima Lewis"/>
    <m/>
    <x v="9"/>
    <b v="0"/>
    <m/>
    <s v="005ak00000icyWTAAY"/>
    <s v="2026-09-16T17:01:27.000Z"/>
    <m/>
    <m/>
    <d v="2026-06-02T00:00:00"/>
    <s v="LSN-00409"/>
    <s v="L-0000401"/>
    <s v="131ak000001XjDtAAK"/>
    <b v="0"/>
    <b v="0"/>
    <s v="L-0000401"/>
    <s v="19:00:00.000Z"/>
    <x v="3"/>
    <s v="a07ak00001rZMqZAAW"/>
    <s v="Nathan Perez"/>
    <s v="2026-09-16T17:01:27.000Z"/>
    <b v="1"/>
    <s v="a06ak00000amzBjAAI|2026-06-02|19:00:00.000Z"/>
    <n v="1"/>
    <s v="Red Bank"/>
    <x v="7"/>
    <x v="0"/>
  </r>
  <r>
    <s v="005ak00000icyWTAAY"/>
    <s v="2026-09-14T21:01:58.000Z"/>
    <n v="30"/>
    <s v="a0Aak00000FtDs2EAF"/>
    <s v="a06ak00000amzC0AAI"/>
    <s v="James Moore"/>
    <m/>
    <x v="9"/>
    <b v="0"/>
    <m/>
    <s v="005ak00000icyWTAAY"/>
    <s v="2026-09-23T19:02:24.000Z"/>
    <m/>
    <m/>
    <d v="2026-09-26T00:00:00"/>
    <s v="LSN-00410"/>
    <s v="L-0000402"/>
    <s v="131ak000001XjDtAAK"/>
    <b v="0"/>
    <b v="0"/>
    <s v="L-0000402"/>
    <s v="16:00:00.000Z"/>
    <x v="3"/>
    <s v="a07ak00001rZMqZAAW"/>
    <s v="Nathan Perez"/>
    <s v="2026-09-23T19:02:24.000Z"/>
    <b v="1"/>
    <s v="a06ak00000amzC0AAI|2026-09-26|16:00:00.000Z"/>
    <n v="1"/>
    <s v="Red Bank"/>
    <x v="2"/>
    <x v="0"/>
  </r>
  <r>
    <s v="005ak00000icyWTAAY"/>
    <s v="2026-09-14T21:01:58.000Z"/>
    <n v="30"/>
    <s v="a0Aak00000FtDs3EAF"/>
    <s v="a06ak00000amzBjAAI"/>
    <s v="Fatima Lewis"/>
    <s v="Good progress on technique."/>
    <x v="9"/>
    <b v="0"/>
    <m/>
    <s v="005ak00000icyWTAAY"/>
    <s v="2026-09-16T17:01:27.000Z"/>
    <m/>
    <m/>
    <d v="2026-03-26T00:00:00"/>
    <s v="LSN-00411"/>
    <s v="L-0000403"/>
    <s v="131ak000001XjDtAAK"/>
    <b v="0"/>
    <b v="0"/>
    <s v="L-0000403"/>
    <s v="15:00:00.000Z"/>
    <x v="0"/>
    <s v="a07ak00001rZMqZAAW"/>
    <s v="Nathan Perez"/>
    <s v="2026-09-16T17:01:27.000Z"/>
    <b v="1"/>
    <s v="a06ak00000amzBjAAI|2026-03-26|15:00:00.000Z"/>
    <n v="1"/>
    <s v="Red Bank"/>
    <x v="3"/>
    <x v="0"/>
  </r>
  <r>
    <s v="005ak00000icyWTAAY"/>
    <s v="2026-09-14T21:01:58.000Z"/>
    <n v="45"/>
    <s v="a0Aak00000FtDs4EAF"/>
    <s v="a06ak00000amzBjAAI"/>
    <s v="Fatima Lewis"/>
    <s v="Worked on scales and timing."/>
    <x v="9"/>
    <b v="0"/>
    <m/>
    <s v="005ak00000icyWTAAY"/>
    <s v="2026-09-16T17:01:27.000Z"/>
    <m/>
    <m/>
    <d v="2026-03-11T00:00:00"/>
    <s v="LSN-00412"/>
    <s v="L-0000404"/>
    <s v="131ak000001XjDtAAK"/>
    <b v="0"/>
    <b v="0"/>
    <s v="L-0000404"/>
    <s v="15:00:00.000Z"/>
    <x v="0"/>
    <s v="a07ak00001rZMqZAAW"/>
    <s v="Nathan Perez"/>
    <s v="2026-09-16T17:01:27.000Z"/>
    <b v="1"/>
    <s v="a06ak00000amzBjAAI|2026-03-11|15:00:00.000Z"/>
    <n v="1"/>
    <s v="Red Bank"/>
    <x v="3"/>
    <x v="0"/>
  </r>
  <r>
    <s v="005ak00000icyWTAAY"/>
    <s v="2026-09-14T21:01:58.000Z"/>
    <n v="30"/>
    <s v="a0Aak00000FtDs5EAF"/>
    <s v="a06ak00000amzBjAAI"/>
    <s v="Fatima Lewis"/>
    <m/>
    <x v="9"/>
    <b v="0"/>
    <m/>
    <s v="005ak00000icyWTAAY"/>
    <s v="2026-09-16T17:01:27.000Z"/>
    <m/>
    <m/>
    <d v="2026-03-15T00:00:00"/>
    <s v="LSN-00413"/>
    <s v="L-0000405"/>
    <s v="131ak000001XjDtAAK"/>
    <b v="0"/>
    <b v="0"/>
    <s v="L-0000405"/>
    <s v="17:30:00.000Z"/>
    <x v="0"/>
    <s v="a07ak00001rZMqZAAW"/>
    <s v="Nathan Perez"/>
    <s v="2026-09-16T17:01:27.000Z"/>
    <b v="1"/>
    <s v="a06ak00000amzBjAAI|2026-03-15|17:30:00.000Z"/>
    <n v="1"/>
    <s v="Red Bank"/>
    <x v="3"/>
    <x v="0"/>
  </r>
  <r>
    <s v="005ak00000icyWTAAY"/>
    <s v="2026-09-14T21:01:58.000Z"/>
    <n v="60"/>
    <s v="a0Aak00000FtDs6EAF"/>
    <s v="a06ak00000amzBfAAI"/>
    <s v="Mia Smith"/>
    <s v="Good progress on technique."/>
    <x v="6"/>
    <b v="0"/>
    <m/>
    <s v="005ak00000icyWTAAY"/>
    <s v="2026-09-16T17:01:27.000Z"/>
    <m/>
    <m/>
    <d v="2026-02-16T00:00:00"/>
    <s v="LSN-00414"/>
    <s v="L-0000406"/>
    <s v="131ak000001XjDuAAK"/>
    <b v="0"/>
    <b v="0"/>
    <s v="L-0000406"/>
    <s v="19:00:00.000Z"/>
    <x v="0"/>
    <s v="a07ak00001rZMqaAAG"/>
    <s v="Theo Anderson"/>
    <s v="2026-09-16T17:01:27.000Z"/>
    <b v="1"/>
    <s v="a06ak00000amzBfAAI|2026-02-16|19:00:00.000Z"/>
    <n v="1"/>
    <s v="Brick"/>
    <x v="1"/>
    <x v="0"/>
  </r>
  <r>
    <s v="005ak00000icyWTAAY"/>
    <s v="2026-09-14T21:01:58.000Z"/>
    <n v="45"/>
    <s v="a0Aak00000FtDs7EAF"/>
    <s v="a06ak00000amzBfAAI"/>
    <s v="Mia Smith"/>
    <s v="Reviewed last week&amp;#39;s assignment."/>
    <x v="6"/>
    <b v="0"/>
    <m/>
    <s v="005ak00000icyWTAAY"/>
    <s v="2026-09-16T17:01:27.000Z"/>
    <m/>
    <m/>
    <d v="2026-09-23T00:00:00"/>
    <s v="LSN-00415"/>
    <s v="L-0000407"/>
    <s v="131ak000001XjDuAAK"/>
    <b v="0"/>
    <b v="0"/>
    <s v="L-0000407"/>
    <s v="18:00:00.000Z"/>
    <x v="0"/>
    <s v="a07ak00001rZMqaAAG"/>
    <s v="Theo Anderson"/>
    <s v="2026-09-16T17:01:27.000Z"/>
    <b v="1"/>
    <s v="a06ak00000amzBfAAI|2026-09-23|18:00:00.000Z"/>
    <n v="1"/>
    <s v="Brick"/>
    <x v="2"/>
    <x v="0"/>
  </r>
  <r>
    <s v="005ak00000icyWTAAY"/>
    <s v="2026-09-14T21:01:58.000Z"/>
    <n v="45"/>
    <s v="a0Aak00000FtDs8EAF"/>
    <s v="a06ak00000amzBsAAI"/>
    <s v="Leo Perez"/>
    <s v="Focused on sight reading."/>
    <x v="6"/>
    <b v="0"/>
    <m/>
    <s v="005ak00000icyWTAAY"/>
    <s v="2026-09-16T16:41:26.000Z"/>
    <m/>
    <m/>
    <d v="2026-03-11T00:00:00"/>
    <s v="LSN-00416"/>
    <s v="L-0000408"/>
    <s v="131ak000001XjDuAAK"/>
    <b v="0"/>
    <b v="0"/>
    <s v="L-0000408"/>
    <s v="10:00:00.000Z"/>
    <x v="2"/>
    <s v="a07ak00001rZMqaAAG"/>
    <s v="Theo Anderson"/>
    <s v="2026-09-16T16:41:26.000Z"/>
    <b v="0"/>
    <s v="a06ak00000amzBsAAI|2026-03-11|10:00:00.000Z"/>
    <n v="1"/>
    <s v="Brick"/>
    <x v="3"/>
    <x v="0"/>
  </r>
  <r>
    <s v="005ak00000icyWTAAY"/>
    <s v="2026-09-14T21:01:58.000Z"/>
    <n v="60"/>
    <s v="a0Aak00000FtDs9EAF"/>
    <s v="a06ak00000amzBfAAI"/>
    <s v="Mia Smith"/>
    <m/>
    <x v="6"/>
    <b v="0"/>
    <m/>
    <s v="005ak00000icyWTAAY"/>
    <s v="2026-09-16T17:01:27.000Z"/>
    <m/>
    <m/>
    <d v="2026-05-06T00:00:00"/>
    <s v="LSN-00417"/>
    <s v="L-0000409"/>
    <s v="131ak000001XjDuAAK"/>
    <b v="0"/>
    <b v="0"/>
    <s v="L-0000409"/>
    <s v="18:30:00.000Z"/>
    <x v="0"/>
    <s v="a07ak00001rZMqaAAG"/>
    <s v="Theo Anderson"/>
    <s v="2026-09-16T17:01:27.000Z"/>
    <b v="1"/>
    <s v="a06ak00000amzBfAAI|2026-05-06|18:30:00.000Z"/>
    <n v="1"/>
    <s v="Brick"/>
    <x v="0"/>
    <x v="0"/>
  </r>
  <r>
    <s v="005ak00000icyWTAAY"/>
    <s v="2026-09-14T21:01:58.000Z"/>
    <n v="30"/>
    <s v="a0Aak00000FtDsAEAV"/>
    <s v="a06ak00000amzBfAAI"/>
    <s v="Mia Smith"/>
    <s v="Reviewed last week&amp;#39;s assignment."/>
    <x v="6"/>
    <b v="0"/>
    <m/>
    <s v="005ak00000icyWTAAY"/>
    <s v="2026-09-16T17:01:27.000Z"/>
    <m/>
    <m/>
    <d v="2026-08-18T00:00:00"/>
    <s v="LSN-00418"/>
    <s v="L-0000410"/>
    <s v="131ak000001XjDuAAK"/>
    <b v="0"/>
    <b v="0"/>
    <s v="L-0000410"/>
    <s v="18:30:00.000Z"/>
    <x v="0"/>
    <s v="a07ak00001rZMqaAAG"/>
    <s v="Theo Anderson"/>
    <s v="2026-09-16T17:01:27.000Z"/>
    <b v="1"/>
    <s v="a06ak00000amzBfAAI|2026-08-18|18:30:00.000Z"/>
    <n v="1"/>
    <s v="Brick"/>
    <x v="6"/>
    <x v="0"/>
  </r>
  <r>
    <s v="005ak00000icyWTAAY"/>
    <s v="2026-09-14T21:01:58.000Z"/>
    <n v="30"/>
    <s v="a0Aak00000FtDsBEAV"/>
    <s v="a06ak00000amzC4AAI"/>
    <s v="Logan Davis"/>
    <m/>
    <x v="2"/>
    <b v="0"/>
    <m/>
    <s v="005ak00000icyWTAAY"/>
    <s v="2026-09-16T17:01:27.000Z"/>
    <m/>
    <m/>
    <d v="2026-05-02T00:00:00"/>
    <s v="LSN-00419"/>
    <s v="L-0000411"/>
    <s v="131ak000001XjDuAAK"/>
    <b v="0"/>
    <b v="0"/>
    <s v="L-0000411"/>
    <s v="10:00:00.000Z"/>
    <x v="0"/>
    <s v="a07ak00001rZMqbAAG"/>
    <s v="Marcus Davis"/>
    <s v="2026-09-16T17:01:27.000Z"/>
    <b v="1"/>
    <s v="a06ak00000amzC4AAI|2026-05-02|10:00:00.000Z"/>
    <n v="1"/>
    <s v="Brick"/>
    <x v="0"/>
    <x v="0"/>
  </r>
  <r>
    <s v="005ak00000icyWTAAY"/>
    <s v="2026-09-14T21:01:58.000Z"/>
    <n v="60"/>
    <s v="a0Aak00000FtDsCEAV"/>
    <s v="a06ak00000amzC4AAI"/>
    <s v="Logan Davis"/>
    <m/>
    <x v="2"/>
    <b v="0"/>
    <m/>
    <s v="005ak00000icyWTAAY"/>
    <s v="2026-09-16T17:01:27.000Z"/>
    <m/>
    <m/>
    <d v="2026-06-21T00:00:00"/>
    <s v="LSN-00420"/>
    <s v="L-0000412"/>
    <s v="131ak000001XjDuAAK"/>
    <b v="0"/>
    <b v="0"/>
    <s v="L-0000412"/>
    <s v="11:00:00.000Z"/>
    <x v="1"/>
    <s v="a07ak00001rZMqbAAG"/>
    <s v="Marcus Davis"/>
    <s v="2026-09-16T17:01:27.000Z"/>
    <b v="1"/>
    <s v=""/>
    <m/>
    <s v="Brick"/>
    <x v="7"/>
    <x v="0"/>
  </r>
  <r>
    <s v="005ak00000icyWTAAY"/>
    <s v="2026-09-14T21:01:58.000Z"/>
    <n v="60"/>
    <s v="a0Aak00000FtDsDEAV"/>
    <s v="a06ak00000amzC4AAI"/>
    <s v="Logan Davis"/>
    <s v="Started new piece."/>
    <x v="2"/>
    <b v="0"/>
    <m/>
    <s v="005ak00000icyWTAAY"/>
    <s v="2026-09-16T17:01:27.000Z"/>
    <m/>
    <m/>
    <d v="2026-03-07T00:00:00"/>
    <s v="LSN-00421"/>
    <s v="L-0000413"/>
    <s v="131ak000001XjDuAAK"/>
    <b v="0"/>
    <b v="0"/>
    <s v="L-0000413"/>
    <s v="10:00:00.000Z"/>
    <x v="0"/>
    <s v="a07ak00001rZMqbAAG"/>
    <s v="Marcus Davis"/>
    <s v="2026-09-16T17:01:27.000Z"/>
    <b v="1"/>
    <s v="a06ak00000amzC4AAI|2026-03-07|10:00:00.000Z"/>
    <n v="1"/>
    <s v="Brick"/>
    <x v="3"/>
    <x v="0"/>
  </r>
  <r>
    <s v="005ak00000icyWTAAY"/>
    <s v="2026-09-14T21:01:58.000Z"/>
    <n v="45"/>
    <s v="a0Aak00000FtDsEEAV"/>
    <s v="a06ak00000amzBeAAI"/>
    <s v="Zoey Rodriguez"/>
    <s v="Reviewed last week&amp;#39;s assignment."/>
    <x v="2"/>
    <b v="0"/>
    <m/>
    <s v="005ak00000icyWTAAY"/>
    <s v="2026-09-16T17:01:27.000Z"/>
    <m/>
    <m/>
    <d v="2026-07-23T00:00:00"/>
    <s v="LSN-00422"/>
    <s v="L-0000414"/>
    <s v="131ak000001XjDtAAK"/>
    <b v="0"/>
    <b v="0"/>
    <s v="L-0000414"/>
    <s v="16:30:00.000Z"/>
    <x v="0"/>
    <s v="a07ak00001rZMqdAAG"/>
    <s v="Scarlett Scott"/>
    <s v="2026-09-16T17:01:27.000Z"/>
    <b v="1"/>
    <s v="a06ak00000amzBeAAI|2026-07-23|16:30:00.000Z"/>
    <n v="1"/>
    <s v="Red Bank"/>
    <x v="8"/>
    <x v="0"/>
  </r>
  <r>
    <s v="005ak00000icyWTAAY"/>
    <s v="2026-09-14T21:01:58.000Z"/>
    <n v="45"/>
    <s v="a0Aak00000FtDsFEAV"/>
    <s v="a06ak00000amzBeAAI"/>
    <s v="Zoey Rodriguez"/>
    <m/>
    <x v="2"/>
    <b v="0"/>
    <m/>
    <s v="005ak00000icyWTAAY"/>
    <s v="2026-09-16T17:01:27.000Z"/>
    <m/>
    <m/>
    <d v="2026-03-25T00:00:00"/>
    <s v="LSN-00423"/>
    <s v="L-0000415"/>
    <s v="131ak000001XjDtAAK"/>
    <b v="0"/>
    <b v="0"/>
    <s v="L-0000415"/>
    <s v="15:30:00.000Z"/>
    <x v="3"/>
    <s v="a07ak00001rZMqdAAG"/>
    <s v="Scarlett Scott"/>
    <s v="2026-09-16T17:01:27.000Z"/>
    <b v="1"/>
    <s v="a06ak00000amzBeAAI|2026-03-25|15:30:00.000Z"/>
    <n v="1"/>
    <s v="Red Bank"/>
    <x v="3"/>
    <x v="0"/>
  </r>
  <r>
    <s v="005ak00000icyWTAAY"/>
    <s v="2026-09-14T21:01:58.000Z"/>
    <n v="30"/>
    <s v="a0Aak00000FtDsGEAV"/>
    <s v="a06ak00000amzBeAAI"/>
    <s v="Zoey Rodriguez"/>
    <s v="Good progress on technique."/>
    <x v="2"/>
    <b v="0"/>
    <m/>
    <s v="005ak00000icyWTAAY"/>
    <s v="2026-09-16T17:01:27.000Z"/>
    <m/>
    <m/>
    <d v="2026-07-21T00:00:00"/>
    <s v="LSN-00424"/>
    <s v="L-0000416"/>
    <s v="131ak000001XjDtAAK"/>
    <b v="0"/>
    <b v="0"/>
    <s v="L-0000416"/>
    <s v="18:00:00.000Z"/>
    <x v="0"/>
    <s v="a07ak00001rZMqdAAG"/>
    <s v="Scarlett Scott"/>
    <s v="2026-09-16T17:01:27.000Z"/>
    <b v="1"/>
    <s v="a06ak00000amzBeAAI|2026-07-21|18:00:00.000Z"/>
    <n v="1"/>
    <s v="Red Bank"/>
    <x v="8"/>
    <x v="0"/>
  </r>
  <r>
    <s v="005ak00000icyWTAAY"/>
    <s v="2026-09-14T21:01:58.000Z"/>
    <n v="30"/>
    <s v="a0Aak00000FtDsHEAV"/>
    <s v="a06ak00000amzBeAAI"/>
    <s v="Zoey Rodriguez"/>
    <s v="Good progress on technique."/>
    <x v="2"/>
    <b v="0"/>
    <m/>
    <s v="005ak00000icyWTAAY"/>
    <s v="2026-09-16T17:01:27.000Z"/>
    <m/>
    <m/>
    <d v="2026-03-19T00:00:00"/>
    <s v="LSN-00425"/>
    <s v="L-0000417"/>
    <s v="131ak000001XjDtAAK"/>
    <b v="0"/>
    <b v="0"/>
    <s v="L-0000417"/>
    <s v="17:00:00.000Z"/>
    <x v="0"/>
    <s v="a07ak00001rZMqdAAG"/>
    <s v="Scarlett Scott"/>
    <s v="2026-09-16T17:01:27.000Z"/>
    <b v="1"/>
    <s v="a06ak00000amzBeAAI|2026-03-19|17:00:00.000Z"/>
    <n v="1"/>
    <s v="Red Bank"/>
    <x v="3"/>
    <x v="0"/>
  </r>
  <r>
    <s v="005ak00000icyWTAAY"/>
    <s v="2026-09-14T21:01:58.000Z"/>
    <n v="45"/>
    <s v="a0Aak00000FtDsIEAV"/>
    <s v="a06ak00000amzBeAAI"/>
    <s v="Zoey Rodriguez"/>
    <m/>
    <x v="2"/>
    <b v="0"/>
    <m/>
    <s v="005ak00000icyWTAAY"/>
    <s v="2026-09-16T17:01:27.000Z"/>
    <m/>
    <m/>
    <d v="2026-01-25T00:00:00"/>
    <s v="LSN-00426"/>
    <s v="L-0000418"/>
    <s v="131ak000001XjDtAAK"/>
    <b v="0"/>
    <b v="0"/>
    <s v="L-0000418"/>
    <s v="17:00:00.000Z"/>
    <x v="0"/>
    <s v="a07ak00001rZMqdAAG"/>
    <s v="Scarlett Scott"/>
    <s v="2026-09-16T17:01:27.000Z"/>
    <b v="1"/>
    <s v="a06ak00000amzBeAAI|2026-01-25|17:00:00.000Z"/>
    <n v="1"/>
    <s v="Red Bank"/>
    <x v="4"/>
    <x v="0"/>
  </r>
  <r>
    <s v="005ak00000icyWTAAY"/>
    <s v="2026-09-14T21:01:58.000Z"/>
    <n v="45"/>
    <s v="a0Aak00000FtDsJEAV"/>
    <s v="a06ak00000amzBeAAI"/>
    <s v="Zoey Rodriguez"/>
    <m/>
    <x v="2"/>
    <b v="0"/>
    <m/>
    <s v="005ak00000icyWTAAY"/>
    <s v="2026-09-16T17:01:27.000Z"/>
    <m/>
    <m/>
    <d v="2026-08-27T00:00:00"/>
    <s v="LSN-00427"/>
    <s v="L-0000419"/>
    <s v="131ak000001XjDtAAK"/>
    <b v="0"/>
    <b v="0"/>
    <s v="L-0000419"/>
    <s v="18:30:00.000Z"/>
    <x v="3"/>
    <s v="a07ak00001rZMqdAAG"/>
    <s v="Scarlett Scott"/>
    <s v="2026-09-16T17:01:27.000Z"/>
    <b v="1"/>
    <s v="a06ak00000amzBeAAI|2026-08-27|18:30:00.000Z"/>
    <n v="1"/>
    <s v="Red Bank"/>
    <x v="6"/>
    <x v="0"/>
  </r>
  <r>
    <s v="005ak00000icyWTAAY"/>
    <s v="2026-09-14T21:01:58.000Z"/>
    <n v="45"/>
    <s v="a0Aak00000FtDsKEAV"/>
    <s v="a06ak00000amzBfAAI"/>
    <s v="Mia Smith"/>
    <s v="Good progress on technique."/>
    <x v="6"/>
    <b v="0"/>
    <m/>
    <s v="005ak00000icyWTAAY"/>
    <s v="2026-09-16T17:01:27.000Z"/>
    <m/>
    <m/>
    <d v="2026-06-22T00:00:00"/>
    <s v="LSN-00428"/>
    <s v="L-0000420"/>
    <s v="131ak000001XjDvAAK"/>
    <b v="0"/>
    <b v="0"/>
    <s v="L-0000420"/>
    <s v="16:00:00.000Z"/>
    <x v="0"/>
    <s v="a07ak00001rZMqeAAG"/>
    <s v="Lily Mitchell"/>
    <s v="2026-09-16T17:01:27.000Z"/>
    <b v="1"/>
    <s v="a06ak00000amzBfAAI|2026-06-22|16:00:00.000Z"/>
    <n v="1"/>
    <s v="Toms River"/>
    <x v="7"/>
    <x v="0"/>
  </r>
  <r>
    <s v="005ak00000icyWTAAY"/>
    <s v="2026-09-14T21:01:58.000Z"/>
    <n v="45"/>
    <s v="a0Aak00000FtDsLEAV"/>
    <s v="a06ak00000amzBfAAI"/>
    <s v="Mia Smith"/>
    <s v="Good progress on technique."/>
    <x v="6"/>
    <b v="0"/>
    <m/>
    <s v="005ak00000icyWTAAY"/>
    <s v="2026-09-16T17:01:27.000Z"/>
    <m/>
    <m/>
    <d v="2026-01-21T00:00:00"/>
    <s v="LSN-00429"/>
    <s v="L-0000421"/>
    <s v="131ak000001XjDvAAK"/>
    <b v="0"/>
    <b v="0"/>
    <s v="L-0000421"/>
    <s v="18:00:00.000Z"/>
    <x v="0"/>
    <s v="a07ak00001rZMqeAAG"/>
    <s v="Lily Mitchell"/>
    <s v="2026-09-16T17:01:27.000Z"/>
    <b v="1"/>
    <s v="a06ak00000amzBfAAI|2026-01-21|18:00:00.000Z"/>
    <n v="1"/>
    <s v="Toms River"/>
    <x v="4"/>
    <x v="0"/>
  </r>
  <r>
    <s v="005ak00000icyWTAAY"/>
    <s v="2026-09-14T21:01:58.000Z"/>
    <n v="60"/>
    <s v="a0Aak00000FtDsMEAV"/>
    <s v="a06ak00000amzCBAAY"/>
    <s v="Aiden Hill"/>
    <m/>
    <x v="3"/>
    <b v="0"/>
    <m/>
    <s v="005ak00000icyWTAAY"/>
    <s v="2026-09-25T18:00:49.000Z"/>
    <m/>
    <m/>
    <d v="2026-07-24T00:00:00"/>
    <s v="LSN-00430"/>
    <s v="L-0000422"/>
    <s v="131ak000001XjDtAAK"/>
    <b v="1"/>
    <b v="1"/>
    <s v="L-0000422"/>
    <s v="19:00:00.000Z"/>
    <x v="4"/>
    <s v="a07ak00001rZMqfAAG"/>
    <s v="Isaac Novak"/>
    <s v="2026-09-25T18:00:49.000Z"/>
    <b v="1"/>
    <s v=""/>
    <m/>
    <s v="Red Bank"/>
    <x v="8"/>
    <x v="0"/>
  </r>
  <r>
    <s v="005ak00000icyWTAAY"/>
    <s v="2026-09-14T21:01:58.000Z"/>
    <n v="30"/>
    <s v="a0Aak00000FtDsNEAV"/>
    <s v="a06ak00000amzCBAAY"/>
    <s v="Aiden Hill"/>
    <s v="Worked on scales and timing."/>
    <x v="3"/>
    <b v="0"/>
    <m/>
    <s v="005ak00000icyWTAAY"/>
    <s v="2026-09-16T17:01:27.000Z"/>
    <m/>
    <m/>
    <d v="2026-08-18T00:00:00"/>
    <s v="LSN-00431"/>
    <s v="L-0000423"/>
    <s v="131ak000001XjDtAAK"/>
    <b v="0"/>
    <b v="0"/>
    <s v="L-0000423"/>
    <s v="17:30:00.000Z"/>
    <x v="0"/>
    <s v="a07ak00001rZMqfAAG"/>
    <s v="Isaac Novak"/>
    <s v="2026-09-16T17:01:27.000Z"/>
    <b v="1"/>
    <s v="a06ak00000amzCBAAY|2026-08-18|17:30:00.000Z"/>
    <n v="1"/>
    <s v="Red Bank"/>
    <x v="6"/>
    <x v="0"/>
  </r>
  <r>
    <s v="005ak00000icyWTAAY"/>
    <s v="2026-09-14T21:01:58.000Z"/>
    <n v="45"/>
    <s v="a0Aak00000FtDsOEAV"/>
    <s v="a06ak00000amzC0AAI"/>
    <s v="James Moore"/>
    <s v="Worked on scales and timing."/>
    <x v="9"/>
    <b v="0"/>
    <m/>
    <s v="005ak00000icyWTAAY"/>
    <s v="2026-09-23T19:02:24.000Z"/>
    <m/>
    <m/>
    <d v="2026-09-29T00:00:00"/>
    <s v="LSN-00432"/>
    <s v="L-0000424"/>
    <s v="131ak000001XjDtAAK"/>
    <b v="0"/>
    <b v="0"/>
    <s v="L-0000424"/>
    <s v="19:00:00.000Z"/>
    <x v="0"/>
    <s v="a07ak00001rZMqgAAG"/>
    <s v="Adrian Lewis"/>
    <s v="2026-09-23T19:02:24.000Z"/>
    <b v="1"/>
    <s v="a06ak00000amzC0AAI|2026-09-29|19:00:00.000Z"/>
    <n v="1"/>
    <s v="Red Bank"/>
    <x v="2"/>
    <x v="0"/>
  </r>
  <r>
    <s v="005ak00000icyWTAAY"/>
    <s v="2026-09-14T21:01:58.000Z"/>
    <n v="60"/>
    <s v="a0Aak00000FtDsPEAV"/>
    <s v="a06ak00000amzC2AAI"/>
    <s v="Lily Rossi"/>
    <s v="Focused on sight reading."/>
    <x v="9"/>
    <b v="0"/>
    <m/>
    <s v="005ak00000icyWTAAY"/>
    <s v="2026-09-16T17:01:27.000Z"/>
    <m/>
    <m/>
    <d v="2026-07-18T00:00:00"/>
    <s v="LSN-00433"/>
    <s v="L-0000425"/>
    <s v="131ak000001XjDtAAK"/>
    <b v="0"/>
    <b v="0"/>
    <s v="L-0000425"/>
    <s v="15:00:00.000Z"/>
    <x v="0"/>
    <s v="a07ak00001rZMqgAAG"/>
    <s v="Adrian Lewis"/>
    <s v="2026-09-16T17:01:27.000Z"/>
    <b v="1"/>
    <s v="a06ak00000amzC2AAI|2026-07-18|15:00:00.000Z"/>
    <n v="1"/>
    <s v="Red Bank"/>
    <x v="8"/>
    <x v="0"/>
  </r>
  <r>
    <s v="005ak00000icyWTAAY"/>
    <s v="2026-09-14T21:01:58.000Z"/>
    <n v="30"/>
    <s v="a0Aak00000FtDsQEAV"/>
    <s v="a06ak00000amzC2AAI"/>
    <s v="Lily Rossi"/>
    <m/>
    <x v="9"/>
    <b v="0"/>
    <m/>
    <s v="005ak00000icyWTAAY"/>
    <s v="2026-09-16T17:01:27.000Z"/>
    <m/>
    <m/>
    <d v="2026-03-21T00:00:00"/>
    <s v="LSN-00435"/>
    <s v="L-0000426"/>
    <s v="131ak000001XjDtAAK"/>
    <b v="0"/>
    <b v="0"/>
    <s v="L-0000426"/>
    <s v="11:00:00.000Z"/>
    <x v="3"/>
    <s v="a07ak00001rZMqgAAG"/>
    <s v="Adrian Lewis"/>
    <s v="2026-09-16T17:01:27.000Z"/>
    <b v="1"/>
    <s v="a06ak00000amzC2AAI|2026-03-21|11:00:00.000Z"/>
    <n v="1"/>
    <s v="Red Bank"/>
    <x v="3"/>
    <x v="0"/>
  </r>
  <r>
    <s v="005ak00000icyWTAAY"/>
    <s v="2026-09-14T21:01:58.000Z"/>
    <n v="60"/>
    <s v="a0Aak00000FtDsREAV"/>
    <s v="a06ak00000amzC2AAI"/>
    <s v="Lily Rossi"/>
    <s v="Focused on sight reading."/>
    <x v="9"/>
    <b v="0"/>
    <m/>
    <s v="005ak00000icyWTAAY"/>
    <s v="2026-09-16T17:01:27.000Z"/>
    <m/>
    <m/>
    <d v="2026-07-13T00:00:00"/>
    <s v="LSN-00436"/>
    <s v="L-0000427"/>
    <s v="131ak000001XjDtAAK"/>
    <b v="0"/>
    <b v="0"/>
    <s v="L-0000427"/>
    <s v="11:00:00.000Z"/>
    <x v="0"/>
    <s v="a07ak00001rZMqgAAG"/>
    <s v="Adrian Lewis"/>
    <s v="2026-09-16T17:01:27.000Z"/>
    <b v="1"/>
    <s v="a06ak00000amzC2AAI|2026-07-13|11:00:00.000Z"/>
    <n v="1"/>
    <s v="Red Bank"/>
    <x v="8"/>
    <x v="0"/>
  </r>
  <r>
    <s v="005ak00000icyWTAAY"/>
    <s v="2026-09-14T21:01:58.000Z"/>
    <n v="30"/>
    <s v="a0Aak00000FtDsSEAV"/>
    <s v="a06ak00000amzC2AAI"/>
    <s v="Lily Rossi"/>
    <s v="Good progress on technique."/>
    <x v="9"/>
    <b v="0"/>
    <m/>
    <s v="005ak00000icyWTAAY"/>
    <s v="2026-09-16T17:01:27.000Z"/>
    <m/>
    <m/>
    <d v="2026-05-26T00:00:00"/>
    <s v="LSN-00437"/>
    <s v="L-0000428"/>
    <s v="131ak000001XjDtAAK"/>
    <b v="0"/>
    <b v="0"/>
    <s v="L-0000428"/>
    <s v="11:00:00.000Z"/>
    <x v="0"/>
    <s v="a07ak00001rZMqgAAG"/>
    <s v="Adrian Lewis"/>
    <s v="2026-09-16T17:01:27.000Z"/>
    <b v="1"/>
    <s v="a06ak00000amzC2AAI|2026-05-26|11:00:00.000Z"/>
    <n v="1"/>
    <s v="Red Bank"/>
    <x v="0"/>
    <x v="0"/>
  </r>
  <r>
    <s v="005ak00000icyWTAAY"/>
    <s v="2026-09-14T21:01:58.000Z"/>
    <n v="60"/>
    <s v="a0Aak00000FtDsTEAV"/>
    <s v="a06ak00000amzC8AAI"/>
    <s v="Adrian Byrne"/>
    <m/>
    <x v="9"/>
    <b v="0"/>
    <m/>
    <s v="005ak00000icyWTAAY"/>
    <s v="2026-09-16T17:01:27.000Z"/>
    <m/>
    <m/>
    <d v="2026-08-29T00:00:00"/>
    <s v="LSN-00438"/>
    <s v="L-0000429"/>
    <s v="131ak000001XjDvAAK"/>
    <b v="0"/>
    <b v="0"/>
    <s v="L-0000429"/>
    <s v="18:00:00.000Z"/>
    <x v="3"/>
    <s v="a07ak00001rZMqhAAG"/>
    <s v="Chloe Allen"/>
    <s v="2026-09-16T17:01:27.000Z"/>
    <b v="1"/>
    <s v="a06ak00000amzC8AAI|2026-08-29|18:00:00.000Z"/>
    <n v="1"/>
    <s v="Toms River"/>
    <x v="6"/>
    <x v="0"/>
  </r>
  <r>
    <s v="005ak00000icyWTAAY"/>
    <s v="2026-09-14T21:01:58.000Z"/>
    <n v="45"/>
    <s v="a0Aak00000FtDsUEAV"/>
    <s v="a06ak00000amzC8AAI"/>
    <s v="Adrian Byrne"/>
    <s v="Good progress on technique."/>
    <x v="9"/>
    <b v="0"/>
    <m/>
    <s v="005ak00000icyWTAAY"/>
    <s v="2026-09-16T17:01:27.000Z"/>
    <m/>
    <m/>
    <d v="2026-03-21T00:00:00"/>
    <s v="LSN-00439"/>
    <s v="L-0000430"/>
    <s v="131ak000001XjDvAAK"/>
    <b v="0"/>
    <b v="0"/>
    <s v="L-0000430"/>
    <s v="15:00:00.000Z"/>
    <x v="0"/>
    <s v="a07ak00001rZMqhAAG"/>
    <s v="Chloe Allen"/>
    <s v="2026-09-16T17:01:27.000Z"/>
    <b v="1"/>
    <s v="a06ak00000amzC8AAI|2026-03-21|15:00:00.000Z"/>
    <n v="1"/>
    <s v="Toms River"/>
    <x v="3"/>
    <x v="0"/>
  </r>
  <r>
    <s v="005ak00000icyWTAAY"/>
    <s v="2026-09-14T21:01:58.000Z"/>
    <n v="30"/>
    <s v="a0Aak00000FtDsVEAV"/>
    <s v="a06ak00000amzC8AAI"/>
    <s v="Adrian Byrne"/>
    <m/>
    <x v="9"/>
    <b v="0"/>
    <m/>
    <s v="005ak00000icyWTAAY"/>
    <s v="2026-09-16T17:01:27.000Z"/>
    <m/>
    <m/>
    <d v="2026-05-28T00:00:00"/>
    <s v="LSN-00440"/>
    <s v="L-0000431"/>
    <s v="131ak000001XjDvAAK"/>
    <b v="0"/>
    <b v="0"/>
    <s v="L-0000431"/>
    <s v="18:30:00.000Z"/>
    <x v="3"/>
    <s v="a07ak00001rZMqhAAG"/>
    <s v="Chloe Allen"/>
    <s v="2026-09-16T17:01:27.000Z"/>
    <b v="1"/>
    <s v="a06ak00000amzC8AAI|2026-05-28|18:30:00.000Z"/>
    <n v="1"/>
    <s v="Toms River"/>
    <x v="0"/>
    <x v="0"/>
  </r>
  <r>
    <s v="005ak00000icyWTAAY"/>
    <s v="2026-09-14T21:01:58.000Z"/>
    <n v="45"/>
    <s v="a0Aak00000FtDsWEAV"/>
    <s v="a06ak00000amzC8AAI"/>
    <s v="Adrian Byrne"/>
    <s v="Focused on sight reading."/>
    <x v="9"/>
    <b v="0"/>
    <m/>
    <s v="005ak00000icyWTAAY"/>
    <s v="2026-09-16T17:01:27.000Z"/>
    <m/>
    <m/>
    <d v="2026-06-22T00:00:00"/>
    <s v="LSN-00441"/>
    <s v="L-0000432"/>
    <s v="131ak000001XjDvAAK"/>
    <b v="0"/>
    <b v="0"/>
    <s v="L-0000432"/>
    <s v="18:30:00.000Z"/>
    <x v="0"/>
    <s v="a07ak00001rZMqhAAG"/>
    <s v="Chloe Allen"/>
    <s v="2026-09-16T17:01:27.000Z"/>
    <b v="1"/>
    <s v="a06ak00000amzC8AAI|2026-06-22|18:30:00.000Z"/>
    <n v="1"/>
    <s v="Toms River"/>
    <x v="7"/>
    <x v="0"/>
  </r>
  <r>
    <s v="005ak00000icyWTAAY"/>
    <s v="2026-09-14T21:01:58.000Z"/>
    <n v="45"/>
    <s v="a0Aak00000FtDsXEAV"/>
    <s v="a06ak00000amzC8AAI"/>
    <s v="Adrian Byrne"/>
    <m/>
    <x v="9"/>
    <b v="0"/>
    <m/>
    <s v="005ak00000icyWTAAY"/>
    <s v="2026-09-16T17:01:27.000Z"/>
    <m/>
    <m/>
    <d v="2026-03-05T00:00:00"/>
    <s v="LSN-00442"/>
    <s v="L-0000433"/>
    <s v="131ak000001XjDvAAK"/>
    <b v="0"/>
    <b v="0"/>
    <s v="L-0000433"/>
    <s v="15:30:00.000Z"/>
    <x v="0"/>
    <s v="a07ak00001rZMqhAAG"/>
    <s v="Chloe Allen"/>
    <s v="2026-09-16T17:01:27.000Z"/>
    <b v="1"/>
    <s v="a06ak00000amzC8AAI|2026-03-05|15:30:00.000Z"/>
    <n v="1"/>
    <s v="Toms River"/>
    <x v="3"/>
    <x v="0"/>
  </r>
  <r>
    <s v="005ak00000icyWTAAY"/>
    <s v="2026-09-14T21:01:58.000Z"/>
    <n v="60"/>
    <s v="a0Aak00000FtDsYEAV"/>
    <s v="a06ak00000amzC8AAI"/>
    <s v="Adrian Byrne"/>
    <s v="Reviewed last week&amp;#39;s assignment."/>
    <x v="9"/>
    <b v="0"/>
    <m/>
    <s v="005ak00000icyWTAAY"/>
    <s v="2026-09-16T17:01:27.000Z"/>
    <m/>
    <m/>
    <d v="2026-07-29T00:00:00"/>
    <s v="LSN-00443"/>
    <s v="L-0000434"/>
    <s v="131ak000001XjDvAAK"/>
    <b v="0"/>
    <b v="0"/>
    <s v="L-0000434"/>
    <s v="15:00:00.000Z"/>
    <x v="0"/>
    <s v="a07ak00001rZMqhAAG"/>
    <s v="Chloe Allen"/>
    <s v="2026-09-16T17:01:27.000Z"/>
    <b v="1"/>
    <s v="a06ak00000amzC8AAI|2026-07-29|15:00:00.000Z"/>
    <n v="1"/>
    <s v="Toms River"/>
    <x v="8"/>
    <x v="0"/>
  </r>
  <r>
    <s v="005ak00000icyWTAAY"/>
    <s v="2026-09-14T21:01:58.000Z"/>
    <n v="30"/>
    <s v="a0Aak00000FtDsZEAV"/>
    <s v="a06ak00000amzC8AAI"/>
    <s v="Adrian Byrne"/>
    <s v="Reviewed last week&amp;#39;s assignment."/>
    <x v="9"/>
    <b v="0"/>
    <m/>
    <s v="005ak00000icyWTAAY"/>
    <s v="2026-09-16T17:01:27.000Z"/>
    <m/>
    <m/>
    <d v="2026-02-15T00:00:00"/>
    <s v="LSN-00444"/>
    <s v="L-0000435"/>
    <s v="131ak000001XjDvAAK"/>
    <b v="0"/>
    <b v="0"/>
    <s v="L-0000435"/>
    <s v="10:00:00.000Z"/>
    <x v="0"/>
    <s v="a07ak00001rZMqhAAG"/>
    <s v="Chloe Allen"/>
    <s v="2026-09-16T17:01:27.000Z"/>
    <b v="1"/>
    <s v="a06ak00000amzC8AAI|2026-02-15|10:00:00.000Z"/>
    <n v="1"/>
    <s v="Toms River"/>
    <x v="1"/>
    <x v="0"/>
  </r>
  <r>
    <s v="005ak00000icyWTAAY"/>
    <s v="2026-09-14T21:01:58.000Z"/>
    <n v="30"/>
    <s v="a0Aak00000FtDsaEAF"/>
    <s v="a06ak00000amzCLAAY"/>
    <s v="Liam Moore"/>
    <m/>
    <x v="7"/>
    <b v="0"/>
    <m/>
    <s v="005ak00000icyWTAAY"/>
    <s v="2026-09-16T17:01:27.000Z"/>
    <m/>
    <m/>
    <d v="2026-05-06T00:00:00"/>
    <s v="LSN-00445"/>
    <s v="L-0000436"/>
    <s v="131ak000001XjDtAAK"/>
    <b v="0"/>
    <b v="0"/>
    <s v="L-0000436"/>
    <s v="18:30:00.000Z"/>
    <x v="0"/>
    <s v="a07ak00001rZMqiAAG"/>
    <s v="Hazel Perez"/>
    <s v="2026-09-16T17:01:27.000Z"/>
    <b v="1"/>
    <s v="a06ak00000amzCLAAY|2026-05-06|18:30:00.000Z"/>
    <n v="1"/>
    <s v="Red Bank"/>
    <x v="0"/>
    <x v="0"/>
  </r>
  <r>
    <s v="005ak00000icyWTAAY"/>
    <s v="2026-09-14T21:01:58.000Z"/>
    <n v="30"/>
    <s v="a0Aak00000FtDsbEAF"/>
    <s v="a06ak00000amzCLAAY"/>
    <s v="Liam Moore"/>
    <s v="Reviewed last week&amp;#39;s assignment."/>
    <x v="7"/>
    <b v="0"/>
    <m/>
    <s v="005ak00000icyWTAAY"/>
    <s v="2026-09-16T17:01:27.000Z"/>
    <m/>
    <m/>
    <d v="2026-01-31T00:00:00"/>
    <s v="LSN-00446"/>
    <s v="L-0000437"/>
    <s v="131ak000001XjDtAAK"/>
    <b v="0"/>
    <b v="0"/>
    <s v="L-0000437"/>
    <s v="11:00:00.000Z"/>
    <x v="0"/>
    <s v="a07ak00001rZMqiAAG"/>
    <s v="Hazel Perez"/>
    <s v="2026-09-16T17:01:27.000Z"/>
    <b v="1"/>
    <s v="a06ak00000amzCLAAY|2026-01-31|11:00:00.000Z"/>
    <n v="1"/>
    <s v="Red Bank"/>
    <x v="4"/>
    <x v="0"/>
  </r>
  <r>
    <s v="005ak00000icyWTAAY"/>
    <s v="2026-09-14T21:01:58.000Z"/>
    <n v="30"/>
    <s v="a0Aak00000FtDscEAF"/>
    <s v="a06ak00000amzCLAAY"/>
    <s v="Liam Moore"/>
    <s v="Focused on sight reading."/>
    <x v="7"/>
    <b v="0"/>
    <m/>
    <s v="005ak00000icyWTAAY"/>
    <s v="2026-09-16T17:01:27.000Z"/>
    <m/>
    <m/>
    <d v="2026-09-07T00:00:00"/>
    <s v="LSN-00447"/>
    <s v="L-0000438"/>
    <s v="131ak000001XjDtAAK"/>
    <b v="0"/>
    <b v="0"/>
    <s v="L-0000438"/>
    <s v="11:00:00.000Z"/>
    <x v="0"/>
    <s v="a07ak00001rZMqiAAG"/>
    <s v="Hazel Perez"/>
    <s v="2026-09-16T17:01:27.000Z"/>
    <b v="1"/>
    <s v="a06ak00000amzCLAAY|2026-09-07|11:00:00.000Z"/>
    <n v="1"/>
    <s v="Red Bank"/>
    <x v="2"/>
    <x v="0"/>
  </r>
  <r>
    <s v="005ak00000icyWTAAY"/>
    <s v="2026-09-14T21:01:58.000Z"/>
    <n v="60"/>
    <s v="a0Aak00000FtDsdEAF"/>
    <s v="a06ak00000amzCLAAY"/>
    <s v="Liam Moore"/>
    <s v="Worked on scales and timing."/>
    <x v="7"/>
    <b v="0"/>
    <m/>
    <s v="005ak00000icyWTAAY"/>
    <s v="2026-09-16T17:01:27.000Z"/>
    <m/>
    <m/>
    <d v="2026-05-05T00:00:00"/>
    <s v="LSN-00448"/>
    <s v="L-0000439"/>
    <s v="131ak000001XjDtAAK"/>
    <b v="0"/>
    <b v="0"/>
    <s v="L-0000439"/>
    <s v="17:00:00.000Z"/>
    <x v="0"/>
    <s v="a07ak00001rZMqiAAG"/>
    <s v="Hazel Perez"/>
    <s v="2026-09-16T17:01:27.000Z"/>
    <b v="1"/>
    <s v="a06ak00000amzCLAAY|2026-05-05|17:00:00.000Z"/>
    <n v="1"/>
    <s v="Red Bank"/>
    <x v="0"/>
    <x v="0"/>
  </r>
  <r>
    <s v="005ak00000icyWTAAY"/>
    <s v="2026-09-14T21:01:58.000Z"/>
    <n v="30"/>
    <s v="a0Aak00000FtDseEAF"/>
    <s v="a06ak00000amzCLAAY"/>
    <s v="Liam Moore"/>
    <s v="Worked on scales and timing."/>
    <x v="7"/>
    <b v="0"/>
    <m/>
    <s v="005ak00000icyWTAAY"/>
    <s v="2026-09-16T17:01:27.000Z"/>
    <m/>
    <m/>
    <d v="2026-07-25T00:00:00"/>
    <s v="LSN-00449"/>
    <s v="L-0000440"/>
    <s v="131ak000001XjDtAAK"/>
    <b v="0"/>
    <b v="0"/>
    <s v="L-0000440"/>
    <s v="16:00:00.000Z"/>
    <x v="0"/>
    <s v="a07ak00001rZMqiAAG"/>
    <s v="Hazel Perez"/>
    <s v="2026-09-16T17:01:27.000Z"/>
    <b v="1"/>
    <s v="a06ak00000amzCLAAY|2026-07-25|16:00:00.000Z"/>
    <n v="1"/>
    <s v="Red Bank"/>
    <x v="8"/>
    <x v="0"/>
  </r>
  <r>
    <s v="005ak00000icyWTAAY"/>
    <s v="2026-09-14T21:01:58.000Z"/>
    <n v="30"/>
    <s v="a0Aak00000FtDsfEAF"/>
    <s v="a06ak00000amzCLAAY"/>
    <s v="Liam Moore"/>
    <s v="Good progress on technique."/>
    <x v="7"/>
    <b v="0"/>
    <m/>
    <s v="005ak00000icyWTAAY"/>
    <s v="2026-09-16T17:01:27.000Z"/>
    <m/>
    <m/>
    <d v="2026-07-05T00:00:00"/>
    <s v="LSN-00450"/>
    <s v="L-0000441"/>
    <s v="131ak000001XjDtAAK"/>
    <b v="0"/>
    <b v="0"/>
    <s v="L-0000441"/>
    <s v="16:00:00.000Z"/>
    <x v="0"/>
    <s v="a07ak00001rZMqiAAG"/>
    <s v="Hazel Perez"/>
    <s v="2026-09-16T17:01:27.000Z"/>
    <b v="1"/>
    <s v="a06ak00000amzCLAAY|2026-07-05|16:00:00.000Z"/>
    <n v="1"/>
    <s v="Red Bank"/>
    <x v="8"/>
    <x v="0"/>
  </r>
  <r>
    <s v="005ak00000icyWTAAY"/>
    <s v="2026-09-14T21:01:58.000Z"/>
    <n v="45"/>
    <s v="a0Aak00000FtDsgEAF"/>
    <s v="a06ak00000amzCLAAY"/>
    <s v="Liam Moore"/>
    <m/>
    <x v="7"/>
    <b v="0"/>
    <m/>
    <s v="005ak00000icyWTAAY"/>
    <s v="2026-09-16T17:01:27.000Z"/>
    <m/>
    <m/>
    <d v="2026-09-16T00:00:00"/>
    <s v="LSN-00451"/>
    <s v="L-0000442"/>
    <s v="131ak000001XjDtAAK"/>
    <b v="1"/>
    <b v="0"/>
    <s v="L-0000442"/>
    <s v="17:00:00.000Z"/>
    <x v="4"/>
    <s v="a07ak00001rZMqiAAG"/>
    <s v="Hazel Perez"/>
    <s v="2026-09-16T17:01:27.000Z"/>
    <b v="1"/>
    <s v=""/>
    <n v="114"/>
    <s v="Red Bank"/>
    <x v="2"/>
    <x v="0"/>
  </r>
  <r>
    <s v="005ak00000icyWTAAY"/>
    <s v="2026-09-14T21:01:58.000Z"/>
    <n v="60"/>
    <s v="a0Aak00000FtDshEAF"/>
    <s v="a06ak00000amzCLAAY"/>
    <s v="Liam Moore"/>
    <s v="Focused on sight reading."/>
    <x v="7"/>
    <b v="0"/>
    <m/>
    <s v="005ak00000icyWTAAY"/>
    <s v="2026-09-16T17:01:27.000Z"/>
    <m/>
    <m/>
    <d v="2026-07-19T00:00:00"/>
    <s v="LSN-00452"/>
    <s v="L-0000443"/>
    <s v="131ak000001XjDtAAK"/>
    <b v="0"/>
    <b v="0"/>
    <s v="L-0000443"/>
    <s v="16:00:00.000Z"/>
    <x v="0"/>
    <s v="a07ak00001rZMqiAAG"/>
    <s v="Hazel Perez"/>
    <s v="2026-09-16T17:01:27.000Z"/>
    <b v="1"/>
    <s v="a06ak00000amzCLAAY|2026-07-19|16:00:00.000Z"/>
    <n v="1"/>
    <s v="Red Bank"/>
    <x v="8"/>
    <x v="0"/>
  </r>
  <r>
    <s v="005ak00000icyWTAAY"/>
    <s v="2026-09-14T21:01:58.000Z"/>
    <n v="30"/>
    <s v="a0Aak00000FtDsiEAF"/>
    <s v="a06ak00000amzCLAAY"/>
    <s v="Liam Moore"/>
    <s v="Focused on sight reading."/>
    <x v="7"/>
    <b v="0"/>
    <m/>
    <s v="005ak00000icyWTAAY"/>
    <s v="2026-09-16T17:01:27.000Z"/>
    <m/>
    <m/>
    <d v="2026-01-14T00:00:00"/>
    <s v="LSN-00453"/>
    <s v="L-0000444"/>
    <s v="131ak000001XjDtAAK"/>
    <b v="0"/>
    <b v="0"/>
    <s v="L-0000444"/>
    <s v="15:00:00.000Z"/>
    <x v="0"/>
    <s v="a07ak00001rZMqiAAG"/>
    <s v="Hazel Perez"/>
    <s v="2026-09-16T17:01:27.000Z"/>
    <b v="1"/>
    <s v="a06ak00000amzCLAAY|2026-01-14|15:00:00.000Z"/>
    <n v="1"/>
    <s v="Red Bank"/>
    <x v="4"/>
    <x v="0"/>
  </r>
  <r>
    <s v="005ak00000icyWTAAY"/>
    <s v="2026-09-14T21:01:58.000Z"/>
    <n v="30"/>
    <s v="a0Aak00000FtDsjEAF"/>
    <s v="a06ak00000amzCDAAY"/>
    <s v="Vincent Kelly"/>
    <s v="Started new piece."/>
    <x v="9"/>
    <b v="0"/>
    <m/>
    <s v="005ak00000icyWTAAY"/>
    <s v="2026-09-16T17:01:27.000Z"/>
    <m/>
    <m/>
    <d v="2026-09-11T00:00:00"/>
    <s v="LSN-00454"/>
    <s v="L-0000445"/>
    <s v="131ak000001XjDtAAK"/>
    <b v="0"/>
    <b v="0"/>
    <s v="L-0000445"/>
    <s v="17:30:00.000Z"/>
    <x v="0"/>
    <s v="a07ak00001rZMqjAAG"/>
    <s v="Jamal Sanchez"/>
    <s v="2026-09-16T17:01:27.000Z"/>
    <b v="1"/>
    <s v="a06ak00000amzCDAAY|2026-09-11|17:30:00.000Z"/>
    <n v="1"/>
    <s v="Red Bank"/>
    <x v="2"/>
    <x v="0"/>
  </r>
  <r>
    <s v="005ak00000icyWTAAY"/>
    <s v="2026-09-14T21:01:58.000Z"/>
    <n v="45"/>
    <s v="a0Aak00000FtDskEAF"/>
    <s v="a06ak00000amzCDAAY"/>
    <s v="Vincent Kelly"/>
    <m/>
    <x v="9"/>
    <b v="0"/>
    <m/>
    <s v="005ak00000icyWTAAY"/>
    <s v="2026-09-16T17:01:27.000Z"/>
    <m/>
    <m/>
    <d v="2026-02-27T00:00:00"/>
    <s v="LSN-00455"/>
    <s v="L-0000446"/>
    <s v="131ak000001XjDtAAK"/>
    <b v="0"/>
    <b v="0"/>
    <s v="L-0000446"/>
    <s v="16:30:00.000Z"/>
    <x v="3"/>
    <s v="a07ak00001rZMqjAAG"/>
    <s v="Jamal Sanchez"/>
    <s v="2026-09-16T17:01:27.000Z"/>
    <b v="1"/>
    <s v="a06ak00000amzCDAAY|2026-02-27|16:30:00.000Z"/>
    <n v="1"/>
    <s v="Red Bank"/>
    <x v="1"/>
    <x v="0"/>
  </r>
  <r>
    <s v="005ak00000icyWTAAY"/>
    <s v="2026-09-14T21:01:58.000Z"/>
    <n v="30"/>
    <s v="a0Aak00000FtDslEAF"/>
    <s v="a06ak00000amzC0AAI"/>
    <s v="James Moore"/>
    <s v="Started new piece."/>
    <x v="9"/>
    <b v="0"/>
    <m/>
    <s v="005ak00000icyWTAAY"/>
    <s v="2026-09-23T19:02:24.000Z"/>
    <m/>
    <m/>
    <d v="2026-10-03T00:00:00"/>
    <s v="LSN-00456"/>
    <s v="L-0000447"/>
    <s v="131ak000001XjDtAAK"/>
    <b v="0"/>
    <b v="0"/>
    <s v="L-0000447"/>
    <s v="16:00:00.000Z"/>
    <x v="0"/>
    <s v="a07ak00001rZMqjAAG"/>
    <s v="Jamal Sanchez"/>
    <s v="2026-09-23T19:02:24.000Z"/>
    <b v="1"/>
    <s v="a06ak00000amzC0AAI|2026-10-03|16:00:00.000Z"/>
    <n v="1"/>
    <s v="Red Bank"/>
    <x v="9"/>
    <x v="0"/>
  </r>
  <r>
    <s v="005ak00000icyWTAAY"/>
    <s v="2026-09-14T21:01:58.000Z"/>
    <n v="30"/>
    <s v="a0Aak00000FtDsmEAF"/>
    <s v="a06ak00000amzCDAAY"/>
    <s v="Vincent Kelly"/>
    <s v="Started new piece."/>
    <x v="9"/>
    <b v="0"/>
    <m/>
    <s v="005ak00000icyWTAAY"/>
    <s v="2026-09-16T17:01:27.000Z"/>
    <m/>
    <m/>
    <d v="2026-04-16T00:00:00"/>
    <s v="LSN-00457"/>
    <s v="L-0000448"/>
    <s v="131ak000001XjDtAAK"/>
    <b v="0"/>
    <b v="0"/>
    <s v="L-0000448"/>
    <s v="17:00:00.000Z"/>
    <x v="0"/>
    <s v="a07ak00001rZMqjAAG"/>
    <s v="Jamal Sanchez"/>
    <s v="2026-09-16T17:01:27.000Z"/>
    <b v="1"/>
    <s v="a06ak00000amzCDAAY|2026-04-16|17:00:00.000Z"/>
    <n v="1"/>
    <s v="Red Bank"/>
    <x v="5"/>
    <x v="0"/>
  </r>
  <r>
    <s v="005ak00000icyWTAAY"/>
    <s v="2026-09-14T21:01:58.000Z"/>
    <n v="60"/>
    <s v="a0Aak00000FtDsnEAF"/>
    <s v="a06ak00000amzCDAAY"/>
    <s v="Vincent Kelly"/>
    <s v="Good progress on technique."/>
    <x v="9"/>
    <b v="0"/>
    <m/>
    <s v="005ak00000icyWTAAY"/>
    <s v="2026-09-16T17:01:27.000Z"/>
    <m/>
    <m/>
    <d v="2026-04-20T00:00:00"/>
    <s v="LSN-00458"/>
    <s v="L-0000449"/>
    <s v="131ak000001XjDtAAK"/>
    <b v="0"/>
    <b v="0"/>
    <s v="L-0000449"/>
    <s v="16:30:00.000Z"/>
    <x v="0"/>
    <s v="a07ak00001rZMqjAAG"/>
    <s v="Jamal Sanchez"/>
    <s v="2026-09-16T17:01:27.000Z"/>
    <b v="1"/>
    <s v="a06ak00000amzCDAAY|2026-04-20|16:30:00.000Z"/>
    <n v="1"/>
    <s v="Red Bank"/>
    <x v="5"/>
    <x v="0"/>
  </r>
  <r>
    <s v="005ak00000icyWTAAY"/>
    <s v="2026-09-14T21:01:58.000Z"/>
    <n v="30"/>
    <s v="a0Aak00000FtDsoEAF"/>
    <s v="a06ak00000amzCDAAY"/>
    <s v="Vincent Kelly"/>
    <s v="Reviewed last week&amp;#39;s assignment."/>
    <x v="9"/>
    <b v="0"/>
    <m/>
    <s v="005ak00000icyWTAAY"/>
    <s v="2026-09-16T17:01:27.000Z"/>
    <m/>
    <m/>
    <d v="2026-05-01T00:00:00"/>
    <s v="LSN-00459"/>
    <s v="L-0000450"/>
    <s v="131ak000001XjDtAAK"/>
    <b v="0"/>
    <b v="0"/>
    <s v="L-0000450"/>
    <s v="16:30:00.000Z"/>
    <x v="0"/>
    <s v="a07ak00001rZMqjAAG"/>
    <s v="Jamal Sanchez"/>
    <s v="2026-09-16T17:01:27.000Z"/>
    <b v="1"/>
    <s v="a06ak00000amzCDAAY|2026-05-01|16:30:00.000Z"/>
    <n v="1"/>
    <s v="Red Bank"/>
    <x v="0"/>
    <x v="0"/>
  </r>
  <r>
    <s v="005ak00000icyWTAAY"/>
    <s v="2026-09-14T21:01:58.000Z"/>
    <n v="30"/>
    <s v="a0Aak00000FtDspEAF"/>
    <s v="a06ak00000amzByAAI"/>
    <s v="Vincent Sullivan"/>
    <m/>
    <x v="10"/>
    <b v="0"/>
    <m/>
    <s v="005ak00000icyWTAAY"/>
    <s v="2026-09-16T17:01:27.000Z"/>
    <m/>
    <m/>
    <d v="2026-05-02T00:00:00"/>
    <s v="LSN-00460"/>
    <s v="L-0000451"/>
    <s v="131ak000001XjDuAAK"/>
    <b v="0"/>
    <b v="0"/>
    <s v="L-0000451"/>
    <s v="19:00:00.000Z"/>
    <x v="3"/>
    <s v="a07ak00001rZMqlAAG"/>
    <s v="Savannah Campbell"/>
    <s v="2026-09-16T17:01:27.000Z"/>
    <b v="1"/>
    <s v="a06ak00000amzByAAI|2026-05-02|19:00:00.000Z"/>
    <n v="1"/>
    <s v="Brick"/>
    <x v="0"/>
    <x v="0"/>
  </r>
  <r>
    <s v="005ak00000icyWTAAY"/>
    <s v="2026-09-14T21:01:58.000Z"/>
    <n v="30"/>
    <s v="a0Aak00000FtDsqEAF"/>
    <s v="a06ak00000amzByAAI"/>
    <s v="Vincent Sullivan"/>
    <m/>
    <x v="10"/>
    <b v="0"/>
    <m/>
    <s v="005ak00000icyWTAAY"/>
    <s v="2026-09-16T17:01:27.000Z"/>
    <m/>
    <m/>
    <d v="2026-02-23T00:00:00"/>
    <s v="LSN-00461"/>
    <s v="L-0000452"/>
    <s v="131ak000001XjDuAAK"/>
    <b v="0"/>
    <b v="0"/>
    <s v="L-0000452"/>
    <s v="17:30:00.000Z"/>
    <x v="3"/>
    <s v="a07ak00001rZMqlAAG"/>
    <s v="Savannah Campbell"/>
    <s v="2026-09-16T17:01:27.000Z"/>
    <b v="1"/>
    <s v="a06ak00000amzByAAI|2026-02-23|17:30:00.000Z"/>
    <n v="1"/>
    <s v="Brick"/>
    <x v="1"/>
    <x v="0"/>
  </r>
  <r>
    <s v="005ak00000icyWTAAY"/>
    <s v="2026-09-14T21:01:58.000Z"/>
    <n v="30"/>
    <s v="a0Aak00000FtDsrEAF"/>
    <s v="a06ak00000amzByAAI"/>
    <s v="Vincent Sullivan"/>
    <s v="Worked on scales and timing."/>
    <x v="10"/>
    <b v="0"/>
    <m/>
    <s v="005ak00000icyWTAAY"/>
    <s v="2026-09-16T17:01:27.000Z"/>
    <m/>
    <m/>
    <d v="2026-09-13T00:00:00"/>
    <s v="LSN-00462"/>
    <s v="L-0000453"/>
    <s v="131ak000001XjDuAAK"/>
    <b v="0"/>
    <b v="0"/>
    <s v="L-0000453"/>
    <s v="19:00:00.000Z"/>
    <x v="0"/>
    <s v="a07ak00001rZMqlAAG"/>
    <s v="Savannah Campbell"/>
    <s v="2026-09-16T17:01:27.000Z"/>
    <b v="1"/>
    <s v="a06ak00000amzByAAI|2026-09-13|19:00:00.000Z"/>
    <n v="1"/>
    <s v="Brick"/>
    <x v="2"/>
    <x v="0"/>
  </r>
  <r>
    <s v="005ak00000icyWTAAY"/>
    <s v="2026-09-14T21:01:58.000Z"/>
    <n v="45"/>
    <s v="a0Aak00000FtDssEAF"/>
    <s v="a06ak00000amzByAAI"/>
    <s v="Vincent Sullivan"/>
    <s v="Started new piece."/>
    <x v="10"/>
    <b v="0"/>
    <m/>
    <s v="005ak00000icyWTAAY"/>
    <s v="2026-09-16T17:01:27.000Z"/>
    <m/>
    <m/>
    <d v="2026-07-01T00:00:00"/>
    <s v="LSN-00463"/>
    <s v="L-0000454"/>
    <s v="131ak000001XjDuAAK"/>
    <b v="0"/>
    <b v="0"/>
    <s v="L-0000454"/>
    <s v="15:00:00.000Z"/>
    <x v="0"/>
    <s v="a07ak00001rZMqlAAG"/>
    <s v="Savannah Campbell"/>
    <s v="2026-09-16T17:01:27.000Z"/>
    <b v="1"/>
    <s v="a06ak00000amzByAAI|2026-07-01|15:00:00.000Z"/>
    <n v="1"/>
    <s v="Brick"/>
    <x v="8"/>
    <x v="0"/>
  </r>
  <r>
    <s v="005ak00000icyWTAAY"/>
    <s v="2026-09-14T21:01:58.000Z"/>
    <n v="30"/>
    <s v="a0Aak00000FtDstEAF"/>
    <s v="a06ak00000amzBzAAI"/>
    <s v="Ezra Garcia"/>
    <s v="Good progress on technique."/>
    <x v="5"/>
    <b v="0"/>
    <m/>
    <s v="005ak00000icyWTAAY"/>
    <s v="2026-09-16T17:01:27.000Z"/>
    <m/>
    <m/>
    <d v="2026-01-08T00:00:00"/>
    <s v="LSN-00464"/>
    <s v="L-0000455"/>
    <s v="131ak000001XjDtAAK"/>
    <b v="0"/>
    <b v="0"/>
    <s v="L-0000455"/>
    <s v="10:00:00.000Z"/>
    <x v="0"/>
    <s v="a07ak00001rZMqmAAG"/>
    <s v="Logan Harris"/>
    <s v="2026-09-16T17:01:27.000Z"/>
    <b v="1"/>
    <s v="a06ak00000amzBzAAI|2026-01-08|10:00:00.000Z"/>
    <n v="1"/>
    <s v="Red Bank"/>
    <x v="4"/>
    <x v="0"/>
  </r>
  <r>
    <s v="005ak00000icyWTAAY"/>
    <s v="2026-09-14T21:01:58.000Z"/>
    <n v="30"/>
    <s v="a0Aak00000FtDsuEAF"/>
    <s v="a06ak00000amzBzAAI"/>
    <s v="Ezra Garcia"/>
    <m/>
    <x v="5"/>
    <b v="0"/>
    <m/>
    <s v="005ak00000icyWTAAY"/>
    <s v="2026-09-16T17:01:27.000Z"/>
    <m/>
    <m/>
    <d v="2026-08-27T00:00:00"/>
    <s v="LSN-00465"/>
    <s v="L-0000456"/>
    <s v="131ak000001XjDtAAK"/>
    <b v="0"/>
    <b v="0"/>
    <s v="L-0000456"/>
    <s v="18:00:00.000Z"/>
    <x v="0"/>
    <s v="a07ak00001rZMqmAAG"/>
    <s v="Logan Harris"/>
    <s v="2026-09-16T17:01:27.000Z"/>
    <b v="1"/>
    <s v="a06ak00000amzBzAAI|2026-08-27|18:00:00.000Z"/>
    <n v="1"/>
    <s v="Red Bank"/>
    <x v="6"/>
    <x v="0"/>
  </r>
  <r>
    <s v="005ak00000icyWTAAY"/>
    <s v="2026-09-14T21:01:58.000Z"/>
    <n v="30"/>
    <s v="a0Aak00000FtDsvEAF"/>
    <s v="a06ak00000amzBzAAI"/>
    <s v="Ezra Garcia"/>
    <m/>
    <x v="5"/>
    <b v="0"/>
    <m/>
    <s v="005ak00000icyWTAAY"/>
    <s v="2026-09-16T17:01:27.000Z"/>
    <m/>
    <m/>
    <d v="2026-08-27T00:00:00"/>
    <s v="LSN-00466"/>
    <s v="L-0000457"/>
    <s v="131ak000001XjDtAAK"/>
    <b v="0"/>
    <b v="0"/>
    <s v="L-0000457"/>
    <s v="16:00:00.000Z"/>
    <x v="1"/>
    <s v="a07ak00001rZMqmAAG"/>
    <s v="Logan Harris"/>
    <s v="2026-09-16T17:01:27.000Z"/>
    <b v="1"/>
    <s v=""/>
    <m/>
    <s v="Red Bank"/>
    <x v="6"/>
    <x v="0"/>
  </r>
  <r>
    <s v="005ak00000icyWTAAY"/>
    <s v="2026-09-14T21:01:58.000Z"/>
    <n v="30"/>
    <s v="a0Aak00000FtDswEAF"/>
    <s v="a06ak00000amzC1AAI"/>
    <s v="Valentina Nakamura"/>
    <m/>
    <x v="5"/>
    <b v="0"/>
    <m/>
    <s v="005ak00000icyWTAAY"/>
    <s v="2026-09-16T17:01:27.000Z"/>
    <m/>
    <m/>
    <d v="2026-02-17T00:00:00"/>
    <s v="LSN-00467"/>
    <s v="L-0000458"/>
    <s v="131ak000001XjDuAAK"/>
    <b v="0"/>
    <b v="0"/>
    <s v="L-0000458"/>
    <s v="10:00:00.000Z"/>
    <x v="0"/>
    <s v="a07ak00001rZMqnAAG"/>
    <s v="Dylan Wright"/>
    <s v="2026-09-16T17:01:27.000Z"/>
    <b v="1"/>
    <s v="a06ak00000amzC1AAI|2026-02-17|10:00:00.000Z"/>
    <n v="1"/>
    <s v="Brick"/>
    <x v="1"/>
    <x v="0"/>
  </r>
  <r>
    <s v="005ak00000icyWTAAY"/>
    <s v="2026-09-14T21:01:58.000Z"/>
    <n v="30"/>
    <s v="a0Aak00000FtDsxEAF"/>
    <s v="a06ak00000amzC1AAI"/>
    <s v="Valentina Nakamura"/>
    <s v="Reviewed last week&amp;#39;s assignment."/>
    <x v="5"/>
    <b v="0"/>
    <m/>
    <s v="005ak00000icyWTAAY"/>
    <s v="2026-09-16T17:01:27.000Z"/>
    <m/>
    <m/>
    <d v="2026-03-05T00:00:00"/>
    <s v="LSN-00468"/>
    <s v="L-0000459"/>
    <s v="131ak000001XjDuAAK"/>
    <b v="0"/>
    <b v="0"/>
    <s v="L-0000459"/>
    <s v="16:00:00.000Z"/>
    <x v="0"/>
    <s v="a07ak00001rZMqnAAG"/>
    <s v="Dylan Wright"/>
    <s v="2026-09-16T17:01:27.000Z"/>
    <b v="1"/>
    <s v="a06ak00000amzC1AAI|2026-03-05|16:00:00.000Z"/>
    <n v="1"/>
    <s v="Brick"/>
    <x v="3"/>
    <x v="0"/>
  </r>
  <r>
    <s v="005ak00000icyWTAAY"/>
    <s v="2026-09-14T21:01:58.000Z"/>
    <n v="45"/>
    <s v="a0Aak00000FtDsyEAF"/>
    <s v="a06ak00000amzC1AAI"/>
    <s v="Valentina Nakamura"/>
    <s v="Worked on scales and timing."/>
    <x v="5"/>
    <b v="0"/>
    <m/>
    <s v="005ak00000icyWTAAY"/>
    <s v="2026-09-16T17:01:27.000Z"/>
    <m/>
    <m/>
    <d v="2026-03-29T00:00:00"/>
    <s v="LSN-00469"/>
    <s v="L-0000460"/>
    <s v="131ak000001XjDuAAK"/>
    <b v="0"/>
    <b v="0"/>
    <s v="L-0000460"/>
    <s v="18:30:00.000Z"/>
    <x v="0"/>
    <s v="a07ak00001rZMqnAAG"/>
    <s v="Dylan Wright"/>
    <s v="2026-09-16T17:01:27.000Z"/>
    <b v="1"/>
    <s v="a06ak00000amzC1AAI|2026-03-29|18:30:00.000Z"/>
    <n v="1"/>
    <s v="Brick"/>
    <x v="3"/>
    <x v="0"/>
  </r>
  <r>
    <s v="005ak00000icyWTAAY"/>
    <s v="2026-09-14T21:01:58.000Z"/>
    <n v="60"/>
    <s v="a0Aak00000FtDszEAF"/>
    <s v="a06ak00000amzBpAAI"/>
    <s v="Liam Lopez"/>
    <s v="Focused on sight reading."/>
    <x v="8"/>
    <b v="0"/>
    <m/>
    <s v="005ak00000icyWTAAY"/>
    <s v="2026-09-16T17:01:27.000Z"/>
    <m/>
    <m/>
    <d v="2026-04-12T00:00:00"/>
    <s v="LSN-00470"/>
    <s v="L-0000461"/>
    <s v="131ak000001XjDuAAK"/>
    <b v="0"/>
    <b v="0"/>
    <s v="L-0000461"/>
    <s v="15:30:00.000Z"/>
    <x v="0"/>
    <s v="a07ak00001rZMqoAAG"/>
    <s v="Bella Martin"/>
    <s v="2026-09-16T17:01:27.000Z"/>
    <b v="1"/>
    <s v="a06ak00000amzBpAAI|2026-04-12|15:30:00.000Z"/>
    <n v="1"/>
    <s v="Brick"/>
    <x v="5"/>
    <x v="0"/>
  </r>
  <r>
    <s v="005ak00000icyWTAAY"/>
    <s v="2026-09-14T21:01:58.000Z"/>
    <n v="30"/>
    <s v="a0Aak00000FtDt0EAF"/>
    <s v="a06ak00000amzBpAAI"/>
    <s v="Liam Lopez"/>
    <s v="Good progress on technique."/>
    <x v="8"/>
    <b v="0"/>
    <m/>
    <s v="005ak00000icyWTAAY"/>
    <s v="2026-09-16T17:01:27.000Z"/>
    <m/>
    <m/>
    <d v="2026-07-11T00:00:00"/>
    <s v="LSN-00471"/>
    <s v="L-0000462"/>
    <s v="131ak000001XjDuAAK"/>
    <b v="0"/>
    <b v="0"/>
    <s v="L-0000462"/>
    <s v="15:00:00.000Z"/>
    <x v="0"/>
    <s v="a07ak00001rZMqoAAG"/>
    <s v="Bella Martin"/>
    <s v="2026-09-16T17:01:27.000Z"/>
    <b v="1"/>
    <s v="a06ak00000amzBpAAI|2026-07-11|15:00:00.000Z"/>
    <n v="1"/>
    <s v="Brick"/>
    <x v="8"/>
    <x v="0"/>
  </r>
  <r>
    <s v="005ak00000icyWTAAY"/>
    <s v="2026-09-14T21:01:58.000Z"/>
    <n v="30"/>
    <s v="a0Aak00000FtDt1EAF"/>
    <s v="a06ak00000amzBpAAI"/>
    <s v="Liam Lopez"/>
    <s v="Started new piece."/>
    <x v="8"/>
    <b v="0"/>
    <m/>
    <s v="005ak00000icyWTAAY"/>
    <s v="2026-09-16T17:01:27.000Z"/>
    <m/>
    <m/>
    <d v="2026-01-28T00:00:00"/>
    <s v="LSN-00472"/>
    <s v="L-0000463"/>
    <s v="131ak000001XjDuAAK"/>
    <b v="0"/>
    <b v="0"/>
    <s v="L-0000463"/>
    <s v="15:30:00.000Z"/>
    <x v="0"/>
    <s v="a07ak00001rZMqoAAG"/>
    <s v="Bella Martin"/>
    <s v="2026-09-16T17:01:27.000Z"/>
    <b v="1"/>
    <s v="a06ak00000amzBpAAI|2026-01-28|15:30:00.000Z"/>
    <n v="1"/>
    <s v="Brick"/>
    <x v="4"/>
    <x v="0"/>
  </r>
  <r>
    <s v="005ak00000icyWTAAY"/>
    <s v="2026-09-14T21:01:58.000Z"/>
    <n v="60"/>
    <s v="a0Aak00000FtDt2EAF"/>
    <s v="a06ak00000amzBpAAI"/>
    <s v="Liam Lopez"/>
    <s v="Worked on scales and timing."/>
    <x v="8"/>
    <b v="0"/>
    <m/>
    <s v="005ak00000icyWTAAY"/>
    <s v="2026-09-16T17:01:27.000Z"/>
    <m/>
    <m/>
    <d v="2026-01-23T00:00:00"/>
    <s v="LSN-00473"/>
    <s v="L-0000464"/>
    <s v="131ak000001XjDuAAK"/>
    <b v="0"/>
    <b v="0"/>
    <s v="L-0000464"/>
    <s v="19:00:00.000Z"/>
    <x v="0"/>
    <s v="a07ak00001rZMqoAAG"/>
    <s v="Bella Martin"/>
    <s v="2026-09-16T17:01:27.000Z"/>
    <b v="1"/>
    <s v="a06ak00000amzBpAAI|2026-01-23|19:00:00.000Z"/>
    <n v="1"/>
    <s v="Brick"/>
    <x v="4"/>
    <x v="0"/>
  </r>
  <r>
    <s v="005ak00000icyWTAAY"/>
    <s v="2026-09-14T21:01:58.000Z"/>
    <n v="60"/>
    <s v="a0Aak00000FtDt3EAF"/>
    <s v="a06ak00000amzBpAAI"/>
    <s v="Liam Lopez"/>
    <s v="Started new piece."/>
    <x v="8"/>
    <b v="0"/>
    <m/>
    <s v="005ak00000icyWTAAY"/>
    <s v="2026-09-16T17:01:27.000Z"/>
    <m/>
    <m/>
    <d v="2026-05-20T00:00:00"/>
    <s v="LSN-00474"/>
    <s v="L-0000465"/>
    <s v="131ak000001XjDuAAK"/>
    <b v="0"/>
    <b v="0"/>
    <s v="L-0000465"/>
    <s v="16:30:00.000Z"/>
    <x v="0"/>
    <s v="a07ak00001rZMqoAAG"/>
    <s v="Bella Martin"/>
    <s v="2026-09-16T17:01:27.000Z"/>
    <b v="1"/>
    <s v="a06ak00000amzBpAAI|2026-05-20|16:30:00.000Z"/>
    <n v="1"/>
    <s v="Brick"/>
    <x v="0"/>
    <x v="0"/>
  </r>
  <r>
    <s v="005ak00000icyWTAAY"/>
    <s v="2026-09-14T21:01:58.000Z"/>
    <n v="30"/>
    <s v="a0Aak00000FtDt4EAF"/>
    <s v="a06ak00000amzC3AAI"/>
    <s v="Isabella Rivera"/>
    <s v="Worked on scales and timing."/>
    <x v="11"/>
    <b v="0"/>
    <m/>
    <s v="005ak00000icyWTAAY"/>
    <s v="2026-09-16T17:01:27.000Z"/>
    <m/>
    <m/>
    <d v="2026-03-16T00:00:00"/>
    <s v="LSN-00475"/>
    <s v="L-0000466"/>
    <s v="131ak000001XjDtAAK"/>
    <b v="0"/>
    <b v="0"/>
    <s v="L-0000466"/>
    <s v="17:30:00.000Z"/>
    <x v="0"/>
    <s v="a07ak00001rZMqpAAG"/>
    <s v="Aiden Byrne"/>
    <s v="2026-09-16T17:01:27.000Z"/>
    <b v="1"/>
    <s v="a06ak00000amzC3AAI|2026-03-16|17:30:00.000Z"/>
    <n v="1"/>
    <s v="Red Bank"/>
    <x v="3"/>
    <x v="0"/>
  </r>
  <r>
    <s v="005ak00000icyWTAAY"/>
    <s v="2026-09-14T21:01:58.000Z"/>
    <n v="30"/>
    <s v="a0Aak00000FtDt5EAF"/>
    <s v="a06ak00000amzC3AAI"/>
    <s v="Isabella Rivera"/>
    <m/>
    <x v="11"/>
    <b v="0"/>
    <m/>
    <s v="005ak00000icyWTAAY"/>
    <s v="2026-09-16T17:01:27.000Z"/>
    <m/>
    <m/>
    <d v="2026-04-17T00:00:00"/>
    <s v="LSN-00476"/>
    <s v="L-0000467"/>
    <s v="131ak000001XjDtAAK"/>
    <b v="0"/>
    <b v="0"/>
    <s v="L-0000467"/>
    <s v="16:00:00.000Z"/>
    <x v="3"/>
    <s v="a07ak00001rZMqpAAG"/>
    <s v="Aiden Byrne"/>
    <s v="2026-09-16T17:01:27.000Z"/>
    <b v="1"/>
    <s v="a06ak00000amzC3AAI|2026-04-17|16:00:00.000Z"/>
    <n v="1"/>
    <s v="Red Bank"/>
    <x v="5"/>
    <x v="0"/>
  </r>
  <r>
    <s v="005ak00000icyWTAAY"/>
    <s v="2026-09-14T21:01:58.000Z"/>
    <n v="60"/>
    <s v="a0Aak00000FtDt6EAF"/>
    <s v="a06ak00000amzC3AAI"/>
    <s v="Isabella Rivera"/>
    <m/>
    <x v="11"/>
    <b v="0"/>
    <m/>
    <s v="005ak00000icyWTAAY"/>
    <s v="2026-09-16T17:01:27.000Z"/>
    <m/>
    <m/>
    <d v="2026-08-11T00:00:00"/>
    <s v="LSN-00477"/>
    <s v="L-0000468"/>
    <s v="131ak000001XjDtAAK"/>
    <b v="0"/>
    <b v="0"/>
    <s v="L-0000468"/>
    <s v="16:00:00.000Z"/>
    <x v="0"/>
    <s v="a07ak00001rZMqpAAG"/>
    <s v="Aiden Byrne"/>
    <s v="2026-09-16T17:01:27.000Z"/>
    <b v="1"/>
    <s v="a06ak00000amzC3AAI|2026-08-11|16:00:00.000Z"/>
    <n v="1"/>
    <s v="Red Bank"/>
    <x v="6"/>
    <x v="0"/>
  </r>
  <r>
    <s v="005ak00000icyWTAAY"/>
    <s v="2026-09-14T21:01:58.000Z"/>
    <n v="30"/>
    <s v="a0Aak00000FtDt7EAF"/>
    <s v="a06ak00000amzC3AAI"/>
    <s v="Isabella Rivera"/>
    <s v="Good progress on technique."/>
    <x v="11"/>
    <b v="0"/>
    <m/>
    <s v="005ak00000icyWTAAY"/>
    <s v="2026-09-16T17:01:27.000Z"/>
    <m/>
    <m/>
    <d v="2026-06-19T00:00:00"/>
    <s v="LSN-00478"/>
    <s v="L-0000469"/>
    <s v="131ak000001XjDtAAK"/>
    <b v="0"/>
    <b v="0"/>
    <s v="L-0000469"/>
    <s v="18:30:00.000Z"/>
    <x v="0"/>
    <s v="a07ak00001rZMqpAAG"/>
    <s v="Aiden Byrne"/>
    <s v="2026-09-16T17:01:27.000Z"/>
    <b v="1"/>
    <s v="a06ak00000amzC3AAI|2026-06-19|18:30:00.000Z"/>
    <n v="1"/>
    <s v="Red Bank"/>
    <x v="7"/>
    <x v="0"/>
  </r>
  <r>
    <s v="005ak00000icyWTAAY"/>
    <s v="2026-09-14T21:01:58.000Z"/>
    <n v="30"/>
    <s v="a0Aak00000FtDt8EAF"/>
    <s v="a06ak00000amzC3AAI"/>
    <s v="Isabella Rivera"/>
    <s v="Good progress on technique."/>
    <x v="11"/>
    <b v="0"/>
    <m/>
    <s v="005ak00000icyWTAAY"/>
    <s v="2026-09-16T17:01:27.000Z"/>
    <m/>
    <m/>
    <d v="2026-01-17T00:00:00"/>
    <s v="LSN-00479"/>
    <s v="L-0000470"/>
    <s v="131ak000001XjDtAAK"/>
    <b v="0"/>
    <b v="0"/>
    <s v="L-0000470"/>
    <s v="17:30:00.000Z"/>
    <x v="0"/>
    <s v="a07ak00001rZMqpAAG"/>
    <s v="Aiden Byrne"/>
    <s v="2026-09-16T17:01:27.000Z"/>
    <b v="1"/>
    <s v="a06ak00000amzC3AAI|2026-01-17|17:30:00.000Z"/>
    <n v="1"/>
    <s v="Red Bank"/>
    <x v="4"/>
    <x v="0"/>
  </r>
  <r>
    <s v="005ak00000icyWTAAY"/>
    <s v="2026-09-14T21:01:58.000Z"/>
    <n v="30"/>
    <s v="a0Aak00000FtDt9EAF"/>
    <s v="a06ak00000amzCJAAY"/>
    <s v="Sofia Harris"/>
    <m/>
    <x v="4"/>
    <b v="0"/>
    <m/>
    <s v="005ak00000icyWTAAY"/>
    <s v="2026-09-16T17:01:27.000Z"/>
    <m/>
    <m/>
    <d v="2026-06-13T00:00:00"/>
    <s v="LSN-00480"/>
    <s v="L-0000471"/>
    <s v="131ak000001XjDvAAK"/>
    <b v="0"/>
    <b v="0"/>
    <s v="L-0000471"/>
    <s v="18:30:00.000Z"/>
    <x v="0"/>
    <s v="a07ak00001rZMqqAAG"/>
    <s v="Julian Allen"/>
    <s v="2026-09-16T17:01:27.000Z"/>
    <b v="1"/>
    <s v="a06ak00000amzCJAAY|2026-06-13|18:30:00.000Z"/>
    <n v="1"/>
    <s v="Toms River"/>
    <x v="7"/>
    <x v="0"/>
  </r>
  <r>
    <s v="005ak00000icyWTAAY"/>
    <s v="2026-09-14T21:01:58.000Z"/>
    <n v="45"/>
    <s v="a0Aak00000FtDtAEAV"/>
    <s v="a06ak00000amzCJAAY"/>
    <s v="Sofia Harris"/>
    <s v="Focused on sight reading."/>
    <x v="4"/>
    <b v="0"/>
    <m/>
    <s v="005ak00000icyWTAAY"/>
    <s v="2026-09-16T17:01:27.000Z"/>
    <m/>
    <m/>
    <d v="2026-01-27T00:00:00"/>
    <s v="LSN-00481"/>
    <s v="L-0000472"/>
    <s v="131ak000001XjDvAAK"/>
    <b v="0"/>
    <b v="0"/>
    <s v="L-0000472"/>
    <s v="16:30:00.000Z"/>
    <x v="0"/>
    <s v="a07ak00001rZMqqAAG"/>
    <s v="Julian Allen"/>
    <s v="2026-09-16T17:01:27.000Z"/>
    <b v="1"/>
    <s v="a06ak00000amzCJAAY|2026-01-27|16:30:00.000Z"/>
    <n v="1"/>
    <s v="Toms River"/>
    <x v="4"/>
    <x v="0"/>
  </r>
  <r>
    <s v="005ak00000icyWTAAY"/>
    <s v="2026-09-14T21:01:58.000Z"/>
    <n v="30"/>
    <s v="a0Aak00000FtDtBEAV"/>
    <s v="a06ak00000amzCJAAY"/>
    <s v="Sofia Harris"/>
    <s v="Started new piece."/>
    <x v="4"/>
    <b v="0"/>
    <m/>
    <s v="005ak00000icyWTAAY"/>
    <s v="2026-09-16T17:01:27.000Z"/>
    <m/>
    <m/>
    <d v="2026-09-08T00:00:00"/>
    <s v="LSN-00482"/>
    <s v="L-0000473"/>
    <s v="131ak000001XjDvAAK"/>
    <b v="0"/>
    <b v="0"/>
    <s v="L-0000473"/>
    <s v="18:00:00.000Z"/>
    <x v="0"/>
    <s v="a07ak00001rZMqqAAG"/>
    <s v="Julian Allen"/>
    <s v="2026-09-16T17:01:27.000Z"/>
    <b v="1"/>
    <s v="a06ak00000amzCJAAY|2026-09-08|18:00:00.000Z"/>
    <n v="1"/>
    <s v="Toms River"/>
    <x v="2"/>
    <x v="0"/>
  </r>
  <r>
    <s v="005ak00000icyWTAAY"/>
    <s v="2026-09-14T21:01:58.000Z"/>
    <n v="45"/>
    <s v="a0Aak00000FtDtCEAV"/>
    <s v="a06ak00000amzCBAAY"/>
    <s v="Aiden Hill"/>
    <s v="Worked on scales and timing."/>
    <x v="3"/>
    <b v="0"/>
    <m/>
    <s v="005ak00000icyWTAAY"/>
    <s v="2026-09-16T17:01:27.000Z"/>
    <m/>
    <m/>
    <d v="2026-01-31T00:00:00"/>
    <s v="LSN-00483"/>
    <s v="L-0000474"/>
    <s v="131ak000001XjDtAAK"/>
    <b v="0"/>
    <b v="0"/>
    <s v="L-0000474"/>
    <s v="17:00:00.000Z"/>
    <x v="0"/>
    <s v="a07ak00001rZMqrAAG"/>
    <s v="Ruby Moore"/>
    <s v="2026-09-16T17:01:27.000Z"/>
    <b v="1"/>
    <s v="a06ak00000amzCBAAY|2026-01-31|17:00:00.000Z"/>
    <n v="1"/>
    <s v="Red Bank"/>
    <x v="4"/>
    <x v="0"/>
  </r>
  <r>
    <s v="005ak00000icyWTAAY"/>
    <s v="2026-09-14T21:01:58.000Z"/>
    <n v="60"/>
    <s v="a0Aak00000FtDtDEAV"/>
    <s v="a06ak00000amzCBAAY"/>
    <s v="Aiden Hill"/>
    <s v="Worked on scales and timing."/>
    <x v="3"/>
    <b v="0"/>
    <m/>
    <s v="005ak00000icyWTAAY"/>
    <s v="2026-09-16T17:01:27.000Z"/>
    <m/>
    <m/>
    <d v="2026-04-11T00:00:00"/>
    <s v="LSN-00485"/>
    <s v="L-0000475"/>
    <s v="131ak000001XjDtAAK"/>
    <b v="0"/>
    <b v="0"/>
    <s v="L-0000475"/>
    <s v="19:00:00.000Z"/>
    <x v="0"/>
    <s v="a07ak00001rZMqrAAG"/>
    <s v="Ruby Moore"/>
    <s v="2026-09-16T17:01:27.000Z"/>
    <b v="1"/>
    <s v="a06ak00000amzCBAAY|2026-04-11|19:00:00.000Z"/>
    <n v="1"/>
    <s v="Red Bank"/>
    <x v="5"/>
    <x v="0"/>
  </r>
  <r>
    <s v="005ak00000icyWTAAY"/>
    <s v="2026-09-14T21:01:58.000Z"/>
    <n v="30"/>
    <s v="a0Aak00000FtDtEEAV"/>
    <s v="a06ak00000amzCBAAY"/>
    <s v="Aiden Hill"/>
    <s v="Started new piece."/>
    <x v="3"/>
    <b v="0"/>
    <m/>
    <s v="005ak00000icyWTAAY"/>
    <s v="2026-09-16T17:01:27.000Z"/>
    <m/>
    <m/>
    <d v="2026-07-03T00:00:00"/>
    <s v="LSN-00486"/>
    <s v="L-0000476"/>
    <s v="131ak000001XjDtAAK"/>
    <b v="0"/>
    <b v="0"/>
    <s v="L-0000476"/>
    <s v="16:00:00.000Z"/>
    <x v="0"/>
    <s v="a07ak00001rZMqrAAG"/>
    <s v="Ruby Moore"/>
    <s v="2026-09-16T17:01:27.000Z"/>
    <b v="1"/>
    <s v="a06ak00000amzCBAAY|2026-07-03|16:00:00.000Z"/>
    <n v="1"/>
    <s v="Red Bank"/>
    <x v="8"/>
    <x v="0"/>
  </r>
  <r>
    <s v="005ak00000icyWTAAY"/>
    <s v="2026-09-14T21:01:58.000Z"/>
    <n v="60"/>
    <s v="a0Aak00000FtDtFEAV"/>
    <s v="a06ak00000amzCBAAY"/>
    <s v="Aiden Hill"/>
    <m/>
    <x v="3"/>
    <b v="0"/>
    <m/>
    <s v="005ak00000icyWTAAY"/>
    <s v="2026-09-25T18:00:49.000Z"/>
    <m/>
    <m/>
    <d v="2026-03-13T00:00:00"/>
    <s v="LSN-00487"/>
    <s v="L-0000477"/>
    <s v="131ak000001XjDtAAK"/>
    <b v="1"/>
    <b v="1"/>
    <s v="L-0000477"/>
    <s v="17:30:00.000Z"/>
    <x v="4"/>
    <s v="a07ak00001rZMqrAAG"/>
    <s v="Ruby Moore"/>
    <s v="2026-09-25T18:00:49.000Z"/>
    <b v="1"/>
    <s v=""/>
    <m/>
    <s v="Red Bank"/>
    <x v="3"/>
    <x v="0"/>
  </r>
  <r>
    <s v="005ak00000icyWTAAY"/>
    <s v="2026-09-14T21:01:58.000Z"/>
    <n v="30"/>
    <s v="a0Aak00000FtDtGEAV"/>
    <s v="a06ak00000amzCBAAY"/>
    <s v="Aiden Hill"/>
    <m/>
    <x v="3"/>
    <b v="0"/>
    <m/>
    <s v="005ak00000icyWTAAY"/>
    <s v="2026-09-16T17:01:27.000Z"/>
    <m/>
    <m/>
    <d v="2026-08-02T00:00:00"/>
    <s v="LSN-00488"/>
    <s v="L-0000478"/>
    <s v="131ak000001XjDtAAK"/>
    <b v="0"/>
    <b v="0"/>
    <s v="L-0000478"/>
    <s v="10:00:00.000Z"/>
    <x v="0"/>
    <s v="a07ak00001rZMqrAAG"/>
    <s v="Ruby Moore"/>
    <s v="2026-09-16T17:01:27.000Z"/>
    <b v="1"/>
    <s v="a06ak00000amzCBAAY|2026-08-02|10:00:00.000Z"/>
    <n v="1"/>
    <s v="Red Bank"/>
    <x v="6"/>
    <x v="0"/>
  </r>
  <r>
    <s v="005ak00000icyWTAAY"/>
    <s v="2026-09-14T21:01:58.000Z"/>
    <n v="30"/>
    <s v="a0Aak00000FtDtHEAV"/>
    <s v="a06ak00000amzCBAAY"/>
    <s v="Aiden Hill"/>
    <s v="Worked on scales and timing."/>
    <x v="3"/>
    <b v="0"/>
    <m/>
    <s v="005ak00000icyWTAAY"/>
    <s v="2026-09-16T17:01:27.000Z"/>
    <m/>
    <m/>
    <d v="2026-06-03T00:00:00"/>
    <s v="LSN-00489"/>
    <s v="L-0000479"/>
    <s v="131ak000001XjDtAAK"/>
    <b v="0"/>
    <b v="0"/>
    <s v="L-0000479"/>
    <s v="15:00:00.000Z"/>
    <x v="0"/>
    <s v="a07ak00001rZMqrAAG"/>
    <s v="Ruby Moore"/>
    <s v="2026-09-16T17:01:27.000Z"/>
    <b v="1"/>
    <s v="a06ak00000amzCBAAY|2026-06-03|15:00:00.000Z"/>
    <n v="1"/>
    <s v="Red Bank"/>
    <x v="7"/>
    <x v="0"/>
  </r>
  <r>
    <s v="005ak00000icyWTAAY"/>
    <s v="2026-09-14T21:01:58.000Z"/>
    <n v="45"/>
    <s v="a0Aak00000FtDtIEAV"/>
    <s v="a06ak00000amzCBAAY"/>
    <s v="Aiden Hill"/>
    <s v="Good progress on technique."/>
    <x v="3"/>
    <b v="0"/>
    <m/>
    <s v="005ak00000icyWTAAY"/>
    <s v="2026-09-16T17:01:27.000Z"/>
    <m/>
    <m/>
    <d v="2026-05-10T00:00:00"/>
    <s v="LSN-00490"/>
    <s v="L-0000480"/>
    <s v="131ak000001XjDtAAK"/>
    <b v="0"/>
    <b v="0"/>
    <s v="L-0000480"/>
    <s v="11:00:00.000Z"/>
    <x v="0"/>
    <s v="a07ak00001rZMqrAAG"/>
    <s v="Ruby Moore"/>
    <s v="2026-09-16T17:01:27.000Z"/>
    <b v="1"/>
    <s v="a06ak00000amzCBAAY|2026-05-10|11:00:00.000Z"/>
    <n v="1"/>
    <s v="Red Bank"/>
    <x v="0"/>
    <x v="0"/>
  </r>
  <r>
    <s v="005ak00000icyWTAAY"/>
    <s v="2026-09-14T21:01:58.000Z"/>
    <n v="45"/>
    <s v="a0Aak00000FtDtJEAV"/>
    <s v="a06ak00000amzC0AAI"/>
    <s v="James Moore"/>
    <s v="Good progress on technique."/>
    <x v="6"/>
    <b v="0"/>
    <m/>
    <s v="005ak00000icyWTAAY"/>
    <s v="2026-09-16T17:01:27.000Z"/>
    <m/>
    <m/>
    <d v="2026-10-03T00:00:00"/>
    <s v="LSN-00491"/>
    <s v="L-0000481"/>
    <s v="131ak000001XjDtAAK"/>
    <b v="0"/>
    <b v="0"/>
    <s v="L-0000481"/>
    <s v="17:30:00.000Z"/>
    <x v="0"/>
    <s v="a07ak00001rZMqsAAG"/>
    <s v="Zoey Kim"/>
    <s v="2026-09-16T17:01:27.000Z"/>
    <b v="1"/>
    <s v="a06ak00000amzC0AAI|2026-10-03|17:30:00.000Z"/>
    <n v="1"/>
    <s v="Red Bank"/>
    <x v="9"/>
    <x v="0"/>
  </r>
  <r>
    <s v="005ak00000icyWTAAY"/>
    <s v="2026-09-14T21:01:58.000Z"/>
    <n v="45"/>
    <s v="a0Aak00000FtDtKEAV"/>
    <s v="a06ak00000amzC0AAI"/>
    <s v="James Moore"/>
    <s v="Started new piece."/>
    <x v="6"/>
    <b v="0"/>
    <m/>
    <s v="005ak00000icyWTAAY"/>
    <s v="2026-09-16T17:01:27.000Z"/>
    <m/>
    <m/>
    <d v="2026-05-29T00:00:00"/>
    <s v="LSN-00492"/>
    <s v="L-0000482"/>
    <s v="131ak000001XjDtAAK"/>
    <b v="0"/>
    <b v="0"/>
    <s v="L-0000482"/>
    <s v="18:30:00.000Z"/>
    <x v="0"/>
    <s v="a07ak00001rZMqsAAG"/>
    <s v="Zoey Kim"/>
    <s v="2026-09-16T17:01:27.000Z"/>
    <b v="1"/>
    <s v="a06ak00000amzC0AAI|2026-05-29|18:30:00.000Z"/>
    <n v="1"/>
    <s v="Red Bank"/>
    <x v="0"/>
    <x v="0"/>
  </r>
  <r>
    <s v="005ak00000icyWTAAY"/>
    <s v="2026-09-14T21:01:58.000Z"/>
    <n v="60"/>
    <s v="a0Aak00000FtDtLEAV"/>
    <s v="a06ak00000amzC0AAI"/>
    <s v="James Moore"/>
    <m/>
    <x v="6"/>
    <b v="0"/>
    <m/>
    <s v="005ak00000icyWTAAY"/>
    <s v="2026-09-25T18:00:49.000Z"/>
    <m/>
    <m/>
    <d v="2026-04-19T00:00:00"/>
    <s v="LSN-00493"/>
    <s v="L-0000483"/>
    <s v="131ak000001XjDtAAK"/>
    <b v="1"/>
    <b v="1"/>
    <s v="L-0000483"/>
    <s v="15:30:00.000Z"/>
    <x v="4"/>
    <s v="a07ak00001rZMqsAAG"/>
    <s v="Zoey Kim"/>
    <s v="2026-09-25T18:00:49.000Z"/>
    <b v="1"/>
    <s v=""/>
    <m/>
    <s v="Red Bank"/>
    <x v="5"/>
    <x v="0"/>
  </r>
  <r>
    <s v="005ak00000icyWTAAY"/>
    <s v="2026-09-14T21:01:58.000Z"/>
    <n v="30"/>
    <s v="a0Aak00000FtDtMEAV"/>
    <s v="a06ak00000amzC0AAI"/>
    <s v="James Moore"/>
    <s v="Good progress on technique."/>
    <x v="6"/>
    <b v="0"/>
    <m/>
    <s v="005ak00000icyWTAAY"/>
    <s v="2026-09-16T17:01:27.000Z"/>
    <m/>
    <m/>
    <d v="2026-08-17T00:00:00"/>
    <s v="LSN-00494"/>
    <s v="L-0000484"/>
    <s v="131ak000001XjDtAAK"/>
    <b v="0"/>
    <b v="0"/>
    <s v="L-0000484"/>
    <s v="17:30:00.000Z"/>
    <x v="0"/>
    <s v="a07ak00001rZMqsAAG"/>
    <s v="Zoey Kim"/>
    <s v="2026-09-16T17:01:27.000Z"/>
    <b v="1"/>
    <s v="a06ak00000amzC0AAI|2026-08-17|17:30:00.000Z"/>
    <n v="1"/>
    <s v="Red Bank"/>
    <x v="6"/>
    <x v="0"/>
  </r>
  <r>
    <s v="005ak00000icyWTAAY"/>
    <s v="2026-09-14T21:01:58.000Z"/>
    <n v="60"/>
    <s v="a0Aak00000FtDtNEAV"/>
    <s v="a06ak00000amzCIAAY"/>
    <s v="Omar Nelson"/>
    <s v="Focused on sight reading."/>
    <x v="7"/>
    <b v="0"/>
    <m/>
    <s v="005ak00000icyWTAAY"/>
    <s v="2026-09-16T17:01:27.000Z"/>
    <m/>
    <m/>
    <d v="2026-07-22T00:00:00"/>
    <s v="LSN-00495"/>
    <s v="L-0000485"/>
    <s v="131ak000001XjDvAAK"/>
    <b v="0"/>
    <b v="0"/>
    <s v="L-0000485"/>
    <s v="16:30:00.000Z"/>
    <x v="0"/>
    <s v="a07ak00001rZMqtAAG"/>
    <s v="Caroline Hall"/>
    <s v="2026-09-16T17:01:27.000Z"/>
    <b v="1"/>
    <s v="a06ak00000amzCIAAY|2026-07-22|16:30:00.000Z"/>
    <n v="1"/>
    <s v="Toms River"/>
    <x v="8"/>
    <x v="0"/>
  </r>
  <r>
    <s v="005ak00000icyWTAAY"/>
    <s v="2026-09-14T21:01:58.000Z"/>
    <n v="30"/>
    <s v="a0Aak00000FtDtOEAV"/>
    <s v="a06ak00000amzCIAAY"/>
    <s v="Omar Nelson"/>
    <s v="Started new piece."/>
    <x v="7"/>
    <b v="0"/>
    <m/>
    <s v="005ak00000icyWTAAY"/>
    <s v="2026-09-16T17:01:27.000Z"/>
    <m/>
    <m/>
    <d v="2026-02-06T00:00:00"/>
    <s v="LSN-00496"/>
    <s v="L-0000486"/>
    <s v="131ak000001XjDvAAK"/>
    <b v="0"/>
    <b v="0"/>
    <s v="L-0000486"/>
    <s v="17:30:00.000Z"/>
    <x v="0"/>
    <s v="a07ak00001rZMqtAAG"/>
    <s v="Caroline Hall"/>
    <s v="2026-09-16T17:01:27.000Z"/>
    <b v="1"/>
    <s v="a06ak00000amzCIAAY|2026-02-06|17:30:00.000Z"/>
    <n v="1"/>
    <s v="Toms River"/>
    <x v="1"/>
    <x v="0"/>
  </r>
  <r>
    <s v="005ak00000icyWTAAY"/>
    <s v="2026-09-14T21:01:58.000Z"/>
    <n v="30"/>
    <s v="a0Aak00000FtDtPEAV"/>
    <s v="a06ak00000amzCIAAY"/>
    <s v="Omar Nelson"/>
    <s v="Reviewed last week&amp;#39;s assignment."/>
    <x v="7"/>
    <b v="0"/>
    <m/>
    <s v="005ak00000icyWTAAY"/>
    <s v="2026-09-16T17:01:27.000Z"/>
    <m/>
    <m/>
    <d v="2026-09-11T00:00:00"/>
    <s v="LSN-00497"/>
    <s v="L-0000487"/>
    <s v="131ak000001XjDvAAK"/>
    <b v="0"/>
    <b v="0"/>
    <s v="L-0000487"/>
    <s v="19:00:00.000Z"/>
    <x v="0"/>
    <s v="a07ak00001rZMqtAAG"/>
    <s v="Caroline Hall"/>
    <s v="2026-09-16T17:01:27.000Z"/>
    <b v="1"/>
    <s v="a06ak00000amzCIAAY|2026-09-11|19:00:00.000Z"/>
    <n v="1"/>
    <s v="Toms River"/>
    <x v="2"/>
    <x v="0"/>
  </r>
  <r>
    <s v="005ak00000icyWTAAY"/>
    <s v="2026-09-14T21:01:58.000Z"/>
    <n v="30"/>
    <s v="a0Aak00000FtDtQEAV"/>
    <s v="a06ak00000amzCIAAY"/>
    <s v="Omar Nelson"/>
    <s v="Worked on scales and timing."/>
    <x v="7"/>
    <b v="0"/>
    <m/>
    <s v="005ak00000icyWTAAY"/>
    <s v="2026-09-16T17:01:27.000Z"/>
    <m/>
    <m/>
    <d v="2026-07-08T00:00:00"/>
    <s v="LSN-00498"/>
    <s v="L-0000488"/>
    <s v="131ak000001XjDvAAK"/>
    <b v="0"/>
    <b v="0"/>
    <s v="L-0000488"/>
    <s v="15:30:00.000Z"/>
    <x v="0"/>
    <s v="a07ak00001rZMqtAAG"/>
    <s v="Caroline Hall"/>
    <s v="2026-09-16T17:01:27.000Z"/>
    <b v="1"/>
    <s v="a06ak00000amzCIAAY|2026-07-08|15:30:00.000Z"/>
    <n v="1"/>
    <s v="Toms River"/>
    <x v="8"/>
    <x v="0"/>
  </r>
  <r>
    <s v="005ak00000icyWTAAY"/>
    <s v="2026-09-14T21:01:58.000Z"/>
    <n v="30"/>
    <s v="a0Aak00000FtDtREAV"/>
    <s v="a06ak00000amzCIAAY"/>
    <s v="Omar Nelson"/>
    <m/>
    <x v="7"/>
    <b v="0"/>
    <m/>
    <s v="005ak00000icyWTAAY"/>
    <s v="2026-09-16T17:01:27.000Z"/>
    <m/>
    <m/>
    <d v="2026-08-02T00:00:00"/>
    <s v="LSN-00499"/>
    <s v="L-0000489"/>
    <s v="131ak000001XjDvAAK"/>
    <b v="0"/>
    <b v="0"/>
    <s v="L-0000489"/>
    <s v="10:00:00.000Z"/>
    <x v="1"/>
    <s v="a07ak00001rZMqtAAG"/>
    <s v="Caroline Hall"/>
    <s v="2026-09-16T17:01:27.000Z"/>
    <b v="1"/>
    <s v=""/>
    <m/>
    <s v="Toms River"/>
    <x v="6"/>
    <x v="0"/>
  </r>
  <r>
    <s v="005ak00000icyWTAAY"/>
    <s v="2026-09-14T21:01:58.000Z"/>
    <n v="60"/>
    <s v="a0Aak00000FtDtSEAV"/>
    <s v="a06ak00000amzCIAAY"/>
    <s v="Omar Nelson"/>
    <s v="Good progress on technique."/>
    <x v="7"/>
    <b v="0"/>
    <m/>
    <s v="005ak00000icyWTAAY"/>
    <s v="2026-09-16T17:01:27.000Z"/>
    <m/>
    <m/>
    <d v="2026-02-27T00:00:00"/>
    <s v="LSN-00500"/>
    <s v="L-0000490"/>
    <s v="131ak000001XjDvAAK"/>
    <b v="0"/>
    <b v="0"/>
    <s v="L-0000490"/>
    <s v="10:00:00.000Z"/>
    <x v="0"/>
    <s v="a07ak00001rZMqtAAG"/>
    <s v="Caroline Hall"/>
    <s v="2026-09-16T17:01:27.000Z"/>
    <b v="1"/>
    <s v="a06ak00000amzCIAAY|2026-02-27|10:00:00.000Z"/>
    <n v="1"/>
    <s v="Toms River"/>
    <x v="1"/>
    <x v="0"/>
  </r>
  <r>
    <s v="005ak00000icyWTAAY"/>
    <s v="2026-09-14T21:01:58.000Z"/>
    <n v="45"/>
    <s v="a0Aak00000FtDtTEAV"/>
    <s v="a06ak00000amzCIAAY"/>
    <s v="Omar Nelson"/>
    <s v="Worked on scales and timing."/>
    <x v="7"/>
    <b v="0"/>
    <m/>
    <s v="005ak00000icyWTAAY"/>
    <s v="2026-09-16T17:01:27.000Z"/>
    <m/>
    <m/>
    <d v="2026-09-04T00:00:00"/>
    <s v="LSN-00501"/>
    <s v="L-0000491"/>
    <s v="131ak000001XjDvAAK"/>
    <b v="0"/>
    <b v="0"/>
    <s v="L-0000491"/>
    <s v="18:00:00.000Z"/>
    <x v="0"/>
    <s v="a07ak00001rZMqtAAG"/>
    <s v="Caroline Hall"/>
    <s v="2026-09-16T17:01:27.000Z"/>
    <b v="1"/>
    <s v="a06ak00000amzCIAAY|2026-09-04|18:00:00.000Z"/>
    <n v="2"/>
    <s v="Toms River"/>
    <x v="2"/>
    <x v="0"/>
  </r>
  <r>
    <s v="005ak00000icyWTAAY"/>
    <s v="2026-09-14T21:01:58.000Z"/>
    <n v="30"/>
    <s v="a0Aak00000FtDtUEAV"/>
    <s v="a06ak00000amzCIAAY"/>
    <s v="Omar Nelson"/>
    <m/>
    <x v="7"/>
    <b v="0"/>
    <m/>
    <s v="005ak00000icyWTAAY"/>
    <s v="2026-09-16T17:01:27.000Z"/>
    <m/>
    <m/>
    <d v="2026-09-04T00:00:00"/>
    <s v="LSN-00502"/>
    <s v="L-0000492"/>
    <s v="131ak000001XjDvAAK"/>
    <b v="0"/>
    <b v="0"/>
    <s v="L-0000492"/>
    <s v="18:00:00.000Z"/>
    <x v="0"/>
    <s v="a07ak00001rZMqtAAG"/>
    <s v="Caroline Hall"/>
    <s v="2026-09-16T17:01:27.000Z"/>
    <b v="1"/>
    <s v="a06ak00000amzCIAAY|2026-09-04|18:00:00.000Z"/>
    <n v="2"/>
    <s v="Toms River"/>
    <x v="2"/>
    <x v="0"/>
  </r>
  <r>
    <s v="005ak00000icyWTAAY"/>
    <s v="2026-09-14T21:01:58.000Z"/>
    <n v="60"/>
    <s v="a0Aak00000FtDtVEAV"/>
    <s v="a06ak00000amzC2AAI"/>
    <s v="Lily Rossi"/>
    <s v="Reviewed last week&amp;#39;s assignment."/>
    <x v="11"/>
    <b v="0"/>
    <m/>
    <s v="005ak00000icyWTAAY"/>
    <s v="2026-09-16T17:01:27.000Z"/>
    <m/>
    <m/>
    <d v="2026-05-20T00:00:00"/>
    <s v="LSN-00504"/>
    <s v="L-0000493"/>
    <s v="131ak000001XjDtAAK"/>
    <b v="0"/>
    <b v="0"/>
    <s v="L-0000493"/>
    <s v="17:00:00.000Z"/>
    <x v="0"/>
    <s v="a07ak00001rZMquAAG"/>
    <s v="Audrey Nelson"/>
    <s v="2026-09-16T17:01:27.000Z"/>
    <b v="1"/>
    <s v="a06ak00000amzC2AAI|2026-05-20|17:00:00.000Z"/>
    <n v="1"/>
    <s v="Red Bank"/>
    <x v="0"/>
    <x v="0"/>
  </r>
  <r>
    <s v="005ak00000icyWTAAY"/>
    <s v="2026-09-14T21:01:58.000Z"/>
    <n v="60"/>
    <s v="a0Aak00000FtDtWEAV"/>
    <s v="a06ak00000amzC2AAI"/>
    <s v="Lily Rossi"/>
    <s v="Worked on scales and timing."/>
    <x v="11"/>
    <b v="0"/>
    <m/>
    <s v="005ak00000icyWTAAY"/>
    <s v="2026-09-16T17:01:27.000Z"/>
    <m/>
    <m/>
    <d v="2026-08-20T00:00:00"/>
    <s v="LSN-00505"/>
    <s v="L-0000494"/>
    <s v="131ak000001XjDtAAK"/>
    <b v="0"/>
    <b v="0"/>
    <s v="L-0000494"/>
    <s v="17:00:00.000Z"/>
    <x v="0"/>
    <s v="a07ak00001rZMquAAG"/>
    <s v="Audrey Nelson"/>
    <s v="2026-09-16T17:01:27.000Z"/>
    <b v="1"/>
    <s v="a06ak00000amzC2AAI|2026-08-20|17:00:00.000Z"/>
    <n v="1"/>
    <s v="Red Bank"/>
    <x v="6"/>
    <x v="0"/>
  </r>
  <r>
    <s v="005ak00000icyWTAAY"/>
    <s v="2026-09-14T21:01:58.000Z"/>
    <n v="30"/>
    <s v="a0Aak00000FtDtXEAV"/>
    <s v="a06ak00000amzC2AAI"/>
    <s v="Lily Rossi"/>
    <m/>
    <x v="11"/>
    <b v="0"/>
    <m/>
    <s v="005ak00000icyWTAAY"/>
    <s v="2026-09-16T17:01:27.000Z"/>
    <m/>
    <m/>
    <d v="2026-01-21T00:00:00"/>
    <s v="LSN-00506"/>
    <s v="L-0000495"/>
    <s v="131ak000001XjDtAAK"/>
    <b v="0"/>
    <b v="0"/>
    <s v="L-0000495"/>
    <s v="15:30:00.000Z"/>
    <x v="1"/>
    <s v="a07ak00001rZMquAAG"/>
    <s v="Audrey Nelson"/>
    <s v="2026-09-16T17:01:27.000Z"/>
    <b v="1"/>
    <s v=""/>
    <m/>
    <s v="Red Bank"/>
    <x v="4"/>
    <x v="0"/>
  </r>
  <r>
    <s v="005ak00000icyWTAAY"/>
    <s v="2026-09-14T21:01:58.000Z"/>
    <n v="30"/>
    <s v="a0Aak00000FtDtYEAV"/>
    <s v="a06ak00000amzC2AAI"/>
    <s v="Lily Rossi"/>
    <s v="Reviewed last week&amp;#39;s assignment."/>
    <x v="11"/>
    <b v="0"/>
    <m/>
    <s v="005ak00000icyWTAAY"/>
    <s v="2026-09-16T17:01:27.000Z"/>
    <m/>
    <m/>
    <d v="2026-04-15T00:00:00"/>
    <s v="LSN-00507"/>
    <s v="L-0000496"/>
    <s v="131ak000001XjDtAAK"/>
    <b v="0"/>
    <b v="0"/>
    <s v="L-0000496"/>
    <s v="19:00:00.000Z"/>
    <x v="0"/>
    <s v="a07ak00001rZMquAAG"/>
    <s v="Audrey Nelson"/>
    <s v="2026-09-16T17:01:27.000Z"/>
    <b v="1"/>
    <s v="a06ak00000amzC2AAI|2026-04-15|19:00:00.000Z"/>
    <n v="1"/>
    <s v="Red Bank"/>
    <x v="5"/>
    <x v="0"/>
  </r>
  <r>
    <s v="005ak00000icyWTAAY"/>
    <s v="2026-09-14T21:01:58.000Z"/>
    <n v="45"/>
    <s v="a0Aak00000FtDtZEAV"/>
    <s v="a06ak00000amzC2AAI"/>
    <s v="Lily Rossi"/>
    <m/>
    <x v="11"/>
    <b v="0"/>
    <m/>
    <s v="005ak00000icyWTAAY"/>
    <s v="2026-09-16T17:01:27.000Z"/>
    <m/>
    <m/>
    <d v="2026-03-29T00:00:00"/>
    <s v="LSN-00508"/>
    <s v="L-0000497"/>
    <s v="131ak000001XjDtAAK"/>
    <b v="0"/>
    <b v="0"/>
    <s v="L-0000497"/>
    <s v="15:00:00.000Z"/>
    <x v="0"/>
    <s v="a07ak00001rZMquAAG"/>
    <s v="Audrey Nelson"/>
    <s v="2026-09-16T17:01:27.000Z"/>
    <b v="1"/>
    <s v="a06ak00000amzC2AAI|2026-03-29|15:00:00.000Z"/>
    <n v="1"/>
    <s v="Red Bank"/>
    <x v="3"/>
    <x v="0"/>
  </r>
  <r>
    <s v="005ak00000icyWTAAY"/>
    <s v="2026-09-14T21:01:58.000Z"/>
    <n v="30"/>
    <s v="a0Aak00000FtDtaEAF"/>
    <s v="a06ak00000amzC2AAI"/>
    <s v="Lily Rossi"/>
    <s v="Good progress on technique."/>
    <x v="11"/>
    <b v="0"/>
    <m/>
    <s v="005ak00000icyWTAAY"/>
    <s v="2026-09-16T17:01:27.000Z"/>
    <m/>
    <m/>
    <d v="2026-06-10T00:00:00"/>
    <s v="LSN-00509"/>
    <s v="L-0000498"/>
    <s v="131ak000001XjDtAAK"/>
    <b v="0"/>
    <b v="0"/>
    <s v="L-0000498"/>
    <s v="19:00:00.000Z"/>
    <x v="0"/>
    <s v="a07ak00001rZMquAAG"/>
    <s v="Audrey Nelson"/>
    <s v="2026-09-16T17:01:27.000Z"/>
    <b v="1"/>
    <s v="a06ak00000amzC2AAI|2026-06-10|19:00:00.000Z"/>
    <n v="1"/>
    <s v="Red Bank"/>
    <x v="7"/>
    <x v="0"/>
  </r>
  <r>
    <s v="005ak00000icyWTAAY"/>
    <s v="2026-09-14T21:01:58.000Z"/>
    <n v="30"/>
    <s v="a0Aak00000FtDtbEAF"/>
    <s v="a06ak00000amzBrAAI"/>
    <s v="Savannah Silva"/>
    <m/>
    <x v="8"/>
    <b v="0"/>
    <m/>
    <s v="005ak00000icyWTAAY"/>
    <s v="2026-09-25T18:00:49.000Z"/>
    <m/>
    <m/>
    <d v="2026-01-29T00:00:00"/>
    <s v="LSN-00510"/>
    <s v="L-0000499"/>
    <s v="131ak000001XjDtAAK"/>
    <b v="1"/>
    <b v="1"/>
    <s v="L-0000499"/>
    <s v="18:30:00.000Z"/>
    <x v="4"/>
    <s v="a07ak00001rZMqvAAG"/>
    <s v="Penelope Martin"/>
    <s v="2026-09-25T18:00:49.000Z"/>
    <b v="1"/>
    <s v=""/>
    <m/>
    <s v="Red Bank"/>
    <x v="4"/>
    <x v="0"/>
  </r>
  <r>
    <s v="005ak00000icyWTAAY"/>
    <s v="2026-09-14T21:01:58.000Z"/>
    <n v="60"/>
    <s v="a0Aak00000FtDtcEAF"/>
    <s v="a06ak00000amzBrAAI"/>
    <s v="Savannah Silva"/>
    <s v="Reviewed last week&amp;#39;s assignment."/>
    <x v="8"/>
    <b v="0"/>
    <m/>
    <s v="005ak00000icyWTAAY"/>
    <s v="2026-09-16T17:01:27.000Z"/>
    <m/>
    <m/>
    <d v="2026-09-08T00:00:00"/>
    <s v="LSN-00511"/>
    <s v="L-0000500"/>
    <s v="131ak000001XjDtAAK"/>
    <b v="0"/>
    <b v="0"/>
    <s v="L-0000500"/>
    <s v="16:30:00.000Z"/>
    <x v="0"/>
    <s v="a07ak00001rZMqvAAG"/>
    <s v="Penelope Martin"/>
    <s v="2026-09-16T17:01:27.000Z"/>
    <b v="1"/>
    <s v="a06ak00000amzBrAAI|2026-09-08|16:30:00.000Z"/>
    <n v="1"/>
    <s v="Red Bank"/>
    <x v="2"/>
    <x v="0"/>
  </r>
  <r>
    <s v="005ak00000icyWTAAY"/>
    <s v="2026-09-14T21:01:58.000Z"/>
    <n v="30"/>
    <s v="a0Aak00000FtDtdEAF"/>
    <s v="a06ak00000amzBiAAI"/>
    <s v="Zoey Torres"/>
    <s v="Good progress on technique."/>
    <x v="8"/>
    <b v="0"/>
    <m/>
    <s v="005ak00000icyWTAAY"/>
    <s v="2026-09-16T17:01:27.000Z"/>
    <m/>
    <m/>
    <d v="2026-08-05T00:00:00"/>
    <s v="LSN-00512"/>
    <s v="L-0000501"/>
    <s v="131ak000001XjDtAAK"/>
    <b v="0"/>
    <b v="0"/>
    <s v="L-0000501"/>
    <s v="15:30:00.000Z"/>
    <x v="0"/>
    <s v="a07ak00001rZMqwAAG"/>
    <s v="Maria Martinez"/>
    <s v="2026-09-16T17:01:27.000Z"/>
    <b v="1"/>
    <s v="a06ak00000amzBiAAI|2026-08-05|15:30:00.000Z"/>
    <n v="1"/>
    <s v="Red Bank"/>
    <x v="6"/>
    <x v="0"/>
  </r>
  <r>
    <s v="005ak00000icyWTAAY"/>
    <s v="2026-09-14T21:01:58.000Z"/>
    <n v="30"/>
    <s v="a0Aak00000FtDteEAF"/>
    <s v="a06ak00000amzBiAAI"/>
    <s v="Zoey Torres"/>
    <s v="Focused on sight reading."/>
    <x v="8"/>
    <b v="0"/>
    <m/>
    <s v="005ak00000icyWTAAY"/>
    <s v="2026-09-16T17:01:27.000Z"/>
    <m/>
    <m/>
    <d v="2026-03-19T00:00:00"/>
    <s v="LSN-00513"/>
    <s v="L-0000502"/>
    <s v="131ak000001XjDtAAK"/>
    <b v="0"/>
    <b v="0"/>
    <s v="L-0000502"/>
    <s v="18:30:00.000Z"/>
    <x v="0"/>
    <s v="a07ak00001rZMqwAAG"/>
    <s v="Maria Martinez"/>
    <s v="2026-09-16T17:01:27.000Z"/>
    <b v="1"/>
    <s v="a06ak00000amzBiAAI|2026-03-19|18:30:00.000Z"/>
    <n v="1"/>
    <s v="Red Bank"/>
    <x v="3"/>
    <x v="0"/>
  </r>
  <r>
    <s v="005ak00000icyWTAAY"/>
    <s v="2026-09-14T21:01:58.000Z"/>
    <n v="30"/>
    <s v="a0Aak00000FtDtfEAF"/>
    <s v="a06ak00000amzCEAAY"/>
    <s v="Caroline Baker"/>
    <m/>
    <x v="11"/>
    <b v="0"/>
    <m/>
    <s v="005ak00000icyWTAAY"/>
    <s v="2026-09-16T17:01:27.000Z"/>
    <m/>
    <m/>
    <d v="2026-07-03T00:00:00"/>
    <s v="LSN-00514"/>
    <s v="L-0000503"/>
    <s v="131ak000001XjDuAAK"/>
    <b v="0"/>
    <b v="0"/>
    <s v="L-0000503"/>
    <s v="18:00:00.000Z"/>
    <x v="0"/>
    <s v="a07ak00001rZMqxAAG"/>
    <s v="Mei Brown"/>
    <s v="2026-09-16T17:01:27.000Z"/>
    <b v="1"/>
    <s v="a06ak00000amzCEAAY|2026-07-03|18:00:00.000Z"/>
    <n v="1"/>
    <s v="Brick"/>
    <x v="8"/>
    <x v="0"/>
  </r>
  <r>
    <s v="005ak00000icyWTAAY"/>
    <s v="2026-09-14T21:01:58.000Z"/>
    <n v="30"/>
    <s v="a0Aak00000FtDtgEAF"/>
    <s v="a06ak00000amzCEAAY"/>
    <s v="Caroline Baker"/>
    <m/>
    <x v="11"/>
    <b v="0"/>
    <m/>
    <s v="005ak00000icyWTAAY"/>
    <s v="2026-09-25T18:00:49.000Z"/>
    <m/>
    <m/>
    <d v="2026-07-25T00:00:00"/>
    <s v="LSN-00515"/>
    <s v="L-0000504"/>
    <s v="131ak000001XjDuAAK"/>
    <b v="1"/>
    <b v="0"/>
    <s v="L-0000504"/>
    <s v="16:00:00.000Z"/>
    <x v="4"/>
    <s v="a07ak00001rZMqxAAG"/>
    <s v="Mei Brown"/>
    <s v="2026-09-25T18:00:49.000Z"/>
    <b v="1"/>
    <s v=""/>
    <m/>
    <s v="Brick"/>
    <x v="8"/>
    <x v="0"/>
  </r>
  <r>
    <s v="005ak00000icyWTAAY"/>
    <s v="2026-09-14T21:01:58.000Z"/>
    <n v="60"/>
    <s v="a0Aak00000FtDthEAF"/>
    <s v="a06ak00000amzCEAAY"/>
    <s v="Caroline Baker"/>
    <m/>
    <x v="11"/>
    <b v="0"/>
    <m/>
    <s v="005ak00000icyWTAAY"/>
    <s v="2026-09-16T17:01:27.000Z"/>
    <m/>
    <m/>
    <d v="2026-02-27T00:00:00"/>
    <s v="LSN-00516"/>
    <s v="L-0000505"/>
    <s v="131ak000001XjDuAAK"/>
    <b v="0"/>
    <b v="0"/>
    <s v="L-0000505"/>
    <s v="18:00:00.000Z"/>
    <x v="0"/>
    <s v="a07ak00001rZMqxAAG"/>
    <s v="Mei Brown"/>
    <s v="2026-09-16T17:01:27.000Z"/>
    <b v="1"/>
    <s v="a06ak00000amzCEAAY|2026-02-27|18:00:00.000Z"/>
    <n v="1"/>
    <s v="Brick"/>
    <x v="1"/>
    <x v="0"/>
  </r>
  <r>
    <s v="005ak00000icyWTAAY"/>
    <s v="2026-09-14T21:01:58.000Z"/>
    <n v="45"/>
    <s v="a0Aak00000FtDtiEAF"/>
    <s v="a06ak00000amzC4AAI"/>
    <s v="Logan Davis"/>
    <m/>
    <x v="2"/>
    <b v="0"/>
    <m/>
    <s v="005ak00000icyWTAAY"/>
    <s v="2026-09-16T17:01:27.000Z"/>
    <m/>
    <m/>
    <d v="2026-01-22T00:00:00"/>
    <s v="LSN-00517"/>
    <s v="L-0000506"/>
    <s v="131ak000001XjDtAAK"/>
    <b v="0"/>
    <b v="0"/>
    <s v="L-0000506"/>
    <s v="15:30:00.000Z"/>
    <x v="0"/>
    <s v="a07ak00001rZMqyAAG"/>
    <s v="Owen Silva"/>
    <s v="2026-09-16T17:01:27.000Z"/>
    <b v="1"/>
    <s v="a06ak00000amzC4AAI|2026-01-22|15:30:00.000Z"/>
    <n v="1"/>
    <s v="Red Bank"/>
    <x v="4"/>
    <x v="0"/>
  </r>
  <r>
    <s v="005ak00000icyWTAAY"/>
    <s v="2026-09-14T21:01:58.000Z"/>
    <n v="60"/>
    <s v="a0Aak00000FtDtjEAF"/>
    <s v="a06ak00000amzC4AAI"/>
    <s v="Logan Davis"/>
    <s v="Good progress on technique."/>
    <x v="2"/>
    <b v="0"/>
    <m/>
    <s v="005ak00000icyWTAAY"/>
    <s v="2026-09-16T17:01:27.000Z"/>
    <m/>
    <m/>
    <d v="2026-08-25T00:00:00"/>
    <s v="LSN-00518"/>
    <s v="L-0000507"/>
    <s v="131ak000001XjDtAAK"/>
    <b v="0"/>
    <b v="0"/>
    <s v="L-0000507"/>
    <s v="16:30:00.000Z"/>
    <x v="0"/>
    <s v="a07ak00001rZMqyAAG"/>
    <s v="Owen Silva"/>
    <s v="2026-09-16T17:01:27.000Z"/>
    <b v="1"/>
    <s v="a06ak00000amzC4AAI|2026-08-25|16:30:00.000Z"/>
    <n v="1"/>
    <s v="Red Bank"/>
    <x v="6"/>
    <x v="0"/>
  </r>
  <r>
    <s v="005ak00000icyWTAAY"/>
    <s v="2026-09-14T21:01:58.000Z"/>
    <n v="60"/>
    <s v="a0Aak00000FtDtkEAF"/>
    <s v="a06ak00000amzC4AAI"/>
    <s v="Logan Davis"/>
    <m/>
    <x v="2"/>
    <b v="0"/>
    <m/>
    <s v="005ak00000icyWTAAY"/>
    <s v="2026-09-16T17:01:27.000Z"/>
    <m/>
    <m/>
    <d v="2026-06-12T00:00:00"/>
    <s v="LSN-00519"/>
    <s v="L-0000508"/>
    <s v="131ak000001XjDtAAK"/>
    <b v="0"/>
    <b v="0"/>
    <s v="L-0000508"/>
    <s v="15:00:00.000Z"/>
    <x v="1"/>
    <s v="a07ak00001rZMqyAAG"/>
    <s v="Owen Silva"/>
    <s v="2026-09-16T17:01:27.000Z"/>
    <b v="1"/>
    <s v=""/>
    <m/>
    <s v="Red Bank"/>
    <x v="7"/>
    <x v="0"/>
  </r>
  <r>
    <s v="005ak00000icyWTAAY"/>
    <s v="2026-09-14T21:01:58.000Z"/>
    <n v="60"/>
    <s v="a0Aak00000FtDtlEAF"/>
    <s v="a06ak00000amzC4AAI"/>
    <s v="Logan Davis"/>
    <m/>
    <x v="2"/>
    <b v="0"/>
    <m/>
    <s v="005ak00000icyWTAAY"/>
    <s v="2026-09-16T17:01:27.000Z"/>
    <m/>
    <m/>
    <d v="2026-06-02T00:00:00"/>
    <s v="LSN-00520"/>
    <s v="L-0000509"/>
    <s v="131ak000001XjDtAAK"/>
    <b v="0"/>
    <b v="0"/>
    <s v="L-0000509"/>
    <s v="16:30:00.000Z"/>
    <x v="0"/>
    <s v="a07ak00001rZMqyAAG"/>
    <s v="Owen Silva"/>
    <s v="2026-09-16T17:01:27.000Z"/>
    <b v="1"/>
    <s v="a06ak00000amzC4AAI|2026-06-02|16:30:00.000Z"/>
    <n v="1"/>
    <s v="Red Bank"/>
    <x v="7"/>
    <x v="0"/>
  </r>
  <r>
    <s v="005ak00000icyWTAAY"/>
    <s v="2026-09-14T21:01:58.000Z"/>
    <n v="60"/>
    <s v="a0Aak00000FtDtmEAF"/>
    <s v="a06ak00000amzC4AAI"/>
    <s v="Logan Davis"/>
    <s v="Worked on scales and timing."/>
    <x v="2"/>
    <b v="0"/>
    <m/>
    <s v="005ak00000icyWTAAY"/>
    <s v="2026-09-16T17:01:27.000Z"/>
    <m/>
    <m/>
    <d v="2026-04-06T00:00:00"/>
    <s v="LSN-00521"/>
    <s v="L-0000510"/>
    <s v="131ak000001XjDtAAK"/>
    <b v="0"/>
    <b v="0"/>
    <s v="L-0000510"/>
    <s v="18:30:00.000Z"/>
    <x v="0"/>
    <s v="a07ak00001rZMqyAAG"/>
    <s v="Owen Silva"/>
    <s v="2026-09-16T17:01:27.000Z"/>
    <b v="1"/>
    <s v="a06ak00000amzC4AAI|2026-04-06|18:30:00.000Z"/>
    <n v="1"/>
    <s v="Red Bank"/>
    <x v="5"/>
    <x v="0"/>
  </r>
  <r>
    <s v="005ak00000icyWTAAY"/>
    <s v="2026-09-14T21:01:58.000Z"/>
    <n v="45"/>
    <s v="a0Aak00000FtDtnEAF"/>
    <s v="a06ak00000amzBgAAI"/>
    <s v="Noah Mitchell"/>
    <m/>
    <x v="1"/>
    <b v="0"/>
    <m/>
    <s v="005ak00000icyWTAAY"/>
    <s v="2026-09-16T17:01:27.000Z"/>
    <m/>
    <m/>
    <d v="2026-06-08T00:00:00"/>
    <s v="LSN-00522"/>
    <s v="L-0000511"/>
    <s v="131ak000001XjDuAAK"/>
    <b v="0"/>
    <b v="0"/>
    <s v="L-0000511"/>
    <s v="15:00:00.000Z"/>
    <x v="0"/>
    <s v="a07ak00001rZMqzAAG"/>
    <s v="Gabriel Green"/>
    <s v="2026-09-16T17:01:27.000Z"/>
    <b v="1"/>
    <s v="a06ak00000amzBgAAI|2026-06-08|15:00:00.000Z"/>
    <n v="1"/>
    <s v="Brick"/>
    <x v="7"/>
    <x v="0"/>
  </r>
  <r>
    <s v="005ak00000icyWTAAY"/>
    <s v="2026-09-14T21:01:58.000Z"/>
    <n v="30"/>
    <s v="a0Aak00000FtDtoEAF"/>
    <s v="a06ak00000amzBgAAI"/>
    <s v="Noah Mitchell"/>
    <s v="Worked on scales and timing."/>
    <x v="1"/>
    <b v="0"/>
    <m/>
    <s v="005ak00000icyWTAAY"/>
    <s v="2026-09-16T17:01:27.000Z"/>
    <m/>
    <m/>
    <d v="2026-03-26T00:00:00"/>
    <s v="LSN-00523"/>
    <s v="L-0000512"/>
    <s v="131ak000001XjDuAAK"/>
    <b v="0"/>
    <b v="0"/>
    <s v="L-0000512"/>
    <s v="17:00:00.000Z"/>
    <x v="0"/>
    <s v="a07ak00001rZMqzAAG"/>
    <s v="Gabriel Green"/>
    <s v="2026-09-16T17:01:27.000Z"/>
    <b v="1"/>
    <s v="a06ak00000amzBgAAI|2026-03-26|17:00:00.000Z"/>
    <n v="1"/>
    <s v="Brick"/>
    <x v="3"/>
    <x v="0"/>
  </r>
  <r>
    <s v="005ak00000icyWTAAY"/>
    <s v="2026-09-14T21:01:58.000Z"/>
    <n v="45"/>
    <s v="a0Aak00000FtDtpEAF"/>
    <s v="a06ak00000amzBgAAI"/>
    <s v="Noah Mitchell"/>
    <s v="Good progress on technique."/>
    <x v="1"/>
    <b v="0"/>
    <m/>
    <s v="005ak00000icyWTAAY"/>
    <s v="2026-09-16T17:01:27.000Z"/>
    <m/>
    <m/>
    <d v="2026-07-10T00:00:00"/>
    <s v="LSN-00524"/>
    <s v="L-0000513"/>
    <s v="131ak000001XjDuAAK"/>
    <b v="0"/>
    <b v="0"/>
    <s v="L-0000513"/>
    <s v="16:00:00.000Z"/>
    <x v="0"/>
    <s v="a07ak00001rZMqzAAG"/>
    <s v="Gabriel Green"/>
    <s v="2026-09-16T17:01:27.000Z"/>
    <b v="1"/>
    <s v="a06ak00000amzBgAAI|2026-07-10|16:00:00.000Z"/>
    <n v="1"/>
    <s v="Brick"/>
    <x v="8"/>
    <x v="0"/>
  </r>
  <r>
    <s v="005ak00000icyWTAAY"/>
    <s v="2026-09-14T21:01:58.000Z"/>
    <n v="45"/>
    <s v="a0Aak00000FtDtqEAF"/>
    <s v="a06ak00000amzBgAAI"/>
    <s v="Noah Mitchell"/>
    <m/>
    <x v="1"/>
    <b v="0"/>
    <m/>
    <s v="005ak00000icyWTAAY"/>
    <s v="2026-09-16T17:01:27.000Z"/>
    <m/>
    <m/>
    <d v="2026-01-30T00:00:00"/>
    <s v="LSN-00525"/>
    <s v="L-0000514"/>
    <s v="131ak000001XjDuAAK"/>
    <b v="0"/>
    <b v="0"/>
    <s v="L-0000514"/>
    <s v="11:00:00.000Z"/>
    <x v="0"/>
    <s v="a07ak00001rZMqzAAG"/>
    <s v="Gabriel Green"/>
    <s v="2026-09-16T17:01:27.000Z"/>
    <b v="1"/>
    <s v="a06ak00000amzBgAAI|2026-01-30|11:00:00.000Z"/>
    <n v="1"/>
    <s v="Brick"/>
    <x v="4"/>
    <x v="0"/>
  </r>
  <r>
    <s v="005ak00000icyWTAAY"/>
    <s v="2026-09-14T21:01:58.000Z"/>
    <n v="30"/>
    <s v="a0Aak00000FtDtrEAF"/>
    <s v="a06ak00000amzCJAAY"/>
    <s v="Sofia Harris"/>
    <s v="Focused on sight reading."/>
    <x v="4"/>
    <b v="0"/>
    <m/>
    <s v="005ak00000icyWTAAY"/>
    <s v="2026-09-16T17:01:27.000Z"/>
    <m/>
    <m/>
    <d v="2026-07-19T00:00:00"/>
    <s v="LSN-00526"/>
    <s v="L-0000515"/>
    <s v="131ak000001XjDtAAK"/>
    <b v="0"/>
    <b v="0"/>
    <s v="L-0000515"/>
    <s v="11:00:00.000Z"/>
    <x v="0"/>
    <s v="a07ak00001rZMr0AAG"/>
    <s v="Scarlett Byrne"/>
    <s v="2026-09-16T17:01:27.000Z"/>
    <b v="1"/>
    <s v="a06ak00000amzCJAAY|2026-07-19|11:00:00.000Z"/>
    <n v="1"/>
    <s v="Red Bank"/>
    <x v="8"/>
    <x v="0"/>
  </r>
  <r>
    <s v="005ak00000icyWTAAY"/>
    <s v="2026-09-14T21:01:58.000Z"/>
    <n v="30"/>
    <s v="a0Aak00000FtDtsEAF"/>
    <s v="a06ak00000amzCHAAY"/>
    <s v="Liam Flores"/>
    <s v="Good progress on technique."/>
    <x v="4"/>
    <b v="0"/>
    <m/>
    <s v="005ak00000icyWTAAY"/>
    <s v="2026-09-23T19:02:24.000Z"/>
    <m/>
    <m/>
    <d v="2026-10-05T00:00:00"/>
    <s v="LSN-00527"/>
    <s v="L-0000516"/>
    <s v="131ak000001XjDtAAK"/>
    <b v="0"/>
    <b v="0"/>
    <s v="L-0000516"/>
    <s v="16:00:00.000Z"/>
    <x v="0"/>
    <s v="a07ak00001rZMr0AAG"/>
    <s v="Scarlett Byrne"/>
    <s v="2026-09-23T19:02:24.000Z"/>
    <b v="1"/>
    <s v="a06ak00000amzCHAAY|2026-10-05|16:00:00.000Z"/>
    <n v="1"/>
    <s v="Red Bank"/>
    <x v="9"/>
    <x v="0"/>
  </r>
  <r>
    <s v="005ak00000icyWTAAY"/>
    <s v="2026-09-14T21:01:58.000Z"/>
    <n v="30"/>
    <s v="a0Aak00000FtDttEAF"/>
    <s v="a06ak00000amzC6AAI"/>
    <s v="Omar Perez"/>
    <s v="Focused on sight reading."/>
    <x v="5"/>
    <b v="0"/>
    <m/>
    <s v="005ak00000icyWTAAY"/>
    <s v="2026-09-16T17:01:27.000Z"/>
    <m/>
    <m/>
    <d v="2026-05-11T00:00:00"/>
    <s v="LSN-00528"/>
    <s v="L-0000517"/>
    <s v="131ak000001XjDtAAK"/>
    <b v="0"/>
    <b v="0"/>
    <s v="L-0000517"/>
    <s v="15:00:00.000Z"/>
    <x v="0"/>
    <s v="a07ak00001rZMr1AAG"/>
    <s v="Lincoln Scott"/>
    <s v="2026-09-16T17:01:27.000Z"/>
    <b v="1"/>
    <s v="a06ak00000amzC6AAI|2026-05-11|15:00:00.000Z"/>
    <n v="1"/>
    <s v="Red Bank"/>
    <x v="0"/>
    <x v="0"/>
  </r>
  <r>
    <s v="005ak00000icyWTAAY"/>
    <s v="2026-09-14T21:01:58.000Z"/>
    <n v="30"/>
    <s v="a0Aak00000FtDtuEAF"/>
    <s v="a06ak00000amzC6AAI"/>
    <s v="Omar Perez"/>
    <m/>
    <x v="5"/>
    <b v="0"/>
    <m/>
    <s v="005ak00000icyWTAAY"/>
    <s v="2026-09-25T18:00:49.000Z"/>
    <m/>
    <m/>
    <d v="2026-08-09T00:00:00"/>
    <s v="LSN-00529"/>
    <s v="L-0000518"/>
    <s v="131ak000001XjDtAAK"/>
    <b v="1"/>
    <b v="0"/>
    <s v="L-0000518"/>
    <s v="10:00:00.000Z"/>
    <x v="4"/>
    <s v="a07ak00001rZMr1AAG"/>
    <s v="Lincoln Scott"/>
    <s v="2026-09-25T18:00:49.000Z"/>
    <b v="1"/>
    <s v=""/>
    <m/>
    <s v="Red Bank"/>
    <x v="6"/>
    <x v="0"/>
  </r>
  <r>
    <s v="005ak00000icyWTAAY"/>
    <s v="2026-09-14T21:01:58.000Z"/>
    <n v="45"/>
    <s v="a0Aak00000FtDtvEAF"/>
    <s v="a06ak00000amzC6AAI"/>
    <s v="Omar Perez"/>
    <s v="Reviewed last week&amp;#39;s assignment."/>
    <x v="5"/>
    <b v="0"/>
    <m/>
    <s v="005ak00000icyWTAAY"/>
    <s v="2026-09-16T17:01:27.000Z"/>
    <m/>
    <m/>
    <d v="2026-06-05T00:00:00"/>
    <s v="LSN-00530"/>
    <s v="L-0000519"/>
    <s v="131ak000001XjDtAAK"/>
    <b v="0"/>
    <b v="0"/>
    <s v="L-0000519"/>
    <s v="15:30:00.000Z"/>
    <x v="0"/>
    <s v="a07ak00001rZMr1AAG"/>
    <s v="Lincoln Scott"/>
    <s v="2026-09-16T17:01:27.000Z"/>
    <b v="1"/>
    <s v="a06ak00000amzC6AAI|2026-06-05|15:30:00.000Z"/>
    <n v="1"/>
    <s v="Red Bank"/>
    <x v="7"/>
    <x v="0"/>
  </r>
  <r>
    <s v="005ak00000icyWTAAY"/>
    <s v="2026-09-14T21:01:58.000Z"/>
    <n v="60"/>
    <s v="a0Aak00000FtDtwEAF"/>
    <s v="a06ak00000amzC6AAI"/>
    <s v="Omar Perez"/>
    <m/>
    <x v="5"/>
    <b v="0"/>
    <m/>
    <s v="005ak00000icyWTAAY"/>
    <s v="2026-09-16T17:01:27.000Z"/>
    <m/>
    <m/>
    <d v="2026-05-31T00:00:00"/>
    <s v="LSN-00531"/>
    <s v="L-0000520"/>
    <s v="131ak000001XjDtAAK"/>
    <b v="0"/>
    <b v="0"/>
    <s v="L-0000520"/>
    <s v="18:00:00.000Z"/>
    <x v="0"/>
    <s v="a07ak00001rZMr1AAG"/>
    <s v="Lincoln Scott"/>
    <s v="2026-09-16T17:01:27.000Z"/>
    <b v="1"/>
    <s v="a06ak00000amzC6AAI|2026-05-31|18:00:00.000Z"/>
    <n v="1"/>
    <s v="Red Bank"/>
    <x v="0"/>
    <x v="0"/>
  </r>
  <r>
    <s v="005ak00000icyWTAAY"/>
    <s v="2026-09-14T21:01:58.000Z"/>
    <n v="30"/>
    <s v="a0Aak00000FtDtxEAF"/>
    <s v="a06ak00000amzBzAAI"/>
    <s v="Ezra Garcia"/>
    <s v="Reviewed last week&amp;#39;s assignment."/>
    <x v="5"/>
    <b v="0"/>
    <m/>
    <s v="005ak00000icyWTAAY"/>
    <s v="2026-09-23T19:02:24.000Z"/>
    <m/>
    <m/>
    <d v="2026-09-28T00:00:00"/>
    <s v="LSN-00532"/>
    <s v="L-0000521"/>
    <s v="131ak000001XjDtAAK"/>
    <b v="0"/>
    <b v="0"/>
    <s v="L-0000521"/>
    <s v="15:00:00.000Z"/>
    <x v="0"/>
    <s v="a07ak00001rZMr1AAG"/>
    <s v="Lincoln Scott"/>
    <s v="2026-09-23T19:02:24.000Z"/>
    <b v="1"/>
    <s v="a06ak00000amzBzAAI|2026-09-28|15:00:00.000Z"/>
    <n v="1"/>
    <s v="Red Bank"/>
    <x v="2"/>
    <x v="0"/>
  </r>
  <r>
    <s v="005ak00000icyWTAAY"/>
    <s v="2026-09-14T21:01:58.000Z"/>
    <n v="60"/>
    <s v="a0Aak00000FtDtyEAF"/>
    <s v="a06ak00000amzC6AAI"/>
    <s v="Omar Perez"/>
    <s v="Focused on sight reading."/>
    <x v="5"/>
    <b v="0"/>
    <m/>
    <s v="005ak00000icyWTAAY"/>
    <s v="2026-09-16T17:01:27.000Z"/>
    <m/>
    <m/>
    <d v="2026-08-02T00:00:00"/>
    <s v="LSN-00533"/>
    <s v="L-0000522"/>
    <s v="131ak000001XjDtAAK"/>
    <b v="0"/>
    <b v="0"/>
    <s v="L-0000522"/>
    <s v="19:00:00.000Z"/>
    <x v="0"/>
    <s v="a07ak00001rZMr1AAG"/>
    <s v="Lincoln Scott"/>
    <s v="2026-09-16T17:01:27.000Z"/>
    <b v="1"/>
    <s v="a06ak00000amzC6AAI|2026-08-02|19:00:00.000Z"/>
    <n v="1"/>
    <s v="Red Bank"/>
    <x v="6"/>
    <x v="0"/>
  </r>
  <r>
    <s v="005ak00000icyWTAAY"/>
    <s v="2026-09-14T21:01:58.000Z"/>
    <n v="30"/>
    <s v="a0Aak00000FtDtzEAF"/>
    <s v="a06ak00000amzCIAAY"/>
    <s v="Omar Nelson"/>
    <s v="Good progress on technique."/>
    <x v="7"/>
    <b v="0"/>
    <m/>
    <s v="005ak00000icyWTAAY"/>
    <s v="2026-09-16T17:01:27.000Z"/>
    <m/>
    <m/>
    <d v="2026-01-11T00:00:00"/>
    <s v="LSN-00535"/>
    <s v="L-0000523"/>
    <s v="131ak000001XjDvAAK"/>
    <b v="0"/>
    <b v="0"/>
    <s v="L-0000523"/>
    <s v="16:00:00.000Z"/>
    <x v="0"/>
    <s v="a07ak00001rZMr2AAG"/>
    <s v="Maria Rodriguez"/>
    <s v="2026-09-16T17:01:27.000Z"/>
    <b v="1"/>
    <s v="a06ak00000amzCIAAY|2026-01-11|16:00:00.000Z"/>
    <n v="1"/>
    <s v="Toms River"/>
    <x v="4"/>
    <x v="0"/>
  </r>
  <r>
    <s v="005ak00000icyWTAAY"/>
    <s v="2026-09-14T21:01:58.000Z"/>
    <n v="45"/>
    <s v="a0Aak00000FtDu0EAF"/>
    <s v="a06ak00000amzCIAAY"/>
    <s v="Omar Nelson"/>
    <s v="Reviewed last week&amp;#39;s assignment."/>
    <x v="7"/>
    <b v="0"/>
    <m/>
    <s v="005ak00000icyWTAAY"/>
    <s v="2026-09-16T17:01:27.000Z"/>
    <m/>
    <m/>
    <d v="2026-04-19T00:00:00"/>
    <s v="LSN-00536"/>
    <s v="L-0000524"/>
    <s v="131ak000001XjDvAAK"/>
    <b v="0"/>
    <b v="0"/>
    <s v="L-0000524"/>
    <s v="16:00:00.000Z"/>
    <x v="0"/>
    <s v="a07ak00001rZMr2AAG"/>
    <s v="Maria Rodriguez"/>
    <s v="2026-09-16T17:01:27.000Z"/>
    <b v="1"/>
    <s v="a06ak00000amzCIAAY|2026-04-19|16:00:00.000Z"/>
    <n v="1"/>
    <s v="Toms River"/>
    <x v="5"/>
    <x v="0"/>
  </r>
  <r>
    <s v="005ak00000icyWTAAY"/>
    <s v="2026-09-14T21:01:58.000Z"/>
    <n v="45"/>
    <s v="a0Aak00000FtDu1EAF"/>
    <s v="a06ak00000amzCIAAY"/>
    <s v="Omar Nelson"/>
    <s v="Started new piece."/>
    <x v="7"/>
    <b v="0"/>
    <m/>
    <s v="005ak00000icyWTAAY"/>
    <s v="2026-09-16T17:01:27.000Z"/>
    <m/>
    <m/>
    <d v="2026-07-09T00:00:00"/>
    <s v="LSN-00537"/>
    <s v="L-0000525"/>
    <s v="131ak000001XjDvAAK"/>
    <b v="0"/>
    <b v="0"/>
    <s v="L-0000525"/>
    <s v="15:00:00.000Z"/>
    <x v="0"/>
    <s v="a07ak00001rZMr2AAG"/>
    <s v="Maria Rodriguez"/>
    <s v="2026-09-16T17:01:27.000Z"/>
    <b v="1"/>
    <s v="a06ak00000amzCIAAY|2026-07-09|15:00:00.000Z"/>
    <n v="1"/>
    <s v="Toms River"/>
    <x v="8"/>
    <x v="0"/>
  </r>
  <r>
    <s v="005ak00000icyWTAAY"/>
    <s v="2026-09-14T21:01:58.000Z"/>
    <n v="60"/>
    <s v="a0Aak00000FtDu2EAF"/>
    <s v="a06ak00000amzCIAAY"/>
    <s v="Omar Nelson"/>
    <s v="Started new piece."/>
    <x v="7"/>
    <b v="0"/>
    <m/>
    <s v="005ak00000icyWTAAY"/>
    <s v="2026-09-16T17:01:27.000Z"/>
    <m/>
    <m/>
    <d v="2026-08-08T00:00:00"/>
    <s v="LSN-00538"/>
    <s v="L-0000526"/>
    <s v="131ak000001XjDvAAK"/>
    <b v="0"/>
    <b v="0"/>
    <s v="L-0000526"/>
    <s v="19:00:00.000Z"/>
    <x v="0"/>
    <s v="a07ak00001rZMr2AAG"/>
    <s v="Maria Rodriguez"/>
    <s v="2026-09-16T17:01:27.000Z"/>
    <b v="1"/>
    <s v="a06ak00000amzCIAAY|2026-08-08|19:00:00.000Z"/>
    <n v="1"/>
    <s v="Toms River"/>
    <x v="6"/>
    <x v="0"/>
  </r>
  <r>
    <s v="005ak00000icyWTAAY"/>
    <s v="2026-09-14T21:01:58.000Z"/>
    <n v="30"/>
    <s v="a0Aak00000FtDu3EAF"/>
    <s v="a06ak00000amzCIAAY"/>
    <s v="Omar Nelson"/>
    <s v="Focused on sight reading."/>
    <x v="7"/>
    <b v="0"/>
    <m/>
    <s v="005ak00000icyWTAAY"/>
    <s v="2026-09-16T17:01:27.000Z"/>
    <m/>
    <m/>
    <d v="2026-01-22T00:00:00"/>
    <s v="LSN-00539"/>
    <s v="L-0000527"/>
    <s v="131ak000001XjDvAAK"/>
    <b v="0"/>
    <b v="0"/>
    <s v="L-0000527"/>
    <s v="15:30:00.000Z"/>
    <x v="0"/>
    <s v="a07ak00001rZMr2AAG"/>
    <s v="Maria Rodriguez"/>
    <s v="2026-09-16T17:01:27.000Z"/>
    <b v="1"/>
    <s v="a06ak00000amzCIAAY|2026-01-22|15:30:00.000Z"/>
    <n v="1"/>
    <s v="Toms River"/>
    <x v="4"/>
    <x v="0"/>
  </r>
  <r>
    <s v="005ak00000icyWTAAY"/>
    <s v="2026-09-14T21:01:58.000Z"/>
    <n v="30"/>
    <s v="a0Aak00000FtDu4EAF"/>
    <s v="a06ak00000amzCIAAY"/>
    <s v="Omar Nelson"/>
    <s v="Started new piece."/>
    <x v="7"/>
    <b v="0"/>
    <m/>
    <s v="005ak00000icyWTAAY"/>
    <s v="2026-09-16T17:01:27.000Z"/>
    <m/>
    <m/>
    <d v="2026-07-22T00:00:00"/>
    <s v="LSN-00540"/>
    <s v="L-0000528"/>
    <s v="131ak000001XjDvAAK"/>
    <b v="0"/>
    <b v="0"/>
    <s v="L-0000528"/>
    <s v="11:00:00.000Z"/>
    <x v="0"/>
    <s v="a07ak00001rZMr2AAG"/>
    <s v="Maria Rodriguez"/>
    <s v="2026-09-16T17:01:27.000Z"/>
    <b v="1"/>
    <s v="a06ak00000amzCIAAY|2026-07-22|11:00:00.000Z"/>
    <n v="1"/>
    <s v="Toms River"/>
    <x v="8"/>
    <x v="0"/>
  </r>
  <r>
    <s v="005ak00000icyWTAAY"/>
    <s v="2026-09-14T21:01:58.000Z"/>
    <n v="60"/>
    <s v="a0Aak00000FtDu5EAF"/>
    <s v="a06ak00000amzCIAAY"/>
    <s v="Omar Nelson"/>
    <s v="Focused on sight reading."/>
    <x v="7"/>
    <b v="0"/>
    <m/>
    <s v="005ak00000icyWTAAY"/>
    <s v="2026-09-16T17:01:27.000Z"/>
    <m/>
    <m/>
    <d v="2026-07-23T00:00:00"/>
    <s v="LSN-00541"/>
    <s v="L-0000529"/>
    <s v="131ak000001XjDvAAK"/>
    <b v="0"/>
    <b v="0"/>
    <s v="L-0000529"/>
    <s v="15:00:00.000Z"/>
    <x v="0"/>
    <s v="a07ak00001rZMr2AAG"/>
    <s v="Maria Rodriguez"/>
    <s v="2026-09-16T17:01:27.000Z"/>
    <b v="1"/>
    <s v="a06ak00000amzCIAAY|2026-07-23|15:00:00.000Z"/>
    <n v="1"/>
    <s v="Toms River"/>
    <x v="8"/>
    <x v="0"/>
  </r>
  <r>
    <s v="005ak00000icyWTAAY"/>
    <s v="2026-09-14T21:01:58.000Z"/>
    <n v="30"/>
    <s v="a0Aak00000FtDu6EAF"/>
    <s v="a06ak00000amzCIAAY"/>
    <s v="Omar Nelson"/>
    <s v="Focused on sight reading."/>
    <x v="7"/>
    <b v="0"/>
    <m/>
    <s v="005ak00000icyWTAAY"/>
    <s v="2026-09-16T17:01:27.000Z"/>
    <m/>
    <m/>
    <d v="2026-04-23T00:00:00"/>
    <s v="LSN-00542"/>
    <s v="L-0000530"/>
    <s v="131ak000001XjDvAAK"/>
    <b v="0"/>
    <b v="0"/>
    <s v="L-0000530"/>
    <s v="15:00:00.000Z"/>
    <x v="0"/>
    <s v="a07ak00001rZMr2AAG"/>
    <s v="Maria Rodriguez"/>
    <s v="2026-09-16T17:01:27.000Z"/>
    <b v="1"/>
    <s v="a06ak00000amzCIAAY|2026-04-23|15:00:00.000Z"/>
    <n v="1"/>
    <s v="Toms River"/>
    <x v="5"/>
    <x v="0"/>
  </r>
  <r>
    <s v="005ak00000icyWTAAY"/>
    <s v="2026-09-14T21:01:58.000Z"/>
    <n v="30"/>
    <s v="a0Aak00000FtDu7EAF"/>
    <s v="a06ak00000amzC8AAI"/>
    <s v="Adrian Byrne"/>
    <s v="Started new piece."/>
    <x v="9"/>
    <b v="0"/>
    <m/>
    <s v="005ak00000icyWTAAY"/>
    <s v="2026-09-16T17:01:27.000Z"/>
    <m/>
    <m/>
    <d v="2026-04-01T00:00:00"/>
    <s v="LSN-00543"/>
    <s v="L-0000531"/>
    <s v="131ak000001XjDuAAK"/>
    <b v="0"/>
    <b v="0"/>
    <s v="L-0000531"/>
    <s v="15:30:00.000Z"/>
    <x v="0"/>
    <s v="a07ak00001rZMr4AAG"/>
    <s v="Olivia Baker"/>
    <s v="2026-09-16T17:01:27.000Z"/>
    <b v="1"/>
    <s v="a06ak00000amzC8AAI|2026-04-01|15:30:00.000Z"/>
    <n v="1"/>
    <s v="Brick"/>
    <x v="5"/>
    <x v="0"/>
  </r>
  <r>
    <s v="005ak00000icyWTAAY"/>
    <s v="2026-09-14T21:01:58.000Z"/>
    <n v="60"/>
    <s v="a0Aak00000FtDu8EAF"/>
    <s v="a06ak00000amzC8AAI"/>
    <s v="Adrian Byrne"/>
    <s v="Worked on scales and timing."/>
    <x v="9"/>
    <b v="0"/>
    <m/>
    <s v="005ak00000icyWTAAY"/>
    <s v="2026-09-16T17:01:27.000Z"/>
    <m/>
    <m/>
    <d v="2026-09-02T00:00:00"/>
    <s v="LSN-00544"/>
    <s v="L-0000532"/>
    <s v="131ak000001XjDuAAK"/>
    <b v="0"/>
    <b v="0"/>
    <s v="L-0000532"/>
    <s v="19:00:00.000Z"/>
    <x v="0"/>
    <s v="a07ak00001rZMr4AAG"/>
    <s v="Olivia Baker"/>
    <s v="2026-09-16T17:01:27.000Z"/>
    <b v="1"/>
    <s v="a06ak00000amzC8AAI|2026-09-02|19:00:00.000Z"/>
    <n v="1"/>
    <s v="Brick"/>
    <x v="2"/>
    <x v="0"/>
  </r>
  <r>
    <s v="005ak00000icyWTAAY"/>
    <s v="2026-09-14T21:01:58.000Z"/>
    <n v="30"/>
    <s v="a0Aak00000FtDu9EAF"/>
    <s v="a06ak00000amzC8AAI"/>
    <s v="Adrian Byrne"/>
    <s v="Focused on sight reading."/>
    <x v="9"/>
    <b v="0"/>
    <m/>
    <s v="005ak00000icyWTAAY"/>
    <s v="2026-09-16T17:01:27.000Z"/>
    <m/>
    <m/>
    <d v="2026-07-07T00:00:00"/>
    <s v="LSN-00545"/>
    <s v="L-0000533"/>
    <s v="131ak000001XjDuAAK"/>
    <b v="0"/>
    <b v="0"/>
    <s v="L-0000533"/>
    <s v="16:00:00.000Z"/>
    <x v="0"/>
    <s v="a07ak00001rZMr4AAG"/>
    <s v="Olivia Baker"/>
    <s v="2026-09-16T17:01:27.000Z"/>
    <b v="1"/>
    <s v="a06ak00000amzC8AAI|2026-07-07|16:00:00.000Z"/>
    <n v="1"/>
    <s v="Brick"/>
    <x v="8"/>
    <x v="0"/>
  </r>
  <r>
    <s v="005ak00000icyWTAAY"/>
    <s v="2026-09-14T21:01:58.000Z"/>
    <n v="30"/>
    <s v="a0Aak00000FtDuAEAV"/>
    <s v="a06ak00000amzC8AAI"/>
    <s v="Adrian Byrne"/>
    <s v="Good progress on technique."/>
    <x v="9"/>
    <b v="0"/>
    <m/>
    <s v="005ak00000icyWTAAY"/>
    <s v="2026-09-16T17:01:27.000Z"/>
    <m/>
    <m/>
    <d v="2026-06-19T00:00:00"/>
    <s v="LSN-00547"/>
    <s v="L-0000534"/>
    <s v="131ak000001XjDuAAK"/>
    <b v="0"/>
    <b v="0"/>
    <s v="L-0000534"/>
    <s v="16:00:00.000Z"/>
    <x v="0"/>
    <s v="a07ak00001rZMr4AAG"/>
    <s v="Olivia Baker"/>
    <s v="2026-09-16T17:01:27.000Z"/>
    <b v="1"/>
    <s v="a06ak00000amzC8AAI|2026-06-19|16:00:00.000Z"/>
    <n v="1"/>
    <s v="Brick"/>
    <x v="7"/>
    <x v="0"/>
  </r>
  <r>
    <s v="005ak00000icyWTAAY"/>
    <s v="2026-09-14T21:01:58.000Z"/>
    <n v="60"/>
    <s v="a0Aak00000FtDuBEAV"/>
    <s v="a06ak00000amzC8AAI"/>
    <s v="Adrian Byrne"/>
    <s v="Started new piece."/>
    <x v="9"/>
    <b v="0"/>
    <m/>
    <s v="005ak00000icyWTAAY"/>
    <s v="2026-09-16T17:01:27.000Z"/>
    <m/>
    <m/>
    <d v="2026-07-29T00:00:00"/>
    <s v="LSN-00548"/>
    <s v="L-0000535"/>
    <s v="131ak000001XjDuAAK"/>
    <b v="0"/>
    <b v="0"/>
    <s v="L-0000535"/>
    <s v="16:30:00.000Z"/>
    <x v="0"/>
    <s v="a07ak00001rZMr4AAG"/>
    <s v="Olivia Baker"/>
    <s v="2026-09-16T17:01:27.000Z"/>
    <b v="1"/>
    <s v="a06ak00000amzC8AAI|2026-07-29|16:30:00.000Z"/>
    <n v="1"/>
    <s v="Brick"/>
    <x v="8"/>
    <x v="0"/>
  </r>
  <r>
    <s v="005ak00000icyWTAAY"/>
    <s v="2026-09-14T21:01:58.000Z"/>
    <n v="30"/>
    <s v="a0Aak00000FtDuCEAV"/>
    <s v="a06ak00000amzC8AAI"/>
    <s v="Adrian Byrne"/>
    <s v="Started new piece."/>
    <x v="9"/>
    <b v="0"/>
    <m/>
    <s v="005ak00000icyWTAAY"/>
    <s v="2026-09-16T17:01:27.000Z"/>
    <m/>
    <m/>
    <d v="2026-09-28T00:00:00"/>
    <s v="LSN-00549"/>
    <s v="L-0000536"/>
    <s v="131ak000001XjDuAAK"/>
    <b v="0"/>
    <b v="0"/>
    <s v="L-0000536"/>
    <s v="16:30:00.000Z"/>
    <x v="0"/>
    <s v="a07ak00001rZMr4AAG"/>
    <s v="Olivia Baker"/>
    <s v="2026-09-16T17:01:27.000Z"/>
    <b v="1"/>
    <s v="a06ak00000amzC8AAI|2026-09-28|16:30:00.000Z"/>
    <n v="1"/>
    <s v="Brick"/>
    <x v="2"/>
    <x v="0"/>
  </r>
  <r>
    <s v="005ak00000icyWTAAY"/>
    <s v="2026-09-14T21:01:58.000Z"/>
    <n v="60"/>
    <s v="a0Aak00000FtDuDEAV"/>
    <s v="a06ak00000amzC8AAI"/>
    <s v="Adrian Byrne"/>
    <m/>
    <x v="9"/>
    <b v="0"/>
    <m/>
    <s v="005ak00000icyWTAAY"/>
    <s v="2026-09-25T18:00:49.000Z"/>
    <m/>
    <m/>
    <d v="2026-03-10T00:00:00"/>
    <s v="LSN-00550"/>
    <s v="L-0000537"/>
    <s v="131ak000001XjDuAAK"/>
    <b v="1"/>
    <b v="1"/>
    <s v="L-0000537"/>
    <s v="16:00:00.000Z"/>
    <x v="4"/>
    <s v="a07ak00001rZMr4AAG"/>
    <s v="Olivia Baker"/>
    <s v="2026-09-25T18:00:49.000Z"/>
    <b v="1"/>
    <s v=""/>
    <m/>
    <s v="Brick"/>
    <x v="3"/>
    <x v="0"/>
  </r>
  <r>
    <s v="005ak00000icyWTAAY"/>
    <s v="2026-09-14T21:01:58.000Z"/>
    <n v="30"/>
    <s v="a0Aak00000FtDuEEAV"/>
    <s v="a06ak00000amzC8AAI"/>
    <s v="Adrian Byrne"/>
    <s v="Reviewed last week&amp;#39;s assignment."/>
    <x v="9"/>
    <b v="0"/>
    <m/>
    <s v="005ak00000icyWTAAY"/>
    <s v="2026-09-16T17:01:27.000Z"/>
    <m/>
    <m/>
    <d v="2026-09-07T00:00:00"/>
    <s v="LSN-00551"/>
    <s v="L-0000538"/>
    <s v="131ak000001XjDuAAK"/>
    <b v="0"/>
    <b v="0"/>
    <s v="L-0000538"/>
    <s v="15:00:00.000Z"/>
    <x v="0"/>
    <s v="a07ak00001rZMr4AAG"/>
    <s v="Olivia Baker"/>
    <s v="2026-09-16T17:01:27.000Z"/>
    <b v="1"/>
    <s v="a06ak00000amzC8AAI|2026-09-07|15:00:00.000Z"/>
    <n v="1"/>
    <s v="Brick"/>
    <x v="2"/>
    <x v="0"/>
  </r>
  <r>
    <s v="005ak00000icyWTAAY"/>
    <s v="2026-09-14T21:01:58.000Z"/>
    <n v="60"/>
    <s v="a0Aak00000FtDuFEAV"/>
    <s v="a06ak00000amzBhAAI"/>
    <s v="Layla Sullivan"/>
    <s v="Started new piece."/>
    <x v="3"/>
    <b v="0"/>
    <m/>
    <s v="005ak00000icyWTAAY"/>
    <s v="2026-09-16T17:01:27.000Z"/>
    <m/>
    <m/>
    <d v="2026-05-27T00:00:00"/>
    <s v="LSN-00552"/>
    <s v="L-0000539"/>
    <s v="131ak000001XjDuAAK"/>
    <b v="0"/>
    <b v="0"/>
    <s v="L-0000539"/>
    <s v="19:00:00.000Z"/>
    <x v="0"/>
    <s v="a07ak00001rZMr6AAG"/>
    <s v="Priya Roberts"/>
    <s v="2026-09-16T17:01:27.000Z"/>
    <b v="1"/>
    <s v="a06ak00000amzBhAAI|2026-05-27|19:00:00.000Z"/>
    <n v="1"/>
    <s v="Brick"/>
    <x v="0"/>
    <x v="0"/>
  </r>
  <r>
    <s v="005ak00000icyWTAAY"/>
    <s v="2026-09-14T21:01:58.000Z"/>
    <n v="60"/>
    <s v="a0Aak00000FtDuGEAV"/>
    <s v="a06ak00000amzBhAAI"/>
    <s v="Layla Sullivan"/>
    <s v="Good progress on technique."/>
    <x v="3"/>
    <b v="0"/>
    <m/>
    <s v="005ak00000icyWTAAY"/>
    <s v="2026-09-16T17:01:27.000Z"/>
    <m/>
    <m/>
    <d v="2026-06-14T00:00:00"/>
    <s v="LSN-00554"/>
    <s v="L-0000540"/>
    <s v="131ak000001XjDuAAK"/>
    <b v="0"/>
    <b v="0"/>
    <s v="L-0000540"/>
    <s v="10:00:00.000Z"/>
    <x v="0"/>
    <s v="a07ak00001rZMr6AAG"/>
    <s v="Priya Roberts"/>
    <s v="2026-09-16T17:01:27.000Z"/>
    <b v="1"/>
    <s v="a06ak00000amzBhAAI|2026-06-14|10:00:00.000Z"/>
    <n v="1"/>
    <s v="Brick"/>
    <x v="7"/>
    <x v="0"/>
  </r>
  <r>
    <s v="005ak00000icyWTAAY"/>
    <s v="2026-09-14T21:01:58.000Z"/>
    <n v="45"/>
    <s v="a0Aak00000FtDuHEAV"/>
    <s v="a06ak00000amzBhAAI"/>
    <s v="Layla Sullivan"/>
    <s v="Focused on sight reading."/>
    <x v="3"/>
    <b v="0"/>
    <m/>
    <s v="005ak00000icyWTAAY"/>
    <s v="2026-09-16T17:01:27.000Z"/>
    <m/>
    <m/>
    <d v="2026-05-16T00:00:00"/>
    <s v="LSN-00555"/>
    <s v="L-0000541"/>
    <s v="131ak000001XjDuAAK"/>
    <b v="0"/>
    <b v="0"/>
    <s v="L-0000541"/>
    <s v="16:30:00.000Z"/>
    <x v="0"/>
    <s v="a07ak00001rZMr6AAG"/>
    <s v="Priya Roberts"/>
    <s v="2026-09-16T17:01:27.000Z"/>
    <b v="1"/>
    <s v="a06ak00000amzBhAAI|2026-05-16|16:30:00.000Z"/>
    <n v="1"/>
    <s v="Brick"/>
    <x v="0"/>
    <x v="0"/>
  </r>
  <r>
    <s v="005ak00000icyWTAAY"/>
    <s v="2026-09-14T21:01:58.000Z"/>
    <n v="30"/>
    <s v="a0Aak00000FtDuIEAV"/>
    <s v="a06ak00000amzBhAAI"/>
    <s v="Layla Sullivan"/>
    <s v="Reviewed last week&amp;#39;s assignment."/>
    <x v="3"/>
    <b v="0"/>
    <m/>
    <s v="005ak00000icyWTAAY"/>
    <s v="2026-09-16T17:01:27.000Z"/>
    <m/>
    <m/>
    <d v="2026-01-05T00:00:00"/>
    <s v="LSN-00556"/>
    <s v="L-0000542"/>
    <s v="131ak000001XjDuAAK"/>
    <b v="0"/>
    <b v="0"/>
    <s v="L-0000542"/>
    <s v="19:00:00.000Z"/>
    <x v="0"/>
    <s v="a07ak00001rZMr6AAG"/>
    <s v="Priya Roberts"/>
    <s v="2026-09-16T17:01:27.000Z"/>
    <b v="1"/>
    <s v="a06ak00000amzBhAAI|2026-01-05|19:00:00.000Z"/>
    <n v="1"/>
    <s v="Brick"/>
    <x v="4"/>
    <x v="0"/>
  </r>
  <r>
    <s v="005ak00000icyWTAAY"/>
    <s v="2026-09-14T21:01:58.000Z"/>
    <n v="30"/>
    <s v="a0Aak00000FtDuJEAV"/>
    <s v="a06ak00000amzBhAAI"/>
    <s v="Layla Sullivan"/>
    <s v="Worked on scales and timing."/>
    <x v="3"/>
    <b v="0"/>
    <m/>
    <s v="005ak00000icyWTAAY"/>
    <s v="2026-09-16T17:01:27.000Z"/>
    <m/>
    <m/>
    <d v="2026-08-20T00:00:00"/>
    <s v="LSN-00557"/>
    <s v="L-0000543"/>
    <s v="131ak000001XjDuAAK"/>
    <b v="0"/>
    <b v="0"/>
    <s v="L-0000543"/>
    <s v="17:00:00.000Z"/>
    <x v="0"/>
    <s v="a07ak00001rZMr6AAG"/>
    <s v="Priya Roberts"/>
    <s v="2026-09-16T17:01:27.000Z"/>
    <b v="1"/>
    <s v="a06ak00000amzBhAAI|2026-08-20|17:00:00.000Z"/>
    <n v="1"/>
    <s v="Brick"/>
    <x v="6"/>
    <x v="0"/>
  </r>
  <r>
    <s v="005ak00000icyWTAAY"/>
    <s v="2026-09-14T21:01:58.000Z"/>
    <n v="30"/>
    <s v="a0Aak00000FtDuKEAV"/>
    <s v="a06ak00000amzBhAAI"/>
    <s v="Layla Sullivan"/>
    <s v="Reviewed last week&amp;#39;s assignment."/>
    <x v="3"/>
    <b v="0"/>
    <m/>
    <s v="005ak00000icyWTAAY"/>
    <s v="2026-09-16T17:01:27.000Z"/>
    <m/>
    <m/>
    <d v="2026-08-07T00:00:00"/>
    <s v="LSN-00558"/>
    <s v="L-0000544"/>
    <s v="131ak000001XjDuAAK"/>
    <b v="0"/>
    <b v="0"/>
    <s v="L-0000544"/>
    <s v="19:00:00.000Z"/>
    <x v="0"/>
    <s v="a07ak00001rZMr6AAG"/>
    <s v="Priya Roberts"/>
    <s v="2026-09-16T17:01:27.000Z"/>
    <b v="1"/>
    <s v="a06ak00000amzBhAAI|2026-08-07|19:00:00.000Z"/>
    <n v="1"/>
    <s v="Brick"/>
    <x v="6"/>
    <x v="0"/>
  </r>
  <r>
    <s v="005ak00000icyWTAAY"/>
    <s v="2026-09-14T21:01:58.000Z"/>
    <n v="30"/>
    <s v="a0Aak00000FtDuLEAV"/>
    <s v="a06ak00000amzBhAAI"/>
    <s v="Layla Sullivan"/>
    <m/>
    <x v="3"/>
    <b v="0"/>
    <m/>
    <s v="005ak00000icyWTAAY"/>
    <s v="2026-09-16T17:01:27.000Z"/>
    <m/>
    <m/>
    <d v="2026-09-20T00:00:00"/>
    <s v="LSN-00559"/>
    <s v="L-0000545"/>
    <s v="131ak000001XjDuAAK"/>
    <b v="1"/>
    <b v="0"/>
    <s v="L-0000545"/>
    <s v="18:00:00.000Z"/>
    <x v="4"/>
    <s v="a07ak00001rZMr6AAG"/>
    <s v="Priya Roberts"/>
    <s v="2026-09-16T17:01:27.000Z"/>
    <b v="1"/>
    <s v=""/>
    <n v="114"/>
    <s v="Brick"/>
    <x v="2"/>
    <x v="0"/>
  </r>
  <r>
    <s v="005ak00000icyWTAAY"/>
    <s v="2026-09-14T21:01:58.000Z"/>
    <n v="30"/>
    <s v="a0Aak00000FtDuMEAV"/>
    <s v="a06ak00000amzCMAAY"/>
    <s v="Yusuf Jackson"/>
    <s v="Started new piece."/>
    <x v="5"/>
    <b v="0"/>
    <m/>
    <s v="005ak00000icyWTAAY"/>
    <s v="2026-09-16T17:01:27.000Z"/>
    <m/>
    <m/>
    <d v="2026-05-06T00:00:00"/>
    <s v="LSN-00560"/>
    <s v="L-0000546"/>
    <s v="131ak000001XjDtAAK"/>
    <b v="0"/>
    <b v="0"/>
    <s v="L-0000546"/>
    <s v="11:00:00.000Z"/>
    <x v="0"/>
    <s v="a07ak00001rZMr7AAG"/>
    <s v="Lucy Dubois"/>
    <s v="2026-09-16T17:01:27.000Z"/>
    <b v="1"/>
    <s v="a06ak00000amzCMAAY|2026-05-06|11:00:00.000Z"/>
    <n v="1"/>
    <s v="Red Bank"/>
    <x v="0"/>
    <x v="0"/>
  </r>
  <r>
    <s v="005ak00000icyWTAAY"/>
    <s v="2026-09-14T21:01:58.000Z"/>
    <n v="30"/>
    <s v="a0Aak00000FtDuNEAV"/>
    <s v="a06ak00000amzCMAAY"/>
    <s v="Yusuf Jackson"/>
    <s v="Started new piece."/>
    <x v="5"/>
    <b v="0"/>
    <m/>
    <s v="005ak00000icyWTAAY"/>
    <s v="2026-09-16T17:01:27.000Z"/>
    <m/>
    <m/>
    <d v="2026-01-11T00:00:00"/>
    <s v="LSN-00561"/>
    <s v="L-0000547"/>
    <s v="131ak000001XjDtAAK"/>
    <b v="0"/>
    <b v="0"/>
    <s v="L-0000547"/>
    <s v="15:30:00.000Z"/>
    <x v="0"/>
    <s v="a07ak00001rZMr7AAG"/>
    <s v="Lucy Dubois"/>
    <s v="2026-09-16T17:01:27.000Z"/>
    <b v="1"/>
    <s v="a06ak00000amzCMAAY|2026-01-11|15:30:00.000Z"/>
    <n v="1"/>
    <s v="Red Bank"/>
    <x v="4"/>
    <x v="0"/>
  </r>
  <r>
    <s v="005ak00000icyWTAAY"/>
    <s v="2026-09-14T21:01:58.000Z"/>
    <n v="45"/>
    <s v="a0Aak00000FtDuOEAV"/>
    <s v="a06ak00000amzCMAAY"/>
    <s v="Yusuf Jackson"/>
    <m/>
    <x v="5"/>
    <b v="0"/>
    <m/>
    <s v="005ak00000icyWTAAY"/>
    <s v="2026-09-16T17:01:27.000Z"/>
    <m/>
    <m/>
    <d v="2026-03-05T00:00:00"/>
    <s v="LSN-00562"/>
    <s v="L-0000548"/>
    <s v="131ak000001XjDtAAK"/>
    <b v="0"/>
    <b v="0"/>
    <s v="L-0000548"/>
    <s v="16:30:00.000Z"/>
    <x v="0"/>
    <s v="a07ak00001rZMr7AAG"/>
    <s v="Lucy Dubois"/>
    <s v="2026-09-16T17:01:27.000Z"/>
    <b v="1"/>
    <s v="a06ak00000amzCMAAY|2026-03-05|16:30:00.000Z"/>
    <n v="1"/>
    <s v="Red Bank"/>
    <x v="3"/>
    <x v="0"/>
  </r>
  <r>
    <s v="005ak00000icyWTAAY"/>
    <s v="2026-09-14T21:01:58.000Z"/>
    <n v="45"/>
    <s v="a0Aak00000FtDuPEAV"/>
    <s v="a06ak00000amzCMAAY"/>
    <s v="Yusuf Jackson"/>
    <s v="Worked on scales and timing."/>
    <x v="5"/>
    <b v="0"/>
    <m/>
    <s v="005ak00000icyWTAAY"/>
    <s v="2026-09-16T17:01:27.000Z"/>
    <m/>
    <m/>
    <d v="2026-02-22T00:00:00"/>
    <s v="LSN-00563"/>
    <s v="L-0000549"/>
    <s v="131ak000001XjDtAAK"/>
    <b v="0"/>
    <b v="0"/>
    <s v="L-0000549"/>
    <s v="16:00:00.000Z"/>
    <x v="0"/>
    <s v="a07ak00001rZMr7AAG"/>
    <s v="Lucy Dubois"/>
    <s v="2026-09-16T17:01:27.000Z"/>
    <b v="1"/>
    <s v="a06ak00000amzCMAAY|2026-02-22|16:00:00.000Z"/>
    <n v="1"/>
    <s v="Red Bank"/>
    <x v="1"/>
    <x v="0"/>
  </r>
  <r>
    <s v="005ak00000icyWTAAY"/>
    <s v="2026-09-14T21:01:58.000Z"/>
    <n v="60"/>
    <s v="a0Aak00000FtDuQEAV"/>
    <s v="a06ak00000amzCMAAY"/>
    <s v="Yusuf Jackson"/>
    <s v="Focused on sight reading."/>
    <x v="5"/>
    <b v="0"/>
    <m/>
    <s v="005ak00000icyWTAAY"/>
    <s v="2026-09-16T17:01:27.000Z"/>
    <m/>
    <m/>
    <d v="2026-05-28T00:00:00"/>
    <s v="LSN-00564"/>
    <s v="L-0000550"/>
    <s v="131ak000001XjDtAAK"/>
    <b v="0"/>
    <b v="0"/>
    <s v="L-0000550"/>
    <s v="16:30:00.000Z"/>
    <x v="0"/>
    <s v="a07ak00001rZMr7AAG"/>
    <s v="Lucy Dubois"/>
    <s v="2026-09-16T17:01:27.000Z"/>
    <b v="1"/>
    <s v="a06ak00000amzCMAAY|2026-05-28|16:30:00.000Z"/>
    <n v="1"/>
    <s v="Red Bank"/>
    <x v="0"/>
    <x v="0"/>
  </r>
  <r>
    <s v="005ak00000icyWTAAY"/>
    <s v="2026-09-14T21:01:58.000Z"/>
    <n v="30"/>
    <s v="a0Aak00000FtDuREAV"/>
    <s v="a06ak00000amzCMAAY"/>
    <s v="Yusuf Jackson"/>
    <m/>
    <x v="5"/>
    <b v="0"/>
    <m/>
    <s v="005ak00000icyWTAAY"/>
    <s v="2026-09-16T17:01:27.000Z"/>
    <m/>
    <m/>
    <d v="2026-02-03T00:00:00"/>
    <s v="LSN-00565"/>
    <s v="L-0000551"/>
    <s v="131ak000001XjDtAAK"/>
    <b v="0"/>
    <b v="0"/>
    <s v="L-0000551"/>
    <s v="16:30:00.000Z"/>
    <x v="3"/>
    <s v="a07ak00001rZMr7AAG"/>
    <s v="Lucy Dubois"/>
    <s v="2026-09-16T17:01:27.000Z"/>
    <b v="1"/>
    <s v="a06ak00000amzCMAAY|2026-02-03|16:30:00.000Z"/>
    <n v="1"/>
    <s v="Red Bank"/>
    <x v="1"/>
    <x v="0"/>
  </r>
  <r>
    <s v="005ak00000icyWTAAY"/>
    <s v="2026-09-14T21:01:58.000Z"/>
    <n v="30"/>
    <s v="a0Aak00000FtDuSEAV"/>
    <s v="a06ak00000amzCMAAY"/>
    <s v="Yusuf Jackson"/>
    <s v="Focused on sight reading."/>
    <x v="5"/>
    <b v="0"/>
    <m/>
    <s v="005ak00000icyWTAAY"/>
    <s v="2026-09-16T17:01:27.000Z"/>
    <m/>
    <m/>
    <d v="2026-06-07T00:00:00"/>
    <s v="LSN-00566"/>
    <s v="L-0000552"/>
    <s v="131ak000001XjDtAAK"/>
    <b v="0"/>
    <b v="0"/>
    <s v="L-0000552"/>
    <s v="15:30:00.000Z"/>
    <x v="0"/>
    <s v="a07ak00001rZMr7AAG"/>
    <s v="Lucy Dubois"/>
    <s v="2026-09-16T17:01:27.000Z"/>
    <b v="1"/>
    <s v="a06ak00000amzCMAAY|2026-06-07|15:30:00.000Z"/>
    <n v="1"/>
    <s v="Red Bank"/>
    <x v="7"/>
    <x v="0"/>
  </r>
  <r>
    <s v="005ak00000icyWTAAY"/>
    <s v="2026-09-14T21:01:58.000Z"/>
    <n v="60"/>
    <s v="a0Aak00000FtDuTEAV"/>
    <s v="a06ak00000amzBzAAI"/>
    <s v="Ezra Garcia"/>
    <s v="Good progress on technique."/>
    <x v="5"/>
    <b v="0"/>
    <m/>
    <s v="005ak00000icyWTAAY"/>
    <s v="2026-09-23T19:02:24.000Z"/>
    <m/>
    <m/>
    <d v="2026-09-27T00:00:00"/>
    <s v="LSN-00567"/>
    <s v="L-0000553"/>
    <s v="131ak000001XjDtAAK"/>
    <b v="0"/>
    <b v="0"/>
    <s v="L-0000553"/>
    <s v="18:00:00.000Z"/>
    <x v="0"/>
    <s v="a07ak00001rZMr7AAG"/>
    <s v="Lucy Dubois"/>
    <s v="2026-09-23T19:02:24.000Z"/>
    <b v="1"/>
    <s v="a06ak00000amzBzAAI|2026-09-27|18:00:00.000Z"/>
    <n v="1"/>
    <s v="Red Bank"/>
    <x v="2"/>
    <x v="0"/>
  </r>
  <r>
    <s v="005ak00000icyWTAAY"/>
    <s v="2026-09-14T21:01:58.000Z"/>
    <n v="30"/>
    <s v="a0Aak00000FtDuUEAV"/>
    <s v="a06ak00000amzBzAAI"/>
    <s v="Ezra Garcia"/>
    <s v="Reviewed last week&amp;#39;s assignment."/>
    <x v="5"/>
    <b v="0"/>
    <m/>
    <s v="005ak00000icyWTAAY"/>
    <s v="2026-09-23T19:02:24.000Z"/>
    <m/>
    <m/>
    <d v="2026-09-30T00:00:00"/>
    <s v="LSN-00568"/>
    <s v="L-0000554"/>
    <s v="131ak000001XjDtAAK"/>
    <b v="0"/>
    <b v="0"/>
    <s v="L-0000554"/>
    <s v="15:30:00.000Z"/>
    <x v="0"/>
    <s v="a07ak00001rZMr7AAG"/>
    <s v="Lucy Dubois"/>
    <s v="2026-09-23T19:02:24.000Z"/>
    <b v="1"/>
    <s v="a06ak00000amzBzAAI|2026-09-30|15:30:00.000Z"/>
    <n v="1"/>
    <s v="Red Bank"/>
    <x v="2"/>
    <x v="0"/>
  </r>
  <r>
    <s v="005ak00000icyWTAAY"/>
    <s v="2026-09-14T21:01:58.000Z"/>
    <n v="60"/>
    <s v="a0Aak00000FtDuVEAV"/>
    <s v="a06ak00000amzBpAAI"/>
    <s v="Liam Lopez"/>
    <m/>
    <x v="8"/>
    <b v="0"/>
    <m/>
    <s v="005ak00000icyWTAAY"/>
    <s v="2026-09-16T17:01:27.000Z"/>
    <m/>
    <m/>
    <d v="2026-04-03T00:00:00"/>
    <s v="LSN-00569"/>
    <s v="L-0000555"/>
    <s v="131ak000001XjDuAAK"/>
    <b v="0"/>
    <b v="0"/>
    <s v="L-0000555"/>
    <s v="15:30:00.000Z"/>
    <x v="1"/>
    <s v="a07ak00001rZMr8AAG"/>
    <s v="Grace Patel"/>
    <s v="2026-09-16T17:01:27.000Z"/>
    <b v="1"/>
    <s v=""/>
    <m/>
    <s v="Brick"/>
    <x v="5"/>
    <x v="0"/>
  </r>
  <r>
    <s v="005ak00000icyWTAAY"/>
    <s v="2026-09-14T21:01:58.000Z"/>
    <n v="60"/>
    <s v="a0Aak00000FtDuWEAV"/>
    <s v="a06ak00000amzBpAAI"/>
    <s v="Liam Lopez"/>
    <m/>
    <x v="8"/>
    <b v="0"/>
    <m/>
    <s v="005ak00000icyWTAAY"/>
    <s v="2026-09-16T17:01:27.000Z"/>
    <m/>
    <m/>
    <d v="2026-02-17T00:00:00"/>
    <s v="LSN-00570"/>
    <s v="L-0000556"/>
    <s v="131ak000001XjDuAAK"/>
    <b v="0"/>
    <b v="0"/>
    <s v="L-0000556"/>
    <s v="15:30:00.000Z"/>
    <x v="0"/>
    <s v="a07ak00001rZMr8AAG"/>
    <s v="Grace Patel"/>
    <s v="2026-09-16T17:01:27.000Z"/>
    <b v="1"/>
    <s v="a06ak00000amzBpAAI|2026-02-17|15:30:00.000Z"/>
    <n v="1"/>
    <s v="Brick"/>
    <x v="1"/>
    <x v="0"/>
  </r>
  <r>
    <s v="005ak00000icyWTAAY"/>
    <s v="2026-09-14T21:01:58.000Z"/>
    <n v="60"/>
    <s v="a0Aak00000FtDuXEAV"/>
    <s v="a06ak00000amzBpAAI"/>
    <s v="Liam Lopez"/>
    <s v="Good progress on technique."/>
    <x v="8"/>
    <b v="0"/>
    <m/>
    <s v="005ak00000icyWTAAY"/>
    <s v="2026-09-16T17:01:27.000Z"/>
    <m/>
    <m/>
    <d v="2026-06-16T00:00:00"/>
    <s v="LSN-00571"/>
    <s v="L-0000557"/>
    <s v="131ak000001XjDuAAK"/>
    <b v="0"/>
    <b v="0"/>
    <s v="L-0000557"/>
    <s v="18:30:00.000Z"/>
    <x v="0"/>
    <s v="a07ak00001rZMr8AAG"/>
    <s v="Grace Patel"/>
    <s v="2026-09-16T17:01:27.000Z"/>
    <b v="1"/>
    <s v="a06ak00000amzBpAAI|2026-06-16|18:30:00.000Z"/>
    <n v="1"/>
    <s v="Brick"/>
    <x v="7"/>
    <x v="0"/>
  </r>
  <r>
    <s v="005ak00000icyWTAAY"/>
    <s v="2026-09-14T21:01:58.000Z"/>
    <n v="30"/>
    <s v="a0Aak00000FtDuYEAV"/>
    <s v="a06ak00000amzBpAAI"/>
    <s v="Liam Lopez"/>
    <s v="Reviewed last week&amp;#39;s assignment."/>
    <x v="8"/>
    <b v="0"/>
    <m/>
    <s v="005ak00000icyWTAAY"/>
    <s v="2026-09-16T17:01:27.000Z"/>
    <m/>
    <m/>
    <d v="2026-02-12T00:00:00"/>
    <s v="LSN-00572"/>
    <s v="L-0000558"/>
    <s v="131ak000001XjDuAAK"/>
    <b v="0"/>
    <b v="0"/>
    <s v="L-0000558"/>
    <s v="18:30:00.000Z"/>
    <x v="0"/>
    <s v="a07ak00001rZMr8AAG"/>
    <s v="Grace Patel"/>
    <s v="2026-09-16T17:01:27.000Z"/>
    <b v="1"/>
    <s v="a06ak00000amzBpAAI|2026-02-12|18:30:00.000Z"/>
    <n v="1"/>
    <s v="Brick"/>
    <x v="1"/>
    <x v="0"/>
  </r>
  <r>
    <s v="005ak00000icyWTAAY"/>
    <s v="2026-09-14T21:01:58.000Z"/>
    <n v="45"/>
    <s v="a0Aak00000FtDuZEAV"/>
    <s v="a06ak00000amzBpAAI"/>
    <s v="Liam Lopez"/>
    <s v="Started new piece."/>
    <x v="8"/>
    <b v="0"/>
    <m/>
    <s v="005ak00000icyWTAAY"/>
    <s v="2026-09-16T17:01:27.000Z"/>
    <m/>
    <m/>
    <d v="2026-06-24T00:00:00"/>
    <s v="LSN-00573"/>
    <s v="L-0000559"/>
    <s v="131ak000001XjDuAAK"/>
    <b v="0"/>
    <b v="0"/>
    <s v="L-0000559"/>
    <s v="15:00:00.000Z"/>
    <x v="0"/>
    <s v="a07ak00001rZMr8AAG"/>
    <s v="Grace Patel"/>
    <s v="2026-09-16T17:01:27.000Z"/>
    <b v="1"/>
    <s v="a06ak00000amzBpAAI|2026-06-24|15:00:00.000Z"/>
    <n v="1"/>
    <s v="Brick"/>
    <x v="7"/>
    <x v="0"/>
  </r>
  <r>
    <s v="005ak00000icyWTAAY"/>
    <s v="2026-09-14T21:01:58.000Z"/>
    <n v="30"/>
    <s v="a0Aak00000FtDuaEAF"/>
    <s v="a06ak00000amzBpAAI"/>
    <s v="Liam Lopez"/>
    <s v="Worked on scales and timing."/>
    <x v="8"/>
    <b v="0"/>
    <m/>
    <s v="005ak00000icyWTAAY"/>
    <s v="2026-09-16T17:01:27.000Z"/>
    <m/>
    <m/>
    <d v="2026-01-08T00:00:00"/>
    <s v="LSN-00574"/>
    <s v="L-0000560"/>
    <s v="131ak000001XjDuAAK"/>
    <b v="0"/>
    <b v="0"/>
    <s v="L-0000560"/>
    <s v="18:30:00.000Z"/>
    <x v="0"/>
    <s v="a07ak00001rZMr8AAG"/>
    <s v="Grace Patel"/>
    <s v="2026-09-16T17:01:27.000Z"/>
    <b v="1"/>
    <s v="a06ak00000amzBpAAI|2026-01-08|18:30:00.000Z"/>
    <n v="1"/>
    <s v="Brick"/>
    <x v="4"/>
    <x v="0"/>
  </r>
  <r>
    <s v="005ak00000icyWTAAY"/>
    <s v="2026-09-14T21:01:58.000Z"/>
    <n v="30"/>
    <s v="a0Aak00000FtDubEAF"/>
    <s v="a06ak00000amzBpAAI"/>
    <s v="Liam Lopez"/>
    <s v="Focused on sight reading."/>
    <x v="8"/>
    <b v="0"/>
    <m/>
    <s v="005ak00000icyWTAAY"/>
    <s v="2026-09-16T17:01:27.000Z"/>
    <m/>
    <m/>
    <d v="2026-08-23T00:00:00"/>
    <s v="LSN-00575"/>
    <s v="L-0000561"/>
    <s v="131ak000001XjDuAAK"/>
    <b v="0"/>
    <b v="0"/>
    <s v="L-0000561"/>
    <s v="17:00:00.000Z"/>
    <x v="0"/>
    <s v="a07ak00001rZMr8AAG"/>
    <s v="Grace Patel"/>
    <s v="2026-09-16T17:01:27.000Z"/>
    <b v="1"/>
    <s v="a06ak00000amzBpAAI|2026-08-23|17:00:00.000Z"/>
    <n v="1"/>
    <s v="Brick"/>
    <x v="6"/>
    <x v="0"/>
  </r>
  <r>
    <s v="005ak00000icyWTAAY"/>
    <s v="2026-09-14T21:01:58.000Z"/>
    <n v="60"/>
    <s v="a0Aak00000FtDucEAF"/>
    <s v="a06ak00000amzBiAAI"/>
    <s v="Zoey Torres"/>
    <m/>
    <x v="8"/>
    <b v="0"/>
    <m/>
    <s v="005ak00000icyWTAAY"/>
    <s v="2026-09-16T17:01:27.000Z"/>
    <m/>
    <m/>
    <d v="2026-01-15T00:00:00"/>
    <s v="LSN-00576"/>
    <s v="L-0000562"/>
    <s v="131ak000001XjDtAAK"/>
    <b v="0"/>
    <b v="0"/>
    <s v="L-0000562"/>
    <s v="11:00:00.000Z"/>
    <x v="1"/>
    <s v="a07ak00001rZMr9AAG"/>
    <s v="Owen Dubois"/>
    <s v="2026-09-16T17:01:27.000Z"/>
    <b v="1"/>
    <s v=""/>
    <m/>
    <s v="Red Bank"/>
    <x v="4"/>
    <x v="0"/>
  </r>
  <r>
    <s v="005ak00000icyWTAAY"/>
    <s v="2026-09-14T21:01:58.000Z"/>
    <n v="30"/>
    <s v="a0Aak00000FtDudEAF"/>
    <s v="a06ak00000amzBiAAI"/>
    <s v="Zoey Torres"/>
    <s v="Good progress on technique."/>
    <x v="8"/>
    <b v="0"/>
    <m/>
    <s v="005ak00000icyWTAAY"/>
    <s v="2026-09-16T17:01:27.000Z"/>
    <m/>
    <m/>
    <d v="2026-02-04T00:00:00"/>
    <s v="LSN-00577"/>
    <s v="L-0000563"/>
    <s v="131ak000001XjDtAAK"/>
    <b v="0"/>
    <b v="0"/>
    <s v="L-0000563"/>
    <s v="16:00:00.000Z"/>
    <x v="0"/>
    <s v="a07ak00001rZMr9AAG"/>
    <s v="Owen Dubois"/>
    <s v="2026-09-16T17:01:27.000Z"/>
    <b v="1"/>
    <s v="a06ak00000amzBiAAI|2026-02-04|16:00:00.000Z"/>
    <n v="1"/>
    <s v="Red Bank"/>
    <x v="1"/>
    <x v="0"/>
  </r>
  <r>
    <s v="005ak00000icyWTAAY"/>
    <s v="2026-09-14T21:01:58.000Z"/>
    <n v="30"/>
    <s v="a0Aak00000FtDueEAF"/>
    <s v="a06ak00000amzBiAAI"/>
    <s v="Zoey Torres"/>
    <s v="Focused on sight reading."/>
    <x v="8"/>
    <b v="0"/>
    <m/>
    <s v="005ak00000icyWTAAY"/>
    <s v="2026-09-16T17:01:27.000Z"/>
    <m/>
    <m/>
    <d v="2026-05-16T00:00:00"/>
    <s v="LSN-00578"/>
    <s v="L-0000564"/>
    <s v="131ak000001XjDtAAK"/>
    <b v="0"/>
    <b v="0"/>
    <s v="L-0000564"/>
    <s v="15:30:00.000Z"/>
    <x v="0"/>
    <s v="a07ak00001rZMr9AAG"/>
    <s v="Owen Dubois"/>
    <s v="2026-09-16T17:01:27.000Z"/>
    <b v="1"/>
    <s v="a06ak00000amzBiAAI|2026-05-16|15:30:00.000Z"/>
    <n v="1"/>
    <s v="Red Bank"/>
    <x v="0"/>
    <x v="0"/>
  </r>
  <r>
    <s v="005ak00000icyWTAAY"/>
    <s v="2026-09-14T21:01:58.000Z"/>
    <n v="45"/>
    <s v="a0Aak00000FtDufEAF"/>
    <s v="a06ak00000amzBiAAI"/>
    <s v="Zoey Torres"/>
    <s v="Good progress on technique."/>
    <x v="8"/>
    <b v="0"/>
    <m/>
    <s v="005ak00000icyWTAAY"/>
    <s v="2026-09-16T17:01:27.000Z"/>
    <m/>
    <m/>
    <d v="2026-03-11T00:00:00"/>
    <s v="LSN-00579"/>
    <s v="L-0000565"/>
    <s v="131ak000001XjDtAAK"/>
    <b v="0"/>
    <b v="0"/>
    <s v="L-0000565"/>
    <s v="16:30:00.000Z"/>
    <x v="0"/>
    <s v="a07ak00001rZMr9AAG"/>
    <s v="Owen Dubois"/>
    <s v="2026-09-16T17:01:27.000Z"/>
    <b v="1"/>
    <s v="a06ak00000amzBiAAI|2026-03-11|16:30:00.000Z"/>
    <n v="1"/>
    <s v="Red Bank"/>
    <x v="3"/>
    <x v="0"/>
  </r>
  <r>
    <s v="005ak00000icyWTAAY"/>
    <s v="2026-09-14T21:01:58.000Z"/>
    <n v="60"/>
    <s v="a0Aak00000FtDugEAF"/>
    <s v="a06ak00000amzBiAAI"/>
    <s v="Zoey Torres"/>
    <s v="Good progress on technique."/>
    <x v="8"/>
    <b v="0"/>
    <m/>
    <s v="005ak00000icyWTAAY"/>
    <s v="2026-09-16T17:01:27.000Z"/>
    <m/>
    <m/>
    <d v="2026-10-02T00:00:00"/>
    <s v="LSN-00580"/>
    <s v="L-0000566"/>
    <s v="131ak000001XjDtAAK"/>
    <b v="0"/>
    <b v="0"/>
    <s v="L-0000566"/>
    <s v="19:00:00.000Z"/>
    <x v="0"/>
    <s v="a07ak00001rZMr9AAG"/>
    <s v="Owen Dubois"/>
    <s v="2026-09-16T17:01:27.000Z"/>
    <b v="1"/>
    <s v="a06ak00000amzBiAAI|2026-10-02|19:00:00.000Z"/>
    <n v="1"/>
    <s v="Red Bank"/>
    <x v="9"/>
    <x v="0"/>
  </r>
  <r>
    <s v="005ak00000icyWTAAY"/>
    <s v="2026-09-14T21:01:58.000Z"/>
    <n v="45"/>
    <s v="a0Aak00000FtDuhEAF"/>
    <s v="a06ak00000amzBiAAI"/>
    <s v="Zoey Torres"/>
    <s v="Worked on scales and timing."/>
    <x v="8"/>
    <b v="0"/>
    <m/>
    <s v="005ak00000icyWTAAY"/>
    <s v="2026-09-16T17:01:27.000Z"/>
    <m/>
    <m/>
    <d v="2026-09-10T00:00:00"/>
    <s v="LSN-00581"/>
    <s v="L-0000567"/>
    <s v="131ak000001XjDtAAK"/>
    <b v="0"/>
    <b v="0"/>
    <s v="L-0000567"/>
    <s v="11:00:00.000Z"/>
    <x v="0"/>
    <s v="a07ak00001rZMr9AAG"/>
    <s v="Owen Dubois"/>
    <s v="2026-09-16T17:01:27.000Z"/>
    <b v="1"/>
    <s v="a06ak00000amzBiAAI|2026-09-10|11:00:00.000Z"/>
    <n v="1"/>
    <s v="Red Bank"/>
    <x v="2"/>
    <x v="0"/>
  </r>
  <r>
    <s v="005ak00000icyWTAAY"/>
    <s v="2026-09-14T21:01:58.000Z"/>
    <n v="30"/>
    <s v="a0Aak00000FtDuiEAF"/>
    <s v="a06ak00000amzBiAAI"/>
    <s v="Zoey Torres"/>
    <s v="Started new piece."/>
    <x v="8"/>
    <b v="0"/>
    <m/>
    <s v="005ak00000icyWTAAY"/>
    <s v="2026-09-16T17:01:27.000Z"/>
    <m/>
    <m/>
    <d v="2026-02-09T00:00:00"/>
    <s v="LSN-00582"/>
    <s v="L-0000568"/>
    <s v="131ak000001XjDtAAK"/>
    <b v="0"/>
    <b v="0"/>
    <s v="L-0000568"/>
    <s v="15:30:00.000Z"/>
    <x v="0"/>
    <s v="a07ak00001rZMr9AAG"/>
    <s v="Owen Dubois"/>
    <s v="2026-09-16T17:01:27.000Z"/>
    <b v="1"/>
    <s v="a06ak00000amzBiAAI|2026-02-09|15:30:00.000Z"/>
    <n v="1"/>
    <s v="Red Bank"/>
    <x v="1"/>
    <x v="0"/>
  </r>
  <r>
    <s v="005ak00000icyWTAAY"/>
    <s v="2026-09-14T21:01:58.000Z"/>
    <n v="30"/>
    <s v="a0Aak00000FtDujEAF"/>
    <s v="a06ak00000amzBxAAI"/>
    <s v="Miles Allen"/>
    <m/>
    <x v="7"/>
    <b v="0"/>
    <m/>
    <s v="005ak00000icyWTAAY"/>
    <s v="2026-09-16T17:01:27.000Z"/>
    <m/>
    <m/>
    <d v="2026-06-03T00:00:00"/>
    <s v="LSN-00583"/>
    <s v="L-0000569"/>
    <s v="131ak000001XjDuAAK"/>
    <b v="0"/>
    <b v="0"/>
    <s v="L-0000569"/>
    <s v="15:00:00.000Z"/>
    <x v="0"/>
    <s v="a07ak00001rZMrAAAW"/>
    <s v="Lincoln Garcia"/>
    <s v="2026-09-16T17:01:27.000Z"/>
    <b v="1"/>
    <s v="a06ak00000amzBxAAI|2026-06-03|15:00:00.000Z"/>
    <n v="1"/>
    <s v="Brick"/>
    <x v="7"/>
    <x v="0"/>
  </r>
  <r>
    <s v="005ak00000icyWTAAY"/>
    <s v="2026-09-14T21:01:58.000Z"/>
    <n v="30"/>
    <s v="a0Aak00000FtDukEAF"/>
    <s v="a06ak00000amzBxAAI"/>
    <s v="Miles Allen"/>
    <s v="Reviewed last week&amp;#39;s assignment."/>
    <x v="7"/>
    <b v="0"/>
    <m/>
    <s v="005ak00000icyWTAAY"/>
    <s v="2026-09-16T17:01:27.000Z"/>
    <m/>
    <m/>
    <d v="2026-05-26T00:00:00"/>
    <s v="LSN-00584"/>
    <s v="L-0000570"/>
    <s v="131ak000001XjDuAAK"/>
    <b v="0"/>
    <b v="0"/>
    <s v="L-0000570"/>
    <s v="10:00:00.000Z"/>
    <x v="0"/>
    <s v="a07ak00001rZMrAAAW"/>
    <s v="Lincoln Garcia"/>
    <s v="2026-09-16T17:01:27.000Z"/>
    <b v="1"/>
    <s v="a06ak00000amzBxAAI|2026-05-26|10:00:00.000Z"/>
    <n v="1"/>
    <s v="Brick"/>
    <x v="0"/>
    <x v="0"/>
  </r>
  <r>
    <s v="005ak00000icyWTAAY"/>
    <s v="2026-09-14T21:01:58.000Z"/>
    <n v="30"/>
    <s v="a0Aak00000FtDulEAF"/>
    <s v="a06ak00000amzCFAAY"/>
    <s v="Valentina Sanchez"/>
    <s v="Reviewed last week&amp;#39;s assignment."/>
    <x v="11"/>
    <b v="0"/>
    <m/>
    <s v="005ak00000icyWTAAY"/>
    <s v="2026-09-16T17:01:27.000Z"/>
    <m/>
    <m/>
    <d v="2026-05-10T00:00:00"/>
    <s v="LSN-00585"/>
    <s v="L-0000571"/>
    <s v="131ak000001XjDuAAK"/>
    <b v="0"/>
    <b v="0"/>
    <s v="L-0000571"/>
    <s v="18:30:00.000Z"/>
    <x v="0"/>
    <s v="a07ak00001rZMrBAAW"/>
    <s v="Diego Moore"/>
    <s v="2026-09-16T17:01:27.000Z"/>
    <b v="1"/>
    <s v="a06ak00000amzCFAAY|2026-05-10|18:30:00.000Z"/>
    <n v="1"/>
    <s v="Brick"/>
    <x v="0"/>
    <x v="0"/>
  </r>
  <r>
    <s v="005ak00000icyWTAAY"/>
    <s v="2026-09-14T21:01:58.000Z"/>
    <n v="30"/>
    <s v="a0Aak00000FtDumEAF"/>
    <s v="a06ak00000amzCFAAY"/>
    <s v="Valentina Sanchez"/>
    <s v="Reviewed last week&amp;#39;s assignment."/>
    <x v="11"/>
    <b v="0"/>
    <m/>
    <s v="005ak00000icyWTAAY"/>
    <s v="2026-09-16T17:01:27.000Z"/>
    <m/>
    <m/>
    <d v="2026-06-29T00:00:00"/>
    <s v="LSN-00586"/>
    <s v="L-0000572"/>
    <s v="131ak000001XjDuAAK"/>
    <b v="0"/>
    <b v="0"/>
    <s v="L-0000572"/>
    <s v="18:30:00.000Z"/>
    <x v="0"/>
    <s v="a07ak00001rZMrBAAW"/>
    <s v="Diego Moore"/>
    <s v="2026-09-16T17:01:27.000Z"/>
    <b v="1"/>
    <s v="a06ak00000amzCFAAY|2026-06-29|18:30:00.000Z"/>
    <n v="1"/>
    <s v="Brick"/>
    <x v="7"/>
    <x v="0"/>
  </r>
  <r>
    <s v="005ak00000icyWTAAY"/>
    <s v="2026-09-14T21:01:58.000Z"/>
    <n v="60"/>
    <s v="a0Aak00000FtDunEAF"/>
    <s v="a06ak00000amzCFAAY"/>
    <s v="Valentina Sanchez"/>
    <m/>
    <x v="11"/>
    <b v="0"/>
    <m/>
    <s v="005ak00000icyWTAAY"/>
    <s v="2026-09-16T17:01:27.000Z"/>
    <m/>
    <m/>
    <d v="2026-09-16T00:00:00"/>
    <s v="LSN-00587"/>
    <s v="L-0000573"/>
    <s v="131ak000001XjDuAAK"/>
    <b v="1"/>
    <b v="0"/>
    <s v="L-0000573"/>
    <s v="10:00:00.000Z"/>
    <x v="4"/>
    <s v="a07ak00001rZMrBAAW"/>
    <s v="Diego Moore"/>
    <s v="2026-09-16T17:01:27.000Z"/>
    <b v="1"/>
    <s v=""/>
    <n v="114"/>
    <s v="Brick"/>
    <x v="2"/>
    <x v="0"/>
  </r>
  <r>
    <s v="005ak00000icyWTAAY"/>
    <s v="2026-09-14T21:01:58.000Z"/>
    <n v="30"/>
    <s v="a0Aak00000FtDuoEAF"/>
    <s v="a06ak00000amzCFAAY"/>
    <s v="Valentina Sanchez"/>
    <m/>
    <x v="11"/>
    <b v="0"/>
    <m/>
    <s v="005ak00000icyWTAAY"/>
    <s v="2026-09-16T17:01:27.000Z"/>
    <m/>
    <m/>
    <d v="2026-06-25T00:00:00"/>
    <s v="LSN-00588"/>
    <s v="L-0000574"/>
    <s v="131ak000001XjDuAAK"/>
    <b v="0"/>
    <b v="0"/>
    <s v="L-0000574"/>
    <s v="16:00:00.000Z"/>
    <x v="0"/>
    <s v="a07ak00001rZMrBAAW"/>
    <s v="Diego Moore"/>
    <s v="2026-09-16T17:01:27.000Z"/>
    <b v="1"/>
    <s v="a06ak00000amzCFAAY|2026-06-25|16:00:00.000Z"/>
    <n v="1"/>
    <s v="Brick"/>
    <x v="7"/>
    <x v="0"/>
  </r>
  <r>
    <s v="005ak00000icyWTAAY"/>
    <s v="2026-09-14T21:01:58.000Z"/>
    <n v="30"/>
    <s v="a0Aak00000FtDupEAF"/>
    <s v="a06ak00000amzCFAAY"/>
    <s v="Valentina Sanchez"/>
    <m/>
    <x v="11"/>
    <b v="0"/>
    <m/>
    <s v="005ak00000icyWTAAY"/>
    <s v="2026-09-16T17:01:27.000Z"/>
    <m/>
    <m/>
    <d v="2026-05-23T00:00:00"/>
    <s v="LSN-00589"/>
    <s v="L-0000575"/>
    <s v="131ak000001XjDuAAK"/>
    <b v="0"/>
    <b v="0"/>
    <s v="L-0000575"/>
    <s v="18:00:00.000Z"/>
    <x v="3"/>
    <s v="a07ak00001rZMrBAAW"/>
    <s v="Diego Moore"/>
    <s v="2026-09-16T17:01:27.000Z"/>
    <b v="1"/>
    <s v="a06ak00000amzCFAAY|2026-05-23|18:00:00.000Z"/>
    <n v="1"/>
    <s v="Brick"/>
    <x v="0"/>
    <x v="0"/>
  </r>
  <r>
    <s v="005ak00000icyWTAAY"/>
    <s v="2026-09-14T21:01:58.000Z"/>
    <n v="30"/>
    <s v="a0Aak00000FtDuqEAF"/>
    <s v="a06ak00000amzCFAAY"/>
    <s v="Valentina Sanchez"/>
    <s v="Focused on sight reading."/>
    <x v="11"/>
    <b v="0"/>
    <m/>
    <s v="005ak00000icyWTAAY"/>
    <s v="2026-09-16T17:01:27.000Z"/>
    <m/>
    <m/>
    <d v="2026-09-14T00:00:00"/>
    <s v="LSN-00590"/>
    <s v="L-0000576"/>
    <s v="131ak000001XjDuAAK"/>
    <b v="0"/>
    <b v="0"/>
    <s v="L-0000576"/>
    <s v="17:00:00.000Z"/>
    <x v="0"/>
    <s v="a07ak00001rZMrBAAW"/>
    <s v="Diego Moore"/>
    <s v="2026-09-16T17:01:27.000Z"/>
    <b v="1"/>
    <s v="a06ak00000amzCFAAY|2026-09-14|17:00:00.000Z"/>
    <n v="1"/>
    <s v="Brick"/>
    <x v="2"/>
    <x v="0"/>
  </r>
  <r>
    <s v="005ak00000icyWTAAY"/>
    <s v="2026-09-14T21:01:58.000Z"/>
    <n v="30"/>
    <s v="a0Aak00000FtDurEAF"/>
    <s v="a06ak00000amzBrAAI"/>
    <s v="Savannah Silva"/>
    <m/>
    <x v="8"/>
    <b v="0"/>
    <m/>
    <s v="005ak00000icyWTAAY"/>
    <s v="2026-09-16T17:01:27.000Z"/>
    <m/>
    <m/>
    <d v="2026-05-20T00:00:00"/>
    <s v="LSN-00591"/>
    <s v="L-0000577"/>
    <s v="131ak000001XjDtAAK"/>
    <b v="0"/>
    <b v="0"/>
    <s v="L-0000577"/>
    <s v="16:30:00.000Z"/>
    <x v="0"/>
    <s v="a07ak00001rZMrCAAW"/>
    <s v="Levi Gonzalez"/>
    <s v="2026-09-16T17:01:27.000Z"/>
    <b v="1"/>
    <s v="a06ak00000amzBrAAI|2026-05-20|16:30:00.000Z"/>
    <n v="1"/>
    <s v="Red Bank"/>
    <x v="0"/>
    <x v="0"/>
  </r>
  <r>
    <s v="005ak00000icyWTAAY"/>
    <s v="2026-09-14T21:01:58.000Z"/>
    <n v="45"/>
    <s v="a0Aak00000FtDusEAF"/>
    <s v="a06ak00000amzBrAAI"/>
    <s v="Savannah Silva"/>
    <s v="Reviewed last week&amp;#39;s assignment."/>
    <x v="8"/>
    <b v="0"/>
    <m/>
    <s v="005ak00000icyWTAAY"/>
    <s v="2026-09-16T17:01:27.000Z"/>
    <m/>
    <m/>
    <d v="2026-02-03T00:00:00"/>
    <s v="LSN-00592"/>
    <s v="L-0000578"/>
    <s v="131ak000001XjDtAAK"/>
    <b v="0"/>
    <b v="0"/>
    <s v="L-0000578"/>
    <s v="17:30:00.000Z"/>
    <x v="0"/>
    <s v="a07ak00001rZMrCAAW"/>
    <s v="Levi Gonzalez"/>
    <s v="2026-09-16T17:01:27.000Z"/>
    <b v="1"/>
    <s v="a06ak00000amzBrAAI|2026-02-03|17:30:00.000Z"/>
    <n v="1"/>
    <s v="Red Bank"/>
    <x v="1"/>
    <x v="0"/>
  </r>
  <r>
    <s v="005ak00000icyWTAAY"/>
    <s v="2026-09-14T21:01:58.000Z"/>
    <n v="60"/>
    <s v="a0Aak00000FtDutEAF"/>
    <s v="a06ak00000amzBrAAI"/>
    <s v="Savannah Silva"/>
    <s v="Focused on sight reading."/>
    <x v="8"/>
    <b v="0"/>
    <m/>
    <s v="005ak00000icyWTAAY"/>
    <s v="2026-09-16T17:01:27.000Z"/>
    <m/>
    <m/>
    <d v="2026-02-08T00:00:00"/>
    <s v="LSN-00593"/>
    <s v="L-0000579"/>
    <s v="131ak000001XjDtAAK"/>
    <b v="0"/>
    <b v="0"/>
    <s v="L-0000579"/>
    <s v="10:00:00.000Z"/>
    <x v="0"/>
    <s v="a07ak00001rZMrCAAW"/>
    <s v="Levi Gonzalez"/>
    <s v="2026-09-16T17:01:27.000Z"/>
    <b v="1"/>
    <s v="a06ak00000amzBrAAI|2026-02-08|10:00:00.000Z"/>
    <n v="1"/>
    <s v="Red Bank"/>
    <x v="1"/>
    <x v="0"/>
  </r>
  <r>
    <s v="005ak00000icyWTAAY"/>
    <s v="2026-09-14T21:01:58.000Z"/>
    <n v="30"/>
    <s v="a0Aak00000FtDuuEAF"/>
    <s v="a06ak00000amzBrAAI"/>
    <s v="Savannah Silva"/>
    <s v="Worked on scales and timing."/>
    <x v="8"/>
    <b v="0"/>
    <m/>
    <s v="005ak00000icyWTAAY"/>
    <s v="2026-09-16T17:01:27.000Z"/>
    <m/>
    <m/>
    <d v="2026-06-13T00:00:00"/>
    <s v="LSN-00594"/>
    <s v="L-0000580"/>
    <s v="131ak000001XjDtAAK"/>
    <b v="0"/>
    <b v="0"/>
    <s v="L-0000580"/>
    <s v="11:00:00.000Z"/>
    <x v="0"/>
    <s v="a07ak00001rZMrCAAW"/>
    <s v="Levi Gonzalez"/>
    <s v="2026-09-16T17:01:27.000Z"/>
    <b v="1"/>
    <s v="a06ak00000amzBrAAI|2026-06-13|11:00:00.000Z"/>
    <n v="1"/>
    <s v="Red Bank"/>
    <x v="7"/>
    <x v="0"/>
  </r>
  <r>
    <s v="005ak00000icyWTAAY"/>
    <s v="2026-09-14T21:01:58.000Z"/>
    <n v="30"/>
    <s v="a0Aak00000FtDuvEAF"/>
    <s v="a06ak00000amzBrAAI"/>
    <s v="Savannah Silva"/>
    <s v="Focused on sight reading."/>
    <x v="8"/>
    <b v="0"/>
    <m/>
    <s v="005ak00000icyWTAAY"/>
    <s v="2026-09-16T17:01:27.000Z"/>
    <m/>
    <m/>
    <d v="2026-04-16T00:00:00"/>
    <s v="LSN-00595"/>
    <s v="L-0000581"/>
    <s v="131ak000001XjDtAAK"/>
    <b v="0"/>
    <b v="0"/>
    <s v="L-0000581"/>
    <s v="17:00:00.000Z"/>
    <x v="0"/>
    <s v="a07ak00001rZMrCAAW"/>
    <s v="Levi Gonzalez"/>
    <s v="2026-09-16T17:01:27.000Z"/>
    <b v="1"/>
    <s v="a06ak00000amzBrAAI|2026-04-16|17:00:00.000Z"/>
    <n v="1"/>
    <s v="Red Bank"/>
    <x v="5"/>
    <x v="0"/>
  </r>
  <r>
    <s v="005ak00000icyWTAAY"/>
    <s v="2026-09-14T21:01:58.000Z"/>
    <n v="30"/>
    <s v="a0Aak00000FtDuwEAF"/>
    <s v="a06ak00000amzBrAAI"/>
    <s v="Savannah Silva"/>
    <m/>
    <x v="8"/>
    <b v="0"/>
    <m/>
    <s v="005ak00000icyWTAAY"/>
    <s v="2026-09-16T17:01:27.000Z"/>
    <m/>
    <m/>
    <d v="2026-02-21T00:00:00"/>
    <s v="LSN-00596"/>
    <s v="L-0000582"/>
    <s v="131ak000001XjDtAAK"/>
    <b v="0"/>
    <b v="0"/>
    <s v="L-0000582"/>
    <s v="18:00:00.000Z"/>
    <x v="0"/>
    <s v="a07ak00001rZMrCAAW"/>
    <s v="Levi Gonzalez"/>
    <s v="2026-09-16T17:01:27.000Z"/>
    <b v="1"/>
    <s v="a06ak00000amzBrAAI|2026-02-21|18:00:00.000Z"/>
    <n v="1"/>
    <s v="Red Bank"/>
    <x v="1"/>
    <x v="0"/>
  </r>
  <r>
    <s v="005ak00000icyWTAAY"/>
    <s v="2026-09-14T21:01:58.000Z"/>
    <n v="60"/>
    <s v="a0Aak00000FtDuxEAF"/>
    <s v="a06ak00000amzBrAAI"/>
    <s v="Savannah Silva"/>
    <m/>
    <x v="8"/>
    <b v="0"/>
    <m/>
    <s v="005ak00000icyWTAAY"/>
    <s v="2026-09-16T17:01:27.000Z"/>
    <m/>
    <m/>
    <d v="2026-06-23T00:00:00"/>
    <s v="LSN-00597"/>
    <s v="L-0000583"/>
    <s v="131ak000001XjDtAAK"/>
    <b v="0"/>
    <b v="0"/>
    <s v="L-0000583"/>
    <s v="19:00:00.000Z"/>
    <x v="3"/>
    <s v="a07ak00001rZMrCAAW"/>
    <s v="Levi Gonzalez"/>
    <s v="2026-09-16T17:01:27.000Z"/>
    <b v="1"/>
    <s v="a06ak00000amzBrAAI|2026-06-23|19:00:00.000Z"/>
    <n v="1"/>
    <s v="Red Bank"/>
    <x v="7"/>
    <x v="0"/>
  </r>
  <r>
    <s v="005ak00000icyWTAAY"/>
    <s v="2026-09-14T21:01:58.000Z"/>
    <n v="60"/>
    <s v="a0Aak00000FtDuyEAF"/>
    <s v="a06ak00000amzCHAAY"/>
    <s v="Liam Flores"/>
    <s v="Started new piece."/>
    <x v="4"/>
    <b v="0"/>
    <m/>
    <s v="005ak00000icyWTAAY"/>
    <s v="2026-09-16T17:01:27.000Z"/>
    <m/>
    <m/>
    <d v="2026-08-13T00:00:00"/>
    <s v="LSN-00598"/>
    <s v="L-0000584"/>
    <s v="131ak000001XjDtAAK"/>
    <b v="0"/>
    <b v="0"/>
    <s v="L-0000584"/>
    <s v="16:00:00.000Z"/>
    <x v="0"/>
    <s v="a07ak00001rZMrDAAW"/>
    <s v="Jackson Lopez"/>
    <s v="2026-09-16T17:01:27.000Z"/>
    <b v="1"/>
    <s v="a06ak00000amzCHAAY|2026-08-13|16:00:00.000Z"/>
    <n v="1"/>
    <s v="Red Bank"/>
    <x v="6"/>
    <x v="0"/>
  </r>
  <r>
    <s v="005ak00000icyWTAAY"/>
    <s v="2026-09-14T21:01:58.000Z"/>
    <n v="45"/>
    <s v="a0Aak00000FtDuzEAF"/>
    <s v="a06ak00000amzCHAAY"/>
    <s v="Liam Flores"/>
    <s v="Reviewed last week&amp;#39;s assignment."/>
    <x v="4"/>
    <b v="0"/>
    <m/>
    <s v="005ak00000icyWTAAY"/>
    <s v="2026-09-16T17:01:27.000Z"/>
    <m/>
    <m/>
    <d v="2026-09-03T00:00:00"/>
    <s v="LSN-00599"/>
    <s v="L-0000585"/>
    <s v="131ak000001XjDtAAK"/>
    <b v="0"/>
    <b v="0"/>
    <s v="L-0000585"/>
    <s v="11:00:00.000Z"/>
    <x v="0"/>
    <s v="a07ak00001rZMrDAAW"/>
    <s v="Jackson Lopez"/>
    <s v="2026-09-16T17:01:27.000Z"/>
    <b v="1"/>
    <s v="a06ak00000amzCHAAY|2026-09-03|11:00:00.000Z"/>
    <n v="1"/>
    <s v="Red Bank"/>
    <x v="2"/>
    <x v="0"/>
  </r>
  <r>
    <s v="005ak00000icyWTAAY"/>
    <s v="2026-09-14T21:01:58.000Z"/>
    <n v="60"/>
    <s v="a0Aak00000FtDv0EAF"/>
    <s v="a06ak00000amzCHAAY"/>
    <s v="Liam Flores"/>
    <m/>
    <x v="4"/>
    <b v="0"/>
    <m/>
    <s v="005ak00000icyWTAAY"/>
    <s v="2026-09-16T17:01:27.000Z"/>
    <m/>
    <m/>
    <d v="2026-01-20T00:00:00"/>
    <s v="LSN-00600"/>
    <s v="L-0000586"/>
    <s v="131ak000001XjDtAAK"/>
    <b v="0"/>
    <b v="0"/>
    <s v="L-0000586"/>
    <s v="18:00:00.000Z"/>
    <x v="0"/>
    <s v="a07ak00001rZMrDAAW"/>
    <s v="Jackson Lopez"/>
    <s v="2026-09-16T17:01:27.000Z"/>
    <b v="1"/>
    <s v="a06ak00000amzCHAAY|2026-01-20|18:00:00.000Z"/>
    <n v="1"/>
    <s v="Red Bank"/>
    <x v="4"/>
    <x v="0"/>
  </r>
  <r>
    <s v="005ak00000icyWTAAY"/>
    <s v="2026-09-14T21:01:58.000Z"/>
    <n v="45"/>
    <s v="a0Aak00000FtDv1EAF"/>
    <s v="a06ak00000amzCHAAY"/>
    <s v="Liam Flores"/>
    <m/>
    <x v="4"/>
    <b v="0"/>
    <m/>
    <s v="005ak00000icyWTAAY"/>
    <s v="2026-09-16T17:01:29.000Z"/>
    <m/>
    <m/>
    <d v="2026-05-08T00:00:00"/>
    <s v="LSN-00601"/>
    <s v="L-0000587"/>
    <s v="131ak000001XjDtAAK"/>
    <b v="0"/>
    <b v="0"/>
    <s v="L-0000587"/>
    <s v="17:00:00.000Z"/>
    <x v="3"/>
    <s v="a07ak00001rZMrDAAW"/>
    <s v="Jackson Lopez"/>
    <s v="2026-09-16T17:01:29.000Z"/>
    <b v="1"/>
    <s v="a06ak00000amzCHAAY|2026-05-08|17:00:00.000Z"/>
    <n v="1"/>
    <s v="Red Bank"/>
    <x v="0"/>
    <x v="0"/>
  </r>
  <r>
    <s v="005ak00000icyWTAAY"/>
    <s v="2026-09-14T21:01:58.000Z"/>
    <n v="30"/>
    <s v="a0Aak00000FtDv2EAF"/>
    <s v="a06ak00000amzCHAAY"/>
    <s v="Liam Flores"/>
    <m/>
    <x v="4"/>
    <b v="0"/>
    <m/>
    <s v="005ak00000icyWTAAY"/>
    <s v="2026-09-25T18:00:49.000Z"/>
    <m/>
    <m/>
    <d v="2026-03-30T00:00:00"/>
    <s v="LSN-00602"/>
    <s v="L-0000588"/>
    <s v="131ak000001XjDtAAK"/>
    <b v="1"/>
    <b v="1"/>
    <s v="L-0000588"/>
    <s v="19:00:00.000Z"/>
    <x v="4"/>
    <s v="a07ak00001rZMrDAAW"/>
    <s v="Jackson Lopez"/>
    <s v="2026-09-25T18:00:49.000Z"/>
    <b v="1"/>
    <s v=""/>
    <m/>
    <s v="Red Bank"/>
    <x v="3"/>
    <x v="0"/>
  </r>
  <r>
    <s v="005ak00000icyWTAAY"/>
    <s v="2026-09-14T21:01:58.000Z"/>
    <n v="60"/>
    <s v="a0Aak00000FtDv3EAF"/>
    <s v="a06ak00000amzCHAAY"/>
    <s v="Liam Flores"/>
    <m/>
    <x v="4"/>
    <b v="0"/>
    <m/>
    <s v="005ak00000icyWTAAY"/>
    <s v="2026-09-16T17:01:29.000Z"/>
    <m/>
    <m/>
    <d v="2026-07-19T00:00:00"/>
    <s v="LSN-00603"/>
    <s v="L-0000589"/>
    <s v="131ak000001XjDtAAK"/>
    <b v="0"/>
    <b v="0"/>
    <s v="L-0000589"/>
    <s v="15:00:00.000Z"/>
    <x v="0"/>
    <s v="a07ak00001rZMrDAAW"/>
    <s v="Jackson Lopez"/>
    <s v="2026-09-16T17:01:29.000Z"/>
    <b v="1"/>
    <s v="a06ak00000amzCHAAY|2026-07-19|15:00:00.000Z"/>
    <n v="1"/>
    <s v="Red Bank"/>
    <x v="8"/>
    <x v="0"/>
  </r>
  <r>
    <s v="005ak00000icyWTAAY"/>
    <s v="2026-09-14T21:01:58.000Z"/>
    <n v="30"/>
    <s v="a0Aak00000FtDv4EAF"/>
    <s v="a06ak00000amzCHAAY"/>
    <s v="Liam Flores"/>
    <m/>
    <x v="4"/>
    <b v="0"/>
    <m/>
    <s v="005ak00000icyWTAAY"/>
    <s v="2026-09-16T17:01:29.000Z"/>
    <m/>
    <m/>
    <d v="2026-04-30T00:00:00"/>
    <s v="LSN-00604"/>
    <s v="L-0000590"/>
    <s v="131ak000001XjDtAAK"/>
    <b v="0"/>
    <b v="0"/>
    <s v="L-0000590"/>
    <s v="10:00:00.000Z"/>
    <x v="0"/>
    <s v="a07ak00001rZMrDAAW"/>
    <s v="Jackson Lopez"/>
    <s v="2026-09-16T17:01:29.000Z"/>
    <b v="1"/>
    <s v="a06ak00000amzCHAAY|2026-04-30|10:00:00.000Z"/>
    <n v="1"/>
    <s v="Red Bank"/>
    <x v="5"/>
    <x v="0"/>
  </r>
  <r>
    <s v="005ak00000icyWTAAY"/>
    <s v="2026-09-14T21:01:58.000Z"/>
    <n v="30"/>
    <s v="a0Aak00000FtDv5EAF"/>
    <s v="a06ak00000amzCHAAY"/>
    <s v="Liam Flores"/>
    <m/>
    <x v="4"/>
    <b v="0"/>
    <m/>
    <s v="005ak00000icyWTAAY"/>
    <s v="2026-09-16T17:01:29.000Z"/>
    <m/>
    <m/>
    <d v="2026-06-17T00:00:00"/>
    <s v="LSN-00605"/>
    <s v="L-0000591"/>
    <s v="131ak000001XjDtAAK"/>
    <b v="0"/>
    <b v="0"/>
    <s v="L-0000591"/>
    <s v="19:00:00.000Z"/>
    <x v="0"/>
    <s v="a07ak00001rZMrDAAW"/>
    <s v="Jackson Lopez"/>
    <s v="2026-09-16T17:01:29.000Z"/>
    <b v="1"/>
    <s v="a06ak00000amzCHAAY|2026-06-17|19:00:00.000Z"/>
    <n v="1"/>
    <s v="Red Bank"/>
    <x v="7"/>
    <x v="0"/>
  </r>
  <r>
    <s v="005ak00000icyWTAAY"/>
    <s v="2026-09-14T21:01:58.000Z"/>
    <n v="45"/>
    <s v="a0Aak00000FtDv6EAF"/>
    <s v="a06ak00000amzCHAAY"/>
    <s v="Liam Flores"/>
    <s v="Worked on scales and timing."/>
    <x v="4"/>
    <b v="0"/>
    <m/>
    <s v="005ak00000icyWTAAY"/>
    <s v="2026-09-16T17:01:29.000Z"/>
    <m/>
    <m/>
    <d v="2026-04-14T00:00:00"/>
    <s v="LSN-00606"/>
    <s v="L-0000592"/>
    <s v="131ak000001XjDtAAK"/>
    <b v="0"/>
    <b v="0"/>
    <s v="L-0000592"/>
    <s v="15:30:00.000Z"/>
    <x v="0"/>
    <s v="a07ak00001rZMrDAAW"/>
    <s v="Jackson Lopez"/>
    <s v="2026-09-16T17:01:29.000Z"/>
    <b v="1"/>
    <s v="a06ak00000amzCHAAY|2026-04-14|15:30:00.000Z"/>
    <n v="1"/>
    <s v="Red Bank"/>
    <x v="5"/>
    <x v="0"/>
  </r>
  <r>
    <s v="005ak00000icyWTAAY"/>
    <s v="2026-09-14T21:01:58.000Z"/>
    <n v="60"/>
    <s v="a0Aak00000FtDv7EAF"/>
    <s v="a06ak00000amzC1AAI"/>
    <s v="Valentina Nakamura"/>
    <m/>
    <x v="11"/>
    <b v="0"/>
    <m/>
    <s v="005ak00000icyWTAAY"/>
    <s v="2026-09-23T19:02:24.000Z"/>
    <m/>
    <m/>
    <d v="2026-10-01T00:00:00"/>
    <s v="LSN-00607"/>
    <s v="L-0000593"/>
    <s v="131ak000001XjDuAAK"/>
    <b v="0"/>
    <b v="0"/>
    <s v="L-0000593"/>
    <s v="11:00:00.000Z"/>
    <x v="1"/>
    <s v="a07ak00001rZMrEAAW"/>
    <s v="Mei Thomas"/>
    <s v="2026-09-23T19:02:24.000Z"/>
    <b v="1"/>
    <s v=""/>
    <n v="114"/>
    <s v="Brick"/>
    <x v="9"/>
    <x v="0"/>
  </r>
  <r>
    <s v="005ak00000icyWTAAY"/>
    <s v="2026-09-14T21:01:58.000Z"/>
    <n v="30"/>
    <s v="a0Aak00000FtDv8EAF"/>
    <s v="a06ak00000amzCEAAY"/>
    <s v="Caroline Baker"/>
    <s v="Focused on sight reading."/>
    <x v="11"/>
    <b v="0"/>
    <m/>
    <s v="005ak00000icyWTAAY"/>
    <s v="2026-09-16T17:01:29.000Z"/>
    <m/>
    <m/>
    <d v="2026-09-10T00:00:00"/>
    <s v="LSN-00608"/>
    <s v="L-0000594"/>
    <s v="131ak000001XjDuAAK"/>
    <b v="0"/>
    <b v="0"/>
    <s v="L-0000594"/>
    <s v="17:30:00.000Z"/>
    <x v="0"/>
    <s v="a07ak00001rZMrEAAW"/>
    <s v="Mei Thomas"/>
    <s v="2026-09-16T17:01:29.000Z"/>
    <b v="1"/>
    <s v="a06ak00000amzCEAAY|2026-09-10|17:30:00.000Z"/>
    <n v="1"/>
    <s v="Brick"/>
    <x v="2"/>
    <x v="0"/>
  </r>
  <r>
    <s v="005ak00000icyWTAAY"/>
    <s v="2026-09-14T21:01:58.000Z"/>
    <n v="45"/>
    <s v="a0Aak00000FtDv9EAF"/>
    <s v="a06ak00000amzCEAAY"/>
    <s v="Caroline Baker"/>
    <m/>
    <x v="11"/>
    <b v="0"/>
    <m/>
    <s v="005ak00000icyWTAAY"/>
    <s v="2026-09-16T17:01:29.000Z"/>
    <m/>
    <m/>
    <d v="2026-06-08T00:00:00"/>
    <s v="LSN-00609"/>
    <s v="L-0000595"/>
    <s v="131ak000001XjDuAAK"/>
    <b v="0"/>
    <b v="0"/>
    <s v="L-0000595"/>
    <s v="18:30:00.000Z"/>
    <x v="3"/>
    <s v="a07ak00001rZMrEAAW"/>
    <s v="Mei Thomas"/>
    <s v="2026-09-16T17:01:29.000Z"/>
    <b v="1"/>
    <s v="a06ak00000amzCEAAY|2026-06-08|18:30:00.000Z"/>
    <n v="1"/>
    <s v="Brick"/>
    <x v="7"/>
    <x v="0"/>
  </r>
  <r>
    <s v="005ak00000icyWTAAY"/>
    <s v="2026-09-14T21:01:58.000Z"/>
    <n v="30"/>
    <s v="a0Aak00000FtDvAEAV"/>
    <s v="a06ak00000amzCEAAY"/>
    <s v="Caroline Baker"/>
    <m/>
    <x v="11"/>
    <b v="0"/>
    <m/>
    <s v="005ak00000icyWTAAY"/>
    <s v="2026-09-16T17:01:29.000Z"/>
    <m/>
    <m/>
    <d v="2026-01-29T00:00:00"/>
    <s v="LSN-00610"/>
    <s v="L-0000596"/>
    <s v="131ak000001XjDuAAK"/>
    <b v="0"/>
    <b v="0"/>
    <s v="L-0000596"/>
    <s v="10:00:00.000Z"/>
    <x v="3"/>
    <s v="a07ak00001rZMrEAAW"/>
    <s v="Mei Thomas"/>
    <s v="2026-09-16T17:01:29.000Z"/>
    <b v="1"/>
    <s v="a06ak00000amzCEAAY|2026-01-29|10:00:00.000Z"/>
    <n v="1"/>
    <s v="Brick"/>
    <x v="4"/>
    <x v="0"/>
  </r>
  <r>
    <s v="005ak00000icyWTAAY"/>
    <s v="2026-09-14T21:01:58.000Z"/>
    <n v="30"/>
    <s v="a0Aak00000FtDvBEAV"/>
    <s v="a06ak00000amzCEAAY"/>
    <s v="Caroline Baker"/>
    <s v="Focused on sight reading."/>
    <x v="11"/>
    <b v="0"/>
    <m/>
    <s v="005ak00000icyWTAAY"/>
    <s v="2026-09-16T17:01:29.000Z"/>
    <m/>
    <m/>
    <d v="2026-04-15T00:00:00"/>
    <s v="LSN-00611"/>
    <s v="L-0000597"/>
    <s v="131ak000001XjDuAAK"/>
    <b v="0"/>
    <b v="0"/>
    <s v="L-0000597"/>
    <s v="18:00:00.000Z"/>
    <x v="0"/>
    <s v="a07ak00001rZMrEAAW"/>
    <s v="Mei Thomas"/>
    <s v="2026-09-16T17:01:29.000Z"/>
    <b v="1"/>
    <s v="a06ak00000amzCEAAY|2026-04-15|18:00:00.000Z"/>
    <n v="1"/>
    <s v="Brick"/>
    <x v="5"/>
    <x v="0"/>
  </r>
  <r>
    <s v="005ak00000icyWTAAY"/>
    <s v="2026-09-14T21:01:58.000Z"/>
    <n v="30"/>
    <s v="a0Aak00000FtDvCEAV"/>
    <s v="a06ak00000amzCEAAY"/>
    <s v="Caroline Baker"/>
    <m/>
    <x v="11"/>
    <b v="0"/>
    <m/>
    <s v="005ak00000icyWTAAY"/>
    <s v="2026-09-16T17:01:29.000Z"/>
    <m/>
    <m/>
    <d v="2026-07-04T00:00:00"/>
    <s v="LSN-00612"/>
    <s v="L-0000598"/>
    <s v="131ak000001XjDuAAK"/>
    <b v="0"/>
    <b v="0"/>
    <s v="L-0000598"/>
    <s v="10:00:00.000Z"/>
    <x v="0"/>
    <s v="a07ak00001rZMrEAAW"/>
    <s v="Mei Thomas"/>
    <s v="2026-09-16T17:01:29.000Z"/>
    <b v="1"/>
    <s v="a06ak00000amzCEAAY|2026-07-04|10:00:00.000Z"/>
    <n v="1"/>
    <s v="Brick"/>
    <x v="8"/>
    <x v="0"/>
  </r>
  <r>
    <s v="005ak00000icyWTAAY"/>
    <s v="2026-09-14T21:01:58.000Z"/>
    <n v="60"/>
    <s v="a0Aak00000FtDvDEAV"/>
    <s v="a06ak00000amzBtAAI"/>
    <s v="Jamal Torres"/>
    <m/>
    <x v="8"/>
    <b v="0"/>
    <m/>
    <s v="005ak00000icyWTAAY"/>
    <s v="2026-09-25T18:00:49.000Z"/>
    <m/>
    <m/>
    <d v="2026-06-02T00:00:00"/>
    <s v="LSN-00613"/>
    <s v="L-0000599"/>
    <s v="131ak000001XjDvAAK"/>
    <b v="1"/>
    <b v="1"/>
    <s v="L-0000599"/>
    <s v="15:00:00.000Z"/>
    <x v="4"/>
    <s v="a07ak00001rZMrGAAW"/>
    <s v="Ryan Kelly"/>
    <s v="2026-09-25T18:00:49.000Z"/>
    <b v="1"/>
    <s v=""/>
    <m/>
    <s v="Toms River"/>
    <x v="7"/>
    <x v="0"/>
  </r>
  <r>
    <s v="005ak00000icyWTAAY"/>
    <s v="2026-09-14T21:01:58.000Z"/>
    <n v="30"/>
    <s v="a0Aak00000FtDvEEAV"/>
    <s v="a06ak00000amzBtAAI"/>
    <s v="Jamal Torres"/>
    <m/>
    <x v="8"/>
    <b v="0"/>
    <m/>
    <s v="005ak00000icyWTAAY"/>
    <s v="2026-09-16T17:01:29.000Z"/>
    <m/>
    <m/>
    <d v="2026-04-22T00:00:00"/>
    <s v="LSN-00614"/>
    <s v="L-0000600"/>
    <s v="131ak000001XjDvAAK"/>
    <b v="0"/>
    <b v="0"/>
    <s v="L-0000600"/>
    <s v="16:30:00.000Z"/>
    <x v="0"/>
    <s v="a07ak00001rZMrGAAW"/>
    <s v="Ryan Kelly"/>
    <s v="2026-09-16T17:01:29.000Z"/>
    <b v="1"/>
    <s v="a06ak00000amzBtAAI|2026-04-22|16:30:00.000Z"/>
    <n v="1"/>
    <s v="Toms River"/>
    <x v="5"/>
    <x v="0"/>
  </r>
  <r>
    <s v="005ak00000icyWTAAY"/>
    <s v="2026-09-14T21:01:58.000Z"/>
    <n v="30"/>
    <s v="a0Aak00000FtDvFEAV"/>
    <s v="a06ak00000amzBtAAI"/>
    <s v="Jamal Torres"/>
    <s v="Good progress on technique."/>
    <x v="8"/>
    <b v="0"/>
    <m/>
    <s v="005ak00000icyWTAAY"/>
    <s v="2026-09-16T17:01:29.000Z"/>
    <m/>
    <m/>
    <d v="2026-01-24T00:00:00"/>
    <s v="LSN-00615"/>
    <s v="L-0000601"/>
    <s v="131ak000001XjDvAAK"/>
    <b v="0"/>
    <b v="0"/>
    <s v="L-0000601"/>
    <s v="19:00:00.000Z"/>
    <x v="0"/>
    <s v="a07ak00001rZMrGAAW"/>
    <s v="Ryan Kelly"/>
    <s v="2026-09-16T17:01:29.000Z"/>
    <b v="1"/>
    <s v="a06ak00000amzBtAAI|2026-01-24|19:00:00.000Z"/>
    <n v="1"/>
    <s v="Toms River"/>
    <x v="4"/>
    <x v="0"/>
  </r>
  <r>
    <s v="005ak00000icyWTAAY"/>
    <s v="2026-09-14T21:01:58.000Z"/>
    <n v="60"/>
    <s v="a0Aak00000FtDvGEAV"/>
    <s v="a06ak00000amzBtAAI"/>
    <s v="Jamal Torres"/>
    <s v="Reviewed last week&amp;#39;s assignment."/>
    <x v="8"/>
    <b v="0"/>
    <m/>
    <s v="005ak00000icyWTAAY"/>
    <s v="2026-09-16T17:01:29.000Z"/>
    <m/>
    <m/>
    <d v="2026-06-11T00:00:00"/>
    <s v="LSN-00616"/>
    <s v="L-0000602"/>
    <s v="131ak000001XjDvAAK"/>
    <b v="0"/>
    <b v="0"/>
    <s v="L-0000602"/>
    <s v="15:00:00.000Z"/>
    <x v="0"/>
    <s v="a07ak00001rZMrGAAW"/>
    <s v="Ryan Kelly"/>
    <s v="2026-09-16T17:01:29.000Z"/>
    <b v="1"/>
    <s v="a06ak00000amzBtAAI|2026-06-11|15:00:00.000Z"/>
    <n v="1"/>
    <s v="Toms River"/>
    <x v="7"/>
    <x v="0"/>
  </r>
  <r>
    <s v="005ak00000icyWTAAY"/>
    <s v="2026-09-14T21:01:58.000Z"/>
    <n v="60"/>
    <s v="a0Aak00000FtDvHEAV"/>
    <s v="a06ak00000amzCDAAY"/>
    <s v="Vincent Kelly"/>
    <s v="Worked on scales and timing."/>
    <x v="10"/>
    <b v="0"/>
    <m/>
    <s v="005ak00000icyWTAAY"/>
    <s v="2026-09-16T17:01:29.000Z"/>
    <m/>
    <m/>
    <d v="2026-07-17T00:00:00"/>
    <s v="LSN-00617"/>
    <s v="L-0000603"/>
    <s v="131ak000001XjDtAAK"/>
    <b v="0"/>
    <b v="0"/>
    <s v="L-0000603"/>
    <s v="15:00:00.000Z"/>
    <x v="0"/>
    <s v="a07ak00001rZMrHAAW"/>
    <s v="Lucas Young"/>
    <s v="2026-09-16T17:01:29.000Z"/>
    <b v="1"/>
    <s v="a06ak00000amzCDAAY|2026-07-17|15:00:00.000Z"/>
    <n v="1"/>
    <s v="Red Bank"/>
    <x v="8"/>
    <x v="0"/>
  </r>
  <r>
    <s v="005ak00000icyWTAAY"/>
    <s v="2026-09-14T21:01:58.000Z"/>
    <n v="30"/>
    <s v="a0Aak00000FtDvIEAV"/>
    <s v="a06ak00000amzCDAAY"/>
    <s v="Vincent Kelly"/>
    <s v="Good progress on technique."/>
    <x v="10"/>
    <b v="0"/>
    <m/>
    <s v="005ak00000icyWTAAY"/>
    <s v="2026-09-16T17:01:29.000Z"/>
    <m/>
    <m/>
    <d v="2026-04-22T00:00:00"/>
    <s v="LSN-00618"/>
    <s v="L-0000604"/>
    <s v="131ak000001XjDtAAK"/>
    <b v="0"/>
    <b v="0"/>
    <s v="L-0000604"/>
    <s v="19:00:00.000Z"/>
    <x v="0"/>
    <s v="a07ak00001rZMrHAAW"/>
    <s v="Lucas Young"/>
    <s v="2026-09-16T17:01:29.000Z"/>
    <b v="1"/>
    <s v="a06ak00000amzCDAAY|2026-04-22|19:00:00.000Z"/>
    <n v="1"/>
    <s v="Red Bank"/>
    <x v="5"/>
    <x v="0"/>
  </r>
  <r>
    <s v="005ak00000icyWTAAY"/>
    <s v="2026-09-14T21:01:58.000Z"/>
    <n v="30"/>
    <s v="a0Aak00000FtDvJEAV"/>
    <s v="a06ak00000amzCDAAY"/>
    <s v="Vincent Kelly"/>
    <m/>
    <x v="10"/>
    <b v="0"/>
    <m/>
    <s v="005ak00000icyWTAAY"/>
    <s v="2026-09-25T18:00:49.000Z"/>
    <m/>
    <m/>
    <d v="2026-03-17T00:00:00"/>
    <s v="LSN-00619"/>
    <s v="L-0000605"/>
    <s v="131ak000001XjDtAAK"/>
    <b v="1"/>
    <b v="1"/>
    <s v="L-0000605"/>
    <s v="18:30:00.000Z"/>
    <x v="4"/>
    <s v="a07ak00001rZMrHAAW"/>
    <s v="Lucas Young"/>
    <s v="2026-09-25T18:00:49.000Z"/>
    <b v="1"/>
    <s v=""/>
    <m/>
    <s v="Red Bank"/>
    <x v="3"/>
    <x v="0"/>
  </r>
  <r>
    <s v="005ak00000icyWTAAY"/>
    <s v="2026-09-14T21:01:58.000Z"/>
    <n v="60"/>
    <s v="a0Aak00000FtDvKEAV"/>
    <s v="a06ak00000amzBoAAI"/>
    <s v="Elijah Johnson"/>
    <m/>
    <x v="5"/>
    <b v="0"/>
    <m/>
    <s v="005ak00000icyWTAAY"/>
    <s v="2026-09-16T17:01:29.000Z"/>
    <m/>
    <m/>
    <d v="2026-03-27T00:00:00"/>
    <s v="LSN-00620"/>
    <s v="L-0000606"/>
    <s v="131ak000001XjDtAAK"/>
    <b v="0"/>
    <b v="0"/>
    <s v="L-0000606"/>
    <s v="17:30:00.000Z"/>
    <x v="0"/>
    <s v="a07ak00001rZMrIAAW"/>
    <s v="Sofia Perez"/>
    <s v="2026-09-16T17:01:29.000Z"/>
    <b v="1"/>
    <s v="a06ak00000amzBoAAI|2026-03-27|17:30:00.000Z"/>
    <n v="1"/>
    <s v="Red Bank"/>
    <x v="3"/>
    <x v="0"/>
  </r>
  <r>
    <s v="005ak00000icyWTAAY"/>
    <s v="2026-09-14T21:01:58.000Z"/>
    <n v="30"/>
    <s v="a0Aak00000FtDvLEAV"/>
    <s v="a06ak00000amzC9AAI"/>
    <s v="Kai Okafor"/>
    <m/>
    <x v="5"/>
    <b v="0"/>
    <m/>
    <s v="005ak00000icyWTAAY"/>
    <s v="2026-09-16T16:41:26.000Z"/>
    <m/>
    <m/>
    <d v="2026-03-11T00:00:00"/>
    <s v="LSN-00621"/>
    <s v="L-0000607"/>
    <s v="131ak000001XjDtAAK"/>
    <b v="1"/>
    <b v="0"/>
    <s v="L-0000607"/>
    <s v="15:30:00.000Z"/>
    <x v="2"/>
    <s v="a07ak00001rZMrIAAW"/>
    <s v="Sofia Perez"/>
    <s v="2026-09-16T16:41:26.000Z"/>
    <b v="0"/>
    <s v="a06ak00000amzC9AAI|2026-03-11|15:30:00.000Z"/>
    <n v="1"/>
    <s v="Red Bank"/>
    <x v="3"/>
    <x v="0"/>
  </r>
  <r>
    <s v="005ak00000icyWTAAY"/>
    <s v="2026-09-14T21:01:58.000Z"/>
    <n v="30"/>
    <s v="a0Aak00000FtDvMEAV"/>
    <s v="a06ak00000amzBoAAI"/>
    <s v="Elijah Johnson"/>
    <s v="Started new piece."/>
    <x v="5"/>
    <b v="0"/>
    <m/>
    <s v="005ak00000icyWTAAY"/>
    <s v="2026-09-16T17:01:29.000Z"/>
    <m/>
    <m/>
    <d v="2026-05-15T00:00:00"/>
    <s v="LSN-00622"/>
    <s v="L-0000608"/>
    <s v="131ak000001XjDtAAK"/>
    <b v="0"/>
    <b v="0"/>
    <s v="L-0000608"/>
    <s v="17:30:00.000Z"/>
    <x v="0"/>
    <s v="a07ak00001rZMrIAAW"/>
    <s v="Sofia Perez"/>
    <s v="2026-09-16T17:01:29.000Z"/>
    <b v="1"/>
    <s v="a06ak00000amzBoAAI|2026-05-15|17:30:00.000Z"/>
    <n v="1"/>
    <s v="Red Bank"/>
    <x v="0"/>
    <x v="0"/>
  </r>
  <r>
    <s v="005ak00000icyWTAAY"/>
    <s v="2026-09-14T21:01:58.000Z"/>
    <n v="45"/>
    <s v="a0Aak00000FtDvNEAV"/>
    <s v="a06ak00000amzBoAAI"/>
    <s v="Elijah Johnson"/>
    <m/>
    <x v="5"/>
    <b v="0"/>
    <m/>
    <s v="005ak00000icyWTAAY"/>
    <s v="2026-09-16T17:01:29.000Z"/>
    <m/>
    <m/>
    <d v="2026-06-11T00:00:00"/>
    <s v="LSN-00623"/>
    <s v="L-0000609"/>
    <s v="131ak000001XjDtAAK"/>
    <b v="0"/>
    <b v="0"/>
    <s v="L-0000609"/>
    <s v="17:30:00.000Z"/>
    <x v="0"/>
    <s v="a07ak00001rZMrIAAW"/>
    <s v="Sofia Perez"/>
    <s v="2026-09-16T17:01:29.000Z"/>
    <b v="1"/>
    <s v="a06ak00000amzBoAAI|2026-06-11|17:30:00.000Z"/>
    <n v="1"/>
    <s v="Red Bank"/>
    <x v="7"/>
    <x v="0"/>
  </r>
  <r>
    <s v="005ak00000icyWTAAY"/>
    <s v="2026-09-14T21:01:58.000Z"/>
    <n v="30"/>
    <s v="a0Aak00000FtDvOEAV"/>
    <s v="a06ak00000amzBoAAI"/>
    <s v="Elijah Johnson"/>
    <s v="Reviewed last week&amp;#39;s assignment."/>
    <x v="5"/>
    <b v="0"/>
    <m/>
    <s v="005ak00000icyWTAAY"/>
    <s v="2026-09-16T17:01:29.000Z"/>
    <m/>
    <m/>
    <d v="2026-04-02T00:00:00"/>
    <s v="LSN-00624"/>
    <s v="L-0000610"/>
    <s v="131ak000001XjDtAAK"/>
    <b v="0"/>
    <b v="0"/>
    <s v="L-0000610"/>
    <s v="15:30:00.000Z"/>
    <x v="0"/>
    <s v="a07ak00001rZMrIAAW"/>
    <s v="Sofia Perez"/>
    <s v="2026-09-16T17:01:29.000Z"/>
    <b v="1"/>
    <s v="a06ak00000amzBoAAI|2026-04-02|15:30:00.000Z"/>
    <n v="1"/>
    <s v="Red Bank"/>
    <x v="5"/>
    <x v="0"/>
  </r>
  <r>
    <s v="005ak00000icyWTAAY"/>
    <s v="2026-09-14T21:01:58.000Z"/>
    <n v="30"/>
    <s v="a0Aak00000FtDvPEAV"/>
    <s v="a06ak00000amzBoAAI"/>
    <s v="Elijah Johnson"/>
    <s v="Good progress on technique."/>
    <x v="5"/>
    <b v="0"/>
    <m/>
    <s v="005ak00000icyWTAAY"/>
    <s v="2026-09-16T17:01:29.000Z"/>
    <m/>
    <m/>
    <d v="2026-03-23T00:00:00"/>
    <s v="LSN-00625"/>
    <s v="L-0000611"/>
    <s v="131ak000001XjDtAAK"/>
    <b v="0"/>
    <b v="0"/>
    <s v="L-0000611"/>
    <s v="19:00:00.000Z"/>
    <x v="0"/>
    <s v="a07ak00001rZMrIAAW"/>
    <s v="Sofia Perez"/>
    <s v="2026-09-16T17:01:29.000Z"/>
    <b v="1"/>
    <s v="a06ak00000amzBoAAI|2026-03-23|19:00:00.000Z"/>
    <n v="1"/>
    <s v="Red Bank"/>
    <x v="3"/>
    <x v="0"/>
  </r>
  <r>
    <s v="005ak00000icyWTAAY"/>
    <s v="2026-09-14T21:01:58.000Z"/>
    <n v="60"/>
    <s v="a0Aak00000FtDvQEAV"/>
    <s v="a06ak00000amzBoAAI"/>
    <s v="Elijah Johnson"/>
    <m/>
    <x v="5"/>
    <b v="0"/>
    <m/>
    <s v="005ak00000icyWTAAY"/>
    <s v="2026-09-16T17:01:29.000Z"/>
    <m/>
    <m/>
    <d v="2026-09-16T00:00:00"/>
    <s v="LSN-00626"/>
    <s v="L-0000612"/>
    <s v="131ak000001XjDtAAK"/>
    <b v="1"/>
    <b v="1"/>
    <s v="L-0000612"/>
    <s v="10:00:00.000Z"/>
    <x v="4"/>
    <s v="a07ak00001rZMrIAAW"/>
    <s v="Sofia Perez"/>
    <s v="2026-09-16T17:01:29.000Z"/>
    <b v="1"/>
    <s v=""/>
    <n v="114"/>
    <s v="Red Bank"/>
    <x v="2"/>
    <x v="0"/>
  </r>
  <r>
    <s v="005ak00000icyWTAAY"/>
    <s v="2026-09-14T21:01:58.000Z"/>
    <n v="60"/>
    <s v="a0Aak00000FtDvREAV"/>
    <s v="a06ak00000amzBoAAI"/>
    <s v="Elijah Johnson"/>
    <m/>
    <x v="5"/>
    <b v="0"/>
    <m/>
    <s v="005ak00000icyWTAAY"/>
    <s v="2026-09-25T18:00:49.000Z"/>
    <m/>
    <m/>
    <d v="2026-01-13T00:00:00"/>
    <s v="LSN-00627"/>
    <s v="L-0000613"/>
    <s v="131ak000001XjDtAAK"/>
    <b v="1"/>
    <b v="1"/>
    <s v="L-0000613"/>
    <s v="17:30:00.000Z"/>
    <x v="4"/>
    <s v="a07ak00001rZMrIAAW"/>
    <s v="Sofia Perez"/>
    <s v="2026-09-25T18:00:49.000Z"/>
    <b v="1"/>
    <s v=""/>
    <m/>
    <s v="Red Bank"/>
    <x v="4"/>
    <x v="0"/>
  </r>
  <r>
    <s v="005ak00000icyWTAAY"/>
    <s v="2026-09-14T21:01:58.000Z"/>
    <n v="45"/>
    <s v="a0Aak00000FtDvSEAV"/>
    <s v="a06ak00000amzBnAAI"/>
    <s v="Charlotte Nakamura"/>
    <s v="Good progress on technique."/>
    <x v="7"/>
    <b v="0"/>
    <m/>
    <s v="005ak00000icyWTAAY"/>
    <s v="2026-09-16T17:01:29.000Z"/>
    <m/>
    <m/>
    <d v="2026-07-17T00:00:00"/>
    <s v="LSN-00628"/>
    <s v="L-0000614"/>
    <s v="131ak000001XjDtAAK"/>
    <b v="0"/>
    <b v="0"/>
    <s v="L-0000614"/>
    <s v="17:00:00.000Z"/>
    <x v="0"/>
    <s v="a07ak00001rZMrJAAW"/>
    <s v="Chen Sullivan"/>
    <s v="2026-09-16T17:01:29.000Z"/>
    <b v="1"/>
    <s v="a06ak00000amzBnAAI|2026-07-17|17:00:00.000Z"/>
    <n v="1"/>
    <s v="Red Bank"/>
    <x v="8"/>
    <x v="0"/>
  </r>
  <r>
    <s v="005ak00000icyWTAAY"/>
    <s v="2026-09-14T21:01:58.000Z"/>
    <n v="45"/>
    <s v="a0Aak00000FtDvTEAV"/>
    <s v="a06ak00000amzBnAAI"/>
    <s v="Charlotte Nakamura"/>
    <s v="Worked on scales and timing."/>
    <x v="7"/>
    <b v="0"/>
    <m/>
    <s v="005ak00000icyWTAAY"/>
    <s v="2026-09-16T17:01:29.000Z"/>
    <m/>
    <m/>
    <d v="2026-03-30T00:00:00"/>
    <s v="LSN-00629"/>
    <s v="L-0000615"/>
    <s v="131ak000001XjDtAAK"/>
    <b v="0"/>
    <b v="0"/>
    <s v="L-0000615"/>
    <s v="19:00:00.000Z"/>
    <x v="0"/>
    <s v="a07ak00001rZMrJAAW"/>
    <s v="Chen Sullivan"/>
    <s v="2026-09-16T17:01:29.000Z"/>
    <b v="1"/>
    <s v="a06ak00000amzBnAAI|2026-03-30|19:00:00.000Z"/>
    <n v="1"/>
    <s v="Red Bank"/>
    <x v="3"/>
    <x v="0"/>
  </r>
  <r>
    <s v="005ak00000icyWTAAY"/>
    <s v="2026-09-14T21:01:58.000Z"/>
    <n v="30"/>
    <s v="a0Aak00000FtDvUEAV"/>
    <s v="a06ak00000amzBnAAI"/>
    <s v="Charlotte Nakamura"/>
    <s v="Good progress on technique."/>
    <x v="7"/>
    <b v="0"/>
    <m/>
    <s v="005ak00000icyWTAAY"/>
    <s v="2026-09-16T17:01:29.000Z"/>
    <m/>
    <m/>
    <d v="2026-03-07T00:00:00"/>
    <s v="LSN-00630"/>
    <s v="L-0000616"/>
    <s v="131ak000001XjDtAAK"/>
    <b v="0"/>
    <b v="0"/>
    <s v="L-0000616"/>
    <s v="15:30:00.000Z"/>
    <x v="0"/>
    <s v="a07ak00001rZMrJAAW"/>
    <s v="Chen Sullivan"/>
    <s v="2026-09-16T17:01:29.000Z"/>
    <b v="1"/>
    <s v="a06ak00000amzBnAAI|2026-03-07|15:30:00.000Z"/>
    <n v="1"/>
    <s v="Red Bank"/>
    <x v="3"/>
    <x v="0"/>
  </r>
  <r>
    <s v="005ak00000icyWTAAY"/>
    <s v="2026-09-14T21:01:58.000Z"/>
    <n v="45"/>
    <s v="a0Aak00000FtDvVEAV"/>
    <s v="a06ak00000amzCBAAY"/>
    <s v="Aiden Hill"/>
    <s v="Reviewed last week&amp;#39;s assignment."/>
    <x v="3"/>
    <b v="0"/>
    <m/>
    <s v="005ak00000icyWTAAY"/>
    <s v="2026-09-16T17:01:29.000Z"/>
    <m/>
    <m/>
    <d v="2026-06-10T00:00:00"/>
    <s v="LSN-00631"/>
    <s v="L-0000617"/>
    <s v="131ak000001XjDtAAK"/>
    <b v="0"/>
    <b v="0"/>
    <s v="L-0000617"/>
    <s v="10:00:00.000Z"/>
    <x v="0"/>
    <s v="a07ak00001rZMrKAAW"/>
    <s v="Levi Campbell"/>
    <s v="2026-09-16T17:01:29.000Z"/>
    <b v="1"/>
    <s v="a06ak00000amzCBAAY|2026-06-10|10:00:00.000Z"/>
    <n v="1"/>
    <s v="Red Bank"/>
    <x v="7"/>
    <x v="0"/>
  </r>
  <r>
    <s v="005ak00000icyWTAAY"/>
    <s v="2026-09-14T21:01:58.000Z"/>
    <n v="45"/>
    <s v="a0Aak00000FtDvWEAV"/>
    <s v="a06ak00000amzCBAAY"/>
    <s v="Aiden Hill"/>
    <s v="Reviewed last week&amp;#39;s assignment."/>
    <x v="3"/>
    <b v="0"/>
    <m/>
    <s v="005ak00000icyWTAAY"/>
    <s v="2026-09-16T17:01:29.000Z"/>
    <m/>
    <m/>
    <d v="2026-04-08T00:00:00"/>
    <s v="LSN-00632"/>
    <s v="L-0000618"/>
    <s v="131ak000001XjDtAAK"/>
    <b v="0"/>
    <b v="0"/>
    <s v="L-0000618"/>
    <s v="16:30:00.000Z"/>
    <x v="0"/>
    <s v="a07ak00001rZMrKAAW"/>
    <s v="Levi Campbell"/>
    <s v="2026-09-16T17:01:29.000Z"/>
    <b v="1"/>
    <s v="a06ak00000amzCBAAY|2026-04-08|16:30:00.000Z"/>
    <n v="1"/>
    <s v="Red Bank"/>
    <x v="5"/>
    <x v="0"/>
  </r>
  <r>
    <s v="005ak00000icyWTAAY"/>
    <s v="2026-09-14T21:01:58.000Z"/>
    <n v="30"/>
    <s v="a0Aak00000FtDvXEAV"/>
    <s v="a06ak00000amzCBAAY"/>
    <s v="Aiden Hill"/>
    <m/>
    <x v="3"/>
    <b v="0"/>
    <m/>
    <s v="005ak00000icyWTAAY"/>
    <s v="2026-09-16T17:01:29.000Z"/>
    <m/>
    <m/>
    <d v="2026-09-02T00:00:00"/>
    <s v="LSN-00633"/>
    <s v="L-0000619"/>
    <s v="131ak000001XjDtAAK"/>
    <b v="0"/>
    <b v="0"/>
    <s v="L-0000619"/>
    <s v="17:00:00.000Z"/>
    <x v="3"/>
    <s v="a07ak00001rZMrKAAW"/>
    <s v="Levi Campbell"/>
    <s v="2026-09-16T17:01:29.000Z"/>
    <b v="1"/>
    <s v="a06ak00000amzCBAAY|2026-09-02|17:00:00.000Z"/>
    <n v="1"/>
    <s v="Red Bank"/>
    <x v="2"/>
    <x v="0"/>
  </r>
  <r>
    <s v="005ak00000icyWTAAY"/>
    <s v="2026-09-14T21:01:58.000Z"/>
    <n v="30"/>
    <s v="a0Aak00000FtDvYEAV"/>
    <s v="a06ak00000amzCBAAY"/>
    <s v="Aiden Hill"/>
    <m/>
    <x v="3"/>
    <b v="0"/>
    <m/>
    <s v="005ak00000icyWTAAY"/>
    <s v="2026-09-16T17:01:29.000Z"/>
    <m/>
    <m/>
    <d v="2026-06-07T00:00:00"/>
    <s v="LSN-00634"/>
    <s v="L-0000620"/>
    <s v="131ak000001XjDtAAK"/>
    <b v="0"/>
    <b v="0"/>
    <s v="L-0000620"/>
    <s v="19:00:00.000Z"/>
    <x v="3"/>
    <s v="a07ak00001rZMrKAAW"/>
    <s v="Levi Campbell"/>
    <s v="2026-09-16T17:01:29.000Z"/>
    <b v="1"/>
    <s v="a06ak00000amzCBAAY|2026-06-07|19:00:00.000Z"/>
    <n v="1"/>
    <s v="Red Bank"/>
    <x v="7"/>
    <x v="0"/>
  </r>
  <r>
    <s v="005ak00000icyWTAAY"/>
    <s v="2026-09-14T21:01:58.000Z"/>
    <n v="30"/>
    <s v="a0Aak00000FtDvZEAV"/>
    <s v="a06ak00000amzCBAAY"/>
    <s v="Aiden Hill"/>
    <m/>
    <x v="3"/>
    <b v="0"/>
    <m/>
    <s v="005ak00000icyWTAAY"/>
    <s v="2026-09-16T17:01:29.000Z"/>
    <m/>
    <m/>
    <d v="2026-08-20T00:00:00"/>
    <s v="LSN-00635"/>
    <s v="L-0000621"/>
    <s v="131ak000001XjDtAAK"/>
    <b v="0"/>
    <b v="0"/>
    <s v="L-0000621"/>
    <s v="17:00:00.000Z"/>
    <x v="0"/>
    <s v="a07ak00001rZMrKAAW"/>
    <s v="Levi Campbell"/>
    <s v="2026-09-16T17:01:29.000Z"/>
    <b v="1"/>
    <s v="a06ak00000amzCBAAY|2026-08-20|17:00:00.000Z"/>
    <n v="1"/>
    <s v="Red Bank"/>
    <x v="6"/>
    <x v="0"/>
  </r>
  <r>
    <s v="005ak00000icyWTAAY"/>
    <s v="2026-09-14T21:01:58.000Z"/>
    <n v="30"/>
    <s v="a0Aak00000FtDvaEAF"/>
    <s v="a06ak00000amzBeAAI"/>
    <s v="Zoey Rodriguez"/>
    <s v="Reviewed last week&amp;#39;s assignment."/>
    <x v="2"/>
    <b v="0"/>
    <m/>
    <s v="005ak00000icyWTAAY"/>
    <s v="2026-09-16T17:01:29.000Z"/>
    <m/>
    <m/>
    <d v="2026-08-04T00:00:00"/>
    <s v="LSN-00636"/>
    <s v="L-0000622"/>
    <s v="131ak000001XjDtAAK"/>
    <b v="0"/>
    <b v="0"/>
    <s v="L-0000622"/>
    <s v="17:30:00.000Z"/>
    <x v="0"/>
    <s v="a07ak00001rZMrLAAW"/>
    <s v="Ryan Ryan"/>
    <s v="2026-09-16T17:01:29.000Z"/>
    <b v="1"/>
    <s v="a06ak00000amzBeAAI|2026-08-04|17:30:00.000Z"/>
    <n v="1"/>
    <s v="Red Bank"/>
    <x v="6"/>
    <x v="0"/>
  </r>
  <r>
    <s v="005ak00000icyWTAAY"/>
    <s v="2026-09-14T21:01:58.000Z"/>
    <n v="45"/>
    <s v="a0Aak00000FtDvbEAF"/>
    <s v="a06ak00000amzBeAAI"/>
    <s v="Zoey Rodriguez"/>
    <s v="Focused on sight reading."/>
    <x v="2"/>
    <b v="0"/>
    <m/>
    <s v="005ak00000icyWTAAY"/>
    <s v="2026-09-16T17:01:29.000Z"/>
    <m/>
    <m/>
    <d v="2026-05-01T00:00:00"/>
    <s v="LSN-00637"/>
    <s v="L-0000623"/>
    <s v="131ak000001XjDtAAK"/>
    <b v="0"/>
    <b v="0"/>
    <s v="L-0000623"/>
    <s v="15:00:00.000Z"/>
    <x v="0"/>
    <s v="a07ak00001rZMrLAAW"/>
    <s v="Ryan Ryan"/>
    <s v="2026-09-16T17:01:29.000Z"/>
    <b v="1"/>
    <s v="a06ak00000amzBeAAI|2026-05-01|15:00:00.000Z"/>
    <n v="1"/>
    <s v="Red Bank"/>
    <x v="0"/>
    <x v="0"/>
  </r>
  <r>
    <s v="005ak00000icyWTAAY"/>
    <s v="2026-09-14T21:01:58.000Z"/>
    <n v="60"/>
    <s v="a0Aak00000FtDvcEAF"/>
    <s v="a06ak00000amzBeAAI"/>
    <s v="Zoey Rodriguez"/>
    <m/>
    <x v="2"/>
    <b v="0"/>
    <m/>
    <s v="005ak00000icyWTAAY"/>
    <s v="2026-09-25T18:00:49.000Z"/>
    <m/>
    <m/>
    <d v="2026-05-04T00:00:00"/>
    <s v="LSN-00638"/>
    <s v="L-0000624"/>
    <s v="131ak000001XjDtAAK"/>
    <b v="1"/>
    <b v="1"/>
    <s v="L-0000624"/>
    <s v="18:00:00.000Z"/>
    <x v="4"/>
    <s v="a07ak00001rZMrLAAW"/>
    <s v="Ryan Ryan"/>
    <s v="2026-09-25T18:00:49.000Z"/>
    <b v="1"/>
    <s v=""/>
    <m/>
    <s v="Red Bank"/>
    <x v="0"/>
    <x v="0"/>
  </r>
  <r>
    <s v="005ak00000icyWTAAY"/>
    <s v="2026-09-14T21:01:58.000Z"/>
    <n v="30"/>
    <s v="a0Aak00000FtDvdEAF"/>
    <s v="a06ak00000amzC7AAI"/>
    <s v="Wyatt Hall"/>
    <s v="Started new piece."/>
    <x v="10"/>
    <b v="0"/>
    <m/>
    <s v="005ak00000icyWTAAY"/>
    <s v="2026-09-16T17:01:29.000Z"/>
    <m/>
    <m/>
    <d v="2026-06-29T00:00:00"/>
    <s v="LSN-00639"/>
    <s v="L-0000625"/>
    <s v="131ak000001XjDtAAK"/>
    <b v="0"/>
    <b v="0"/>
    <s v="L-0000625"/>
    <s v="15:00:00.000Z"/>
    <x v="0"/>
    <s v="a07ak00001rZMrMAAW"/>
    <s v="Declan Martinez"/>
    <s v="2026-09-16T17:01:29.000Z"/>
    <b v="1"/>
    <s v="a06ak00000amzC7AAI|2026-06-29|15:00:00.000Z"/>
    <n v="1"/>
    <s v="Red Bank"/>
    <x v="7"/>
    <x v="0"/>
  </r>
  <r>
    <s v="005ak00000icyWTAAY"/>
    <s v="2026-09-14T21:01:58.000Z"/>
    <n v="45"/>
    <s v="a0Aak00000FtDveEAF"/>
    <s v="a06ak00000amzC7AAI"/>
    <s v="Wyatt Hall"/>
    <s v="Reviewed last week&amp;#39;s assignment."/>
    <x v="10"/>
    <b v="0"/>
    <m/>
    <s v="005ak00000icyWTAAY"/>
    <s v="2026-09-16T17:01:29.000Z"/>
    <m/>
    <m/>
    <d v="2026-06-16T00:00:00"/>
    <s v="LSN-00641"/>
    <s v="L-0000626"/>
    <s v="131ak000001XjDtAAK"/>
    <b v="0"/>
    <b v="0"/>
    <s v="L-0000626"/>
    <s v="19:00:00.000Z"/>
    <x v="0"/>
    <s v="a07ak00001rZMrMAAW"/>
    <s v="Declan Martinez"/>
    <s v="2026-09-16T17:01:29.000Z"/>
    <b v="1"/>
    <s v="a06ak00000amzC7AAI|2026-06-16|19:00:00.000Z"/>
    <n v="1"/>
    <s v="Red Bank"/>
    <x v="7"/>
    <x v="0"/>
  </r>
  <r>
    <s v="005ak00000icyWTAAY"/>
    <s v="2026-09-14T21:01:58.000Z"/>
    <n v="30"/>
    <s v="a0Aak00000FtDvfEAF"/>
    <s v="a06ak00000amzC7AAI"/>
    <s v="Wyatt Hall"/>
    <s v="Reviewed last week&amp;#39;s assignment."/>
    <x v="10"/>
    <b v="0"/>
    <m/>
    <s v="005ak00000icyWTAAY"/>
    <s v="2026-09-16T17:01:29.000Z"/>
    <m/>
    <m/>
    <d v="2026-03-24T00:00:00"/>
    <s v="LSN-00642"/>
    <s v="L-0000627"/>
    <s v="131ak000001XjDtAAK"/>
    <b v="0"/>
    <b v="0"/>
    <s v="L-0000627"/>
    <s v="18:30:00.000Z"/>
    <x v="0"/>
    <s v="a07ak00001rZMrMAAW"/>
    <s v="Declan Martinez"/>
    <s v="2026-09-16T17:01:29.000Z"/>
    <b v="1"/>
    <s v="a06ak00000amzC7AAI|2026-03-24|18:30:00.000Z"/>
    <n v="1"/>
    <s v="Red Bank"/>
    <x v="3"/>
    <x v="0"/>
  </r>
  <r>
    <s v="005ak00000icyWTAAY"/>
    <s v="2026-09-14T21:01:58.000Z"/>
    <n v="45"/>
    <s v="a0Aak00000FtDvgEAF"/>
    <s v="a06ak00000amzC7AAI"/>
    <s v="Wyatt Hall"/>
    <m/>
    <x v="10"/>
    <b v="0"/>
    <m/>
    <s v="005ak00000icyWTAAY"/>
    <s v="2026-09-16T17:01:29.000Z"/>
    <m/>
    <m/>
    <d v="2026-03-31T00:00:00"/>
    <s v="LSN-00643"/>
    <s v="L-0000628"/>
    <s v="131ak000001XjDtAAK"/>
    <b v="0"/>
    <b v="0"/>
    <s v="L-0000628"/>
    <s v="11:00:00.000Z"/>
    <x v="1"/>
    <s v="a07ak00001rZMrMAAW"/>
    <s v="Declan Martinez"/>
    <s v="2026-09-16T17:01:29.000Z"/>
    <b v="1"/>
    <s v=""/>
    <m/>
    <s v="Red Bank"/>
    <x v="3"/>
    <x v="0"/>
  </r>
  <r>
    <s v="005ak00000icyWTAAY"/>
    <s v="2026-09-14T21:01:58.000Z"/>
    <n v="45"/>
    <s v="a0Aak00000FtDvhEAF"/>
    <s v="a06ak00000amzC7AAI"/>
    <s v="Wyatt Hall"/>
    <s v="Good progress on technique."/>
    <x v="10"/>
    <b v="0"/>
    <m/>
    <s v="005ak00000icyWTAAY"/>
    <s v="2026-09-16T17:01:29.000Z"/>
    <m/>
    <m/>
    <d v="2026-06-05T00:00:00"/>
    <s v="LSN-00644"/>
    <s v="L-0000629"/>
    <s v="131ak000001XjDtAAK"/>
    <b v="0"/>
    <b v="0"/>
    <s v="L-0000629"/>
    <s v="16:30:00.000Z"/>
    <x v="0"/>
    <s v="a07ak00001rZMrMAAW"/>
    <s v="Declan Martinez"/>
    <s v="2026-09-16T17:01:29.000Z"/>
    <b v="1"/>
    <s v="a06ak00000amzC7AAI|2026-06-05|16:30:00.000Z"/>
    <n v="1"/>
    <s v="Red Bank"/>
    <x v="7"/>
    <x v="0"/>
  </r>
  <r>
    <s v="005ak00000icyWTAAY"/>
    <s v="2026-09-14T21:01:58.000Z"/>
    <n v="60"/>
    <s v="a0Aak00000FtDviEAF"/>
    <s v="a06ak00000amzC7AAI"/>
    <s v="Wyatt Hall"/>
    <m/>
    <x v="10"/>
    <b v="0"/>
    <m/>
    <s v="005ak00000icyWTAAY"/>
    <s v="2026-09-16T17:01:29.000Z"/>
    <m/>
    <m/>
    <d v="2026-04-26T00:00:00"/>
    <s v="LSN-00645"/>
    <s v="L-0000630"/>
    <s v="131ak000001XjDtAAK"/>
    <b v="0"/>
    <b v="0"/>
    <s v="L-0000630"/>
    <s v="11:00:00.000Z"/>
    <x v="3"/>
    <s v="a07ak00001rZMrMAAW"/>
    <s v="Declan Martinez"/>
    <s v="2026-09-16T17:01:29.000Z"/>
    <b v="1"/>
    <s v="a06ak00000amzC7AAI|2026-04-26|11:00:00.000Z"/>
    <n v="1"/>
    <s v="Red Bank"/>
    <x v="5"/>
    <x v="0"/>
  </r>
  <r>
    <s v="005ak00000icyWTAAY"/>
    <s v="2026-09-14T21:01:58.000Z"/>
    <n v="60"/>
    <s v="a0Aak00000FtDvjEAF"/>
    <s v="a06ak00000amzC7AAI"/>
    <s v="Wyatt Hall"/>
    <s v="Reviewed last week&amp;#39;s assignment."/>
    <x v="10"/>
    <b v="0"/>
    <m/>
    <s v="005ak00000icyWTAAY"/>
    <s v="2026-09-16T17:01:29.000Z"/>
    <m/>
    <m/>
    <d v="2026-06-29T00:00:00"/>
    <s v="LSN-00646"/>
    <s v="L-0000631"/>
    <s v="131ak000001XjDtAAK"/>
    <b v="0"/>
    <b v="0"/>
    <s v="L-0000631"/>
    <s v="16:30:00.000Z"/>
    <x v="0"/>
    <s v="a07ak00001rZMrMAAW"/>
    <s v="Declan Martinez"/>
    <s v="2026-09-16T17:01:29.000Z"/>
    <b v="1"/>
    <s v="a06ak00000amzC7AAI|2026-06-29|16:30:00.000Z"/>
    <n v="1"/>
    <s v="Red Bank"/>
    <x v="7"/>
    <x v="0"/>
  </r>
  <r>
    <s v="005ak00000icyWTAAY"/>
    <s v="2026-09-14T21:01:58.000Z"/>
    <n v="60"/>
    <s v="a0Aak00000FtDvkEAF"/>
    <s v="a06ak00000amzC7AAI"/>
    <s v="Wyatt Hall"/>
    <s v="Good progress on technique."/>
    <x v="10"/>
    <b v="0"/>
    <m/>
    <s v="005ak00000icyWTAAY"/>
    <s v="2026-09-16T17:01:29.000Z"/>
    <m/>
    <m/>
    <d v="2026-08-26T00:00:00"/>
    <s v="LSN-00647"/>
    <s v="L-0000632"/>
    <s v="131ak000001XjDtAAK"/>
    <b v="0"/>
    <b v="0"/>
    <s v="L-0000632"/>
    <s v="17:30:00.000Z"/>
    <x v="0"/>
    <s v="a07ak00001rZMrNAAW"/>
    <s v="Skylar Kim"/>
    <s v="2026-09-16T17:01:29.000Z"/>
    <b v="1"/>
    <s v="a06ak00000amzC7AAI|2026-08-26|17:30:00.000Z"/>
    <n v="1"/>
    <s v="Red Bank"/>
    <x v="6"/>
    <x v="0"/>
  </r>
  <r>
    <s v="005ak00000icyWTAAY"/>
    <s v="2026-09-14T21:01:58.000Z"/>
    <n v="60"/>
    <s v="a0Aak00000FtDvlEAF"/>
    <s v="a06ak00000amzC7AAI"/>
    <s v="Wyatt Hall"/>
    <s v="Started new piece."/>
    <x v="10"/>
    <b v="0"/>
    <m/>
    <s v="005ak00000icyWTAAY"/>
    <s v="2026-09-16T17:01:29.000Z"/>
    <m/>
    <m/>
    <d v="2026-07-15T00:00:00"/>
    <s v="LSN-00648"/>
    <s v="L-0000633"/>
    <s v="131ak000001XjDtAAK"/>
    <b v="0"/>
    <b v="0"/>
    <s v="L-0000633"/>
    <s v="18:00:00.000Z"/>
    <x v="0"/>
    <s v="a07ak00001rZMrNAAW"/>
    <s v="Skylar Kim"/>
    <s v="2026-09-16T17:01:29.000Z"/>
    <b v="1"/>
    <s v="a06ak00000amzC7AAI|2026-07-15|18:00:00.000Z"/>
    <n v="1"/>
    <s v="Red Bank"/>
    <x v="8"/>
    <x v="0"/>
  </r>
  <r>
    <s v="005ak00000icyWTAAY"/>
    <s v="2026-09-14T21:01:58.000Z"/>
    <n v="30"/>
    <s v="a0Aak00000FtDvmEAF"/>
    <s v="a06ak00000amzC7AAI"/>
    <s v="Wyatt Hall"/>
    <s v="Reviewed last week&amp;#39;s assignment."/>
    <x v="10"/>
    <b v="0"/>
    <m/>
    <s v="005ak00000icyWTAAY"/>
    <s v="2026-09-16T17:01:29.000Z"/>
    <m/>
    <m/>
    <d v="2026-05-08T00:00:00"/>
    <s v="LSN-00649"/>
    <s v="L-0000634"/>
    <s v="131ak000001XjDtAAK"/>
    <b v="0"/>
    <b v="0"/>
    <s v="L-0000634"/>
    <s v="16:30:00.000Z"/>
    <x v="0"/>
    <s v="a07ak00001rZMrNAAW"/>
    <s v="Skylar Kim"/>
    <s v="2026-09-16T17:01:29.000Z"/>
    <b v="1"/>
    <s v="a06ak00000amzC7AAI|2026-05-08|16:30:00.000Z"/>
    <n v="1"/>
    <s v="Red Bank"/>
    <x v="0"/>
    <x v="0"/>
  </r>
  <r>
    <s v="005ak00000icyWTAAY"/>
    <s v="2026-09-14T21:01:58.000Z"/>
    <n v="30"/>
    <s v="a0Aak00000FtDvnEAF"/>
    <s v="a06ak00000amzC7AAI"/>
    <s v="Wyatt Hall"/>
    <m/>
    <x v="10"/>
    <b v="0"/>
    <m/>
    <s v="005ak00000icyWTAAY"/>
    <s v="2026-09-16T17:01:29.000Z"/>
    <m/>
    <m/>
    <d v="2026-06-15T00:00:00"/>
    <s v="LSN-00650"/>
    <s v="L-0000635"/>
    <s v="131ak000001XjDtAAK"/>
    <b v="0"/>
    <b v="0"/>
    <s v="L-0000635"/>
    <s v="15:00:00.000Z"/>
    <x v="1"/>
    <s v="a07ak00001rZMrNAAW"/>
    <s v="Skylar Kim"/>
    <s v="2026-09-16T17:01:29.000Z"/>
    <b v="1"/>
    <s v=""/>
    <m/>
    <s v="Red Bank"/>
    <x v="7"/>
    <x v="0"/>
  </r>
  <r>
    <s v="005ak00000icyWTAAY"/>
    <s v="2026-09-14T21:01:58.000Z"/>
    <n v="45"/>
    <s v="a0Aak00000FtDvoEAF"/>
    <s v="a06ak00000amzC7AAI"/>
    <s v="Wyatt Hall"/>
    <s v="Reviewed last week&amp;#39;s assignment."/>
    <x v="10"/>
    <b v="0"/>
    <m/>
    <s v="005ak00000icyWTAAY"/>
    <s v="2026-09-16T17:01:29.000Z"/>
    <m/>
    <m/>
    <d v="2026-08-16T00:00:00"/>
    <s v="LSN-00651"/>
    <s v="L-0000636"/>
    <s v="131ak000001XjDtAAK"/>
    <b v="0"/>
    <b v="0"/>
    <s v="L-0000636"/>
    <s v="17:30:00.000Z"/>
    <x v="0"/>
    <s v="a07ak00001rZMrNAAW"/>
    <s v="Skylar Kim"/>
    <s v="2026-09-16T17:01:29.000Z"/>
    <b v="1"/>
    <s v="a06ak00000amzC7AAI|2026-08-16|17:30:00.000Z"/>
    <n v="1"/>
    <s v="Red Bank"/>
    <x v="6"/>
    <x v="0"/>
  </r>
  <r>
    <s v="005ak00000icyWTAAY"/>
    <s v="2026-09-14T21:01:58.000Z"/>
    <n v="45"/>
    <s v="a0Aak00000FtDvpEAF"/>
    <s v="a06ak00000amzC7AAI"/>
    <s v="Wyatt Hall"/>
    <s v="Started new piece."/>
    <x v="10"/>
    <b v="0"/>
    <m/>
    <s v="005ak00000icyWTAAY"/>
    <s v="2026-09-16T17:01:29.000Z"/>
    <m/>
    <m/>
    <d v="2026-03-02T00:00:00"/>
    <s v="LSN-00652"/>
    <s v="L-0000637"/>
    <s v="131ak000001XjDtAAK"/>
    <b v="0"/>
    <b v="0"/>
    <s v="L-0000637"/>
    <s v="17:00:00.000Z"/>
    <x v="0"/>
    <s v="a07ak00001rZMrNAAW"/>
    <s v="Skylar Kim"/>
    <s v="2026-09-16T17:01:29.000Z"/>
    <b v="1"/>
    <s v="a06ak00000amzC7AAI|2026-03-02|17:00:00.000Z"/>
    <n v="1"/>
    <s v="Red Bank"/>
    <x v="3"/>
    <x v="0"/>
  </r>
  <r>
    <s v="005ak00000icyWTAAY"/>
    <s v="2026-09-14T21:01:58.000Z"/>
    <n v="60"/>
    <s v="a0Aak00000FtDvqEAF"/>
    <s v="a06ak00000amzC5AAI"/>
    <s v="Penelope Wilson"/>
    <s v="Started new piece."/>
    <x v="5"/>
    <b v="0"/>
    <m/>
    <s v="005ak00000icyWTAAY"/>
    <s v="2026-09-16T17:01:29.000Z"/>
    <m/>
    <m/>
    <d v="2026-03-24T00:00:00"/>
    <s v="LSN-00653"/>
    <s v="L-0000638"/>
    <s v="131ak000001XjDuAAK"/>
    <b v="0"/>
    <b v="0"/>
    <s v="L-0000638"/>
    <s v="10:00:00.000Z"/>
    <x v="0"/>
    <s v="a07ak00001rZMrOAAW"/>
    <s v="Evelyn Lee"/>
    <s v="2026-09-16T17:01:29.000Z"/>
    <b v="1"/>
    <s v="a06ak00000amzC5AAI|2026-03-24|10:00:00.000Z"/>
    <n v="1"/>
    <s v="Brick"/>
    <x v="3"/>
    <x v="0"/>
  </r>
  <r>
    <s v="005ak00000icyWTAAY"/>
    <s v="2026-09-14T21:01:58.000Z"/>
    <n v="45"/>
    <s v="a0Aak00000FtDvrEAF"/>
    <s v="a06ak00000amzC5AAI"/>
    <s v="Penelope Wilson"/>
    <m/>
    <x v="5"/>
    <b v="0"/>
    <m/>
    <s v="005ak00000icyWTAAY"/>
    <s v="2026-09-16T17:01:29.000Z"/>
    <m/>
    <m/>
    <d v="2026-09-18T00:00:00"/>
    <s v="LSN-00654"/>
    <s v="L-0000639"/>
    <s v="131ak000001XjDuAAK"/>
    <b v="1"/>
    <b v="1"/>
    <s v="L-0000639"/>
    <s v="16:00:00.000Z"/>
    <x v="4"/>
    <s v="a07ak00001rZMrOAAW"/>
    <s v="Evelyn Lee"/>
    <s v="2026-09-16T17:01:29.000Z"/>
    <b v="1"/>
    <s v=""/>
    <n v="114"/>
    <s v="Brick"/>
    <x v="2"/>
    <x v="0"/>
  </r>
  <r>
    <s v="005ak00000icyWTAAY"/>
    <s v="2026-09-14T21:01:58.000Z"/>
    <n v="30"/>
    <s v="a0Aak00000FtDvsEAF"/>
    <s v="a06ak00000amzBuAAI"/>
    <s v="Ryan Clark"/>
    <s v="Started new piece."/>
    <x v="8"/>
    <b v="0"/>
    <m/>
    <s v="005ak00000icyWTAAY"/>
    <s v="2026-09-16T17:01:29.000Z"/>
    <m/>
    <m/>
    <d v="2026-04-15T00:00:00"/>
    <s v="LSN-00655"/>
    <s v="L-0000640"/>
    <s v="131ak000001XjDtAAK"/>
    <b v="0"/>
    <b v="0"/>
    <s v="L-0000640"/>
    <s v="10:00:00.000Z"/>
    <x v="0"/>
    <s v="a07ak00001rZMrPAAW"/>
    <s v="Emily Campbell"/>
    <s v="2026-09-16T17:01:29.000Z"/>
    <b v="1"/>
    <s v="a06ak00000amzBuAAI|2026-04-15|10:00:00.000Z"/>
    <n v="1"/>
    <s v="Red Bank"/>
    <x v="5"/>
    <x v="0"/>
  </r>
  <r>
    <s v="005ak00000icyWTAAY"/>
    <s v="2026-09-14T21:01:58.000Z"/>
    <n v="30"/>
    <s v="a0Aak00000FtDvtEAF"/>
    <s v="a06ak00000amzBuAAI"/>
    <s v="Ryan Clark"/>
    <s v="Reviewed last week&amp;#39;s assignment."/>
    <x v="8"/>
    <b v="0"/>
    <m/>
    <s v="005ak00000icyWTAAY"/>
    <s v="2026-09-16T17:01:29.000Z"/>
    <m/>
    <m/>
    <d v="2026-07-07T00:00:00"/>
    <s v="LSN-00656"/>
    <s v="L-0000641"/>
    <s v="131ak000001XjDtAAK"/>
    <b v="0"/>
    <b v="0"/>
    <s v="L-0000641"/>
    <s v="10:00:00.000Z"/>
    <x v="0"/>
    <s v="a07ak00001rZMrPAAW"/>
    <s v="Emily Campbell"/>
    <s v="2026-09-16T17:01:29.000Z"/>
    <b v="1"/>
    <s v="a06ak00000amzBuAAI|2026-07-07|10:00:00.000Z"/>
    <n v="1"/>
    <s v="Red Bank"/>
    <x v="8"/>
    <x v="0"/>
  </r>
  <r>
    <s v="005ak00000icyWTAAY"/>
    <s v="2026-09-14T21:01:58.000Z"/>
    <n v="60"/>
    <s v="a0Aak00000FtDvuEAF"/>
    <s v="a06ak00000amzBuAAI"/>
    <s v="Ryan Clark"/>
    <s v="Good progress on technique."/>
    <x v="8"/>
    <b v="0"/>
    <m/>
    <s v="005ak00000icyWTAAY"/>
    <s v="2026-09-16T17:01:29.000Z"/>
    <m/>
    <m/>
    <d v="2026-03-17T00:00:00"/>
    <s v="LSN-00657"/>
    <s v="L-0000642"/>
    <s v="131ak000001XjDtAAK"/>
    <b v="0"/>
    <b v="0"/>
    <s v="L-0000642"/>
    <s v="15:00:00.000Z"/>
    <x v="0"/>
    <s v="a07ak00001rZMrPAAW"/>
    <s v="Emily Campbell"/>
    <s v="2026-09-16T17:01:29.000Z"/>
    <b v="1"/>
    <s v="a06ak00000amzBuAAI|2026-03-17|15:00:00.000Z"/>
    <n v="1"/>
    <s v="Red Bank"/>
    <x v="3"/>
    <x v="0"/>
  </r>
  <r>
    <s v="005ak00000icyWTAAY"/>
    <s v="2026-09-14T21:01:58.000Z"/>
    <n v="60"/>
    <s v="a0Aak00000FtDvvEAF"/>
    <s v="a06ak00000amzBuAAI"/>
    <s v="Ryan Clark"/>
    <m/>
    <x v="8"/>
    <b v="0"/>
    <m/>
    <s v="005ak00000icyWTAAY"/>
    <s v="2026-09-16T17:01:29.000Z"/>
    <m/>
    <m/>
    <d v="2026-02-14T00:00:00"/>
    <s v="LSN-00658"/>
    <s v="L-0000643"/>
    <s v="131ak000001XjDtAAK"/>
    <b v="0"/>
    <b v="0"/>
    <s v="L-0000643"/>
    <s v="16:00:00.000Z"/>
    <x v="0"/>
    <s v="a07ak00001rZMrPAAW"/>
    <s v="Emily Campbell"/>
    <s v="2026-09-16T17:01:29.000Z"/>
    <b v="1"/>
    <s v="a06ak00000amzBuAAI|2026-02-14|16:00:00.000Z"/>
    <n v="1"/>
    <s v="Red Bank"/>
    <x v="1"/>
    <x v="0"/>
  </r>
  <r>
    <s v="005ak00000icyWTAAY"/>
    <s v="2026-09-14T21:01:58.000Z"/>
    <n v="60"/>
    <s v="a0Aak00000FtDvwEAF"/>
    <s v="a06ak00000amzBuAAI"/>
    <s v="Ryan Clark"/>
    <s v="Good progress on technique."/>
    <x v="8"/>
    <b v="0"/>
    <m/>
    <s v="005ak00000icyWTAAY"/>
    <s v="2026-09-16T17:01:29.000Z"/>
    <m/>
    <m/>
    <d v="2026-05-30T00:00:00"/>
    <s v="LSN-00659"/>
    <s v="L-0000644"/>
    <s v="131ak000001XjDtAAK"/>
    <b v="0"/>
    <b v="0"/>
    <s v="L-0000644"/>
    <s v="10:00:00.000Z"/>
    <x v="0"/>
    <s v="a07ak00001rZMrPAAW"/>
    <s v="Emily Campbell"/>
    <s v="2026-09-16T17:01:29.000Z"/>
    <b v="1"/>
    <s v="a06ak00000amzBuAAI|2026-05-30|10:00:00.000Z"/>
    <n v="1"/>
    <s v="Red Bank"/>
    <x v="0"/>
    <x v="0"/>
  </r>
  <r>
    <s v="005ak00000icyWTAAY"/>
    <s v="2026-09-14T21:01:58.000Z"/>
    <n v="30"/>
    <s v="a0Aak00000FtDvxEAF"/>
    <s v="a06ak00000amzBuAAI"/>
    <s v="Ryan Clark"/>
    <s v="Good progress on technique."/>
    <x v="8"/>
    <b v="0"/>
    <m/>
    <s v="005ak00000icyWTAAY"/>
    <s v="2026-09-16T17:01:29.000Z"/>
    <m/>
    <m/>
    <d v="2026-09-05T00:00:00"/>
    <s v="LSN-00660"/>
    <s v="L-0000645"/>
    <s v="131ak000001XjDtAAK"/>
    <b v="0"/>
    <b v="0"/>
    <s v="L-0000645"/>
    <s v="10:00:00.000Z"/>
    <x v="0"/>
    <s v="a07ak00001rZMrPAAW"/>
    <s v="Emily Campbell"/>
    <s v="2026-09-16T17:01:29.000Z"/>
    <b v="1"/>
    <s v="a06ak00000amzBuAAI|2026-09-05|10:00:00.000Z"/>
    <n v="1"/>
    <s v="Red Bank"/>
    <x v="2"/>
    <x v="0"/>
  </r>
  <r>
    <s v="005ak00000icyWTAAY"/>
    <s v="2026-09-14T21:01:58.000Z"/>
    <n v="30"/>
    <s v="a0Aak00000FtDvyEAF"/>
    <s v="a06ak00000amzBuAAI"/>
    <s v="Ryan Clark"/>
    <s v="Started new piece."/>
    <x v="8"/>
    <b v="0"/>
    <m/>
    <s v="005ak00000icyWTAAY"/>
    <s v="2026-09-16T17:01:29.000Z"/>
    <m/>
    <m/>
    <d v="2026-07-02T00:00:00"/>
    <s v="LSN-00661"/>
    <s v="L-0000646"/>
    <s v="131ak000001XjDtAAK"/>
    <b v="0"/>
    <b v="0"/>
    <s v="L-0000646"/>
    <s v="15:30:00.000Z"/>
    <x v="0"/>
    <s v="a07ak00001rZMrPAAW"/>
    <s v="Emily Campbell"/>
    <s v="2026-09-16T17:01:29.000Z"/>
    <b v="1"/>
    <s v="a06ak00000amzBuAAI|2026-07-02|15:30:00.000Z"/>
    <n v="1"/>
    <s v="Red Bank"/>
    <x v="8"/>
    <x v="0"/>
  </r>
  <r>
    <s v="005ak00000icyWTAAY"/>
    <s v="2026-09-14T21:01:58.000Z"/>
    <n v="30"/>
    <s v="a0Aak00000FtDvzEAF"/>
    <s v="a06ak00000amzBuAAI"/>
    <s v="Ryan Clark"/>
    <s v="Focused on sight reading."/>
    <x v="8"/>
    <b v="0"/>
    <m/>
    <s v="005ak00000icyWTAAY"/>
    <s v="2026-09-16T17:01:29.000Z"/>
    <m/>
    <m/>
    <d v="2026-03-06T00:00:00"/>
    <s v="LSN-00662"/>
    <s v="L-0000647"/>
    <s v="131ak000001XjDtAAK"/>
    <b v="0"/>
    <b v="0"/>
    <s v="L-0000647"/>
    <s v="10:00:00.000Z"/>
    <x v="0"/>
    <s v="a07ak00001rZMrPAAW"/>
    <s v="Emily Campbell"/>
    <s v="2026-09-16T17:01:29.000Z"/>
    <b v="1"/>
    <s v="a06ak00000amzBuAAI|2026-03-06|10:00:00.000Z"/>
    <n v="1"/>
    <s v="Red Bank"/>
    <x v="3"/>
    <x v="0"/>
  </r>
  <r>
    <s v="005ak00000icyWTAAY"/>
    <s v="2026-09-14T21:01:58.000Z"/>
    <n v="45"/>
    <s v="a0Aak00000FtDw0EAF"/>
    <s v="a06ak00000amzBuAAI"/>
    <s v="Ryan Clark"/>
    <s v="Started new piece."/>
    <x v="8"/>
    <b v="0"/>
    <m/>
    <s v="005ak00000icyWTAAY"/>
    <s v="2026-09-16T17:01:29.000Z"/>
    <m/>
    <m/>
    <d v="2026-01-13T00:00:00"/>
    <s v="LSN-00663"/>
    <s v="L-0000648"/>
    <s v="131ak000001XjDtAAK"/>
    <b v="0"/>
    <b v="0"/>
    <s v="L-0000648"/>
    <s v="10:00:00.000Z"/>
    <x v="0"/>
    <s v="a07ak00001rZMrPAAW"/>
    <s v="Emily Campbell"/>
    <s v="2026-09-16T17:01:29.000Z"/>
    <b v="1"/>
    <s v="a06ak00000amzBuAAI|2026-01-13|10:00:00.000Z"/>
    <n v="1"/>
    <s v="Red Bank"/>
    <x v="4"/>
    <x v="0"/>
  </r>
  <r>
    <s v="005ak00000icyWTAAY"/>
    <s v="2026-09-14T21:01:58.000Z"/>
    <n v="60"/>
    <s v="a0Aak00000FtDw1EAF"/>
    <s v="a06ak00000amzC9AAI"/>
    <s v="Kai Okafor"/>
    <s v="Worked on scales and timing."/>
    <x v="11"/>
    <b v="0"/>
    <m/>
    <s v="005ak00000icyWTAAY"/>
    <s v="2026-09-16T17:01:29.000Z"/>
    <m/>
    <m/>
    <d v="2026-03-31T00:00:00"/>
    <s v="LSN-00664"/>
    <s v="L-0000649"/>
    <s v="131ak000001XjDtAAK"/>
    <b v="0"/>
    <b v="0"/>
    <s v="L-0000649"/>
    <s v="18:30:00.000Z"/>
    <x v="0"/>
    <s v="a07ak00001rZMrQAAW"/>
    <s v="Caroline Byrne"/>
    <s v="2026-09-16T17:01:29.000Z"/>
    <b v="1"/>
    <s v="a06ak00000amzC9AAI|2026-03-31|18:30:00.000Z"/>
    <n v="1"/>
    <s v="Red Bank"/>
    <x v="3"/>
    <x v="0"/>
  </r>
  <r>
    <s v="005ak00000icyWTAAY"/>
    <s v="2026-09-14T21:01:58.000Z"/>
    <n v="30"/>
    <s v="a0Aak00000FtDw2EAF"/>
    <s v="a06ak00000amzC9AAI"/>
    <s v="Kai Okafor"/>
    <m/>
    <x v="11"/>
    <b v="0"/>
    <m/>
    <s v="005ak00000icyWTAAY"/>
    <s v="2026-09-16T17:01:29.000Z"/>
    <m/>
    <m/>
    <d v="2026-08-17T00:00:00"/>
    <s v="LSN-00665"/>
    <s v="L-0000650"/>
    <s v="131ak000001XjDtAAK"/>
    <b v="0"/>
    <b v="0"/>
    <s v="L-0000650"/>
    <s v="10:00:00.000Z"/>
    <x v="1"/>
    <s v="a07ak00001rZMrQAAW"/>
    <s v="Caroline Byrne"/>
    <s v="2026-09-16T17:01:29.000Z"/>
    <b v="1"/>
    <s v=""/>
    <m/>
    <s v="Red Bank"/>
    <x v="6"/>
    <x v="0"/>
  </r>
  <r>
    <s v="005ak00000icyWTAAY"/>
    <s v="2026-09-14T21:01:58.000Z"/>
    <n v="45"/>
    <s v="a0Aak00000FtDw3EAF"/>
    <s v="a06ak00000amzC9AAI"/>
    <s v="Kai Okafor"/>
    <s v="Worked on scales and timing."/>
    <x v="11"/>
    <b v="0"/>
    <m/>
    <s v="005ak00000icyWTAAY"/>
    <s v="2026-09-16T17:01:29.000Z"/>
    <m/>
    <m/>
    <d v="2026-06-11T00:00:00"/>
    <s v="LSN-00666"/>
    <s v="L-0000651"/>
    <s v="131ak000001XjDtAAK"/>
    <b v="0"/>
    <b v="0"/>
    <s v="L-0000651"/>
    <s v="19:00:00.000Z"/>
    <x v="0"/>
    <s v="a07ak00001rZMrQAAW"/>
    <s v="Caroline Byrne"/>
    <s v="2026-09-16T17:01:29.000Z"/>
    <b v="1"/>
    <s v="a06ak00000amzC9AAI|2026-06-11|19:00:00.000Z"/>
    <n v="1"/>
    <s v="Red Bank"/>
    <x v="7"/>
    <x v="0"/>
  </r>
  <r>
    <s v="005ak00000icyWTAAY"/>
    <s v="2026-09-14T21:01:58.000Z"/>
    <n v="45"/>
    <s v="a0Aak00000FtDw4EAF"/>
    <s v="a06ak00000amzC9AAI"/>
    <s v="Kai Okafor"/>
    <s v="Reviewed last week&amp;#39;s assignment."/>
    <x v="11"/>
    <b v="0"/>
    <m/>
    <s v="005ak00000icyWTAAY"/>
    <s v="2026-09-16T17:01:29.000Z"/>
    <m/>
    <m/>
    <d v="2026-04-26T00:00:00"/>
    <s v="LSN-00667"/>
    <s v="L-0000652"/>
    <s v="131ak000001XjDtAAK"/>
    <b v="0"/>
    <b v="0"/>
    <s v="L-0000652"/>
    <s v="18:00:00.000Z"/>
    <x v="0"/>
    <s v="a07ak00001rZMrQAAW"/>
    <s v="Caroline Byrne"/>
    <s v="2026-09-16T17:01:29.000Z"/>
    <b v="1"/>
    <s v="a06ak00000amzC9AAI|2026-04-26|18:00:00.000Z"/>
    <n v="1"/>
    <s v="Red Bank"/>
    <x v="5"/>
    <x v="0"/>
  </r>
  <r>
    <s v="005ak00000icyWTAAY"/>
    <s v="2026-09-14T21:01:58.000Z"/>
    <n v="30"/>
    <s v="a0Aak00000FtDw5EAF"/>
    <s v="a06ak00000amzC9AAI"/>
    <s v="Kai Okafor"/>
    <m/>
    <x v="11"/>
    <b v="0"/>
    <m/>
    <s v="005ak00000icyWTAAY"/>
    <s v="2026-09-16T17:01:29.000Z"/>
    <m/>
    <m/>
    <d v="2026-09-04T00:00:00"/>
    <s v="LSN-00668"/>
    <s v="L-0000653"/>
    <s v="131ak000001XjDtAAK"/>
    <b v="0"/>
    <b v="0"/>
    <s v="L-0000653"/>
    <s v="16:00:00.000Z"/>
    <x v="0"/>
    <s v="a07ak00001rZMrQAAW"/>
    <s v="Caroline Byrne"/>
    <s v="2026-09-16T17:01:29.000Z"/>
    <b v="1"/>
    <s v="a06ak00000amzC9AAI|2026-09-04|16:00:00.000Z"/>
    <n v="1"/>
    <s v="Red Bank"/>
    <x v="2"/>
    <x v="0"/>
  </r>
  <r>
    <s v="005ak00000icyWTAAY"/>
    <s v="2026-09-14T21:01:58.000Z"/>
    <n v="30"/>
    <s v="a0Aak00000FtDw6EAF"/>
    <s v="a06ak00000amzC9AAI"/>
    <s v="Kai Okafor"/>
    <m/>
    <x v="11"/>
    <b v="0"/>
    <m/>
    <s v="005ak00000icyWTAAY"/>
    <s v="2026-09-16T17:01:29.000Z"/>
    <m/>
    <m/>
    <d v="2026-09-18T00:00:00"/>
    <s v="LSN-00669"/>
    <s v="L-0000654"/>
    <s v="131ak000001XjDtAAK"/>
    <b v="1"/>
    <b v="1"/>
    <s v="L-0000654"/>
    <s v="16:30:00.000Z"/>
    <x v="4"/>
    <s v="a07ak00001rZMrQAAW"/>
    <s v="Caroline Byrne"/>
    <s v="2026-09-16T17:01:29.000Z"/>
    <b v="1"/>
    <s v=""/>
    <n v="114"/>
    <s v="Red Bank"/>
    <x v="2"/>
    <x v="0"/>
  </r>
  <r>
    <s v="005ak00000icyWTAAY"/>
    <s v="2026-09-14T21:01:58.000Z"/>
    <n v="45"/>
    <s v="a0Aak00000FtDw7EAF"/>
    <s v="a06ak00000amzC9AAI"/>
    <s v="Kai Okafor"/>
    <m/>
    <x v="11"/>
    <b v="0"/>
    <m/>
    <s v="005ak00000icyWTAAY"/>
    <s v="2026-09-16T17:01:29.000Z"/>
    <m/>
    <m/>
    <d v="2026-08-10T00:00:00"/>
    <s v="LSN-00670"/>
    <s v="L-0000655"/>
    <s v="131ak000001XjDtAAK"/>
    <b v="0"/>
    <b v="0"/>
    <s v="L-0000655"/>
    <s v="15:00:00.000Z"/>
    <x v="0"/>
    <s v="a07ak00001rZMrQAAW"/>
    <s v="Caroline Byrne"/>
    <s v="2026-09-16T17:01:29.000Z"/>
    <b v="1"/>
    <s v="a06ak00000amzC9AAI|2026-08-10|15:00:00.000Z"/>
    <n v="1"/>
    <s v="Red Bank"/>
    <x v="6"/>
    <x v="0"/>
  </r>
  <r>
    <s v="005ak00000icyWTAAY"/>
    <s v="2026-09-14T21:01:58.000Z"/>
    <n v="30"/>
    <s v="a0Aak00000FtDw8EAF"/>
    <s v="a06ak00000amzC9AAI"/>
    <s v="Kai Okafor"/>
    <s v="Good progress on technique."/>
    <x v="11"/>
    <b v="0"/>
    <m/>
    <s v="005ak00000icyWTAAY"/>
    <s v="2026-09-16T17:01:29.000Z"/>
    <m/>
    <m/>
    <d v="2026-05-05T00:00:00"/>
    <s v="LSN-00671"/>
    <s v="L-0000656"/>
    <s v="131ak000001XjDtAAK"/>
    <b v="0"/>
    <b v="0"/>
    <s v="L-0000656"/>
    <s v="16:00:00.000Z"/>
    <x v="0"/>
    <s v="a07ak00001rZMrQAAW"/>
    <s v="Caroline Byrne"/>
    <s v="2026-09-16T17:01:29.000Z"/>
    <b v="1"/>
    <s v="a06ak00000amzC9AAI|2026-05-05|16:00:00.000Z"/>
    <n v="1"/>
    <s v="Red Bank"/>
    <x v="0"/>
    <x v="0"/>
  </r>
  <r>
    <s v="005ak00000icyWTAAY"/>
    <s v="2026-09-14T21:01:58.000Z"/>
    <n v="30"/>
    <s v="a0Aak00000FtDw9EAF"/>
    <s v="a06ak00000amzBzAAI"/>
    <s v="Ezra Garcia"/>
    <m/>
    <x v="11"/>
    <b v="0"/>
    <m/>
    <s v="005ak00000icyWTAAY"/>
    <s v="2026-09-23T19:02:24.000Z"/>
    <m/>
    <m/>
    <d v="2026-09-23T00:00:00"/>
    <s v="LSN-00672"/>
    <s v="L-0000657"/>
    <s v="131ak000001XjDtAAK"/>
    <b v="0"/>
    <b v="0"/>
    <s v="L-0000657"/>
    <s v="11:00:00.000Z"/>
    <x v="0"/>
    <s v="a07ak00001rZMrQAAW"/>
    <s v="Caroline Byrne"/>
    <s v="2026-09-23T19:02:24.000Z"/>
    <b v="1"/>
    <s v="a06ak00000amzBzAAI|2026-09-23|11:00:00.000Z"/>
    <n v="1"/>
    <s v="Red Bank"/>
    <x v="2"/>
    <x v="0"/>
  </r>
  <r>
    <s v="005ak00000icyWTAAY"/>
    <s v="2026-09-14T21:01:58.000Z"/>
    <n v="45"/>
    <s v="a0Aak00000FtDwAEAV"/>
    <s v="a06ak00000amzBfAAI"/>
    <s v="Mia Smith"/>
    <m/>
    <x v="6"/>
    <b v="0"/>
    <m/>
    <s v="005ak00000icyWTAAY"/>
    <s v="2026-09-16T17:01:29.000Z"/>
    <m/>
    <m/>
    <d v="2026-02-13T00:00:00"/>
    <s v="LSN-00673"/>
    <s v="L-0000658"/>
    <s v="131ak000001XjDvAAK"/>
    <b v="0"/>
    <b v="0"/>
    <s v="L-0000658"/>
    <s v="17:00:00.000Z"/>
    <x v="0"/>
    <s v="a07ak00001rZMrRAAW"/>
    <s v="Amelia Okafor"/>
    <s v="2026-09-16T17:01:29.000Z"/>
    <b v="1"/>
    <s v="a06ak00000amzBfAAI|2026-02-13|17:00:00.000Z"/>
    <n v="1"/>
    <s v="Toms River"/>
    <x v="1"/>
    <x v="0"/>
  </r>
  <r>
    <s v="005ak00000icyWTAAY"/>
    <s v="2026-09-14T21:01:58.000Z"/>
    <n v="30"/>
    <s v="a0Aak00000FtDwBEAV"/>
    <s v="a06ak00000amzBfAAI"/>
    <s v="Mia Smith"/>
    <s v="Started new piece."/>
    <x v="6"/>
    <b v="0"/>
    <m/>
    <s v="005ak00000icyWTAAY"/>
    <s v="2026-09-16T17:01:29.000Z"/>
    <m/>
    <m/>
    <d v="2026-02-13T00:00:00"/>
    <s v="LSN-00674"/>
    <s v="L-0000659"/>
    <s v="131ak000001XjDvAAK"/>
    <b v="0"/>
    <b v="0"/>
    <s v="L-0000659"/>
    <s v="18:00:00.000Z"/>
    <x v="0"/>
    <s v="a07ak00001rZMrRAAW"/>
    <s v="Amelia Okafor"/>
    <s v="2026-09-16T17:01:29.000Z"/>
    <b v="1"/>
    <s v="a06ak00000amzBfAAI|2026-02-13|18:00:00.000Z"/>
    <n v="1"/>
    <s v="Toms River"/>
    <x v="1"/>
    <x v="0"/>
  </r>
  <r>
    <s v="005ak00000icyWTAAY"/>
    <s v="2026-09-14T21:01:58.000Z"/>
    <n v="45"/>
    <s v="a0Aak00000FtDwCEAV"/>
    <s v="a06ak00000amzByAAI"/>
    <s v="Vincent Sullivan"/>
    <s v="Good progress on technique."/>
    <x v="10"/>
    <b v="0"/>
    <m/>
    <s v="005ak00000icyWTAAY"/>
    <s v="2026-09-16T17:01:29.000Z"/>
    <m/>
    <m/>
    <d v="2026-09-07T00:00:00"/>
    <s v="LSN-00675"/>
    <s v="L-0000660"/>
    <s v="131ak000001XjDvAAK"/>
    <b v="0"/>
    <b v="0"/>
    <s v="L-0000660"/>
    <s v="10:00:00.000Z"/>
    <x v="0"/>
    <s v="a07ak00001rZMrSAAW"/>
    <s v="Leo Okafor"/>
    <s v="2026-09-16T17:01:29.000Z"/>
    <b v="1"/>
    <s v="a06ak00000amzByAAI|2026-09-07|10:00:00.000Z"/>
    <n v="1"/>
    <s v="Toms River"/>
    <x v="2"/>
    <x v="0"/>
  </r>
  <r>
    <s v="005ak00000icyWTAAY"/>
    <s v="2026-09-14T21:01:58.000Z"/>
    <n v="60"/>
    <s v="a0Aak00000FtDwDEAV"/>
    <s v="a06ak00000amzByAAI"/>
    <s v="Vincent Sullivan"/>
    <s v="Good progress on technique."/>
    <x v="10"/>
    <b v="0"/>
    <m/>
    <s v="005ak00000icyWTAAY"/>
    <s v="2026-09-16T17:01:29.000Z"/>
    <m/>
    <m/>
    <d v="2026-05-11T00:00:00"/>
    <s v="LSN-00676"/>
    <s v="L-0000661"/>
    <s v="131ak000001XjDvAAK"/>
    <b v="0"/>
    <b v="0"/>
    <s v="L-0000661"/>
    <s v="17:00:00.000Z"/>
    <x v="0"/>
    <s v="a07ak00001rZMrSAAW"/>
    <s v="Leo Okafor"/>
    <s v="2026-09-16T17:01:29.000Z"/>
    <b v="1"/>
    <s v="a06ak00000amzByAAI|2026-05-11|17:00:00.000Z"/>
    <n v="1"/>
    <s v="Toms River"/>
    <x v="0"/>
    <x v="0"/>
  </r>
  <r>
    <s v="005ak00000icyWTAAY"/>
    <s v="2026-09-14T21:01:58.000Z"/>
    <n v="30"/>
    <s v="a0Aak00000FtDwEEAV"/>
    <s v="a06ak00000amzBeAAI"/>
    <s v="Zoey Rodriguez"/>
    <m/>
    <x v="2"/>
    <b v="0"/>
    <m/>
    <s v="005ak00000icyWTAAY"/>
    <s v="2026-09-25T18:00:49.000Z"/>
    <m/>
    <m/>
    <d v="2026-06-13T00:00:00"/>
    <s v="LSN-00677"/>
    <s v="L-0000662"/>
    <s v="131ak000001XjDuAAK"/>
    <b v="1"/>
    <b v="1"/>
    <s v="L-0000662"/>
    <s v="11:00:00.000Z"/>
    <x v="4"/>
    <s v="a07ak00001rZMrUAAW"/>
    <s v="Daniel Kim"/>
    <s v="2026-09-25T18:00:49.000Z"/>
    <b v="1"/>
    <s v=""/>
    <m/>
    <s v="Brick"/>
    <x v="7"/>
    <x v="0"/>
  </r>
  <r>
    <s v="005ak00000icyWTAAY"/>
    <s v="2026-09-14T21:01:58.000Z"/>
    <n v="30"/>
    <s v="a0Aak00000FtDwFEAV"/>
    <s v="a06ak00000amzBeAAI"/>
    <s v="Zoey Rodriguez"/>
    <s v="Worked on scales and timing."/>
    <x v="2"/>
    <b v="0"/>
    <m/>
    <s v="005ak00000icyWTAAY"/>
    <s v="2026-09-16T17:01:29.000Z"/>
    <m/>
    <m/>
    <d v="2026-03-09T00:00:00"/>
    <s v="LSN-00678"/>
    <s v="L-0000663"/>
    <s v="131ak000001XjDuAAK"/>
    <b v="0"/>
    <b v="0"/>
    <s v="L-0000663"/>
    <s v="10:00:00.000Z"/>
    <x v="0"/>
    <s v="a07ak00001rZMrUAAW"/>
    <s v="Daniel Kim"/>
    <s v="2026-09-16T17:01:29.000Z"/>
    <b v="1"/>
    <s v="a06ak00000amzBeAAI|2026-03-09|10:00:00.000Z"/>
    <n v="1"/>
    <s v="Brick"/>
    <x v="3"/>
    <x v="0"/>
  </r>
  <r>
    <s v="005ak00000icyWTAAY"/>
    <s v="2026-09-14T21:01:58.000Z"/>
    <n v="30"/>
    <s v="a0Aak00000FtDwGEAV"/>
    <s v="a06ak00000amzBeAAI"/>
    <s v="Zoey Rodriguez"/>
    <s v="Reviewed last week&amp;#39;s assignment."/>
    <x v="2"/>
    <b v="0"/>
    <m/>
    <s v="005ak00000icyWTAAY"/>
    <s v="2026-09-16T17:01:29.000Z"/>
    <m/>
    <m/>
    <d v="2026-02-28T00:00:00"/>
    <s v="LSN-00679"/>
    <s v="L-0000664"/>
    <s v="131ak000001XjDuAAK"/>
    <b v="0"/>
    <b v="0"/>
    <s v="L-0000664"/>
    <s v="16:00:00.000Z"/>
    <x v="0"/>
    <s v="a07ak00001rZMrUAAW"/>
    <s v="Daniel Kim"/>
    <s v="2026-09-16T17:01:29.000Z"/>
    <b v="1"/>
    <s v="a06ak00000amzBeAAI|2026-02-28|16:00:00.000Z"/>
    <n v="1"/>
    <s v="Brick"/>
    <x v="1"/>
    <x v="0"/>
  </r>
  <r>
    <s v="005ak00000icyWTAAY"/>
    <s v="2026-09-14T21:01:58.000Z"/>
    <n v="60"/>
    <s v="a0Aak00000FtDwHEAV"/>
    <s v="a06ak00000amzBeAAI"/>
    <s v="Zoey Rodriguez"/>
    <s v="Reviewed last week&amp;#39;s assignment."/>
    <x v="2"/>
    <b v="0"/>
    <m/>
    <s v="005ak00000icyWTAAY"/>
    <s v="2026-09-16T17:01:29.000Z"/>
    <m/>
    <m/>
    <d v="2026-07-16T00:00:00"/>
    <s v="LSN-00680"/>
    <s v="L-0000665"/>
    <s v="131ak000001XjDuAAK"/>
    <b v="0"/>
    <b v="0"/>
    <s v="L-0000665"/>
    <s v="15:30:00.000Z"/>
    <x v="0"/>
    <s v="a07ak00001rZMrUAAW"/>
    <s v="Daniel Kim"/>
    <s v="2026-09-16T17:01:29.000Z"/>
    <b v="1"/>
    <s v="a06ak00000amzBeAAI|2026-07-16|15:30:00.000Z"/>
    <n v="1"/>
    <s v="Brick"/>
    <x v="8"/>
    <x v="0"/>
  </r>
  <r>
    <s v="005ak00000icyWTAAY"/>
    <s v="2026-09-14T21:01:58.000Z"/>
    <n v="45"/>
    <s v="a0Aak00000FtDwIEAV"/>
    <s v="a06ak00000amzBeAAI"/>
    <s v="Zoey Rodriguez"/>
    <s v="Focused on sight reading."/>
    <x v="2"/>
    <b v="0"/>
    <m/>
    <s v="005ak00000icyWTAAY"/>
    <s v="2026-09-16T17:01:29.000Z"/>
    <m/>
    <m/>
    <d v="2026-03-14T00:00:00"/>
    <s v="LSN-00681"/>
    <s v="L-0000666"/>
    <s v="131ak000001XjDuAAK"/>
    <b v="0"/>
    <b v="0"/>
    <s v="L-0000666"/>
    <s v="17:30:00.000Z"/>
    <x v="0"/>
    <s v="a07ak00001rZMrUAAW"/>
    <s v="Daniel Kim"/>
    <s v="2026-09-16T17:01:29.000Z"/>
    <b v="1"/>
    <s v="a06ak00000amzBeAAI|2026-03-14|17:30:00.000Z"/>
    <n v="1"/>
    <s v="Brick"/>
    <x v="3"/>
    <x v="0"/>
  </r>
  <r>
    <s v="005ak00000icyWTAAY"/>
    <s v="2026-09-14T21:01:58.000Z"/>
    <n v="45"/>
    <s v="a0Aak00000FtDwJEAV"/>
    <s v="a06ak00000amzBeAAI"/>
    <s v="Zoey Rodriguez"/>
    <s v="Reviewed last week&amp;#39;s assignment."/>
    <x v="2"/>
    <b v="0"/>
    <m/>
    <s v="005ak00000icyWTAAY"/>
    <s v="2026-09-16T17:01:29.000Z"/>
    <m/>
    <m/>
    <d v="2026-05-19T00:00:00"/>
    <s v="LSN-00682"/>
    <s v="L-0000667"/>
    <s v="131ak000001XjDuAAK"/>
    <b v="0"/>
    <b v="0"/>
    <s v="L-0000667"/>
    <s v="19:00:00.000Z"/>
    <x v="0"/>
    <s v="a07ak00001rZMrUAAW"/>
    <s v="Daniel Kim"/>
    <s v="2026-09-16T17:01:29.000Z"/>
    <b v="1"/>
    <s v="a06ak00000amzBeAAI|2026-05-19|19:00:00.000Z"/>
    <n v="1"/>
    <s v="Brick"/>
    <x v="0"/>
    <x v="0"/>
  </r>
  <r>
    <s v="005ak00000icyWTAAY"/>
    <s v="2026-09-14T21:01:58.000Z"/>
    <n v="30"/>
    <s v="a0Aak00000FtDwKEAV"/>
    <s v="a06ak00000amzBeAAI"/>
    <s v="Zoey Rodriguez"/>
    <s v="Focused on sight reading."/>
    <x v="2"/>
    <b v="0"/>
    <m/>
    <s v="005ak00000icyWTAAY"/>
    <s v="2026-09-16T17:01:29.000Z"/>
    <m/>
    <m/>
    <d v="2026-02-13T00:00:00"/>
    <s v="LSN-00683"/>
    <s v="L-0000668"/>
    <s v="131ak000001XjDuAAK"/>
    <b v="0"/>
    <b v="0"/>
    <s v="L-0000668"/>
    <s v="15:00:00.000Z"/>
    <x v="0"/>
    <s v="a07ak00001rZMrUAAW"/>
    <s v="Daniel Kim"/>
    <s v="2026-09-16T17:01:29.000Z"/>
    <b v="1"/>
    <s v="a06ak00000amzBeAAI|2026-02-13|15:00:00.000Z"/>
    <n v="1"/>
    <s v="Brick"/>
    <x v="1"/>
    <x v="0"/>
  </r>
  <r>
    <s v="005ak00000icyWTAAY"/>
    <s v="2026-09-14T21:01:58.000Z"/>
    <n v="30"/>
    <s v="a0Aak00000FtDwLEAV"/>
    <s v="a06ak00000amzBeAAI"/>
    <s v="Zoey Rodriguez"/>
    <m/>
    <x v="2"/>
    <b v="0"/>
    <m/>
    <s v="005ak00000icyWTAAY"/>
    <s v="2026-09-16T17:01:29.000Z"/>
    <m/>
    <m/>
    <d v="2026-04-29T00:00:00"/>
    <s v="LSN-00684"/>
    <s v="L-0000669"/>
    <s v="131ak000001XjDuAAK"/>
    <b v="0"/>
    <b v="0"/>
    <s v="L-0000669"/>
    <s v="18:30:00.000Z"/>
    <x v="0"/>
    <s v="a07ak00001rZMrUAAW"/>
    <s v="Daniel Kim"/>
    <s v="2026-09-16T17:01:29.000Z"/>
    <b v="1"/>
    <s v="a06ak00000amzBeAAI|2026-04-29|18:30:00.000Z"/>
    <n v="1"/>
    <s v="Brick"/>
    <x v="5"/>
    <x v="0"/>
  </r>
  <r>
    <s v="005ak00000icyWTAAY"/>
    <s v="2026-09-14T21:01:58.000Z"/>
    <n v="30"/>
    <s v="a0Aak00000FtDwMEAV"/>
    <s v="a06ak00000amzCHAAY"/>
    <s v="Liam Flores"/>
    <m/>
    <x v="4"/>
    <b v="0"/>
    <m/>
    <s v="005ak00000icyWTAAY"/>
    <s v="2026-09-16T17:01:29.000Z"/>
    <m/>
    <m/>
    <d v="2026-08-22T00:00:00"/>
    <s v="LSN-00685"/>
    <s v="L-0000670"/>
    <s v="131ak000001XjDtAAK"/>
    <b v="0"/>
    <b v="0"/>
    <s v="L-0000670"/>
    <s v="17:00:00.000Z"/>
    <x v="3"/>
    <s v="a07ak00001rZMrVAAW"/>
    <s v="Isaac Taylor"/>
    <s v="2026-09-16T17:01:29.000Z"/>
    <b v="1"/>
    <s v="a06ak00000amzCHAAY|2026-08-22|17:00:00.000Z"/>
    <n v="1"/>
    <s v="Red Bank"/>
    <x v="6"/>
    <x v="0"/>
  </r>
  <r>
    <s v="005ak00000icyWTAAY"/>
    <s v="2026-09-14T21:01:58.000Z"/>
    <n v="45"/>
    <s v="a0Aak00000FtDwNEAV"/>
    <s v="a06ak00000amzCHAAY"/>
    <s v="Liam Flores"/>
    <s v="Worked on scales and timing."/>
    <x v="4"/>
    <b v="0"/>
    <m/>
    <s v="005ak00000icyWTAAY"/>
    <s v="2026-09-16T17:01:29.000Z"/>
    <m/>
    <m/>
    <d v="2026-03-09T00:00:00"/>
    <s v="LSN-00686"/>
    <s v="L-0000671"/>
    <s v="131ak000001XjDtAAK"/>
    <b v="0"/>
    <b v="0"/>
    <s v="L-0000671"/>
    <s v="18:30:00.000Z"/>
    <x v="0"/>
    <s v="a07ak00001rZMrVAAW"/>
    <s v="Isaac Taylor"/>
    <s v="2026-09-16T17:01:29.000Z"/>
    <b v="1"/>
    <s v="a06ak00000amzCHAAY|2026-03-09|18:30:00.000Z"/>
    <n v="1"/>
    <s v="Red Bank"/>
    <x v="3"/>
    <x v="0"/>
  </r>
  <r>
    <s v="005ak00000icyWTAAY"/>
    <s v="2026-09-14T21:01:58.000Z"/>
    <n v="30"/>
    <s v="a0Aak00000FtDwOEAV"/>
    <s v="a06ak00000amzCHAAY"/>
    <s v="Liam Flores"/>
    <m/>
    <x v="4"/>
    <b v="0"/>
    <m/>
    <s v="005ak00000icyWTAAY"/>
    <s v="2026-09-25T18:00:49.000Z"/>
    <m/>
    <m/>
    <d v="2026-07-14T00:00:00"/>
    <s v="LSN-00687"/>
    <s v="L-0000672"/>
    <s v="131ak000001XjDtAAK"/>
    <b v="1"/>
    <b v="1"/>
    <s v="L-0000672"/>
    <s v="15:00:00.000Z"/>
    <x v="4"/>
    <s v="a07ak00001rZMrVAAW"/>
    <s v="Isaac Taylor"/>
    <s v="2026-09-25T18:00:49.000Z"/>
    <b v="1"/>
    <s v=""/>
    <m/>
    <s v="Red Bank"/>
    <x v="8"/>
    <x v="0"/>
  </r>
  <r>
    <s v="005ak00000icyWTAAY"/>
    <s v="2026-09-14T21:01:58.000Z"/>
    <n v="45"/>
    <s v="a0Aak00000FtDwPEAV"/>
    <s v="a06ak00000amzCHAAY"/>
    <s v="Liam Flores"/>
    <s v="Focused on sight reading."/>
    <x v="4"/>
    <b v="0"/>
    <m/>
    <s v="005ak00000icyWTAAY"/>
    <s v="2026-09-16T17:01:29.000Z"/>
    <m/>
    <m/>
    <d v="2026-06-20T00:00:00"/>
    <s v="LSN-00688"/>
    <s v="L-0000673"/>
    <s v="131ak000001XjDtAAK"/>
    <b v="0"/>
    <b v="0"/>
    <s v="L-0000673"/>
    <s v="17:00:00.000Z"/>
    <x v="0"/>
    <s v="a07ak00001rZMrVAAW"/>
    <s v="Isaac Taylor"/>
    <s v="2026-09-16T17:01:29.000Z"/>
    <b v="1"/>
    <s v="a06ak00000amzCHAAY|2026-06-20|17:00:00.000Z"/>
    <n v="1"/>
    <s v="Red Bank"/>
    <x v="7"/>
    <x v="0"/>
  </r>
  <r>
    <s v="005ak00000icyWTAAY"/>
    <s v="2026-09-14T21:01:58.000Z"/>
    <n v="30"/>
    <s v="a0Aak00000FtDwQEAV"/>
    <s v="a06ak00000amzCHAAY"/>
    <s v="Liam Flores"/>
    <m/>
    <x v="4"/>
    <b v="0"/>
    <m/>
    <s v="005ak00000icyWTAAY"/>
    <s v="2026-09-16T17:01:29.000Z"/>
    <m/>
    <m/>
    <d v="2026-02-23T00:00:00"/>
    <s v="LSN-00689"/>
    <s v="L-0000674"/>
    <s v="131ak000001XjDtAAK"/>
    <b v="0"/>
    <b v="0"/>
    <s v="L-0000674"/>
    <s v="19:00:00.000Z"/>
    <x v="0"/>
    <s v="a07ak00001rZMrVAAW"/>
    <s v="Isaac Taylor"/>
    <s v="2026-09-16T17:01:29.000Z"/>
    <b v="1"/>
    <s v="a06ak00000amzCHAAY|2026-02-23|19:00:00.000Z"/>
    <n v="1"/>
    <s v="Red Bank"/>
    <x v="1"/>
    <x v="0"/>
  </r>
  <r>
    <s v="005ak00000icyWTAAY"/>
    <s v="2026-09-14T21:01:58.000Z"/>
    <n v="30"/>
    <s v="a0Aak00000FtDwREAV"/>
    <s v="a06ak00000amzCHAAY"/>
    <s v="Liam Flores"/>
    <m/>
    <x v="4"/>
    <b v="0"/>
    <m/>
    <s v="005ak00000icyWTAAY"/>
    <s v="2026-09-25T18:00:49.000Z"/>
    <m/>
    <m/>
    <d v="2026-06-20T00:00:00"/>
    <s v="LSN-00690"/>
    <s v="L-0000675"/>
    <s v="131ak000001XjDtAAK"/>
    <b v="1"/>
    <b v="1"/>
    <s v="L-0000675"/>
    <s v="15:00:00.000Z"/>
    <x v="4"/>
    <s v="a07ak00001rZMrVAAW"/>
    <s v="Isaac Taylor"/>
    <s v="2026-09-25T18:00:49.000Z"/>
    <b v="1"/>
    <s v=""/>
    <m/>
    <s v="Red Bank"/>
    <x v="7"/>
    <x v="0"/>
  </r>
  <r>
    <s v="005ak00000icyWTAAY"/>
    <s v="2026-09-14T21:01:58.000Z"/>
    <n v="30"/>
    <s v="a0Aak00000FtDwSEAV"/>
    <s v="a06ak00000amzCHAAY"/>
    <s v="Liam Flores"/>
    <s v="Good progress on technique."/>
    <x v="4"/>
    <b v="0"/>
    <m/>
    <s v="005ak00000icyWTAAY"/>
    <s v="2026-09-16T17:01:29.000Z"/>
    <m/>
    <m/>
    <d v="2026-09-18T00:00:00"/>
    <s v="LSN-00691"/>
    <s v="L-0000676"/>
    <s v="131ak000001XjDtAAK"/>
    <b v="0"/>
    <b v="0"/>
    <s v="L-0000676"/>
    <s v="18:00:00.000Z"/>
    <x v="0"/>
    <s v="a07ak00001rZMrVAAW"/>
    <s v="Isaac Taylor"/>
    <s v="2026-09-16T17:01:29.000Z"/>
    <b v="1"/>
    <s v="a06ak00000amzCHAAY|2026-09-18|18:00:00.000Z"/>
    <n v="1"/>
    <s v="Red Bank"/>
    <x v="2"/>
    <x v="0"/>
  </r>
  <r>
    <s v="005ak00000icyWTAAY"/>
    <s v="2026-09-14T21:01:58.000Z"/>
    <n v="60"/>
    <s v="a0Aak00000FtDwTEAV"/>
    <s v="a06ak00000amzCHAAY"/>
    <s v="Liam Flores"/>
    <s v="Reviewed last week&amp;#39;s assignment."/>
    <x v="4"/>
    <b v="0"/>
    <m/>
    <s v="005ak00000icyWTAAY"/>
    <s v="2026-09-16T17:01:29.000Z"/>
    <m/>
    <m/>
    <d v="2026-09-22T00:00:00"/>
    <s v="LSN-00692"/>
    <s v="L-0000677"/>
    <s v="131ak000001XjDtAAK"/>
    <b v="0"/>
    <b v="0"/>
    <s v="L-0000677"/>
    <s v="17:00:00.000Z"/>
    <x v="0"/>
    <s v="a07ak00001rZMrVAAW"/>
    <s v="Isaac Taylor"/>
    <s v="2026-09-16T17:01:29.000Z"/>
    <b v="1"/>
    <s v="a06ak00000amzCHAAY|2026-09-22|17:00:00.000Z"/>
    <n v="1"/>
    <s v="Red Bank"/>
    <x v="2"/>
    <x v="0"/>
  </r>
  <r>
    <s v="005ak00000icyWTAAY"/>
    <s v="2026-09-14T21:01:58.000Z"/>
    <n v="45"/>
    <s v="a0Aak00000FtDwUEAV"/>
    <s v="a06ak00000amzBtAAI"/>
    <s v="Jamal Torres"/>
    <s v="Reviewed last week&amp;#39;s assignment."/>
    <x v="8"/>
    <b v="0"/>
    <m/>
    <s v="005ak00000icyWTAAY"/>
    <s v="2026-09-16T17:01:29.000Z"/>
    <m/>
    <m/>
    <d v="2026-09-24T00:00:00"/>
    <s v="LSN-00693"/>
    <s v="L-0000678"/>
    <s v="131ak000001XjDvAAK"/>
    <b v="0"/>
    <b v="0"/>
    <s v="L-0000678"/>
    <s v="11:00:00.000Z"/>
    <x v="0"/>
    <s v="a07ak00001rZMrWAAW"/>
    <s v="Mei Sullivan"/>
    <s v="2026-09-16T17:01:29.000Z"/>
    <b v="1"/>
    <s v="a06ak00000amzBtAAI|2026-09-24|11:00:00.000Z"/>
    <n v="1"/>
    <s v="Toms River"/>
    <x v="2"/>
    <x v="0"/>
  </r>
  <r>
    <s v="005ak00000icyWTAAY"/>
    <s v="2026-09-14T21:01:58.000Z"/>
    <n v="30"/>
    <s v="a0Aak00000FtDwVEAV"/>
    <s v="a06ak00000amzBtAAI"/>
    <s v="Jamal Torres"/>
    <s v="Focused on sight reading."/>
    <x v="8"/>
    <b v="0"/>
    <m/>
    <s v="005ak00000icyWTAAY"/>
    <s v="2026-09-16T17:01:29.000Z"/>
    <m/>
    <m/>
    <d v="2026-03-28T00:00:00"/>
    <s v="LSN-00694"/>
    <s v="L-0000679"/>
    <s v="131ak000001XjDvAAK"/>
    <b v="0"/>
    <b v="0"/>
    <s v="L-0000679"/>
    <s v="17:00:00.000Z"/>
    <x v="0"/>
    <s v="a07ak00001rZMrWAAW"/>
    <s v="Mei Sullivan"/>
    <s v="2026-09-16T17:01:29.000Z"/>
    <b v="1"/>
    <s v="a06ak00000amzBtAAI|2026-03-28|17:00:00.000Z"/>
    <n v="1"/>
    <s v="Toms River"/>
    <x v="3"/>
    <x v="0"/>
  </r>
  <r>
    <s v="005ak00000icyWTAAY"/>
    <s v="2026-09-14T21:01:58.000Z"/>
    <n v="30"/>
    <s v="a0Aak00000FtDwWEAV"/>
    <s v="a06ak00000amzBtAAI"/>
    <s v="Jamal Torres"/>
    <s v="Focused on sight reading."/>
    <x v="8"/>
    <b v="0"/>
    <m/>
    <s v="005ak00000icyWTAAY"/>
    <s v="2026-09-16T17:01:29.000Z"/>
    <m/>
    <m/>
    <d v="2026-05-08T00:00:00"/>
    <s v="LSN-00695"/>
    <s v="L-0000680"/>
    <s v="131ak000001XjDvAAK"/>
    <b v="0"/>
    <b v="0"/>
    <s v="L-0000680"/>
    <s v="17:30:00.000Z"/>
    <x v="0"/>
    <s v="a07ak00001rZMrWAAW"/>
    <s v="Mei Sullivan"/>
    <s v="2026-09-16T17:01:29.000Z"/>
    <b v="1"/>
    <s v="a06ak00000amzBtAAI|2026-05-08|17:30:00.000Z"/>
    <n v="1"/>
    <s v="Toms River"/>
    <x v="0"/>
    <x v="0"/>
  </r>
  <r>
    <s v="005ak00000icyWTAAY"/>
    <s v="2026-09-14T21:01:58.000Z"/>
    <n v="60"/>
    <s v="a0Aak00000FtDwXEAV"/>
    <s v="a06ak00000amzBtAAI"/>
    <s v="Jamal Torres"/>
    <s v="Focused on sight reading."/>
    <x v="8"/>
    <b v="0"/>
    <m/>
    <s v="005ak00000icyWTAAY"/>
    <s v="2026-09-16T17:01:29.000Z"/>
    <m/>
    <m/>
    <d v="2026-03-01T00:00:00"/>
    <s v="LSN-00696"/>
    <s v="L-0000681"/>
    <s v="131ak000001XjDvAAK"/>
    <b v="0"/>
    <b v="0"/>
    <s v="L-0000681"/>
    <s v="18:00:00.000Z"/>
    <x v="0"/>
    <s v="a07ak00001rZMrWAAW"/>
    <s v="Mei Sullivan"/>
    <s v="2026-09-16T17:01:29.000Z"/>
    <b v="1"/>
    <s v="a06ak00000amzBtAAI|2026-03-01|18:00:00.000Z"/>
    <n v="1"/>
    <s v="Toms River"/>
    <x v="3"/>
    <x v="0"/>
  </r>
  <r>
    <s v="005ak00000icyWTAAY"/>
    <s v="2026-09-14T21:01:58.000Z"/>
    <n v="45"/>
    <s v="a0Aak00000FtDwYEAV"/>
    <s v="a06ak00000amzBtAAI"/>
    <s v="Jamal Torres"/>
    <m/>
    <x v="8"/>
    <b v="0"/>
    <m/>
    <s v="005ak00000icyWTAAY"/>
    <s v="2026-09-16T17:01:29.000Z"/>
    <m/>
    <m/>
    <d v="2026-05-22T00:00:00"/>
    <s v="LSN-00697"/>
    <s v="L-0000682"/>
    <s v="131ak000001XjDvAAK"/>
    <b v="0"/>
    <b v="0"/>
    <s v="L-0000682"/>
    <s v="17:30:00.000Z"/>
    <x v="3"/>
    <s v="a07ak00001rZMrWAAW"/>
    <s v="Mei Sullivan"/>
    <s v="2026-09-16T17:01:29.000Z"/>
    <b v="1"/>
    <s v="a06ak00000amzBtAAI|2026-05-22|17:30:00.000Z"/>
    <n v="1"/>
    <s v="Toms River"/>
    <x v="0"/>
    <x v="0"/>
  </r>
  <r>
    <s v="005ak00000icyWTAAY"/>
    <s v="2026-09-14T21:01:58.000Z"/>
    <n v="45"/>
    <s v="a0Aak00000FtDwZEAV"/>
    <s v="a06ak00000amzBtAAI"/>
    <s v="Jamal Torres"/>
    <s v="Good progress on technique."/>
    <x v="8"/>
    <b v="0"/>
    <m/>
    <s v="005ak00000icyWTAAY"/>
    <s v="2026-09-16T17:01:29.000Z"/>
    <m/>
    <m/>
    <d v="2026-04-16T00:00:00"/>
    <s v="LSN-00698"/>
    <s v="L-0000683"/>
    <s v="131ak000001XjDvAAK"/>
    <b v="0"/>
    <b v="0"/>
    <s v="L-0000683"/>
    <s v="10:00:00.000Z"/>
    <x v="0"/>
    <s v="a07ak00001rZMrWAAW"/>
    <s v="Mei Sullivan"/>
    <s v="2026-09-16T17:01:29.000Z"/>
    <b v="1"/>
    <s v="a06ak00000amzBtAAI|2026-04-16|10:00:00.000Z"/>
    <n v="1"/>
    <s v="Toms River"/>
    <x v="5"/>
    <x v="0"/>
  </r>
  <r>
    <s v="005ak00000icyWTAAY"/>
    <s v="2026-09-14T21:01:58.000Z"/>
    <n v="30"/>
    <s v="a0Aak00000FtDwaEAF"/>
    <s v="a06ak00000amzCBAAY"/>
    <s v="Aiden Hill"/>
    <s v="Good progress on technique."/>
    <x v="3"/>
    <b v="0"/>
    <m/>
    <s v="005ak00000icyWTAAY"/>
    <s v="2026-09-16T17:01:29.000Z"/>
    <m/>
    <m/>
    <d v="2026-07-25T00:00:00"/>
    <s v="LSN-00699"/>
    <s v="L-0000684"/>
    <s v="131ak000001XjDtAAK"/>
    <b v="0"/>
    <b v="0"/>
    <s v="L-0000684"/>
    <s v="17:00:00.000Z"/>
    <x v="0"/>
    <s v="a07ak00001rZMrYAAW"/>
    <s v="Victoria Martinez"/>
    <s v="2026-09-16T17:01:29.000Z"/>
    <b v="1"/>
    <s v="a06ak00000amzCBAAY|2026-07-25|17:00:00.000Z"/>
    <n v="1"/>
    <s v="Red Bank"/>
    <x v="8"/>
    <x v="0"/>
  </r>
  <r>
    <s v="005ak00000icyWTAAY"/>
    <s v="2026-09-14T21:01:58.000Z"/>
    <n v="30"/>
    <s v="a0Aak00000FtDwbEAF"/>
    <s v="a06ak00000amzCBAAY"/>
    <s v="Aiden Hill"/>
    <s v="Focused on sight reading."/>
    <x v="3"/>
    <b v="0"/>
    <m/>
    <s v="005ak00000icyWTAAY"/>
    <s v="2026-09-16T17:01:29.000Z"/>
    <m/>
    <m/>
    <d v="2026-02-28T00:00:00"/>
    <s v="LSN-00700"/>
    <s v="L-0000685"/>
    <s v="131ak000001XjDtAAK"/>
    <b v="0"/>
    <b v="0"/>
    <s v="L-0000685"/>
    <s v="19:00:00.000Z"/>
    <x v="0"/>
    <s v="a07ak00001rZMrYAAW"/>
    <s v="Victoria Martinez"/>
    <s v="2026-09-16T17:01:29.000Z"/>
    <b v="1"/>
    <s v="a06ak00000amzCBAAY|2026-02-28|19:00:00.000Z"/>
    <n v="1"/>
    <s v="Red Bank"/>
    <x v="1"/>
    <x v="0"/>
  </r>
  <r>
    <s v="005ak00000icyWTAAY"/>
    <s v="2026-09-14T21:01:58.000Z"/>
    <n v="60"/>
    <s v="a0Aak00000FtDwcEAF"/>
    <s v="a06ak00000amzCHAAY"/>
    <s v="Liam Flores"/>
    <s v="Reviewed last week&amp;#39;s assignment."/>
    <x v="4"/>
    <b v="0"/>
    <m/>
    <s v="005ak00000icyWTAAY"/>
    <s v="2026-09-23T19:02:24.000Z"/>
    <m/>
    <m/>
    <d v="2026-09-29T00:00:00"/>
    <s v="LSN-00701"/>
    <s v="L-0000686"/>
    <s v="131ak000001XjDuAAK"/>
    <b v="0"/>
    <b v="0"/>
    <s v="L-0000686"/>
    <s v="15:30:00.000Z"/>
    <x v="0"/>
    <s v="a07ak00001rZMraAAG"/>
    <s v="Yusuf King"/>
    <s v="2026-09-23T19:02:24.000Z"/>
    <b v="1"/>
    <s v="a06ak00000amzCHAAY|2026-09-29|15:30:00.000Z"/>
    <n v="1"/>
    <s v="Brick"/>
    <x v="2"/>
    <x v="0"/>
  </r>
  <r>
    <s v="005ak00000icyWTAAY"/>
    <s v="2026-09-14T21:01:58.000Z"/>
    <n v="60"/>
    <s v="a0Aak00000FtDwdEAF"/>
    <s v="a06ak00000amzCJAAY"/>
    <s v="Sofia Harris"/>
    <m/>
    <x v="4"/>
    <b v="0"/>
    <m/>
    <s v="005ak00000icyWTAAY"/>
    <s v="2026-09-16T17:01:29.000Z"/>
    <m/>
    <m/>
    <d v="2026-09-17T00:00:00"/>
    <s v="LSN-00702"/>
    <s v="L-0000687"/>
    <s v="131ak000001XjDuAAK"/>
    <b v="1"/>
    <b v="1"/>
    <s v="L-0000687"/>
    <s v="17:30:00.000Z"/>
    <x v="4"/>
    <s v="a07ak00001rZMraAAG"/>
    <s v="Yusuf King"/>
    <s v="2026-09-16T17:01:29.000Z"/>
    <b v="1"/>
    <s v=""/>
    <n v="114"/>
    <s v="Brick"/>
    <x v="2"/>
    <x v="0"/>
  </r>
  <r>
    <s v="005ak00000icyWTAAY"/>
    <s v="2026-09-14T21:01:58.000Z"/>
    <n v="30"/>
    <s v="a0Aak00000FtDweEAF"/>
    <s v="a06ak00000amzCJAAY"/>
    <s v="Sofia Harris"/>
    <m/>
    <x v="4"/>
    <b v="0"/>
    <m/>
    <s v="005ak00000icyWTAAY"/>
    <s v="2026-09-16T17:01:29.000Z"/>
    <m/>
    <m/>
    <d v="2026-05-25T00:00:00"/>
    <s v="LSN-00703"/>
    <s v="L-0000688"/>
    <s v="131ak000001XjDuAAK"/>
    <b v="0"/>
    <b v="0"/>
    <s v="L-0000688"/>
    <s v="15:30:00.000Z"/>
    <x v="0"/>
    <s v="a07ak00001rZMraAAG"/>
    <s v="Yusuf King"/>
    <s v="2026-09-16T17:01:29.000Z"/>
    <b v="1"/>
    <s v="a06ak00000amzCJAAY|2026-05-25|15:30:00.000Z"/>
    <n v="1"/>
    <s v="Brick"/>
    <x v="0"/>
    <x v="0"/>
  </r>
  <r>
    <s v="005ak00000icyWTAAY"/>
    <s v="2026-09-14T21:01:58.000Z"/>
    <n v="45"/>
    <s v="a0Aak00000FtDwfEAF"/>
    <s v="a06ak00000amzCFAAY"/>
    <s v="Valentina Sanchez"/>
    <m/>
    <x v="11"/>
    <b v="0"/>
    <m/>
    <s v="005ak00000icyWTAAY"/>
    <s v="2026-09-16T17:01:29.000Z"/>
    <m/>
    <m/>
    <d v="2026-01-15T00:00:00"/>
    <s v="LSN-00705"/>
    <s v="L-0000689"/>
    <s v="131ak000001XjDuAAK"/>
    <b v="0"/>
    <b v="0"/>
    <s v="L-0000689"/>
    <s v="16:00:00.000Z"/>
    <x v="3"/>
    <s v="a07ak00001rZMrbAAG"/>
    <s v="Layla Ramirez"/>
    <s v="2026-09-16T17:01:29.000Z"/>
    <b v="1"/>
    <s v="a06ak00000amzCFAAY|2026-01-15|16:00:00.000Z"/>
    <n v="1"/>
    <s v="Brick"/>
    <x v="4"/>
    <x v="0"/>
  </r>
  <r>
    <s v="005ak00000icyWTAAY"/>
    <s v="2026-09-14T21:01:58.000Z"/>
    <n v="30"/>
    <s v="a0Aak00000FtDwgEAF"/>
    <s v="a06ak00000amzCFAAY"/>
    <s v="Valentina Sanchez"/>
    <s v="Good progress on technique."/>
    <x v="11"/>
    <b v="0"/>
    <m/>
    <s v="005ak00000icyWTAAY"/>
    <s v="2026-09-16T17:01:29.000Z"/>
    <m/>
    <m/>
    <d v="2026-01-11T00:00:00"/>
    <s v="LSN-00706"/>
    <s v="L-0000690"/>
    <s v="131ak000001XjDuAAK"/>
    <b v="0"/>
    <b v="0"/>
    <s v="L-0000690"/>
    <s v="15:30:00.000Z"/>
    <x v="0"/>
    <s v="a07ak00001rZMrbAAG"/>
    <s v="Layla Ramirez"/>
    <s v="2026-09-16T17:01:29.000Z"/>
    <b v="1"/>
    <s v="a06ak00000amzCFAAY|2026-01-11|15:30:00.000Z"/>
    <n v="1"/>
    <s v="Brick"/>
    <x v="4"/>
    <x v="0"/>
  </r>
  <r>
    <s v="005ak00000icyWTAAY"/>
    <s v="2026-09-14T21:01:58.000Z"/>
    <n v="30"/>
    <s v="a0Aak00000FtDwhEAF"/>
    <s v="a06ak00000amzCFAAY"/>
    <s v="Valentina Sanchez"/>
    <m/>
    <x v="11"/>
    <b v="0"/>
    <m/>
    <s v="005ak00000icyWTAAY"/>
    <s v="2026-09-16T17:01:29.000Z"/>
    <m/>
    <m/>
    <d v="2026-08-08T00:00:00"/>
    <s v="LSN-00707"/>
    <s v="L-0000691"/>
    <s v="131ak000001XjDuAAK"/>
    <b v="0"/>
    <b v="0"/>
    <s v="L-0000691"/>
    <s v="17:00:00.000Z"/>
    <x v="0"/>
    <s v="a07ak00001rZMrbAAG"/>
    <s v="Layla Ramirez"/>
    <s v="2026-09-16T17:01:29.000Z"/>
    <b v="1"/>
    <s v="a06ak00000amzCFAAY|2026-08-08|17:00:00.000Z"/>
    <n v="1"/>
    <s v="Brick"/>
    <x v="6"/>
    <x v="0"/>
  </r>
  <r>
    <s v="005ak00000icyWTAAY"/>
    <s v="2026-09-14T21:01:58.000Z"/>
    <n v="60"/>
    <s v="a0Aak00000FtDwiEAF"/>
    <s v="a06ak00000amzCFAAY"/>
    <s v="Valentina Sanchez"/>
    <m/>
    <x v="11"/>
    <b v="0"/>
    <m/>
    <s v="005ak00000icyWTAAY"/>
    <s v="2026-09-16T17:01:29.000Z"/>
    <m/>
    <m/>
    <d v="2026-02-03T00:00:00"/>
    <s v="LSN-00708"/>
    <s v="L-0000692"/>
    <s v="131ak000001XjDuAAK"/>
    <b v="0"/>
    <b v="0"/>
    <s v="L-0000692"/>
    <s v="10:00:00.000Z"/>
    <x v="1"/>
    <s v="a07ak00001rZMrbAAG"/>
    <s v="Layla Ramirez"/>
    <s v="2026-09-16T17:01:29.000Z"/>
    <b v="1"/>
    <s v=""/>
    <m/>
    <s v="Brick"/>
    <x v="1"/>
    <x v="0"/>
  </r>
  <r>
    <s v="005ak00000icyWTAAY"/>
    <s v="2026-09-14T21:01:58.000Z"/>
    <n v="30"/>
    <s v="a0Aak00000FtDwjEAF"/>
    <s v="a06ak00000amzCFAAY"/>
    <s v="Valentina Sanchez"/>
    <m/>
    <x v="11"/>
    <b v="0"/>
    <m/>
    <s v="005ak00000icyWTAAY"/>
    <s v="2026-09-16T17:01:29.000Z"/>
    <m/>
    <m/>
    <d v="2026-07-20T00:00:00"/>
    <s v="LSN-00709"/>
    <s v="L-0000693"/>
    <s v="131ak000001XjDuAAK"/>
    <b v="0"/>
    <b v="0"/>
    <s v="L-0000693"/>
    <s v="11:00:00.000Z"/>
    <x v="1"/>
    <s v="a07ak00001rZMrbAAG"/>
    <s v="Layla Ramirez"/>
    <s v="2026-09-16T17:01:29.000Z"/>
    <b v="1"/>
    <s v=""/>
    <m/>
    <s v="Brick"/>
    <x v="8"/>
    <x v="0"/>
  </r>
  <r>
    <s v="005ak00000icyWTAAY"/>
    <s v="2026-09-14T21:01:58.000Z"/>
    <n v="30"/>
    <s v="a0Aak00000FtDwkEAF"/>
    <s v="a06ak00000amzCFAAY"/>
    <s v="Valentina Sanchez"/>
    <s v="Good progress on technique."/>
    <x v="11"/>
    <b v="0"/>
    <m/>
    <s v="005ak00000icyWTAAY"/>
    <s v="2026-09-16T17:01:29.000Z"/>
    <m/>
    <m/>
    <d v="2026-04-27T00:00:00"/>
    <s v="LSN-00710"/>
    <s v="L-0000694"/>
    <s v="131ak000001XjDuAAK"/>
    <b v="0"/>
    <b v="0"/>
    <s v="L-0000694"/>
    <s v="19:00:00.000Z"/>
    <x v="0"/>
    <s v="a07ak00001rZMrbAAG"/>
    <s v="Layla Ramirez"/>
    <s v="2026-09-16T17:01:29.000Z"/>
    <b v="1"/>
    <s v="a06ak00000amzCFAAY|2026-04-27|19:00:00.000Z"/>
    <n v="1"/>
    <s v="Brick"/>
    <x v="5"/>
    <x v="0"/>
  </r>
  <r>
    <s v="005ak00000icyWTAAY"/>
    <s v="2026-09-14T21:01:58.000Z"/>
    <n v="30"/>
    <s v="a0Aak00000FtDwlEAF"/>
    <s v="a06ak00000amzC8AAI"/>
    <s v="Adrian Byrne"/>
    <s v="Reviewed last week&amp;#39;s assignment."/>
    <x v="9"/>
    <b v="0"/>
    <m/>
    <s v="005ak00000icyWTAAY"/>
    <s v="2026-09-16T17:01:29.000Z"/>
    <m/>
    <m/>
    <d v="2026-07-17T00:00:00"/>
    <s v="LSN-00711"/>
    <s v="L-0000695"/>
    <s v="131ak000001XjDuAAK"/>
    <b v="0"/>
    <b v="0"/>
    <s v="L-0000695"/>
    <s v="16:30:00.000Z"/>
    <x v="0"/>
    <s v="a07ak00001rZMrdAAG"/>
    <s v="Declan King"/>
    <s v="2026-09-16T17:01:29.000Z"/>
    <b v="1"/>
    <s v="a06ak00000amzC8AAI|2026-07-17|16:30:00.000Z"/>
    <n v="1"/>
    <s v="Brick"/>
    <x v="8"/>
    <x v="0"/>
  </r>
  <r>
    <s v="005ak00000icyWTAAY"/>
    <s v="2026-09-14T21:01:58.000Z"/>
    <n v="45"/>
    <s v="a0Aak00000FtDwmEAF"/>
    <s v="a06ak00000amzC8AAI"/>
    <s v="Adrian Byrne"/>
    <m/>
    <x v="9"/>
    <b v="0"/>
    <m/>
    <s v="005ak00000icyWTAAY"/>
    <s v="2026-09-16T17:01:29.000Z"/>
    <m/>
    <m/>
    <d v="2026-09-28T00:00:00"/>
    <s v="LSN-00712"/>
    <s v="L-0000696"/>
    <s v="131ak000001XjDuAAK"/>
    <b v="1"/>
    <b v="1"/>
    <s v="L-0000696"/>
    <s v="19:00:00.000Z"/>
    <x v="4"/>
    <s v="a07ak00001rZMrdAAG"/>
    <s v="Declan King"/>
    <s v="2026-09-16T17:01:29.000Z"/>
    <b v="1"/>
    <s v=""/>
    <n v="114"/>
    <s v="Brick"/>
    <x v="2"/>
    <x v="0"/>
  </r>
  <r>
    <s v="005ak00000icyWTAAY"/>
    <s v="2026-09-14T21:01:58.000Z"/>
    <n v="30"/>
    <s v="a0Aak00000FtDwnEAF"/>
    <s v="a06ak00000amzC8AAI"/>
    <s v="Adrian Byrne"/>
    <s v="Focused on sight reading."/>
    <x v="9"/>
    <b v="0"/>
    <m/>
    <s v="005ak00000icyWTAAY"/>
    <s v="2026-09-16T17:01:29.000Z"/>
    <m/>
    <m/>
    <d v="2026-02-04T00:00:00"/>
    <s v="LSN-00713"/>
    <s v="L-0000697"/>
    <s v="131ak000001XjDuAAK"/>
    <b v="0"/>
    <b v="0"/>
    <s v="L-0000697"/>
    <s v="18:30:00.000Z"/>
    <x v="0"/>
    <s v="a07ak00001rZMrdAAG"/>
    <s v="Declan King"/>
    <s v="2026-09-16T17:01:29.000Z"/>
    <b v="1"/>
    <s v="a06ak00000amzC8AAI|2026-02-04|18:30:00.000Z"/>
    <n v="1"/>
    <s v="Brick"/>
    <x v="1"/>
    <x v="0"/>
  </r>
  <r>
    <s v="005ak00000icyWTAAY"/>
    <s v="2026-09-14T21:01:58.000Z"/>
    <n v="60"/>
    <s v="a0Aak00000FtDwoEAF"/>
    <s v="a06ak00000amzC8AAI"/>
    <s v="Adrian Byrne"/>
    <s v="Worked on scales and timing."/>
    <x v="9"/>
    <b v="0"/>
    <m/>
    <s v="005ak00000icyWTAAY"/>
    <s v="2026-09-16T17:01:29.000Z"/>
    <m/>
    <m/>
    <d v="2026-05-16T00:00:00"/>
    <s v="LSN-00714"/>
    <s v="L-0000698"/>
    <s v="131ak000001XjDuAAK"/>
    <b v="0"/>
    <b v="0"/>
    <s v="L-0000698"/>
    <s v="18:30:00.000Z"/>
    <x v="0"/>
    <s v="a07ak00001rZMrdAAG"/>
    <s v="Declan King"/>
    <s v="2026-09-16T17:01:29.000Z"/>
    <b v="1"/>
    <s v="a06ak00000amzC8AAI|2026-05-16|18:30:00.000Z"/>
    <n v="1"/>
    <s v="Brick"/>
    <x v="0"/>
    <x v="0"/>
  </r>
  <r>
    <s v="005ak00000icyWTAAY"/>
    <s v="2026-09-14T21:01:58.000Z"/>
    <n v="60"/>
    <s v="a0Aak00000FtDwpEAF"/>
    <s v="a06ak00000amzC8AAI"/>
    <s v="Adrian Byrne"/>
    <s v="Worked on scales and timing."/>
    <x v="9"/>
    <b v="0"/>
    <m/>
    <s v="005ak00000icyWTAAY"/>
    <s v="2026-09-16T17:01:29.000Z"/>
    <m/>
    <m/>
    <d v="2026-02-26T00:00:00"/>
    <s v="LSN-00715"/>
    <s v="L-0000699"/>
    <s v="131ak000001XjDuAAK"/>
    <b v="0"/>
    <b v="0"/>
    <s v="L-0000699"/>
    <s v="17:00:00.000Z"/>
    <x v="0"/>
    <s v="a07ak00001rZMrdAAG"/>
    <s v="Declan King"/>
    <s v="2026-09-16T17:01:29.000Z"/>
    <b v="1"/>
    <s v="a06ak00000amzC8AAI|2026-02-26|17:00:00.000Z"/>
    <n v="1"/>
    <s v="Brick"/>
    <x v="1"/>
    <x v="0"/>
  </r>
  <r>
    <s v="005ak00000icyWTAAY"/>
    <s v="2026-09-14T21:01:58.000Z"/>
    <n v="30"/>
    <s v="a0Aak00000FtDwqEAF"/>
    <s v="a06ak00000amzC8AAI"/>
    <s v="Adrian Byrne"/>
    <s v="Started new piece."/>
    <x v="9"/>
    <b v="0"/>
    <m/>
    <s v="005ak00000icyWTAAY"/>
    <s v="2026-09-16T17:01:29.000Z"/>
    <m/>
    <m/>
    <d v="2026-02-06T00:00:00"/>
    <s v="LSN-00716"/>
    <s v="L-0000700"/>
    <s v="131ak000001XjDuAAK"/>
    <b v="0"/>
    <b v="0"/>
    <s v="L-0000700"/>
    <s v="16:00:00.000Z"/>
    <x v="0"/>
    <s v="a07ak00001rZMrdAAG"/>
    <s v="Declan King"/>
    <s v="2026-09-16T17:01:29.000Z"/>
    <b v="1"/>
    <s v="a06ak00000amzC8AAI|2026-02-06|16:00:00.000Z"/>
    <n v="1"/>
    <s v="Brick"/>
    <x v="1"/>
    <x v="0"/>
  </r>
  <r>
    <s v="005ak00000icyWTAAY"/>
    <s v="2026-09-14T21:01:58.000Z"/>
    <n v="45"/>
    <s v="a0Aak00000FtDwrEAF"/>
    <s v="a06ak00000amzC8AAI"/>
    <s v="Adrian Byrne"/>
    <m/>
    <x v="9"/>
    <b v="0"/>
    <m/>
    <s v="005ak00000icyWTAAY"/>
    <s v="2026-09-16T17:01:29.000Z"/>
    <m/>
    <m/>
    <d v="2026-09-20T00:00:00"/>
    <s v="LSN-00717"/>
    <s v="L-0000701"/>
    <s v="131ak000001XjDuAAK"/>
    <b v="0"/>
    <b v="0"/>
    <s v="L-0000701"/>
    <s v="17:00:00.000Z"/>
    <x v="0"/>
    <s v="a07ak00001rZMrdAAG"/>
    <s v="Declan King"/>
    <s v="2026-09-16T17:01:29.000Z"/>
    <b v="1"/>
    <s v="a06ak00000amzC8AAI|2026-09-20|17:00:00.000Z"/>
    <n v="1"/>
    <s v="Brick"/>
    <x v="2"/>
    <x v="0"/>
  </r>
  <r>
    <s v="005ak00000icyWTAAY"/>
    <s v="2026-09-14T21:01:58.000Z"/>
    <n v="60"/>
    <s v="a0Aak00000FtDwsEAF"/>
    <s v="a06ak00000amzC8AAI"/>
    <s v="Adrian Byrne"/>
    <m/>
    <x v="9"/>
    <b v="0"/>
    <m/>
    <s v="005ak00000icyWTAAY"/>
    <s v="2026-09-16T17:01:29.000Z"/>
    <m/>
    <m/>
    <d v="2026-09-12T00:00:00"/>
    <s v="LSN-00718"/>
    <s v="L-0000702"/>
    <s v="131ak000001XjDuAAK"/>
    <b v="0"/>
    <b v="0"/>
    <s v="L-0000702"/>
    <s v="19:00:00.000Z"/>
    <x v="1"/>
    <s v="a07ak00001rZMrdAAG"/>
    <s v="Declan King"/>
    <s v="2026-09-16T17:01:29.000Z"/>
    <b v="1"/>
    <s v=""/>
    <m/>
    <s v="Brick"/>
    <x v="2"/>
    <x v="0"/>
  </r>
  <r>
    <s v="005ak00000icyWTAAY"/>
    <s v="2026-09-14T21:01:58.000Z"/>
    <n v="30"/>
    <s v="a0Aak00000FtDwtEAF"/>
    <s v="a06ak00000amzCCAAY"/>
    <s v="Rowan Jones"/>
    <m/>
    <x v="9"/>
    <b v="0"/>
    <m/>
    <s v="005ak00000icyWTAAY"/>
    <s v="2026-09-16T17:01:29.000Z"/>
    <m/>
    <m/>
    <d v="2026-03-07T00:00:00"/>
    <s v="LSN-00719"/>
    <s v="L-0000703"/>
    <s v="131ak000001XjDvAAK"/>
    <b v="0"/>
    <b v="0"/>
    <s v="L-0000703"/>
    <s v="10:00:00.000Z"/>
    <x v="1"/>
    <s v="a07ak00001rZMreAAG"/>
    <s v="Josiah Rodriguez"/>
    <s v="2026-09-16T17:01:29.000Z"/>
    <b v="1"/>
    <s v=""/>
    <m/>
    <s v="Toms River"/>
    <x v="3"/>
    <x v="0"/>
  </r>
  <r>
    <s v="005ak00000icyWTAAY"/>
    <s v="2026-09-14T21:01:58.000Z"/>
    <n v="30"/>
    <s v="a0Aak00000FtDwuEAF"/>
    <s v="a06ak00000amzCCAAY"/>
    <s v="Rowan Jones"/>
    <m/>
    <x v="9"/>
    <b v="0"/>
    <m/>
    <s v="005ak00000icyWTAAY"/>
    <s v="2026-09-16T17:01:29.000Z"/>
    <m/>
    <m/>
    <d v="2026-06-06T00:00:00"/>
    <s v="LSN-00720"/>
    <s v="L-0000704"/>
    <s v="131ak000001XjDvAAK"/>
    <b v="0"/>
    <b v="0"/>
    <s v="L-0000704"/>
    <s v="11:00:00.000Z"/>
    <x v="0"/>
    <s v="a07ak00001rZMreAAG"/>
    <s v="Josiah Rodriguez"/>
    <s v="2026-09-16T17:01:29.000Z"/>
    <b v="1"/>
    <s v="a06ak00000amzCCAAY|2026-06-06|11:00:00.000Z"/>
    <n v="1"/>
    <s v="Toms River"/>
    <x v="7"/>
    <x v="0"/>
  </r>
  <r>
    <s v="005ak00000icyWTAAY"/>
    <s v="2026-09-14T21:01:58.000Z"/>
    <n v="45"/>
    <s v="a0Aak00000FtDwvEAF"/>
    <s v="a06ak00000amzCCAAY"/>
    <s v="Rowan Jones"/>
    <m/>
    <x v="9"/>
    <b v="0"/>
    <m/>
    <s v="005ak00000icyWTAAY"/>
    <s v="2026-09-16T17:01:29.000Z"/>
    <m/>
    <m/>
    <d v="2026-05-25T00:00:00"/>
    <s v="LSN-00721"/>
    <s v="L-0000705"/>
    <s v="131ak000001XjDvAAK"/>
    <b v="0"/>
    <b v="0"/>
    <s v="L-0000705"/>
    <s v="10:00:00.000Z"/>
    <x v="1"/>
    <s v="a07ak00001rZMreAAG"/>
    <s v="Josiah Rodriguez"/>
    <s v="2026-09-16T17:01:29.000Z"/>
    <b v="1"/>
    <s v=""/>
    <m/>
    <s v="Toms River"/>
    <x v="0"/>
    <x v="0"/>
  </r>
  <r>
    <s v="005ak00000icyWTAAY"/>
    <s v="2026-09-14T21:01:58.000Z"/>
    <n v="30"/>
    <s v="a0Aak00000FtDwwEAF"/>
    <s v="a06ak00000amzC0AAI"/>
    <s v="James Moore"/>
    <m/>
    <x v="10"/>
    <b v="0"/>
    <m/>
    <s v="005ak00000icyWTAAY"/>
    <s v="2026-09-16T17:01:29.000Z"/>
    <m/>
    <m/>
    <d v="2026-04-05T00:00:00"/>
    <s v="LSN-00722"/>
    <s v="L-0000706"/>
    <s v="131ak000001XjDtAAK"/>
    <b v="0"/>
    <b v="0"/>
    <s v="L-0000706"/>
    <s v="17:00:00.000Z"/>
    <x v="0"/>
    <s v="a07ak00001rZMrfAAG"/>
    <s v="Marcus Nelson"/>
    <s v="2026-09-16T17:01:29.000Z"/>
    <b v="1"/>
    <s v="a06ak00000amzC0AAI|2026-04-05|17:00:00.000Z"/>
    <n v="1"/>
    <s v="Red Bank"/>
    <x v="5"/>
    <x v="0"/>
  </r>
  <r>
    <s v="005ak00000icyWTAAY"/>
    <s v="2026-09-14T21:01:58.000Z"/>
    <n v="60"/>
    <s v="a0Aak00000FtDwxEAF"/>
    <s v="a06ak00000amzC0AAI"/>
    <s v="James Moore"/>
    <m/>
    <x v="10"/>
    <b v="0"/>
    <m/>
    <s v="005ak00000icyWTAAY"/>
    <s v="2026-09-16T17:01:29.000Z"/>
    <m/>
    <m/>
    <d v="2026-08-03T00:00:00"/>
    <s v="LSN-00723"/>
    <s v="L-0000707"/>
    <s v="131ak000001XjDtAAK"/>
    <b v="0"/>
    <b v="0"/>
    <s v="L-0000707"/>
    <s v="17:30:00.000Z"/>
    <x v="3"/>
    <s v="a07ak00001rZMrfAAG"/>
    <s v="Marcus Nelson"/>
    <s v="2026-09-16T17:01:29.000Z"/>
    <b v="1"/>
    <s v="a06ak00000amzC0AAI|2026-08-03|17:30:00.000Z"/>
    <n v="1"/>
    <s v="Red Bank"/>
    <x v="6"/>
    <x v="0"/>
  </r>
  <r>
    <s v="005ak00000icyWTAAY"/>
    <s v="2026-09-14T21:01:58.000Z"/>
    <n v="45"/>
    <s v="a0Aak00000FtDwyEAF"/>
    <s v="a06ak00000amzC0AAI"/>
    <s v="James Moore"/>
    <s v="Good progress on technique."/>
    <x v="10"/>
    <b v="0"/>
    <m/>
    <s v="005ak00000icyWTAAY"/>
    <s v="2026-09-16T17:01:29.000Z"/>
    <m/>
    <m/>
    <d v="2026-04-16T00:00:00"/>
    <s v="LSN-00724"/>
    <s v="L-0000708"/>
    <s v="131ak000001XjDtAAK"/>
    <b v="0"/>
    <b v="0"/>
    <s v="L-0000708"/>
    <s v="16:30:00.000Z"/>
    <x v="0"/>
    <s v="a07ak00001rZMrfAAG"/>
    <s v="Marcus Nelson"/>
    <s v="2026-09-16T17:01:29.000Z"/>
    <b v="1"/>
    <s v="a06ak00000amzC0AAI|2026-04-16|16:30:00.000Z"/>
    <n v="1"/>
    <s v="Red Bank"/>
    <x v="5"/>
    <x v="0"/>
  </r>
  <r>
    <s v="005ak00000icyWTAAY"/>
    <s v="2026-09-14T21:01:58.000Z"/>
    <n v="30"/>
    <s v="a0Aak00000FtDwzEAF"/>
    <s v="a06ak00000amzC0AAI"/>
    <s v="James Moore"/>
    <s v="Started new piece."/>
    <x v="10"/>
    <b v="0"/>
    <m/>
    <s v="005ak00000icyWTAAY"/>
    <s v="2026-09-16T17:01:29.000Z"/>
    <m/>
    <m/>
    <d v="2026-09-20T00:00:00"/>
    <s v="LSN-00725"/>
    <s v="L-0000709"/>
    <s v="131ak000001XjDtAAK"/>
    <b v="0"/>
    <b v="0"/>
    <s v="L-0000709"/>
    <s v="19:00:00.000Z"/>
    <x v="0"/>
    <s v="a07ak00001rZMrfAAG"/>
    <s v="Marcus Nelson"/>
    <s v="2026-09-16T17:01:29.000Z"/>
    <b v="1"/>
    <s v="a06ak00000amzC0AAI|2026-09-20|19:00:00.000Z"/>
    <n v="1"/>
    <s v="Red Bank"/>
    <x v="2"/>
    <x v="0"/>
  </r>
  <r>
    <s v="005ak00000icyWTAAY"/>
    <s v="2026-09-14T21:01:58.000Z"/>
    <n v="30"/>
    <s v="a0Aak00000FtDx0EAF"/>
    <s v="a06ak00000amzC8AAI"/>
    <s v="Adrian Byrne"/>
    <s v="Worked on scales and timing."/>
    <x v="9"/>
    <b v="0"/>
    <m/>
    <s v="005ak00000icyWTAAY"/>
    <s v="2026-09-16T17:01:29.000Z"/>
    <m/>
    <m/>
    <d v="2026-08-05T00:00:00"/>
    <s v="LSN-00726"/>
    <s v="L-0000710"/>
    <s v="131ak000001XjDuAAK"/>
    <b v="0"/>
    <b v="0"/>
    <s v="L-0000710"/>
    <s v="17:00:00.000Z"/>
    <x v="0"/>
    <s v="a07ak00001rZMrgAAG"/>
    <s v="Isaac Young"/>
    <s v="2026-09-16T17:01:29.000Z"/>
    <b v="1"/>
    <s v="a06ak00000amzC8AAI|2026-08-05|17:00:00.000Z"/>
    <n v="1"/>
    <s v="Brick"/>
    <x v="6"/>
    <x v="0"/>
  </r>
  <r>
    <s v="005ak00000icyWTAAY"/>
    <s v="2026-09-14T21:01:58.000Z"/>
    <n v="30"/>
    <s v="a0Aak00000FtDx1EAF"/>
    <s v="a06ak00000amzC8AAI"/>
    <s v="Adrian Byrne"/>
    <s v="Focused on sight reading."/>
    <x v="9"/>
    <b v="0"/>
    <m/>
    <s v="005ak00000icyWTAAY"/>
    <s v="2026-09-16T17:01:29.000Z"/>
    <m/>
    <m/>
    <d v="2026-08-15T00:00:00"/>
    <s v="LSN-00728"/>
    <s v="L-0000711"/>
    <s v="131ak000001XjDuAAK"/>
    <b v="0"/>
    <b v="0"/>
    <s v="L-0000711"/>
    <s v="10:00:00.000Z"/>
    <x v="0"/>
    <s v="a07ak00001rZMrgAAG"/>
    <s v="Isaac Young"/>
    <s v="2026-09-16T17:01:29.000Z"/>
    <b v="1"/>
    <s v="a06ak00000amzC8AAI|2026-08-15|10:00:00.000Z"/>
    <n v="1"/>
    <s v="Brick"/>
    <x v="6"/>
    <x v="0"/>
  </r>
  <r>
    <s v="005ak00000icyWTAAY"/>
    <s v="2026-09-14T21:01:58.000Z"/>
    <n v="60"/>
    <s v="a0Aak00000FtDx2EAF"/>
    <s v="a06ak00000amzC8AAI"/>
    <s v="Adrian Byrne"/>
    <m/>
    <x v="9"/>
    <b v="0"/>
    <m/>
    <s v="005ak00000icyWTAAY"/>
    <s v="2026-09-16T17:01:29.000Z"/>
    <m/>
    <m/>
    <d v="2026-04-26T00:00:00"/>
    <s v="LSN-00729"/>
    <s v="L-0000712"/>
    <s v="131ak000001XjDuAAK"/>
    <b v="0"/>
    <b v="0"/>
    <s v="L-0000712"/>
    <s v="17:00:00.000Z"/>
    <x v="1"/>
    <s v="a07ak00001rZMrgAAG"/>
    <s v="Isaac Young"/>
    <s v="2026-09-16T17:01:29.000Z"/>
    <b v="1"/>
    <s v=""/>
    <m/>
    <s v="Brick"/>
    <x v="5"/>
    <x v="0"/>
  </r>
  <r>
    <s v="005ak00000icyWTAAY"/>
    <s v="2026-09-14T21:01:58.000Z"/>
    <n v="30"/>
    <s v="a0Aak00000FtDx3EAF"/>
    <s v="a06ak00000amzC8AAI"/>
    <s v="Adrian Byrne"/>
    <s v="Good progress on technique."/>
    <x v="9"/>
    <b v="0"/>
    <m/>
    <s v="005ak00000icyWTAAY"/>
    <s v="2026-09-16T17:01:29.000Z"/>
    <m/>
    <m/>
    <d v="2026-08-28T00:00:00"/>
    <s v="LSN-00730"/>
    <s v="L-0000713"/>
    <s v="131ak000001XjDuAAK"/>
    <b v="0"/>
    <b v="0"/>
    <s v="L-0000713"/>
    <s v="17:30:00.000Z"/>
    <x v="0"/>
    <s v="a07ak00001rZMrgAAG"/>
    <s v="Isaac Young"/>
    <s v="2026-09-16T17:01:29.000Z"/>
    <b v="1"/>
    <s v="a06ak00000amzC8AAI|2026-08-28|17:30:00.000Z"/>
    <n v="1"/>
    <s v="Brick"/>
    <x v="6"/>
    <x v="0"/>
  </r>
  <r>
    <s v="005ak00000icyWTAAY"/>
    <s v="2026-09-14T21:01:58.000Z"/>
    <n v="30"/>
    <s v="a0Aak00000FtDx4EAF"/>
    <s v="a06ak00000amzC8AAI"/>
    <s v="Adrian Byrne"/>
    <m/>
    <x v="9"/>
    <b v="0"/>
    <m/>
    <s v="005ak00000icyWTAAY"/>
    <s v="2026-09-16T17:01:29.000Z"/>
    <m/>
    <m/>
    <d v="2026-01-21T00:00:00"/>
    <s v="LSN-00731"/>
    <s v="L-0000714"/>
    <s v="131ak000001XjDuAAK"/>
    <b v="0"/>
    <b v="0"/>
    <s v="L-0000714"/>
    <s v="17:30:00.000Z"/>
    <x v="3"/>
    <s v="a07ak00001rZMrgAAG"/>
    <s v="Isaac Young"/>
    <s v="2026-09-16T17:01:29.000Z"/>
    <b v="1"/>
    <s v="a06ak00000amzC8AAI|2026-01-21|17:30:00.000Z"/>
    <n v="1"/>
    <s v="Brick"/>
    <x v="4"/>
    <x v="0"/>
  </r>
  <r>
    <s v="005ak00000icyWTAAY"/>
    <s v="2026-09-14T21:01:58.000Z"/>
    <n v="45"/>
    <s v="a0Aak00000FtDx5EAF"/>
    <s v="a06ak00000amzBtAAI"/>
    <s v="Jamal Torres"/>
    <s v="Good progress on technique."/>
    <x v="8"/>
    <b v="0"/>
    <m/>
    <s v="005ak00000icyWTAAY"/>
    <s v="2026-09-16T17:01:29.000Z"/>
    <m/>
    <m/>
    <d v="2026-08-28T00:00:00"/>
    <s v="LSN-00732"/>
    <s v="L-0000715"/>
    <s v="131ak000001XjDvAAK"/>
    <b v="0"/>
    <b v="0"/>
    <s v="L-0000715"/>
    <s v="15:30:00.000Z"/>
    <x v="0"/>
    <s v="a07ak00001rZMrhAAG"/>
    <s v="Lucy Kowalski"/>
    <s v="2026-09-16T17:01:29.000Z"/>
    <b v="1"/>
    <s v="a06ak00000amzBtAAI|2026-08-28|15:30:00.000Z"/>
    <n v="1"/>
    <s v="Toms River"/>
    <x v="6"/>
    <x v="0"/>
  </r>
  <r>
    <s v="005ak00000icyWTAAY"/>
    <s v="2026-09-14T21:01:58.000Z"/>
    <n v="45"/>
    <s v="a0Aak00000FtDx6EAF"/>
    <s v="a06ak00000amzBtAAI"/>
    <s v="Jamal Torres"/>
    <m/>
    <x v="8"/>
    <b v="0"/>
    <m/>
    <s v="005ak00000icyWTAAY"/>
    <s v="2026-09-25T18:00:49.000Z"/>
    <m/>
    <m/>
    <d v="2026-08-15T00:00:00"/>
    <s v="LSN-00733"/>
    <s v="L-0000716"/>
    <s v="131ak000001XjDvAAK"/>
    <b v="1"/>
    <b v="0"/>
    <s v="L-0000716"/>
    <s v="11:00:00.000Z"/>
    <x v="4"/>
    <s v="a07ak00001rZMrhAAG"/>
    <s v="Lucy Kowalski"/>
    <s v="2026-09-25T18:00:49.000Z"/>
    <b v="1"/>
    <s v=""/>
    <m/>
    <s v="Toms River"/>
    <x v="6"/>
    <x v="0"/>
  </r>
  <r>
    <s v="005ak00000icyWTAAY"/>
    <s v="2026-09-14T21:01:58.000Z"/>
    <n v="60"/>
    <s v="a0Aak00000FtDx7EAF"/>
    <s v="a06ak00000amzBtAAI"/>
    <s v="Jamal Torres"/>
    <s v="Worked on scales and timing."/>
    <x v="8"/>
    <b v="0"/>
    <m/>
    <s v="005ak00000icyWTAAY"/>
    <s v="2026-09-16T17:01:29.000Z"/>
    <m/>
    <m/>
    <d v="2026-07-23T00:00:00"/>
    <s v="LSN-00734"/>
    <s v="L-0000717"/>
    <s v="131ak000001XjDvAAK"/>
    <b v="0"/>
    <b v="0"/>
    <s v="L-0000717"/>
    <s v="16:00:00.000Z"/>
    <x v="0"/>
    <s v="a07ak00001rZMrhAAG"/>
    <s v="Lucy Kowalski"/>
    <s v="2026-09-16T17:01:29.000Z"/>
    <b v="1"/>
    <s v="a06ak00000amzBtAAI|2026-07-23|16:00:00.000Z"/>
    <n v="1"/>
    <s v="Toms River"/>
    <x v="8"/>
    <x v="0"/>
  </r>
  <r>
    <s v="005ak00000icyWTAAY"/>
    <s v="2026-09-14T21:01:58.000Z"/>
    <n v="30"/>
    <s v="a0Aak00000FtDx8EAF"/>
    <s v="a06ak00000amzCCAAY"/>
    <s v="Rowan Jones"/>
    <s v="Focused on sight reading."/>
    <x v="9"/>
    <b v="0"/>
    <m/>
    <s v="005ak00000icyWTAAY"/>
    <s v="2026-09-16T17:01:29.000Z"/>
    <m/>
    <m/>
    <d v="2026-05-31T00:00:00"/>
    <s v="LSN-00735"/>
    <s v="L-0000718"/>
    <s v="131ak000001XjDvAAK"/>
    <b v="0"/>
    <b v="0"/>
    <s v="L-0000718"/>
    <s v="15:00:00.000Z"/>
    <x v="0"/>
    <s v="a07ak00001rZMriAAG"/>
    <s v="Paisley Davis"/>
    <s v="2026-09-16T17:01:29.000Z"/>
    <b v="1"/>
    <s v="a06ak00000amzCCAAY|2026-05-31|15:00:00.000Z"/>
    <n v="1"/>
    <s v="Toms River"/>
    <x v="0"/>
    <x v="0"/>
  </r>
  <r>
    <s v="005ak00000icyWTAAY"/>
    <s v="2026-09-14T21:01:58.000Z"/>
    <n v="45"/>
    <s v="a0Aak00000FtDx9EAF"/>
    <s v="a06ak00000amzCCAAY"/>
    <s v="Rowan Jones"/>
    <m/>
    <x v="9"/>
    <b v="0"/>
    <m/>
    <s v="005ak00000icyWTAAY"/>
    <s v="2026-09-16T17:01:29.000Z"/>
    <m/>
    <m/>
    <d v="2026-06-30T00:00:00"/>
    <s v="LSN-00736"/>
    <s v="L-0000719"/>
    <s v="131ak000001XjDvAAK"/>
    <b v="0"/>
    <b v="0"/>
    <s v="L-0000719"/>
    <s v="15:00:00.000Z"/>
    <x v="1"/>
    <s v="a07ak00001rZMriAAG"/>
    <s v="Paisley Davis"/>
    <s v="2026-09-16T17:01:29.000Z"/>
    <b v="1"/>
    <s v=""/>
    <m/>
    <s v="Toms River"/>
    <x v="7"/>
    <x v="0"/>
  </r>
  <r>
    <s v="005ak00000icyWTAAY"/>
    <s v="2026-09-14T21:01:58.000Z"/>
    <n v="45"/>
    <s v="a0Aak00000FtDxAEAV"/>
    <s v="a06ak00000amzCBAAY"/>
    <s v="Aiden Hill"/>
    <s v="Worked on scales and timing."/>
    <x v="3"/>
    <b v="0"/>
    <m/>
    <s v="005ak00000icyWTAAY"/>
    <s v="2026-09-16T17:01:29.000Z"/>
    <m/>
    <m/>
    <d v="2026-03-23T00:00:00"/>
    <s v="LSN-00737"/>
    <s v="L-0000720"/>
    <s v="131ak000001XjDtAAK"/>
    <b v="0"/>
    <b v="0"/>
    <s v="L-0000720"/>
    <s v="16:30:00.000Z"/>
    <x v="0"/>
    <s v="a07ak00001rZMrjAAG"/>
    <s v="Fatima Nakamura"/>
    <s v="2026-09-16T17:01:29.000Z"/>
    <b v="1"/>
    <s v="a06ak00000amzCBAAY|2026-03-23|16:30:00.000Z"/>
    <n v="1"/>
    <s v="Red Bank"/>
    <x v="3"/>
    <x v="0"/>
  </r>
  <r>
    <s v="005ak00000icyWTAAY"/>
    <s v="2026-09-14T21:01:58.000Z"/>
    <n v="30"/>
    <s v="a0Aak00000FtDxBEAV"/>
    <s v="a06ak00000amzCBAAY"/>
    <s v="Aiden Hill"/>
    <m/>
    <x v="3"/>
    <b v="0"/>
    <m/>
    <s v="005ak00000icyWTAAY"/>
    <s v="2026-09-16T17:01:29.000Z"/>
    <m/>
    <m/>
    <d v="2026-08-16T00:00:00"/>
    <s v="LSN-00738"/>
    <s v="L-0000721"/>
    <s v="131ak000001XjDtAAK"/>
    <b v="0"/>
    <b v="0"/>
    <s v="L-0000721"/>
    <s v="10:00:00.000Z"/>
    <x v="3"/>
    <s v="a07ak00001rZMrjAAG"/>
    <s v="Fatima Nakamura"/>
    <s v="2026-09-16T17:01:29.000Z"/>
    <b v="1"/>
    <s v="a06ak00000amzCBAAY|2026-08-16|10:00:00.000Z"/>
    <n v="1"/>
    <s v="Red Bank"/>
    <x v="6"/>
    <x v="0"/>
  </r>
  <r>
    <s v="005ak00000icyWTAAY"/>
    <s v="2026-09-14T21:01:58.000Z"/>
    <n v="60"/>
    <s v="a0Aak00000FtDxCEAV"/>
    <s v="a06ak00000amzCBAAY"/>
    <s v="Aiden Hill"/>
    <s v="Worked on scales and timing."/>
    <x v="3"/>
    <b v="0"/>
    <m/>
    <s v="005ak00000icyWTAAY"/>
    <s v="2026-09-16T17:01:29.000Z"/>
    <m/>
    <m/>
    <d v="2026-02-07T00:00:00"/>
    <s v="LSN-00739"/>
    <s v="L-0000722"/>
    <s v="131ak000001XjDtAAK"/>
    <b v="0"/>
    <b v="0"/>
    <s v="L-0000722"/>
    <s v="17:30:00.000Z"/>
    <x v="0"/>
    <s v="a07ak00001rZMrjAAG"/>
    <s v="Fatima Nakamura"/>
    <s v="2026-09-16T17:01:29.000Z"/>
    <b v="1"/>
    <s v="a06ak00000amzCBAAY|2026-02-07|17:30:00.000Z"/>
    <n v="1"/>
    <s v="Red Bank"/>
    <x v="1"/>
    <x v="0"/>
  </r>
  <r>
    <s v="005ak00000icyWTAAY"/>
    <s v="2026-09-14T21:01:58.000Z"/>
    <n v="30"/>
    <s v="a0Aak00000FtDxDEAV"/>
    <s v="a06ak00000amzCBAAY"/>
    <s v="Aiden Hill"/>
    <s v="Reviewed last week&amp;#39;s assignment."/>
    <x v="3"/>
    <b v="0"/>
    <m/>
    <s v="005ak00000icyWTAAY"/>
    <s v="2026-09-16T17:01:29.000Z"/>
    <m/>
    <m/>
    <d v="2026-04-07T00:00:00"/>
    <s v="LSN-00740"/>
    <s v="L-0000723"/>
    <s v="131ak000001XjDtAAK"/>
    <b v="0"/>
    <b v="0"/>
    <s v="L-0000723"/>
    <s v="11:00:00.000Z"/>
    <x v="0"/>
    <s v="a07ak00001rZMrjAAG"/>
    <s v="Fatima Nakamura"/>
    <s v="2026-09-16T17:01:29.000Z"/>
    <b v="1"/>
    <s v="a06ak00000amzCBAAY|2026-04-07|11:00:00.000Z"/>
    <n v="1"/>
    <s v="Red Bank"/>
    <x v="5"/>
    <x v="0"/>
  </r>
  <r>
    <s v="005ak00000icyWTAAY"/>
    <s v="2026-09-14T21:01:58.000Z"/>
    <n v="45"/>
    <s v="a0Aak00000FtDxEEAV"/>
    <s v="a06ak00000amzBxAAI"/>
    <s v="Miles Allen"/>
    <m/>
    <x v="7"/>
    <b v="0"/>
    <m/>
    <s v="005ak00000icyWTAAY"/>
    <s v="2026-09-16T17:01:29.000Z"/>
    <m/>
    <m/>
    <d v="2026-02-24T00:00:00"/>
    <s v="LSN-00741"/>
    <s v="L-0000724"/>
    <s v="131ak000001XjDuAAK"/>
    <b v="0"/>
    <b v="0"/>
    <s v="L-0000724"/>
    <s v="17:00:00.000Z"/>
    <x v="0"/>
    <s v="a07ak00001rZMrkAAG"/>
    <s v="Camila Roberts"/>
    <s v="2026-09-16T17:01:29.000Z"/>
    <b v="1"/>
    <s v="a06ak00000amzBxAAI|2026-02-24|17:00:00.000Z"/>
    <n v="1"/>
    <s v="Brick"/>
    <x v="1"/>
    <x v="0"/>
  </r>
  <r>
    <s v="005ak00000icyWTAAY"/>
    <s v="2026-09-14T21:01:58.000Z"/>
    <n v="60"/>
    <s v="a0Aak00000FtDxFEAV"/>
    <s v="a06ak00000amzBxAAI"/>
    <s v="Miles Allen"/>
    <s v="Good progress on technique."/>
    <x v="7"/>
    <b v="0"/>
    <m/>
    <s v="005ak00000icyWTAAY"/>
    <s v="2026-09-16T17:01:29.000Z"/>
    <m/>
    <m/>
    <d v="2026-06-06T00:00:00"/>
    <s v="LSN-00742"/>
    <s v="L-0000725"/>
    <s v="131ak000001XjDuAAK"/>
    <b v="0"/>
    <b v="0"/>
    <s v="L-0000725"/>
    <s v="18:30:00.000Z"/>
    <x v="0"/>
    <s v="a07ak00001rZMrkAAG"/>
    <s v="Camila Roberts"/>
    <s v="2026-09-16T17:01:29.000Z"/>
    <b v="1"/>
    <s v="a06ak00000amzBxAAI|2026-06-06|18:30:00.000Z"/>
    <n v="1"/>
    <s v="Brick"/>
    <x v="7"/>
    <x v="0"/>
  </r>
  <r>
    <s v="005ak00000icyWTAAY"/>
    <s v="2026-09-14T21:01:58.000Z"/>
    <n v="45"/>
    <s v="a0Aak00000FtDxGEAV"/>
    <s v="a06ak00000amzBxAAI"/>
    <s v="Miles Allen"/>
    <s v="Started new piece."/>
    <x v="7"/>
    <b v="0"/>
    <m/>
    <s v="005ak00000icyWTAAY"/>
    <s v="2026-09-16T17:01:29.000Z"/>
    <m/>
    <m/>
    <d v="2026-06-02T00:00:00"/>
    <s v="LSN-00743"/>
    <s v="L-0000726"/>
    <s v="131ak000001XjDuAAK"/>
    <b v="0"/>
    <b v="0"/>
    <s v="L-0000726"/>
    <s v="16:00:00.000Z"/>
    <x v="0"/>
    <s v="a07ak00001rZMrkAAG"/>
    <s v="Camila Roberts"/>
    <s v="2026-09-16T17:01:29.000Z"/>
    <b v="1"/>
    <s v="a06ak00000amzBxAAI|2026-06-02|16:00:00.000Z"/>
    <n v="1"/>
    <s v="Brick"/>
    <x v="7"/>
    <x v="0"/>
  </r>
  <r>
    <s v="005ak00000icyWTAAY"/>
    <s v="2026-09-14T21:01:58.000Z"/>
    <n v="60"/>
    <s v="a0Aak00000FtDxHEAV"/>
    <s v="a06ak00000amzBxAAI"/>
    <s v="Miles Allen"/>
    <s v="Good progress on technique."/>
    <x v="7"/>
    <b v="0"/>
    <m/>
    <s v="005ak00000icyWTAAY"/>
    <s v="2026-09-16T17:01:29.000Z"/>
    <m/>
    <m/>
    <d v="2026-07-07T00:00:00"/>
    <s v="LSN-00744"/>
    <s v="L-0000727"/>
    <s v="131ak000001XjDuAAK"/>
    <b v="0"/>
    <b v="0"/>
    <s v="L-0000727"/>
    <s v="17:00:00.000Z"/>
    <x v="0"/>
    <s v="a07ak00001rZMrkAAG"/>
    <s v="Camila Roberts"/>
    <s v="2026-09-16T17:01:29.000Z"/>
    <b v="1"/>
    <s v="a06ak00000amzBxAAI|2026-07-07|17:00:00.000Z"/>
    <n v="1"/>
    <s v="Brick"/>
    <x v="8"/>
    <x v="0"/>
  </r>
  <r>
    <s v="005ak00000icyWTAAY"/>
    <s v="2026-09-14T21:01:58.000Z"/>
    <n v="30"/>
    <s v="a0Aak00000FtDxIEAV"/>
    <s v="a06ak00000amzBxAAI"/>
    <s v="Miles Allen"/>
    <s v="Started new piece."/>
    <x v="7"/>
    <b v="0"/>
    <m/>
    <s v="005ak00000icyWTAAY"/>
    <s v="2026-09-16T17:01:29.000Z"/>
    <m/>
    <m/>
    <d v="2026-06-23T00:00:00"/>
    <s v="LSN-00745"/>
    <s v="L-0000728"/>
    <s v="131ak000001XjDuAAK"/>
    <b v="0"/>
    <b v="0"/>
    <s v="L-0000728"/>
    <s v="17:00:00.000Z"/>
    <x v="0"/>
    <s v="a07ak00001rZMrkAAG"/>
    <s v="Camila Roberts"/>
    <s v="2026-09-16T17:01:29.000Z"/>
    <b v="1"/>
    <s v="a06ak00000amzBxAAI|2026-06-23|17:00:00.000Z"/>
    <n v="1"/>
    <s v="Brick"/>
    <x v="7"/>
    <x v="0"/>
  </r>
  <r>
    <s v="005ak00000icyWTAAY"/>
    <s v="2026-09-14T21:01:58.000Z"/>
    <n v="60"/>
    <s v="a0Aak00000FtDxJEAV"/>
    <s v="a06ak00000amzBxAAI"/>
    <s v="Miles Allen"/>
    <m/>
    <x v="7"/>
    <b v="0"/>
    <m/>
    <s v="005ak00000icyWTAAY"/>
    <s v="2026-09-16T17:01:29.000Z"/>
    <m/>
    <m/>
    <d v="2026-06-15T00:00:00"/>
    <s v="LSN-00746"/>
    <s v="L-0000729"/>
    <s v="131ak000001XjDuAAK"/>
    <b v="0"/>
    <b v="0"/>
    <s v="L-0000729"/>
    <s v="15:30:00.000Z"/>
    <x v="0"/>
    <s v="a07ak00001rZMrkAAG"/>
    <s v="Camila Roberts"/>
    <s v="2026-09-16T17:01:29.000Z"/>
    <b v="1"/>
    <s v="a06ak00000amzBxAAI|2026-06-15|15:30:00.000Z"/>
    <n v="1"/>
    <s v="Brick"/>
    <x v="7"/>
    <x v="0"/>
  </r>
  <r>
    <s v="005ak00000icyWTAAY"/>
    <s v="2026-09-14T21:01:58.000Z"/>
    <n v="60"/>
    <s v="a0Aak00000FtDxKEAV"/>
    <s v="a06ak00000amzBxAAI"/>
    <s v="Miles Allen"/>
    <m/>
    <x v="7"/>
    <b v="0"/>
    <m/>
    <s v="005ak00000icyWTAAY"/>
    <s v="2026-09-16T17:01:29.000Z"/>
    <m/>
    <m/>
    <d v="2026-06-19T00:00:00"/>
    <s v="LSN-00747"/>
    <s v="L-0000730"/>
    <s v="131ak000001XjDuAAK"/>
    <b v="0"/>
    <b v="0"/>
    <s v="L-0000730"/>
    <s v="17:00:00.000Z"/>
    <x v="3"/>
    <s v="a07ak00001rZMrkAAG"/>
    <s v="Camila Roberts"/>
    <s v="2026-09-16T17:01:29.000Z"/>
    <b v="1"/>
    <s v="a06ak00000amzBxAAI|2026-06-19|17:00:00.000Z"/>
    <n v="1"/>
    <s v="Brick"/>
    <x v="7"/>
    <x v="0"/>
  </r>
  <r>
    <s v="005ak00000icyWTAAY"/>
    <s v="2026-09-14T21:01:58.000Z"/>
    <n v="30"/>
    <s v="a0Aak00000FtDxLEAV"/>
    <s v="a06ak00000amzBxAAI"/>
    <s v="Miles Allen"/>
    <s v="Good progress on technique."/>
    <x v="7"/>
    <b v="0"/>
    <m/>
    <s v="005ak00000icyWTAAY"/>
    <s v="2026-09-16T17:01:29.000Z"/>
    <m/>
    <m/>
    <d v="2026-04-22T00:00:00"/>
    <s v="LSN-00748"/>
    <s v="L-0000731"/>
    <s v="131ak000001XjDuAAK"/>
    <b v="0"/>
    <b v="0"/>
    <s v="L-0000731"/>
    <s v="10:00:00.000Z"/>
    <x v="0"/>
    <s v="a07ak00001rZMrkAAG"/>
    <s v="Camila Roberts"/>
    <s v="2026-09-16T17:01:29.000Z"/>
    <b v="1"/>
    <s v="a06ak00000amzBxAAI|2026-04-22|10:00:00.000Z"/>
    <n v="1"/>
    <s v="Brick"/>
    <x v="5"/>
    <x v="0"/>
  </r>
  <r>
    <s v="005ak00000icyWTAAY"/>
    <s v="2026-09-14T21:01:58.000Z"/>
    <n v="60"/>
    <s v="a0Aak00000FtDxMEAV"/>
    <s v="a06ak00000amzBxAAI"/>
    <s v="Miles Allen"/>
    <m/>
    <x v="7"/>
    <b v="0"/>
    <m/>
    <s v="005ak00000icyWTAAY"/>
    <s v="2026-09-16T17:01:29.000Z"/>
    <m/>
    <m/>
    <d v="2026-09-14T00:00:00"/>
    <s v="LSN-00750"/>
    <s v="L-0000732"/>
    <s v="131ak000001XjDuAAK"/>
    <b v="0"/>
    <b v="0"/>
    <s v="L-0000732"/>
    <s v="10:00:00.000Z"/>
    <x v="1"/>
    <s v="a07ak00001rZMrlAAG"/>
    <s v="Kai Ahmed"/>
    <s v="2026-09-16T17:01:29.000Z"/>
    <b v="1"/>
    <s v=""/>
    <m/>
    <s v="Brick"/>
    <x v="2"/>
    <x v="0"/>
  </r>
  <r>
    <s v="005ak00000icyWTAAY"/>
    <s v="2026-09-14T21:01:58.000Z"/>
    <n v="30"/>
    <s v="a0Aak00000FtDxNEAV"/>
    <s v="a06ak00000amzBxAAI"/>
    <s v="Miles Allen"/>
    <s v="Focused on sight reading."/>
    <x v="7"/>
    <b v="0"/>
    <m/>
    <s v="005ak00000icyWTAAY"/>
    <s v="2026-09-16T17:01:29.000Z"/>
    <m/>
    <m/>
    <d v="2026-04-22T00:00:00"/>
    <s v="LSN-00751"/>
    <s v="L-0000733"/>
    <s v="131ak000001XjDuAAK"/>
    <b v="0"/>
    <b v="0"/>
    <s v="L-0000733"/>
    <s v="17:00:00.000Z"/>
    <x v="0"/>
    <s v="a07ak00001rZMrlAAG"/>
    <s v="Kai Ahmed"/>
    <s v="2026-09-16T17:01:29.000Z"/>
    <b v="1"/>
    <s v="a06ak00000amzBxAAI|2026-04-22|17:00:00.000Z"/>
    <n v="1"/>
    <s v="Brick"/>
    <x v="5"/>
    <x v="0"/>
  </r>
  <r>
    <s v="005ak00000icyWTAAY"/>
    <s v="2026-09-14T21:01:58.000Z"/>
    <n v="30"/>
    <s v="a0Aak00000FtDxOEAV"/>
    <s v="a06ak00000amzBxAAI"/>
    <s v="Miles Allen"/>
    <m/>
    <x v="7"/>
    <b v="0"/>
    <m/>
    <s v="005ak00000icyWTAAY"/>
    <s v="2026-09-16T17:01:29.000Z"/>
    <m/>
    <m/>
    <d v="2026-09-13T00:00:00"/>
    <s v="LSN-00752"/>
    <s v="L-0000734"/>
    <s v="131ak000001XjDuAAK"/>
    <b v="0"/>
    <b v="0"/>
    <s v="L-0000734"/>
    <s v="15:30:00.000Z"/>
    <x v="1"/>
    <s v="a07ak00001rZMrlAAG"/>
    <s v="Kai Ahmed"/>
    <s v="2026-09-16T17:01:29.000Z"/>
    <b v="1"/>
    <s v=""/>
    <m/>
    <s v="Brick"/>
    <x v="2"/>
    <x v="0"/>
  </r>
  <r>
    <s v="005ak00000icyWTAAY"/>
    <s v="2026-09-14T21:01:58.000Z"/>
    <n v="45"/>
    <s v="a0Aak00000FtDxPEAV"/>
    <s v="a06ak00000amzBxAAI"/>
    <s v="Miles Allen"/>
    <s v="Worked on scales and timing."/>
    <x v="7"/>
    <b v="0"/>
    <m/>
    <s v="005ak00000icyWTAAY"/>
    <s v="2026-09-16T17:01:29.000Z"/>
    <m/>
    <m/>
    <d v="2026-06-24T00:00:00"/>
    <s v="LSN-00753"/>
    <s v="L-0000735"/>
    <s v="131ak000001XjDuAAK"/>
    <b v="0"/>
    <b v="0"/>
    <s v="L-0000735"/>
    <s v="10:00:00.000Z"/>
    <x v="0"/>
    <s v="a07ak00001rZMrlAAG"/>
    <s v="Kai Ahmed"/>
    <s v="2026-09-16T17:01:29.000Z"/>
    <b v="1"/>
    <s v="a06ak00000amzBxAAI|2026-06-24|10:00:00.000Z"/>
    <n v="1"/>
    <s v="Brick"/>
    <x v="7"/>
    <x v="0"/>
  </r>
  <r>
    <s v="005ak00000icyWTAAY"/>
    <s v="2026-09-14T21:01:58.000Z"/>
    <n v="60"/>
    <s v="a0Aak00000FtDxQEAV"/>
    <s v="a06ak00000amzBxAAI"/>
    <s v="Miles Allen"/>
    <m/>
    <x v="7"/>
    <b v="0"/>
    <m/>
    <s v="005ak00000icyWTAAY"/>
    <s v="2026-09-16T17:01:29.000Z"/>
    <m/>
    <m/>
    <d v="2026-03-16T00:00:00"/>
    <s v="LSN-00754"/>
    <s v="L-0000736"/>
    <s v="131ak000001XjDuAAK"/>
    <b v="0"/>
    <b v="0"/>
    <s v="L-0000736"/>
    <s v="17:00:00.000Z"/>
    <x v="0"/>
    <s v="a07ak00001rZMrlAAG"/>
    <s v="Kai Ahmed"/>
    <s v="2026-09-16T17:01:29.000Z"/>
    <b v="1"/>
    <s v="a06ak00000amzBxAAI|2026-03-16|17:00:00.000Z"/>
    <n v="1"/>
    <s v="Brick"/>
    <x v="3"/>
    <x v="0"/>
  </r>
  <r>
    <s v="005ak00000icyWTAAY"/>
    <s v="2026-09-14T21:01:58.000Z"/>
    <n v="30"/>
    <s v="a0Aak00000FtDxREAV"/>
    <s v="a06ak00000amzBxAAI"/>
    <s v="Miles Allen"/>
    <s v="Started new piece."/>
    <x v="7"/>
    <b v="0"/>
    <m/>
    <s v="005ak00000icyWTAAY"/>
    <s v="2026-09-16T17:01:29.000Z"/>
    <m/>
    <m/>
    <d v="2026-09-30T00:00:00"/>
    <s v="LSN-00755"/>
    <s v="L-0000737"/>
    <s v="131ak000001XjDuAAK"/>
    <b v="0"/>
    <b v="0"/>
    <s v="L-0000737"/>
    <s v="10:00:00.000Z"/>
    <x v="0"/>
    <s v="a07ak00001rZMrlAAG"/>
    <s v="Kai Ahmed"/>
    <s v="2026-09-16T17:01:29.000Z"/>
    <b v="1"/>
    <s v="a06ak00000amzBxAAI|2026-09-30|10:00:00.000Z"/>
    <n v="1"/>
    <s v="Brick"/>
    <x v="2"/>
    <x v="0"/>
  </r>
  <r>
    <s v="005ak00000icyWTAAY"/>
    <s v="2026-09-14T21:01:58.000Z"/>
    <n v="45"/>
    <s v="a0Aak00000FtDxSEAV"/>
    <s v="a06ak00000amzCBAAY"/>
    <s v="Aiden Hill"/>
    <s v="Good progress on technique."/>
    <x v="3"/>
    <b v="0"/>
    <m/>
    <s v="005ak00000icyWTAAY"/>
    <s v="2026-09-16T17:01:29.000Z"/>
    <m/>
    <m/>
    <d v="2026-07-13T00:00:00"/>
    <s v="LSN-00756"/>
    <s v="L-0000738"/>
    <s v="131ak000001XjDtAAK"/>
    <b v="0"/>
    <b v="0"/>
    <s v="L-0000738"/>
    <s v="19:00:00.000Z"/>
    <x v="0"/>
    <s v="a07ak00001rZMrmAAG"/>
    <s v="Nathan Young"/>
    <s v="2026-09-16T17:01:29.000Z"/>
    <b v="1"/>
    <s v="a06ak00000amzCBAAY|2026-07-13|19:00:00.000Z"/>
    <n v="1"/>
    <s v="Red Bank"/>
    <x v="8"/>
    <x v="0"/>
  </r>
  <r>
    <s v="005ak00000icyWTAAY"/>
    <s v="2026-09-14T21:01:58.000Z"/>
    <n v="45"/>
    <s v="a0Aak00000FtDxTEAV"/>
    <s v="a06ak00000amzCBAAY"/>
    <s v="Aiden Hill"/>
    <m/>
    <x v="3"/>
    <b v="0"/>
    <m/>
    <s v="005ak00000icyWTAAY"/>
    <s v="2026-09-16T17:01:29.000Z"/>
    <m/>
    <m/>
    <d v="2026-07-07T00:00:00"/>
    <s v="LSN-00757"/>
    <s v="L-0000739"/>
    <s v="131ak000001XjDtAAK"/>
    <b v="0"/>
    <b v="0"/>
    <s v="L-0000739"/>
    <s v="18:00:00.000Z"/>
    <x v="0"/>
    <s v="a07ak00001rZMrmAAG"/>
    <s v="Nathan Young"/>
    <s v="2026-09-16T17:01:29.000Z"/>
    <b v="1"/>
    <s v="a06ak00000amzCBAAY|2026-07-07|18:00:00.000Z"/>
    <n v="1"/>
    <s v="Red Bank"/>
    <x v="8"/>
    <x v="0"/>
  </r>
  <r>
    <s v="005ak00000icyWTAAY"/>
    <s v="2026-09-14T21:01:58.000Z"/>
    <n v="30"/>
    <s v="a0Aak00000FtDxUEAV"/>
    <s v="a06ak00000amzCBAAY"/>
    <s v="Aiden Hill"/>
    <s v="Worked on scales and timing."/>
    <x v="3"/>
    <b v="0"/>
    <m/>
    <s v="005ak00000icyWTAAY"/>
    <s v="2026-09-16T17:01:29.000Z"/>
    <m/>
    <m/>
    <d v="2026-07-26T00:00:00"/>
    <s v="LSN-00758"/>
    <s v="L-0000740"/>
    <s v="131ak000001XjDtAAK"/>
    <b v="0"/>
    <b v="0"/>
    <s v="L-0000740"/>
    <s v="15:30:00.000Z"/>
    <x v="0"/>
    <s v="a07ak00001rZMrmAAG"/>
    <s v="Nathan Young"/>
    <s v="2026-09-16T17:01:29.000Z"/>
    <b v="1"/>
    <s v="a06ak00000amzCBAAY|2026-07-26|15:30:00.000Z"/>
    <n v="1"/>
    <s v="Red Bank"/>
    <x v="8"/>
    <x v="0"/>
  </r>
  <r>
    <s v="005ak00000icyWTAAY"/>
    <s v="2026-09-14T21:01:58.000Z"/>
    <n v="30"/>
    <s v="a0Aak00000FtDxVEAV"/>
    <s v="a06ak00000amzCBAAY"/>
    <s v="Aiden Hill"/>
    <s v="Started new piece."/>
    <x v="3"/>
    <b v="0"/>
    <m/>
    <s v="005ak00000icyWTAAY"/>
    <s v="2026-09-16T17:01:29.000Z"/>
    <m/>
    <m/>
    <d v="2026-06-10T00:00:00"/>
    <s v="LSN-00759"/>
    <s v="L-0000741"/>
    <s v="131ak000001XjDtAAK"/>
    <b v="0"/>
    <b v="0"/>
    <s v="L-0000741"/>
    <s v="18:30:00.000Z"/>
    <x v="0"/>
    <s v="a07ak00001rZMrmAAG"/>
    <s v="Nathan Young"/>
    <s v="2026-09-16T17:01:29.000Z"/>
    <b v="1"/>
    <s v="a06ak00000amzCBAAY|2026-06-10|18:30:00.000Z"/>
    <n v="1"/>
    <s v="Red Bank"/>
    <x v="7"/>
    <x v="0"/>
  </r>
  <r>
    <s v="005ak00000icyWTAAY"/>
    <s v="2026-09-14T21:01:58.000Z"/>
    <n v="30"/>
    <s v="a0Aak00000FtDxWEAV"/>
    <s v="a06ak00000amzCBAAY"/>
    <s v="Aiden Hill"/>
    <s v="Good progress on technique."/>
    <x v="3"/>
    <b v="0"/>
    <m/>
    <s v="005ak00000icyWTAAY"/>
    <s v="2026-09-16T17:01:29.000Z"/>
    <m/>
    <m/>
    <d v="2026-05-20T00:00:00"/>
    <s v="LSN-00760"/>
    <s v="L-0000742"/>
    <s v="131ak000001XjDtAAK"/>
    <b v="0"/>
    <b v="0"/>
    <s v="L-0000742"/>
    <s v="16:00:00.000Z"/>
    <x v="0"/>
    <s v="a07ak00001rZMrmAAG"/>
    <s v="Nathan Young"/>
    <s v="2026-09-16T17:01:29.000Z"/>
    <b v="1"/>
    <s v="a06ak00000amzCBAAY|2026-05-20|16:00:00.000Z"/>
    <n v="1"/>
    <s v="Red Bank"/>
    <x v="0"/>
    <x v="0"/>
  </r>
  <r>
    <s v="005ak00000icyWTAAY"/>
    <s v="2026-09-14T21:01:58.000Z"/>
    <n v="30"/>
    <s v="a0Aak00000FtDxXEAV"/>
    <s v="a06ak00000amzCBAAY"/>
    <s v="Aiden Hill"/>
    <m/>
    <x v="3"/>
    <b v="0"/>
    <m/>
    <s v="005ak00000icyWTAAY"/>
    <s v="2026-09-16T17:01:29.000Z"/>
    <m/>
    <m/>
    <d v="2026-07-19T00:00:00"/>
    <s v="LSN-00761"/>
    <s v="L-0000743"/>
    <s v="131ak000001XjDtAAK"/>
    <b v="0"/>
    <b v="0"/>
    <s v="L-0000743"/>
    <s v="16:30:00.000Z"/>
    <x v="1"/>
    <s v="a07ak00001rZMrmAAG"/>
    <s v="Nathan Young"/>
    <s v="2026-09-16T17:01:29.000Z"/>
    <b v="1"/>
    <s v=""/>
    <m/>
    <s v="Red Bank"/>
    <x v="8"/>
    <x v="0"/>
  </r>
  <r>
    <s v="005ak00000icyWTAAY"/>
    <s v="2026-09-14T21:01:58.000Z"/>
    <n v="45"/>
    <s v="a0Aak00000FtDxYEAV"/>
    <s v="a06ak00000amzCBAAY"/>
    <s v="Aiden Hill"/>
    <m/>
    <x v="3"/>
    <b v="0"/>
    <m/>
    <s v="005ak00000icyWTAAY"/>
    <s v="2026-09-16T17:01:29.000Z"/>
    <m/>
    <m/>
    <d v="2026-04-28T00:00:00"/>
    <s v="LSN-00762"/>
    <s v="L-0000744"/>
    <s v="131ak000001XjDtAAK"/>
    <b v="0"/>
    <b v="0"/>
    <s v="L-0000744"/>
    <s v="18:30:00.000Z"/>
    <x v="3"/>
    <s v="a07ak00001rZMrmAAG"/>
    <s v="Nathan Young"/>
    <s v="2026-09-16T17:01:29.000Z"/>
    <b v="1"/>
    <s v="a06ak00000amzCBAAY|2026-04-28|18:30:00.000Z"/>
    <n v="1"/>
    <s v="Red Bank"/>
    <x v="5"/>
    <x v="0"/>
  </r>
  <r>
    <s v="005ak00000icyWTAAY"/>
    <s v="2026-09-14T21:01:58.000Z"/>
    <n v="30"/>
    <s v="a0Aak00000FtDxZEAV"/>
    <s v="a06ak00000amzCBAAY"/>
    <s v="Aiden Hill"/>
    <s v="Started new piece."/>
    <x v="3"/>
    <b v="0"/>
    <m/>
    <s v="005ak00000icyWTAAY"/>
    <s v="2026-09-16T17:01:29.000Z"/>
    <m/>
    <m/>
    <d v="2026-02-17T00:00:00"/>
    <s v="LSN-00763"/>
    <s v="L-0000745"/>
    <s v="131ak000001XjDtAAK"/>
    <b v="0"/>
    <b v="0"/>
    <s v="L-0000745"/>
    <s v="16:00:00.000Z"/>
    <x v="0"/>
    <s v="a07ak00001rZMrmAAG"/>
    <s v="Nathan Young"/>
    <s v="2026-09-16T17:01:29.000Z"/>
    <b v="1"/>
    <s v="a06ak00000amzCBAAY|2026-02-17|16:00:00.000Z"/>
    <n v="1"/>
    <s v="Red Bank"/>
    <x v="1"/>
    <x v="0"/>
  </r>
  <r>
    <s v="005ak00000icyWTAAY"/>
    <s v="2026-09-14T21:01:58.000Z"/>
    <n v="30"/>
    <s v="a0Aak00000FtDxaEAF"/>
    <s v="a06ak00000amzCBAAY"/>
    <s v="Aiden Hill"/>
    <s v="Focused on sight reading."/>
    <x v="3"/>
    <b v="0"/>
    <m/>
    <s v="005ak00000icyWTAAY"/>
    <s v="2026-09-16T17:01:29.000Z"/>
    <m/>
    <m/>
    <d v="2026-01-19T00:00:00"/>
    <s v="LSN-00764"/>
    <s v="L-0000746"/>
    <s v="131ak000001XjDtAAK"/>
    <b v="0"/>
    <b v="0"/>
    <s v="L-0000746"/>
    <s v="16:00:00.000Z"/>
    <x v="0"/>
    <s v="a07ak00001rZMrmAAG"/>
    <s v="Nathan Young"/>
    <s v="2026-09-16T17:01:29.000Z"/>
    <b v="1"/>
    <s v="a06ak00000amzCBAAY|2026-01-19|16:00:00.000Z"/>
    <n v="1"/>
    <s v="Red Bank"/>
    <x v="4"/>
    <x v="0"/>
  </r>
  <r>
    <s v="005ak00000icyWTAAY"/>
    <s v="2026-09-14T21:01:58.000Z"/>
    <n v="30"/>
    <s v="a0Aak00000FtDxbEAF"/>
    <s v="a06ak00000amzC4AAI"/>
    <s v="Logan Davis"/>
    <m/>
    <x v="2"/>
    <b v="0"/>
    <m/>
    <s v="005ak00000icyWTAAY"/>
    <s v="2026-09-16T17:01:29.000Z"/>
    <m/>
    <m/>
    <d v="2026-08-21T00:00:00"/>
    <s v="LSN-00765"/>
    <s v="L-0000747"/>
    <s v="131ak000001XjDtAAK"/>
    <b v="0"/>
    <b v="0"/>
    <s v="L-0000747"/>
    <s v="18:00:00.000Z"/>
    <x v="0"/>
    <s v="a07ak00001rZMrnAAG"/>
    <s v="Camila Jones"/>
    <s v="2026-09-16T17:01:29.000Z"/>
    <b v="1"/>
    <s v="a06ak00000amzC4AAI|2026-08-21|18:00:00.000Z"/>
    <n v="1"/>
    <s v="Red Bank"/>
    <x v="6"/>
    <x v="0"/>
  </r>
  <r>
    <s v="005ak00000icyWTAAY"/>
    <s v="2026-09-14T21:01:58.000Z"/>
    <n v="30"/>
    <s v="a0Aak00000FtDxcEAF"/>
    <s v="a06ak00000amzC4AAI"/>
    <s v="Logan Davis"/>
    <s v="Good progress on technique."/>
    <x v="2"/>
    <b v="0"/>
    <m/>
    <s v="005ak00000icyWTAAY"/>
    <s v="2026-09-16T17:01:29.000Z"/>
    <m/>
    <m/>
    <d v="2026-02-02T00:00:00"/>
    <s v="LSN-00766"/>
    <s v="L-0000748"/>
    <s v="131ak000001XjDtAAK"/>
    <b v="0"/>
    <b v="0"/>
    <s v="L-0000748"/>
    <s v="18:30:00.000Z"/>
    <x v="0"/>
    <s v="a07ak00001rZMrnAAG"/>
    <s v="Camila Jones"/>
    <s v="2026-09-16T17:01:29.000Z"/>
    <b v="1"/>
    <s v="a06ak00000amzC4AAI|2026-02-02|18:30:00.000Z"/>
    <n v="1"/>
    <s v="Red Bank"/>
    <x v="1"/>
    <x v="0"/>
  </r>
  <r>
    <s v="005ak00000icyWTAAY"/>
    <s v="2026-09-14T21:01:58.000Z"/>
    <n v="45"/>
    <s v="a0Aak00000FtDxdEAF"/>
    <s v="a06ak00000amzCLAAY"/>
    <s v="Liam Moore"/>
    <m/>
    <x v="7"/>
    <b v="0"/>
    <m/>
    <s v="005ak00000icyWTAAY"/>
    <s v="2026-09-16T17:01:29.000Z"/>
    <m/>
    <m/>
    <d v="2026-04-25T00:00:00"/>
    <s v="LSN-00767"/>
    <s v="L-0000749"/>
    <s v="131ak000001XjDtAAK"/>
    <b v="0"/>
    <b v="0"/>
    <s v="L-0000749"/>
    <s v="16:00:00.000Z"/>
    <x v="3"/>
    <s v="a07ak00001rZMroAAG"/>
    <s v="Sebastian Wilson"/>
    <s v="2026-09-16T17:01:29.000Z"/>
    <b v="1"/>
    <s v="a06ak00000amzCLAAY|2026-04-25|16:00:00.000Z"/>
    <n v="1"/>
    <s v="Red Bank"/>
    <x v="5"/>
    <x v="0"/>
  </r>
  <r>
    <s v="005ak00000icyWTAAY"/>
    <s v="2026-09-14T21:01:58.000Z"/>
    <n v="30"/>
    <s v="a0Aak00000FtDxeEAF"/>
    <s v="a06ak00000amzCLAAY"/>
    <s v="Liam Moore"/>
    <m/>
    <x v="7"/>
    <b v="0"/>
    <m/>
    <s v="005ak00000icyWTAAY"/>
    <s v="2026-09-16T17:01:29.000Z"/>
    <m/>
    <m/>
    <d v="2026-07-03T00:00:00"/>
    <s v="LSN-00768"/>
    <s v="L-0000750"/>
    <s v="131ak000001XjDtAAK"/>
    <b v="0"/>
    <b v="0"/>
    <s v="L-0000750"/>
    <s v="18:30:00.000Z"/>
    <x v="0"/>
    <s v="a07ak00001rZMroAAG"/>
    <s v="Sebastian Wilson"/>
    <s v="2026-09-16T17:01:29.000Z"/>
    <b v="1"/>
    <s v="a06ak00000amzCLAAY|2026-07-03|18:30:00.000Z"/>
    <n v="1"/>
    <s v="Red Bank"/>
    <x v="8"/>
    <x v="0"/>
  </r>
  <r>
    <s v="005ak00000icyWTAAY"/>
    <s v="2026-09-14T21:01:58.000Z"/>
    <n v="30"/>
    <s v="a0Aak00000FtDxfEAF"/>
    <s v="a06ak00000amzCLAAY"/>
    <s v="Liam Moore"/>
    <m/>
    <x v="7"/>
    <b v="0"/>
    <m/>
    <s v="005ak00000icyWTAAY"/>
    <s v="2026-09-25T18:00:49.000Z"/>
    <m/>
    <m/>
    <d v="2026-03-23T00:00:00"/>
    <s v="LSN-00769"/>
    <s v="L-0000751"/>
    <s v="131ak000001XjDtAAK"/>
    <b v="1"/>
    <b v="1"/>
    <s v="L-0000751"/>
    <s v="17:30:00.000Z"/>
    <x v="4"/>
    <s v="a07ak00001rZMroAAG"/>
    <s v="Sebastian Wilson"/>
    <s v="2026-09-25T18:00:49.000Z"/>
    <b v="1"/>
    <s v=""/>
    <m/>
    <s v="Red Bank"/>
    <x v="3"/>
    <x v="0"/>
  </r>
  <r>
    <s v="005ak00000icyWTAAY"/>
    <s v="2026-09-14T21:01:58.000Z"/>
    <n v="45"/>
    <s v="a0Aak00000FtDxgEAF"/>
    <s v="a06ak00000amzCLAAY"/>
    <s v="Liam Moore"/>
    <s v="Focused on sight reading."/>
    <x v="7"/>
    <b v="0"/>
    <m/>
    <s v="005ak00000icyWTAAY"/>
    <s v="2026-09-16T17:01:29.000Z"/>
    <m/>
    <m/>
    <d v="2026-03-16T00:00:00"/>
    <s v="LSN-00770"/>
    <s v="L-0000752"/>
    <s v="131ak000001XjDtAAK"/>
    <b v="0"/>
    <b v="0"/>
    <s v="L-0000752"/>
    <s v="16:30:00.000Z"/>
    <x v="0"/>
    <s v="a07ak00001rZMroAAG"/>
    <s v="Sebastian Wilson"/>
    <s v="2026-09-16T17:01:29.000Z"/>
    <b v="1"/>
    <s v="a06ak00000amzCLAAY|2026-03-16|16:30:00.000Z"/>
    <n v="1"/>
    <s v="Red Bank"/>
    <x v="3"/>
    <x v="0"/>
  </r>
  <r>
    <s v="005ak00000icyWTAAY"/>
    <s v="2026-09-14T21:01:58.000Z"/>
    <n v="30"/>
    <s v="a0Aak00000FtDxhEAF"/>
    <s v="a06ak00000amzCLAAY"/>
    <s v="Liam Moore"/>
    <s v="Reviewed last week&amp;#39;s assignment."/>
    <x v="7"/>
    <b v="0"/>
    <m/>
    <s v="005ak00000icyWTAAY"/>
    <s v="2026-09-16T17:01:29.000Z"/>
    <m/>
    <m/>
    <d v="2026-06-26T00:00:00"/>
    <s v="LSN-00771"/>
    <s v="L-0000753"/>
    <s v="131ak000001XjDtAAK"/>
    <b v="0"/>
    <b v="0"/>
    <s v="L-0000753"/>
    <s v="11:00:00.000Z"/>
    <x v="0"/>
    <s v="a07ak00001rZMroAAG"/>
    <s v="Sebastian Wilson"/>
    <s v="2026-09-16T17:01:29.000Z"/>
    <b v="1"/>
    <s v="a06ak00000amzCLAAY|2026-06-26|11:00:00.000Z"/>
    <n v="1"/>
    <s v="Red Bank"/>
    <x v="7"/>
    <x v="0"/>
  </r>
  <r>
    <s v="005ak00000icyWTAAY"/>
    <s v="2026-09-14T21:01:58.000Z"/>
    <n v="30"/>
    <s v="a0Aak00000FtDxiEAF"/>
    <s v="a06ak00000amzCLAAY"/>
    <s v="Liam Moore"/>
    <s v="Good progress on technique."/>
    <x v="7"/>
    <b v="0"/>
    <m/>
    <s v="005ak00000icyWTAAY"/>
    <s v="2026-09-16T17:01:29.000Z"/>
    <m/>
    <m/>
    <d v="2026-03-31T00:00:00"/>
    <s v="LSN-00772"/>
    <s v="L-0000754"/>
    <s v="131ak000001XjDtAAK"/>
    <b v="0"/>
    <b v="0"/>
    <s v="L-0000754"/>
    <s v="15:30:00.000Z"/>
    <x v="0"/>
    <s v="a07ak00001rZMroAAG"/>
    <s v="Sebastian Wilson"/>
    <s v="2026-09-16T17:01:29.000Z"/>
    <b v="1"/>
    <s v="a06ak00000amzCLAAY|2026-03-31|15:30:00.000Z"/>
    <n v="1"/>
    <s v="Red Bank"/>
    <x v="3"/>
    <x v="0"/>
  </r>
  <r>
    <s v="005ak00000icyWTAAY"/>
    <s v="2026-09-14T21:01:58.000Z"/>
    <n v="30"/>
    <s v="a0Aak00000FtDxjEAF"/>
    <s v="a06ak00000amzC5AAI"/>
    <s v="Penelope Wilson"/>
    <m/>
    <x v="5"/>
    <b v="0"/>
    <m/>
    <s v="005ak00000icyWTAAY"/>
    <s v="2026-09-16T17:01:29.000Z"/>
    <m/>
    <m/>
    <d v="2026-06-09T00:00:00"/>
    <s v="LSN-00773"/>
    <s v="L-0000755"/>
    <s v="131ak000001XjDuAAK"/>
    <b v="0"/>
    <b v="0"/>
    <s v="L-0000755"/>
    <s v="18:00:00.000Z"/>
    <x v="3"/>
    <s v="a07ak00001rZMrpAAG"/>
    <s v="Miles Silva"/>
    <s v="2026-09-16T17:01:29.000Z"/>
    <b v="1"/>
    <s v="a06ak00000amzC5AAI|2026-06-09|18:00:00.000Z"/>
    <n v="1"/>
    <s v="Brick"/>
    <x v="7"/>
    <x v="0"/>
  </r>
  <r>
    <s v="005ak00000icyWTAAY"/>
    <s v="2026-09-14T21:01:58.000Z"/>
    <n v="45"/>
    <s v="a0Aak00000FtDxkEAF"/>
    <s v="a06ak00000amzC5AAI"/>
    <s v="Penelope Wilson"/>
    <m/>
    <x v="5"/>
    <b v="0"/>
    <m/>
    <s v="005ak00000icyWTAAY"/>
    <s v="2026-09-16T17:01:29.000Z"/>
    <m/>
    <m/>
    <d v="2026-02-21T00:00:00"/>
    <s v="LSN-00774"/>
    <s v="L-0000756"/>
    <s v="131ak000001XjDuAAK"/>
    <b v="0"/>
    <b v="0"/>
    <s v="L-0000756"/>
    <s v="17:00:00.000Z"/>
    <x v="0"/>
    <s v="a07ak00001rZMrpAAG"/>
    <s v="Miles Silva"/>
    <s v="2026-09-16T17:01:29.000Z"/>
    <b v="1"/>
    <s v="a06ak00000amzC5AAI|2026-02-21|17:00:00.000Z"/>
    <n v="1"/>
    <s v="Brick"/>
    <x v="1"/>
    <x v="0"/>
  </r>
  <r>
    <s v="005ak00000icyWTAAY"/>
    <s v="2026-09-14T21:01:58.000Z"/>
    <n v="30"/>
    <s v="a0Aak00000FtDxlEAF"/>
    <s v="a06ak00000amzC5AAI"/>
    <s v="Penelope Wilson"/>
    <s v="Good progress on technique."/>
    <x v="5"/>
    <b v="0"/>
    <m/>
    <s v="005ak00000icyWTAAY"/>
    <s v="2026-09-16T17:01:29.000Z"/>
    <m/>
    <m/>
    <d v="2026-01-18T00:00:00"/>
    <s v="LSN-00775"/>
    <s v="L-0000757"/>
    <s v="131ak000001XjDuAAK"/>
    <b v="0"/>
    <b v="0"/>
    <s v="L-0000757"/>
    <s v="17:30:00.000Z"/>
    <x v="0"/>
    <s v="a07ak00001rZMrpAAG"/>
    <s v="Miles Silva"/>
    <s v="2026-09-16T17:01:29.000Z"/>
    <b v="1"/>
    <s v="a06ak00000amzC5AAI|2026-01-18|17:30:00.000Z"/>
    <n v="1"/>
    <s v="Brick"/>
    <x v="4"/>
    <x v="0"/>
  </r>
  <r>
    <s v="005ak00000icyWTAAY"/>
    <s v="2026-09-14T21:01:58.000Z"/>
    <n v="45"/>
    <s v="a0Aak00000FtDxmEAF"/>
    <s v="a06ak00000amzC5AAI"/>
    <s v="Penelope Wilson"/>
    <m/>
    <x v="5"/>
    <b v="0"/>
    <m/>
    <s v="005ak00000icyWTAAY"/>
    <s v="2026-09-16T17:01:29.000Z"/>
    <m/>
    <m/>
    <d v="2026-05-03T00:00:00"/>
    <s v="LSN-00776"/>
    <s v="L-0000758"/>
    <s v="131ak000001XjDuAAK"/>
    <b v="0"/>
    <b v="0"/>
    <s v="L-0000758"/>
    <s v="18:30:00.000Z"/>
    <x v="1"/>
    <s v="a07ak00001rZMrpAAG"/>
    <s v="Miles Silva"/>
    <s v="2026-09-16T17:01:29.000Z"/>
    <b v="1"/>
    <s v=""/>
    <m/>
    <s v="Brick"/>
    <x v="0"/>
    <x v="0"/>
  </r>
  <r>
    <s v="005ak00000icyWTAAY"/>
    <s v="2026-09-14T21:01:58.000Z"/>
    <n v="45"/>
    <s v="a0Aak00000FtDxnEAF"/>
    <s v="a06ak00000amzC5AAI"/>
    <s v="Penelope Wilson"/>
    <m/>
    <x v="5"/>
    <b v="0"/>
    <m/>
    <s v="005ak00000icyWTAAY"/>
    <s v="2026-09-25T18:00:49.000Z"/>
    <m/>
    <m/>
    <d v="2026-08-21T00:00:00"/>
    <s v="LSN-00777"/>
    <s v="L-0000759"/>
    <s v="131ak000001XjDuAAK"/>
    <b v="1"/>
    <b v="0"/>
    <s v="L-0000759"/>
    <s v="16:30:00.000Z"/>
    <x v="4"/>
    <s v="a07ak00001rZMrpAAG"/>
    <s v="Miles Silva"/>
    <s v="2026-09-25T18:00:49.000Z"/>
    <b v="1"/>
    <s v=""/>
    <m/>
    <s v="Brick"/>
    <x v="6"/>
    <x v="0"/>
  </r>
  <r>
    <s v="005ak00000icyWTAAY"/>
    <s v="2026-09-14T21:01:58.000Z"/>
    <n v="30"/>
    <s v="a0Aak00000FtDxoEAF"/>
    <s v="a06ak00000amzC5AAI"/>
    <s v="Penelope Wilson"/>
    <m/>
    <x v="5"/>
    <b v="0"/>
    <m/>
    <s v="005ak00000icyWTAAY"/>
    <s v="2026-09-16T17:01:29.000Z"/>
    <m/>
    <m/>
    <d v="2026-06-22T00:00:00"/>
    <s v="LSN-00778"/>
    <s v="L-0000760"/>
    <s v="131ak000001XjDuAAK"/>
    <b v="0"/>
    <b v="0"/>
    <s v="L-0000760"/>
    <s v="16:00:00.000Z"/>
    <x v="3"/>
    <s v="a07ak00001rZMrpAAG"/>
    <s v="Miles Silva"/>
    <s v="2026-09-16T17:01:29.000Z"/>
    <b v="1"/>
    <s v="a06ak00000amzC5AAI|2026-06-22|16:00:00.000Z"/>
    <n v="1"/>
    <s v="Brick"/>
    <x v="7"/>
    <x v="0"/>
  </r>
  <r>
    <s v="005ak00000icyWTAAY"/>
    <s v="2026-09-14T21:01:58.000Z"/>
    <n v="30"/>
    <s v="a0Aak00000FtDxpEAF"/>
    <s v="a06ak00000amzBgAAI"/>
    <s v="Noah Mitchell"/>
    <s v="Reviewed last week&amp;#39;s assignment."/>
    <x v="8"/>
    <b v="0"/>
    <m/>
    <s v="005ak00000icyWTAAY"/>
    <s v="2026-09-16T17:01:29.000Z"/>
    <m/>
    <m/>
    <d v="2026-10-02T00:00:00"/>
    <s v="LSN-00779"/>
    <s v="L-0000761"/>
    <s v="131ak000001XjDuAAK"/>
    <b v="0"/>
    <b v="0"/>
    <s v="L-0000761"/>
    <s v="16:00:00.000Z"/>
    <x v="0"/>
    <s v="a07ak00001rZMrqAAG"/>
    <s v="Matthew Thomas"/>
    <s v="2026-09-16T17:01:29.000Z"/>
    <b v="1"/>
    <s v="a06ak00000amzBgAAI|2026-10-02|16:00:00.000Z"/>
    <n v="1"/>
    <s v="Brick"/>
    <x v="9"/>
    <x v="0"/>
  </r>
  <r>
    <s v="005ak00000icyWTAAY"/>
    <s v="2026-09-14T21:01:58.000Z"/>
    <n v="45"/>
    <s v="a0Aak00000FtDxqEAF"/>
    <s v="a06ak00000amzBgAAI"/>
    <s v="Noah Mitchell"/>
    <s v="Reviewed last week&amp;#39;s assignment."/>
    <x v="8"/>
    <b v="0"/>
    <m/>
    <s v="005ak00000icyWTAAY"/>
    <s v="2026-09-16T17:01:29.000Z"/>
    <m/>
    <m/>
    <d v="2026-01-16T00:00:00"/>
    <s v="LSN-00780"/>
    <s v="L-0000762"/>
    <s v="131ak000001XjDuAAK"/>
    <b v="0"/>
    <b v="0"/>
    <s v="L-0000762"/>
    <s v="11:00:00.000Z"/>
    <x v="0"/>
    <s v="a07ak00001rZMrqAAG"/>
    <s v="Matthew Thomas"/>
    <s v="2026-09-16T17:01:29.000Z"/>
    <b v="1"/>
    <s v="a06ak00000amzBgAAI|2026-01-16|11:00:00.000Z"/>
    <n v="1"/>
    <s v="Brick"/>
    <x v="4"/>
    <x v="0"/>
  </r>
  <r>
    <s v="005ak00000icyWTAAY"/>
    <s v="2026-09-14T21:01:58.000Z"/>
    <n v="30"/>
    <s v="a0Aak00000FtDxrEAF"/>
    <s v="a06ak00000amzBgAAI"/>
    <s v="Noah Mitchell"/>
    <s v="Focused on sight reading."/>
    <x v="8"/>
    <b v="0"/>
    <m/>
    <s v="005ak00000icyWTAAY"/>
    <s v="2026-09-16T17:01:29.000Z"/>
    <m/>
    <m/>
    <d v="2026-05-05T00:00:00"/>
    <s v="LSN-00781"/>
    <s v="L-0000763"/>
    <s v="131ak000001XjDuAAK"/>
    <b v="0"/>
    <b v="0"/>
    <s v="L-0000763"/>
    <s v="16:00:00.000Z"/>
    <x v="0"/>
    <s v="a07ak00001rZMrqAAG"/>
    <s v="Matthew Thomas"/>
    <s v="2026-09-16T17:01:29.000Z"/>
    <b v="1"/>
    <s v="a06ak00000amzBgAAI|2026-05-05|16:00:00.000Z"/>
    <n v="1"/>
    <s v="Brick"/>
    <x v="0"/>
    <x v="0"/>
  </r>
  <r>
    <s v="005ak00000icyWTAAY"/>
    <s v="2026-09-14T21:01:58.000Z"/>
    <n v="60"/>
    <s v="a0Aak00000FtDxsEAF"/>
    <s v="a06ak00000amzBgAAI"/>
    <s v="Noah Mitchell"/>
    <s v="Started new piece."/>
    <x v="8"/>
    <b v="0"/>
    <m/>
    <s v="005ak00000icyWTAAY"/>
    <s v="2026-09-16T17:01:29.000Z"/>
    <m/>
    <m/>
    <d v="2026-02-25T00:00:00"/>
    <s v="LSN-00782"/>
    <s v="L-0000764"/>
    <s v="131ak000001XjDuAAK"/>
    <b v="0"/>
    <b v="0"/>
    <s v="L-0000764"/>
    <s v="17:00:00.000Z"/>
    <x v="0"/>
    <s v="a07ak00001rZMrqAAG"/>
    <s v="Matthew Thomas"/>
    <s v="2026-09-16T17:01:29.000Z"/>
    <b v="1"/>
    <s v="a06ak00000amzBgAAI|2026-02-25|17:00:00.000Z"/>
    <n v="1"/>
    <s v="Brick"/>
    <x v="1"/>
    <x v="0"/>
  </r>
  <r>
    <s v="005ak00000icyWTAAY"/>
    <s v="2026-09-14T21:01:58.000Z"/>
    <n v="30"/>
    <s v="a0Aak00000FtDxtEAF"/>
    <s v="a06ak00000amzBgAAI"/>
    <s v="Noah Mitchell"/>
    <s v="Good progress on technique."/>
    <x v="8"/>
    <b v="0"/>
    <m/>
    <s v="005ak00000icyWTAAY"/>
    <s v="2026-09-16T17:01:29.000Z"/>
    <m/>
    <m/>
    <d v="2026-07-26T00:00:00"/>
    <s v="LSN-00783"/>
    <s v="L-0000765"/>
    <s v="131ak000001XjDuAAK"/>
    <b v="0"/>
    <b v="0"/>
    <s v="L-0000765"/>
    <s v="18:30:00.000Z"/>
    <x v="0"/>
    <s v="a07ak00001rZMrqAAG"/>
    <s v="Matthew Thomas"/>
    <s v="2026-09-16T17:01:29.000Z"/>
    <b v="1"/>
    <s v="a06ak00000amzBgAAI|2026-07-26|18:30:00.000Z"/>
    <n v="1"/>
    <s v="Brick"/>
    <x v="8"/>
    <x v="0"/>
  </r>
  <r>
    <s v="005ak00000icyWTAAY"/>
    <s v="2026-09-14T21:01:58.000Z"/>
    <n v="30"/>
    <s v="a0Aak00000FtDxuEAF"/>
    <s v="a06ak00000amzBgAAI"/>
    <s v="Noah Mitchell"/>
    <m/>
    <x v="8"/>
    <b v="0"/>
    <m/>
    <s v="005ak00000icyWTAAY"/>
    <s v="2026-09-16T17:01:29.000Z"/>
    <m/>
    <m/>
    <d v="2026-01-21T00:00:00"/>
    <s v="LSN-00784"/>
    <s v="L-0000766"/>
    <s v="131ak000001XjDuAAK"/>
    <b v="0"/>
    <b v="0"/>
    <s v="L-0000766"/>
    <s v="15:30:00.000Z"/>
    <x v="3"/>
    <s v="a07ak00001rZMrqAAG"/>
    <s v="Matthew Thomas"/>
    <s v="2026-09-16T17:01:29.000Z"/>
    <b v="1"/>
    <s v="a06ak00000amzBgAAI|2026-01-21|15:30:00.000Z"/>
    <n v="1"/>
    <s v="Brick"/>
    <x v="4"/>
    <x v="0"/>
  </r>
  <r>
    <s v="005ak00000icyWTAAY"/>
    <s v="2026-09-14T21:01:58.000Z"/>
    <n v="45"/>
    <s v="a0Aak00000FtDxvEAF"/>
    <s v="a06ak00000amzBgAAI"/>
    <s v="Noah Mitchell"/>
    <m/>
    <x v="8"/>
    <b v="0"/>
    <m/>
    <s v="005ak00000icyWTAAY"/>
    <s v="2026-09-16T17:01:29.000Z"/>
    <m/>
    <m/>
    <d v="2026-08-23T00:00:00"/>
    <s v="LSN-00785"/>
    <s v="L-0000767"/>
    <s v="131ak000001XjDuAAK"/>
    <b v="0"/>
    <b v="0"/>
    <s v="L-0000767"/>
    <s v="17:00:00.000Z"/>
    <x v="3"/>
    <s v="a07ak00001rZMrqAAG"/>
    <s v="Matthew Thomas"/>
    <s v="2026-09-16T17:01:29.000Z"/>
    <b v="1"/>
    <s v="a06ak00000amzBgAAI|2026-08-23|17:00:00.000Z"/>
    <n v="1"/>
    <s v="Brick"/>
    <x v="6"/>
    <x v="0"/>
  </r>
  <r>
    <s v="005ak00000icyWTAAY"/>
    <s v="2026-09-14T21:01:58.000Z"/>
    <n v="30"/>
    <s v="a0Aak00000FtDxwEAF"/>
    <s v="a06ak00000amzBnAAI"/>
    <s v="Charlotte Nakamura"/>
    <s v="Worked on scales and timing."/>
    <x v="7"/>
    <b v="0"/>
    <m/>
    <s v="005ak00000icyWTAAY"/>
    <s v="2026-09-16T17:01:29.000Z"/>
    <m/>
    <m/>
    <d v="2026-01-20T00:00:00"/>
    <s v="LSN-00786"/>
    <s v="L-0000768"/>
    <s v="131ak000001XjDtAAK"/>
    <b v="0"/>
    <b v="0"/>
    <s v="L-0000768"/>
    <s v="16:30:00.000Z"/>
    <x v="0"/>
    <s v="a07ak00001rZMrrAAG"/>
    <s v="Emma Lewis"/>
    <s v="2026-09-16T17:01:29.000Z"/>
    <b v="1"/>
    <s v="a06ak00000amzBnAAI|2026-01-20|16:30:00.000Z"/>
    <n v="1"/>
    <s v="Red Bank"/>
    <x v="4"/>
    <x v="0"/>
  </r>
  <r>
    <s v="005ak00000icyWTAAY"/>
    <s v="2026-09-14T21:01:58.000Z"/>
    <n v="30"/>
    <s v="a0Aak00000FtDxxEAF"/>
    <s v="a06ak00000amzBnAAI"/>
    <s v="Charlotte Nakamura"/>
    <m/>
    <x v="7"/>
    <b v="0"/>
    <m/>
    <s v="005ak00000icyWTAAY"/>
    <s v="2026-09-16T17:01:29.000Z"/>
    <m/>
    <m/>
    <d v="2026-04-04T00:00:00"/>
    <s v="LSN-00787"/>
    <s v="L-0000769"/>
    <s v="131ak000001XjDtAAK"/>
    <b v="0"/>
    <b v="0"/>
    <s v="L-0000769"/>
    <s v="15:00:00.000Z"/>
    <x v="3"/>
    <s v="a07ak00001rZMrrAAG"/>
    <s v="Emma Lewis"/>
    <s v="2026-09-16T17:01:29.000Z"/>
    <b v="1"/>
    <s v="a06ak00000amzBnAAI|2026-04-04|15:00:00.000Z"/>
    <n v="1"/>
    <s v="Red Bank"/>
    <x v="5"/>
    <x v="0"/>
  </r>
  <r>
    <s v="005ak00000icyWTAAY"/>
    <s v="2026-09-14T21:01:58.000Z"/>
    <n v="45"/>
    <s v="a0Aak00000FtDxyEAF"/>
    <s v="a06ak00000amzCCAAY"/>
    <s v="Rowan Jones"/>
    <s v="Focused on sight reading."/>
    <x v="7"/>
    <b v="0"/>
    <m/>
    <s v="005ak00000icyWTAAY"/>
    <s v="2026-09-16T17:01:29.000Z"/>
    <m/>
    <m/>
    <d v="2026-03-05T00:00:00"/>
    <s v="LSN-00788"/>
    <s v="L-0000770"/>
    <s v="131ak000001XjDuAAK"/>
    <b v="0"/>
    <b v="0"/>
    <s v="L-0000770"/>
    <s v="11:00:00.000Z"/>
    <x v="0"/>
    <s v="a07ak00001rZMrsAAG"/>
    <s v="Miles Hill"/>
    <s v="2026-09-16T17:01:29.000Z"/>
    <b v="1"/>
    <s v="a06ak00000amzCCAAY|2026-03-05|11:00:00.000Z"/>
    <n v="1"/>
    <s v="Brick"/>
    <x v="3"/>
    <x v="0"/>
  </r>
  <r>
    <s v="005ak00000icyWTAAY"/>
    <s v="2026-09-14T21:01:58.000Z"/>
    <n v="30"/>
    <s v="a0Aak00000FtDxzEAF"/>
    <s v="a06ak00000amzCCAAY"/>
    <s v="Rowan Jones"/>
    <s v="Started new piece."/>
    <x v="7"/>
    <b v="0"/>
    <m/>
    <s v="005ak00000icyWTAAY"/>
    <s v="2026-09-16T17:01:29.000Z"/>
    <m/>
    <m/>
    <d v="2026-04-26T00:00:00"/>
    <s v="LSN-00789"/>
    <s v="L-0000771"/>
    <s v="131ak000001XjDuAAK"/>
    <b v="0"/>
    <b v="0"/>
    <s v="L-0000771"/>
    <s v="11:00:00.000Z"/>
    <x v="0"/>
    <s v="a07ak00001rZMrsAAG"/>
    <s v="Miles Hill"/>
    <s v="2026-09-16T17:01:29.000Z"/>
    <b v="1"/>
    <s v="a06ak00000amzCCAAY|2026-04-26|11:00:00.000Z"/>
    <n v="1"/>
    <s v="Brick"/>
    <x v="5"/>
    <x v="0"/>
  </r>
  <r>
    <s v="005ak00000icyWTAAY"/>
    <s v="2026-09-14T21:01:58.000Z"/>
    <n v="30"/>
    <s v="a0Aak00000FtDy0EAF"/>
    <s v="a06ak00000amzCCAAY"/>
    <s v="Rowan Jones"/>
    <s v="Worked on scales and timing."/>
    <x v="7"/>
    <b v="0"/>
    <m/>
    <s v="005ak00000icyWTAAY"/>
    <s v="2026-09-16T17:01:29.000Z"/>
    <m/>
    <m/>
    <d v="2026-06-17T00:00:00"/>
    <s v="LSN-00790"/>
    <s v="L-0000772"/>
    <s v="131ak000001XjDuAAK"/>
    <b v="0"/>
    <b v="0"/>
    <s v="L-0000772"/>
    <s v="10:00:00.000Z"/>
    <x v="0"/>
    <s v="a07ak00001rZMrsAAG"/>
    <s v="Miles Hill"/>
    <s v="2026-09-16T17:01:29.000Z"/>
    <b v="1"/>
    <s v="a06ak00000amzCCAAY|2026-06-17|10:00:00.000Z"/>
    <n v="1"/>
    <s v="Brick"/>
    <x v="7"/>
    <x v="0"/>
  </r>
  <r>
    <s v="005ak00000icyWTAAY"/>
    <s v="2026-09-14T21:01:58.000Z"/>
    <n v="30"/>
    <s v="a0Aak00000FtDy1EAF"/>
    <s v="a06ak00000amzCCAAY"/>
    <s v="Rowan Jones"/>
    <s v="Good progress on technique."/>
    <x v="7"/>
    <b v="0"/>
    <m/>
    <s v="005ak00000icyWTAAY"/>
    <s v="2026-09-16T17:01:29.000Z"/>
    <m/>
    <m/>
    <d v="2026-06-03T00:00:00"/>
    <s v="LSN-00791"/>
    <s v="L-0000773"/>
    <s v="131ak000001XjDuAAK"/>
    <b v="0"/>
    <b v="0"/>
    <s v="L-0000773"/>
    <s v="19:00:00.000Z"/>
    <x v="0"/>
    <s v="a07ak00001rZMrsAAG"/>
    <s v="Miles Hill"/>
    <s v="2026-09-16T17:01:29.000Z"/>
    <b v="1"/>
    <s v="a06ak00000amzCCAAY|2026-06-03|19:00:00.000Z"/>
    <n v="1"/>
    <s v="Brick"/>
    <x v="7"/>
    <x v="0"/>
  </r>
  <r>
    <s v="005ak00000icyWTAAY"/>
    <s v="2026-09-14T21:01:58.000Z"/>
    <n v="60"/>
    <s v="a0Aak00000FtDy2EAF"/>
    <s v="a06ak00000amzCCAAY"/>
    <s v="Rowan Jones"/>
    <s v="Focused on sight reading."/>
    <x v="7"/>
    <b v="0"/>
    <m/>
    <s v="005ak00000icyWTAAY"/>
    <s v="2026-09-16T17:01:29.000Z"/>
    <m/>
    <m/>
    <d v="2026-05-29T00:00:00"/>
    <s v="LSN-00792"/>
    <s v="L-0000774"/>
    <s v="131ak000001XjDuAAK"/>
    <b v="0"/>
    <b v="0"/>
    <s v="L-0000774"/>
    <s v="17:30:00.000Z"/>
    <x v="0"/>
    <s v="a07ak00001rZMrsAAG"/>
    <s v="Miles Hill"/>
    <s v="2026-09-16T17:01:29.000Z"/>
    <b v="1"/>
    <s v="a06ak00000amzCCAAY|2026-05-29|17:30:00.000Z"/>
    <n v="1"/>
    <s v="Brick"/>
    <x v="0"/>
    <x v="0"/>
  </r>
  <r>
    <s v="005ak00000icyWTAAY"/>
    <s v="2026-09-14T21:01:58.000Z"/>
    <n v="30"/>
    <s v="a0Aak00000FtDy3EAF"/>
    <s v="a06ak00000amzCCAAY"/>
    <s v="Rowan Jones"/>
    <s v="Reviewed last week&amp;#39;s assignment."/>
    <x v="7"/>
    <b v="0"/>
    <m/>
    <s v="005ak00000icyWTAAY"/>
    <s v="2026-09-16T17:01:29.000Z"/>
    <m/>
    <m/>
    <d v="2026-09-30T00:00:00"/>
    <s v="LSN-00793"/>
    <s v="L-0000775"/>
    <s v="131ak000001XjDuAAK"/>
    <b v="0"/>
    <b v="0"/>
    <s v="L-0000775"/>
    <s v="10:00:00.000Z"/>
    <x v="0"/>
    <s v="a07ak00001rZMrsAAG"/>
    <s v="Miles Hill"/>
    <s v="2026-09-16T17:01:29.000Z"/>
    <b v="1"/>
    <s v="a06ak00000amzCCAAY|2026-09-30|10:00:00.000Z"/>
    <n v="1"/>
    <s v="Brick"/>
    <x v="2"/>
    <x v="0"/>
  </r>
  <r>
    <s v="005ak00000icyWTAAY"/>
    <s v="2026-09-14T21:01:58.000Z"/>
    <n v="30"/>
    <s v="a0Aak00000FtDy4EAF"/>
    <s v="a06ak00000amzBxAAI"/>
    <s v="Miles Allen"/>
    <s v="Worked on scales and timing."/>
    <x v="7"/>
    <b v="0"/>
    <m/>
    <s v="005ak00000icyWTAAY"/>
    <s v="2026-09-16T17:01:29.000Z"/>
    <m/>
    <m/>
    <d v="2026-08-26T00:00:00"/>
    <s v="LSN-00794"/>
    <s v="L-0000776"/>
    <s v="131ak000001XjDuAAK"/>
    <b v="0"/>
    <b v="0"/>
    <s v="L-0000776"/>
    <s v="18:30:00.000Z"/>
    <x v="0"/>
    <s v="a07ak00001rZMruAAG"/>
    <s v="Diego Kelly"/>
    <s v="2026-09-16T17:01:29.000Z"/>
    <b v="1"/>
    <s v="a06ak00000amzBxAAI|2026-08-26|18:30:00.000Z"/>
    <n v="1"/>
    <s v="Brick"/>
    <x v="6"/>
    <x v="0"/>
  </r>
  <r>
    <s v="005ak00000icyWTAAY"/>
    <s v="2026-09-14T21:01:58.000Z"/>
    <n v="30"/>
    <s v="a0Aak00000FtDy5EAF"/>
    <s v="a06ak00000amzBxAAI"/>
    <s v="Miles Allen"/>
    <s v="Good progress on technique."/>
    <x v="7"/>
    <b v="0"/>
    <m/>
    <s v="005ak00000icyWTAAY"/>
    <s v="2026-09-16T17:01:29.000Z"/>
    <m/>
    <m/>
    <d v="2026-02-22T00:00:00"/>
    <s v="LSN-00795"/>
    <s v="L-0000777"/>
    <s v="131ak000001XjDuAAK"/>
    <b v="0"/>
    <b v="0"/>
    <s v="L-0000777"/>
    <s v="18:30:00.000Z"/>
    <x v="0"/>
    <s v="a07ak00001rZMruAAG"/>
    <s v="Diego Kelly"/>
    <s v="2026-09-16T17:01:29.000Z"/>
    <b v="1"/>
    <s v="a06ak00000amzBxAAI|2026-02-22|18:30:00.000Z"/>
    <n v="1"/>
    <s v="Brick"/>
    <x v="1"/>
    <x v="0"/>
  </r>
  <r>
    <s v="005ak00000icyWTAAY"/>
    <s v="2026-09-14T21:01:58.000Z"/>
    <n v="30"/>
    <s v="a0Aak00000FtDy6EAF"/>
    <s v="a06ak00000amzBxAAI"/>
    <s v="Miles Allen"/>
    <m/>
    <x v="7"/>
    <b v="0"/>
    <m/>
    <s v="005ak00000icyWTAAY"/>
    <s v="2026-09-16T17:01:29.000Z"/>
    <m/>
    <m/>
    <d v="2026-04-05T00:00:00"/>
    <s v="LSN-00796"/>
    <s v="L-0000778"/>
    <s v="131ak000001XjDuAAK"/>
    <b v="0"/>
    <b v="0"/>
    <s v="L-0000778"/>
    <s v="15:00:00.000Z"/>
    <x v="3"/>
    <s v="a07ak00001rZMruAAG"/>
    <s v="Diego Kelly"/>
    <s v="2026-09-16T17:01:29.000Z"/>
    <b v="1"/>
    <s v="a06ak00000amzBxAAI|2026-04-05|15:00:00.000Z"/>
    <n v="1"/>
    <s v="Brick"/>
    <x v="5"/>
    <x v="0"/>
  </r>
  <r>
    <s v="005ak00000icyWTAAY"/>
    <s v="2026-09-14T21:01:58.000Z"/>
    <n v="30"/>
    <s v="a0Aak00000FtDy7EAF"/>
    <s v="a06ak00000amzBxAAI"/>
    <s v="Miles Allen"/>
    <m/>
    <x v="7"/>
    <b v="0"/>
    <m/>
    <s v="005ak00000icyWTAAY"/>
    <s v="2026-09-16T17:01:29.000Z"/>
    <m/>
    <m/>
    <d v="2026-09-26T00:00:00"/>
    <s v="LSN-00797"/>
    <s v="L-0000779"/>
    <s v="131ak000001XjDuAAK"/>
    <b v="0"/>
    <b v="0"/>
    <s v="L-0000779"/>
    <s v="16:30:00.000Z"/>
    <x v="3"/>
    <s v="a07ak00001rZMruAAG"/>
    <s v="Diego Kelly"/>
    <s v="2026-09-16T17:01:29.000Z"/>
    <b v="1"/>
    <s v="a06ak00000amzBxAAI|2026-09-26|16:30:00.000Z"/>
    <n v="1"/>
    <s v="Brick"/>
    <x v="2"/>
    <x v="0"/>
  </r>
  <r>
    <s v="005ak00000icyWTAAY"/>
    <s v="2026-09-14T21:01:58.000Z"/>
    <n v="30"/>
    <s v="a0Aak00000FtDy8EAF"/>
    <s v="a06ak00000amzCBAAY"/>
    <s v="Aiden Hill"/>
    <m/>
    <x v="3"/>
    <b v="0"/>
    <m/>
    <s v="005ak00000icyWTAAY"/>
    <s v="2026-09-16T17:01:29.000Z"/>
    <m/>
    <m/>
    <d v="2026-01-14T00:00:00"/>
    <s v="LSN-00798"/>
    <s v="L-0000780"/>
    <s v="131ak000001XjDtAAK"/>
    <b v="0"/>
    <b v="0"/>
    <s v="L-0000780"/>
    <s v="16:00:00.000Z"/>
    <x v="3"/>
    <s v="a07ak00001rZMrvAAG"/>
    <s v="Savannah Patel"/>
    <s v="2026-09-16T17:01:29.000Z"/>
    <b v="1"/>
    <s v="a06ak00000amzCBAAY|2026-01-14|16:00:00.000Z"/>
    <n v="1"/>
    <s v="Red Bank"/>
    <x v="4"/>
    <x v="0"/>
  </r>
  <r>
    <s v="005ak00000icyWTAAY"/>
    <s v="2026-09-14T21:01:58.000Z"/>
    <n v="30"/>
    <s v="a0Aak00000FtDy9EAF"/>
    <s v="a06ak00000amzCBAAY"/>
    <s v="Aiden Hill"/>
    <s v="Good progress on technique."/>
    <x v="3"/>
    <b v="0"/>
    <m/>
    <s v="005ak00000icyWTAAY"/>
    <s v="2026-09-16T17:01:29.000Z"/>
    <m/>
    <m/>
    <d v="2026-09-17T00:00:00"/>
    <s v="LSN-00799"/>
    <s v="L-0000781"/>
    <s v="131ak000001XjDtAAK"/>
    <b v="0"/>
    <b v="0"/>
    <s v="L-0000781"/>
    <s v="15:30:00.000Z"/>
    <x v="0"/>
    <s v="a07ak00001rZMrvAAG"/>
    <s v="Savannah Patel"/>
    <s v="2026-09-16T17:01:29.000Z"/>
    <b v="1"/>
    <s v="a06ak00000amzCBAAY|2026-09-17|15:30:00.000Z"/>
    <n v="1"/>
    <s v="Red Bank"/>
    <x v="2"/>
    <x v="0"/>
  </r>
  <r>
    <s v="005ak00000icyWTAAY"/>
    <s v="2026-09-14T21:01:58.000Z"/>
    <n v="30"/>
    <s v="a0Aak00000FtDyAEAV"/>
    <s v="a06ak00000amzCBAAY"/>
    <s v="Aiden Hill"/>
    <s v="Focused on sight reading."/>
    <x v="3"/>
    <b v="0"/>
    <m/>
    <s v="005ak00000icyWTAAY"/>
    <s v="2026-09-16T17:01:29.000Z"/>
    <m/>
    <m/>
    <d v="2026-04-23T00:00:00"/>
    <s v="LSN-00800"/>
    <s v="L-0000782"/>
    <s v="131ak000001XjDtAAK"/>
    <b v="0"/>
    <b v="0"/>
    <s v="L-0000782"/>
    <s v="18:30:00.000Z"/>
    <x v="0"/>
    <s v="a07ak00001rZMrvAAG"/>
    <s v="Savannah Patel"/>
    <s v="2026-09-16T17:01:29.000Z"/>
    <b v="1"/>
    <s v="a06ak00000amzCBAAY|2026-04-23|18:30:00.000Z"/>
    <n v="1"/>
    <s v="Red Bank"/>
    <x v="5"/>
    <x v="0"/>
  </r>
  <r>
    <s v="005ak00000icyWTAAY"/>
    <s v="2026-09-14T21:01:59.000Z"/>
    <n v="30"/>
    <s v="a0Aak00000FtDyBEAV"/>
    <s v="a06ak00000amzC6AAI"/>
    <s v="Omar Perez"/>
    <s v="Good progress on technique."/>
    <x v="5"/>
    <b v="0"/>
    <m/>
    <s v="005ak00000icyWTAAY"/>
    <s v="2026-09-16T17:01:29.000Z"/>
    <m/>
    <m/>
    <d v="2026-06-19T00:00:00"/>
    <s v="LSN-00802"/>
    <s v="L-0000783"/>
    <s v="131ak000001XjDtAAK"/>
    <b v="0"/>
    <b v="0"/>
    <s v="L-0000783"/>
    <s v="10:00:00.000Z"/>
    <x v="0"/>
    <s v="a07ak00001rZMrwAAG"/>
    <s v="Jonah Clark"/>
    <s v="2026-09-16T17:01:29.000Z"/>
    <b v="1"/>
    <s v="a06ak00000amzC6AAI|2026-06-19|10:00:00.000Z"/>
    <n v="1"/>
    <s v="Red Bank"/>
    <x v="7"/>
    <x v="0"/>
  </r>
  <r>
    <s v="005ak00000icyWTAAY"/>
    <s v="2026-09-14T21:01:59.000Z"/>
    <n v="30"/>
    <s v="a0Aak00000FtDyCEAV"/>
    <s v="a06ak00000amzC6AAI"/>
    <s v="Omar Perez"/>
    <m/>
    <x v="5"/>
    <b v="0"/>
    <m/>
    <s v="005ak00000icyWTAAY"/>
    <s v="2026-09-16T17:01:29.000Z"/>
    <m/>
    <m/>
    <d v="2026-08-12T00:00:00"/>
    <s v="LSN-00803"/>
    <s v="L-0000784"/>
    <s v="131ak000001XjDtAAK"/>
    <b v="0"/>
    <b v="0"/>
    <s v="L-0000784"/>
    <s v="10:00:00.000Z"/>
    <x v="1"/>
    <s v="a07ak00001rZMrwAAG"/>
    <s v="Jonah Clark"/>
    <s v="2026-09-16T17:01:29.000Z"/>
    <b v="1"/>
    <s v=""/>
    <m/>
    <s v="Red Bank"/>
    <x v="6"/>
    <x v="0"/>
  </r>
  <r>
    <s v="005ak00000icyWTAAY"/>
    <s v="2026-09-14T21:01:59.000Z"/>
    <n v="30"/>
    <s v="a0Aak00000FtDyDEAV"/>
    <s v="a06ak00000amzC6AAI"/>
    <s v="Omar Perez"/>
    <s v="Worked on scales and timing."/>
    <x v="5"/>
    <b v="0"/>
    <m/>
    <s v="005ak00000icyWTAAY"/>
    <s v="2026-09-16T17:01:29.000Z"/>
    <m/>
    <m/>
    <d v="2026-04-28T00:00:00"/>
    <s v="LSN-00804"/>
    <s v="L-0000785"/>
    <s v="131ak000001XjDtAAK"/>
    <b v="0"/>
    <b v="0"/>
    <s v="L-0000785"/>
    <s v="16:00:00.000Z"/>
    <x v="0"/>
    <s v="a07ak00001rZMrwAAG"/>
    <s v="Jonah Clark"/>
    <s v="2026-09-16T17:01:29.000Z"/>
    <b v="1"/>
    <s v="a06ak00000amzC6AAI|2026-04-28|16:00:00.000Z"/>
    <n v="1"/>
    <s v="Red Bank"/>
    <x v="5"/>
    <x v="0"/>
  </r>
  <r>
    <s v="005ak00000icyWTAAY"/>
    <s v="2026-09-14T21:01:59.000Z"/>
    <n v="30"/>
    <s v="a0Aak00000FtDyEEAV"/>
    <s v="a06ak00000amzC6AAI"/>
    <s v="Omar Perez"/>
    <m/>
    <x v="5"/>
    <b v="0"/>
    <m/>
    <s v="005ak00000icyWTAAY"/>
    <s v="2026-09-25T18:00:49.000Z"/>
    <m/>
    <m/>
    <d v="2026-06-01T00:00:00"/>
    <s v="LSN-00805"/>
    <s v="L-0000786"/>
    <s v="131ak000001XjDtAAK"/>
    <b v="1"/>
    <b v="0"/>
    <s v="L-0000786"/>
    <s v="18:00:00.000Z"/>
    <x v="4"/>
    <s v="a07ak00001rZMrwAAG"/>
    <s v="Jonah Clark"/>
    <s v="2026-09-25T18:00:49.000Z"/>
    <b v="1"/>
    <s v=""/>
    <m/>
    <s v="Red Bank"/>
    <x v="7"/>
    <x v="0"/>
  </r>
  <r>
    <s v="005ak00000icyWTAAY"/>
    <s v="2026-09-14T21:01:59.000Z"/>
    <n v="60"/>
    <s v="a0Aak00000FtDyFEAV"/>
    <s v="a06ak00000amzC6AAI"/>
    <s v="Omar Perez"/>
    <s v="Good progress on technique."/>
    <x v="5"/>
    <b v="0"/>
    <m/>
    <s v="005ak00000icyWTAAY"/>
    <s v="2026-09-16T17:01:29.000Z"/>
    <m/>
    <m/>
    <d v="2026-03-27T00:00:00"/>
    <s v="LSN-00806"/>
    <s v="L-0000787"/>
    <s v="131ak000001XjDtAAK"/>
    <b v="0"/>
    <b v="0"/>
    <s v="L-0000787"/>
    <s v="10:00:00.000Z"/>
    <x v="0"/>
    <s v="a07ak00001rZMrwAAG"/>
    <s v="Jonah Clark"/>
    <s v="2026-09-16T17:01:29.000Z"/>
    <b v="1"/>
    <s v="a06ak00000amzC6AAI|2026-03-27|10:00:00.000Z"/>
    <n v="1"/>
    <s v="Red Bank"/>
    <x v="3"/>
    <x v="0"/>
  </r>
  <r>
    <s v="005ak00000icyWTAAY"/>
    <s v="2026-09-14T21:01:59.000Z"/>
    <n v="30"/>
    <s v="a0Aak00000FtDyGEAV"/>
    <s v="a06ak00000amzC6AAI"/>
    <s v="Omar Perez"/>
    <m/>
    <x v="5"/>
    <b v="0"/>
    <m/>
    <s v="005ak00000icyWTAAY"/>
    <s v="2026-09-16T17:01:29.000Z"/>
    <m/>
    <m/>
    <d v="2026-01-06T00:00:00"/>
    <s v="LSN-00807"/>
    <s v="L-0000788"/>
    <s v="131ak000001XjDtAAK"/>
    <b v="0"/>
    <b v="0"/>
    <s v="L-0000788"/>
    <s v="17:00:00.000Z"/>
    <x v="3"/>
    <s v="a07ak00001rZMrwAAG"/>
    <s v="Jonah Clark"/>
    <s v="2026-09-16T17:01:29.000Z"/>
    <b v="1"/>
    <s v="a06ak00000amzC6AAI|2026-01-06|17:00:00.000Z"/>
    <n v="1"/>
    <s v="Red Bank"/>
    <x v="4"/>
    <x v="0"/>
  </r>
  <r>
    <s v="005ak00000icyWTAAY"/>
    <s v="2026-09-14T21:01:59.000Z"/>
    <n v="60"/>
    <s v="a0Aak00000FtDyHEAV"/>
    <s v="a06ak00000amzC6AAI"/>
    <s v="Omar Perez"/>
    <s v="Reviewed last week&amp;#39;s assignment."/>
    <x v="5"/>
    <b v="0"/>
    <m/>
    <s v="005ak00000icyWTAAY"/>
    <s v="2026-09-16T17:01:29.000Z"/>
    <m/>
    <m/>
    <d v="2026-04-24T00:00:00"/>
    <s v="LSN-00808"/>
    <s v="L-0000789"/>
    <s v="131ak000001XjDtAAK"/>
    <b v="0"/>
    <b v="0"/>
    <s v="L-0000789"/>
    <s v="17:30:00.000Z"/>
    <x v="0"/>
    <s v="a07ak00001rZMrwAAG"/>
    <s v="Jonah Clark"/>
    <s v="2026-09-16T17:01:29.000Z"/>
    <b v="1"/>
    <s v="a06ak00000amzC6AAI|2026-04-24|17:30:00.000Z"/>
    <n v="1"/>
    <s v="Red Bank"/>
    <x v="5"/>
    <x v="0"/>
  </r>
  <r>
    <s v="005ak00000icyWTAAY"/>
    <s v="2026-09-14T21:01:59.000Z"/>
    <n v="45"/>
    <s v="a0Aak00000FtDyIEAV"/>
    <s v="a06ak00000amzC6AAI"/>
    <s v="Omar Perez"/>
    <s v="Reviewed last week&amp;#39;s assignment."/>
    <x v="5"/>
    <b v="0"/>
    <m/>
    <s v="005ak00000icyWTAAY"/>
    <s v="2026-09-16T17:01:29.000Z"/>
    <m/>
    <m/>
    <d v="2026-01-12T00:00:00"/>
    <s v="LSN-00809"/>
    <s v="L-0000790"/>
    <s v="131ak000001XjDtAAK"/>
    <b v="0"/>
    <b v="0"/>
    <s v="L-0000790"/>
    <s v="19:00:00.000Z"/>
    <x v="0"/>
    <s v="a07ak00001rZMrwAAG"/>
    <s v="Jonah Clark"/>
    <s v="2026-09-16T17:01:29.000Z"/>
    <b v="1"/>
    <s v="a06ak00000amzC6AAI|2026-01-12|19:00:00.000Z"/>
    <n v="1"/>
    <s v="Red Bank"/>
    <x v="4"/>
    <x v="0"/>
  </r>
  <r>
    <s v="005ak00000icyWTAAY"/>
    <s v="2026-09-14T21:01:59.000Z"/>
    <n v="60"/>
    <s v="a0Aak00000FtDyJEAV"/>
    <s v="a06ak00000amzBiAAI"/>
    <s v="Zoey Torres"/>
    <m/>
    <x v="8"/>
    <b v="0"/>
    <m/>
    <s v="005ak00000icyWTAAY"/>
    <s v="2026-09-16T17:01:29.000Z"/>
    <m/>
    <m/>
    <d v="2026-01-14T00:00:00"/>
    <s v="LSN-00810"/>
    <s v="L-0000791"/>
    <s v="131ak000001XjDtAAK"/>
    <b v="0"/>
    <b v="0"/>
    <s v="L-0000791"/>
    <s v="16:30:00.000Z"/>
    <x v="3"/>
    <s v="a07ak00001rZMrzAAG"/>
    <s v="Penelope Baker"/>
    <s v="2026-09-16T17:01:29.000Z"/>
    <b v="1"/>
    <s v="a06ak00000amzBiAAI|2026-01-14|16:30:00.000Z"/>
    <n v="1"/>
    <s v="Red Bank"/>
    <x v="4"/>
    <x v="0"/>
  </r>
  <r>
    <s v="005ak00000icyWTAAY"/>
    <s v="2026-09-14T21:01:59.000Z"/>
    <n v="60"/>
    <s v="a0Aak00000FtDyKEAV"/>
    <s v="a06ak00000amzBiAAI"/>
    <s v="Zoey Torres"/>
    <m/>
    <x v="8"/>
    <b v="0"/>
    <m/>
    <s v="005ak00000icyWTAAY"/>
    <s v="2026-09-16T17:01:29.000Z"/>
    <m/>
    <m/>
    <d v="2026-10-03T00:00:00"/>
    <s v="LSN-00811"/>
    <s v="L-0000792"/>
    <s v="131ak000001XjDtAAK"/>
    <b v="0"/>
    <b v="0"/>
    <s v="L-0000792"/>
    <s v="16:30:00.000Z"/>
    <x v="3"/>
    <s v="a07ak00001rZMrzAAG"/>
    <s v="Penelope Baker"/>
    <s v="2026-09-16T17:01:29.000Z"/>
    <b v="1"/>
    <s v="a06ak00000amzBiAAI|2026-10-03|16:30:00.000Z"/>
    <n v="1"/>
    <s v="Red Bank"/>
    <x v="9"/>
    <x v="0"/>
  </r>
  <r>
    <s v="005ak00000icyWTAAY"/>
    <s v="2026-09-14T21:01:59.000Z"/>
    <n v="30"/>
    <s v="a0Aak00000FtDyLEAV"/>
    <s v="a06ak00000amzBfAAI"/>
    <s v="Mia Smith"/>
    <s v="Good progress on technique."/>
    <x v="6"/>
    <b v="0"/>
    <m/>
    <s v="005ak00000icyWTAAY"/>
    <s v="2026-09-16T17:01:29.000Z"/>
    <m/>
    <m/>
    <d v="2026-06-03T00:00:00"/>
    <s v="LSN-00812"/>
    <s v="L-0000793"/>
    <s v="131ak000001XjDuAAK"/>
    <b v="0"/>
    <b v="0"/>
    <s v="L-0000793"/>
    <s v="10:00:00.000Z"/>
    <x v="0"/>
    <s v="a07ak00001rZMs0AAG"/>
    <s v="Sofia Nelson"/>
    <s v="2026-09-16T17:01:29.000Z"/>
    <b v="1"/>
    <s v="a06ak00000amzBfAAI|2026-06-03|10:00:00.000Z"/>
    <n v="1"/>
    <s v="Brick"/>
    <x v="7"/>
    <x v="0"/>
  </r>
  <r>
    <s v="005ak00000icyWTAAY"/>
    <s v="2026-09-14T21:01:59.000Z"/>
    <n v="30"/>
    <s v="a0Aak00000FtDyMEAV"/>
    <s v="a06ak00000amzBfAAI"/>
    <s v="Mia Smith"/>
    <m/>
    <x v="6"/>
    <b v="0"/>
    <m/>
    <s v="005ak00000icyWTAAY"/>
    <s v="2026-09-16T17:01:29.000Z"/>
    <m/>
    <m/>
    <d v="2026-03-11T00:00:00"/>
    <s v="LSN-00813"/>
    <s v="L-0000794"/>
    <s v="131ak000001XjDuAAK"/>
    <b v="0"/>
    <b v="0"/>
    <s v="L-0000794"/>
    <s v="15:30:00.000Z"/>
    <x v="0"/>
    <s v="a07ak00001rZMs0AAG"/>
    <s v="Sofia Nelson"/>
    <s v="2026-09-16T17:01:29.000Z"/>
    <b v="1"/>
    <s v="a06ak00000amzBfAAI|2026-03-11|15:30:00.000Z"/>
    <n v="1"/>
    <s v="Brick"/>
    <x v="3"/>
    <x v="0"/>
  </r>
  <r>
    <s v="005ak00000icyWTAAY"/>
    <s v="2026-09-14T21:01:59.000Z"/>
    <n v="30"/>
    <s v="a0Aak00000FtDyNEAV"/>
    <s v="a06ak00000amzCIAAY"/>
    <s v="Omar Nelson"/>
    <m/>
    <x v="7"/>
    <b v="0"/>
    <m/>
    <s v="005ak00000icyWTAAY"/>
    <s v="2026-09-16T17:01:29.000Z"/>
    <m/>
    <m/>
    <d v="2026-01-29T00:00:00"/>
    <s v="LSN-00814"/>
    <s v="L-0000795"/>
    <s v="131ak000001XjDvAAK"/>
    <b v="0"/>
    <b v="0"/>
    <s v="L-0000795"/>
    <s v="19:00:00.000Z"/>
    <x v="3"/>
    <s v="a07ak00001rZMs1AAG"/>
    <s v="Nathan Ahmed"/>
    <s v="2026-09-16T17:01:29.000Z"/>
    <b v="1"/>
    <s v="a06ak00000amzCIAAY|2026-01-29|19:00:00.000Z"/>
    <n v="1"/>
    <s v="Toms River"/>
    <x v="4"/>
    <x v="0"/>
  </r>
  <r>
    <s v="005ak00000icyWTAAY"/>
    <s v="2026-09-14T21:01:59.000Z"/>
    <n v="60"/>
    <s v="a0Aak00000FtDyOEAV"/>
    <s v="a06ak00000amzCIAAY"/>
    <s v="Omar Nelson"/>
    <m/>
    <x v="7"/>
    <b v="0"/>
    <m/>
    <s v="005ak00000icyWTAAY"/>
    <s v="2026-09-16T17:01:29.000Z"/>
    <m/>
    <m/>
    <d v="2026-06-02T00:00:00"/>
    <s v="LSN-00815"/>
    <s v="L-0000796"/>
    <s v="131ak000001XjDvAAK"/>
    <b v="0"/>
    <b v="0"/>
    <s v="L-0000796"/>
    <s v="16:00:00.000Z"/>
    <x v="0"/>
    <s v="a07ak00001rZMs1AAG"/>
    <s v="Nathan Ahmed"/>
    <s v="2026-09-16T17:01:29.000Z"/>
    <b v="1"/>
    <s v="a06ak00000amzCIAAY|2026-06-02|16:00:00.000Z"/>
    <n v="1"/>
    <s v="Toms River"/>
    <x v="7"/>
    <x v="0"/>
  </r>
  <r>
    <s v="005ak00000icyWTAAY"/>
    <s v="2026-09-14T21:01:59.000Z"/>
    <n v="30"/>
    <s v="a0Aak00000FtDyPEAV"/>
    <s v="a06ak00000amzCIAAY"/>
    <s v="Omar Nelson"/>
    <s v="Reviewed last week&amp;#39;s assignment."/>
    <x v="7"/>
    <b v="0"/>
    <m/>
    <s v="005ak00000icyWTAAY"/>
    <s v="2026-09-16T17:01:29.000Z"/>
    <m/>
    <m/>
    <d v="2026-03-27T00:00:00"/>
    <s v="LSN-00816"/>
    <s v="L-0000797"/>
    <s v="131ak000001XjDvAAK"/>
    <b v="0"/>
    <b v="0"/>
    <s v="L-0000797"/>
    <s v="17:30:00.000Z"/>
    <x v="0"/>
    <s v="a07ak00001rZMs1AAG"/>
    <s v="Nathan Ahmed"/>
    <s v="2026-09-16T17:01:29.000Z"/>
    <b v="1"/>
    <s v="a06ak00000amzCIAAY|2026-03-27|17:30:00.000Z"/>
    <n v="1"/>
    <s v="Toms River"/>
    <x v="3"/>
    <x v="0"/>
  </r>
  <r>
    <s v="005ak00000icyWTAAY"/>
    <s v="2026-09-14T21:01:59.000Z"/>
    <n v="30"/>
    <s v="a0Aak00000FtDyQEAV"/>
    <s v="a06ak00000amzCIAAY"/>
    <s v="Omar Nelson"/>
    <m/>
    <x v="7"/>
    <b v="0"/>
    <m/>
    <s v="005ak00000icyWTAAY"/>
    <s v="2026-09-16T17:01:29.000Z"/>
    <m/>
    <m/>
    <d v="2026-08-18T00:00:00"/>
    <s v="LSN-00817"/>
    <s v="L-0000798"/>
    <s v="131ak000001XjDvAAK"/>
    <b v="0"/>
    <b v="0"/>
    <s v="L-0000798"/>
    <s v="17:30:00.000Z"/>
    <x v="1"/>
    <s v="a07ak00001rZMs1AAG"/>
    <s v="Nathan Ahmed"/>
    <s v="2026-09-16T17:01:29.000Z"/>
    <b v="1"/>
    <s v=""/>
    <m/>
    <s v="Toms River"/>
    <x v="6"/>
    <x v="0"/>
  </r>
  <r>
    <s v="005ak00000icyWTAAY"/>
    <s v="2026-09-14T21:01:59.000Z"/>
    <n v="30"/>
    <s v="a0Aak00000FtDyREAV"/>
    <s v="a06ak00000amzCIAAY"/>
    <s v="Omar Nelson"/>
    <m/>
    <x v="7"/>
    <b v="0"/>
    <m/>
    <s v="005ak00000icyWTAAY"/>
    <s v="2026-09-16T17:01:29.000Z"/>
    <m/>
    <m/>
    <d v="2026-01-08T00:00:00"/>
    <s v="LSN-00818"/>
    <s v="L-0000799"/>
    <s v="131ak000001XjDvAAK"/>
    <b v="0"/>
    <b v="0"/>
    <s v="L-0000799"/>
    <s v="17:30:00.000Z"/>
    <x v="3"/>
    <s v="a07ak00001rZMs1AAG"/>
    <s v="Nathan Ahmed"/>
    <s v="2026-09-16T17:01:29.000Z"/>
    <b v="1"/>
    <s v="a06ak00000amzCIAAY|2026-01-08|17:30:00.000Z"/>
    <n v="1"/>
    <s v="Toms River"/>
    <x v="4"/>
    <x v="0"/>
  </r>
  <r>
    <s v="005ak00000icyWTAAY"/>
    <s v="2026-09-14T21:01:59.000Z"/>
    <n v="30"/>
    <s v="a0Aak00000FtDySEAV"/>
    <s v="a06ak00000amzCIAAY"/>
    <s v="Omar Nelson"/>
    <s v="Good progress on technique."/>
    <x v="7"/>
    <b v="0"/>
    <m/>
    <s v="005ak00000icyWTAAY"/>
    <s v="2026-09-16T17:01:29.000Z"/>
    <m/>
    <m/>
    <d v="2026-05-24T00:00:00"/>
    <s v="LSN-00819"/>
    <s v="L-0000800"/>
    <s v="131ak000001XjDvAAK"/>
    <b v="0"/>
    <b v="0"/>
    <s v="L-0000800"/>
    <s v="19:00:00.000Z"/>
    <x v="0"/>
    <s v="a07ak00001rZMs1AAG"/>
    <s v="Nathan Ahmed"/>
    <s v="2026-09-16T17:01:29.000Z"/>
    <b v="1"/>
    <s v="a06ak00000amzCIAAY|2026-05-24|19:00:00.000Z"/>
    <n v="1"/>
    <s v="Toms River"/>
    <x v="0"/>
    <x v="0"/>
  </r>
  <r>
    <s v="005ak00000icyWTAAY"/>
    <s v="2026-09-14T21:01:59.000Z"/>
    <n v="45"/>
    <s v="a0Aak00000FtDyTEAV"/>
    <s v="a06ak00000amzCIAAY"/>
    <s v="Omar Nelson"/>
    <s v="Focused on sight reading."/>
    <x v="7"/>
    <b v="0"/>
    <m/>
    <s v="005ak00000icyWTAAY"/>
    <s v="2026-09-16T17:01:29.000Z"/>
    <m/>
    <m/>
    <d v="2026-01-28T00:00:00"/>
    <s v="LSN-00820"/>
    <s v="L-0000801"/>
    <s v="131ak000001XjDvAAK"/>
    <b v="0"/>
    <b v="0"/>
    <s v="L-0000801"/>
    <s v="10:00:00.000Z"/>
    <x v="0"/>
    <s v="a07ak00001rZMs1AAG"/>
    <s v="Nathan Ahmed"/>
    <s v="2026-09-16T17:01:29.000Z"/>
    <b v="1"/>
    <s v="a06ak00000amzCIAAY|2026-01-28|10:00:00.000Z"/>
    <n v="1"/>
    <s v="Toms River"/>
    <x v="4"/>
    <x v="0"/>
  </r>
  <r>
    <s v="005ak00000icyWTAAY"/>
    <s v="2026-09-14T21:01:59.000Z"/>
    <n v="60"/>
    <s v="a0Aak00000FtDyUEAV"/>
    <s v="a06ak00000amzBvAAI"/>
    <s v="Caroline Okafor"/>
    <m/>
    <x v="1"/>
    <b v="0"/>
    <m/>
    <s v="005ak00000icyWTAAY"/>
    <s v="2026-09-16T17:01:29.000Z"/>
    <m/>
    <m/>
    <d v="2026-06-24T00:00:00"/>
    <s v="LSN-00821"/>
    <s v="L-0000802"/>
    <s v="131ak000001XjDuAAK"/>
    <b v="0"/>
    <b v="0"/>
    <s v="L-0000802"/>
    <s v="18:00:00.000Z"/>
    <x v="3"/>
    <s v="a07ak00001rZMs2AAG"/>
    <s v="Sofia Johnson"/>
    <s v="2026-09-16T17:01:29.000Z"/>
    <b v="1"/>
    <s v="a06ak00000amzBvAAI|2026-06-24|18:00:00.000Z"/>
    <n v="1"/>
    <s v="Brick"/>
    <x v="7"/>
    <x v="0"/>
  </r>
  <r>
    <s v="005ak00000icyWTAAY"/>
    <s v="2026-09-14T21:01:59.000Z"/>
    <n v="60"/>
    <s v="a0Aak00000FtDyVEAV"/>
    <s v="a06ak00000amzBvAAI"/>
    <s v="Caroline Okafor"/>
    <s v="Focused on sight reading."/>
    <x v="1"/>
    <b v="0"/>
    <m/>
    <s v="005ak00000icyWTAAY"/>
    <s v="2026-09-16T17:01:29.000Z"/>
    <m/>
    <m/>
    <d v="2026-05-28T00:00:00"/>
    <s v="LSN-00822"/>
    <s v="L-0000803"/>
    <s v="131ak000001XjDuAAK"/>
    <b v="0"/>
    <b v="0"/>
    <s v="L-0000803"/>
    <s v="11:00:00.000Z"/>
    <x v="0"/>
    <s v="a07ak00001rZMs2AAG"/>
    <s v="Sofia Johnson"/>
    <s v="2026-09-16T17:01:29.000Z"/>
    <b v="1"/>
    <s v="a06ak00000amzBvAAI|2026-05-28|11:00:00.000Z"/>
    <n v="1"/>
    <s v="Brick"/>
    <x v="0"/>
    <x v="0"/>
  </r>
  <r>
    <s v="005ak00000icyWTAAY"/>
    <s v="2026-09-14T21:01:59.000Z"/>
    <n v="30"/>
    <s v="a0Aak00000FtDyWEAV"/>
    <s v="a06ak00000amzBvAAI"/>
    <s v="Caroline Okafor"/>
    <s v="Worked on scales and timing."/>
    <x v="1"/>
    <b v="0"/>
    <m/>
    <s v="005ak00000icyWTAAY"/>
    <s v="2026-09-16T17:01:29.000Z"/>
    <m/>
    <m/>
    <d v="2026-07-24T00:00:00"/>
    <s v="LSN-00823"/>
    <s v="L-0000804"/>
    <s v="131ak000001XjDuAAK"/>
    <b v="0"/>
    <b v="0"/>
    <s v="L-0000804"/>
    <s v="19:00:00.000Z"/>
    <x v="0"/>
    <s v="a07ak00001rZMs2AAG"/>
    <s v="Sofia Johnson"/>
    <s v="2026-09-16T17:01:29.000Z"/>
    <b v="1"/>
    <s v="a06ak00000amzBvAAI|2026-07-24|19:00:00.000Z"/>
    <n v="1"/>
    <s v="Brick"/>
    <x v="8"/>
    <x v="0"/>
  </r>
  <r>
    <s v="005ak00000icyWTAAY"/>
    <s v="2026-09-14T21:01:59.000Z"/>
    <n v="30"/>
    <s v="a0Aak00000FtDyXEAV"/>
    <s v="a06ak00000amzBvAAI"/>
    <s v="Caroline Okafor"/>
    <s v="Good progress on technique."/>
    <x v="1"/>
    <b v="0"/>
    <m/>
    <s v="005ak00000icyWTAAY"/>
    <s v="2026-09-16T17:01:29.000Z"/>
    <m/>
    <m/>
    <d v="2026-03-27T00:00:00"/>
    <s v="LSN-00824"/>
    <s v="L-0000805"/>
    <s v="131ak000001XjDuAAK"/>
    <b v="0"/>
    <b v="0"/>
    <s v="L-0000805"/>
    <s v="16:30:00.000Z"/>
    <x v="0"/>
    <s v="a07ak00001rZMs2AAG"/>
    <s v="Sofia Johnson"/>
    <s v="2026-09-16T17:01:29.000Z"/>
    <b v="1"/>
    <s v="a06ak00000amzBvAAI|2026-03-27|16:30:00.000Z"/>
    <n v="1"/>
    <s v="Brick"/>
    <x v="3"/>
    <x v="0"/>
  </r>
  <r>
    <s v="005ak00000icyWTAAY"/>
    <s v="2026-09-14T21:01:59.000Z"/>
    <n v="30"/>
    <s v="a0Aak00000FtDyYEAV"/>
    <s v="a06ak00000amzBvAAI"/>
    <s v="Caroline Okafor"/>
    <m/>
    <x v="1"/>
    <b v="0"/>
    <m/>
    <s v="005ak00000icyWTAAY"/>
    <s v="2026-09-16T17:01:29.000Z"/>
    <m/>
    <m/>
    <d v="2026-05-07T00:00:00"/>
    <s v="LSN-00825"/>
    <s v="L-0000806"/>
    <s v="131ak000001XjDuAAK"/>
    <b v="0"/>
    <b v="0"/>
    <s v="L-0000806"/>
    <s v="15:00:00.000Z"/>
    <x v="0"/>
    <s v="a07ak00001rZMs2AAG"/>
    <s v="Sofia Johnson"/>
    <s v="2026-09-16T17:01:29.000Z"/>
    <b v="1"/>
    <s v="a06ak00000amzBvAAI|2026-05-07|15:00:00.000Z"/>
    <n v="1"/>
    <s v="Brick"/>
    <x v="0"/>
    <x v="0"/>
  </r>
  <r>
    <s v="005ak00000icyWTAAY"/>
    <s v="2026-09-14T21:01:59.000Z"/>
    <n v="45"/>
    <s v="a0Aak00000FtDyZEAV"/>
    <s v="a06ak00000amzBzAAI"/>
    <s v="Ezra Garcia"/>
    <s v="Reviewed last week&amp;#39;s assignment."/>
    <x v="5"/>
    <b v="0"/>
    <m/>
    <s v="005ak00000icyWTAAY"/>
    <s v="2026-09-16T17:01:29.000Z"/>
    <m/>
    <m/>
    <d v="2026-05-10T00:00:00"/>
    <s v="LSN-00826"/>
    <s v="L-0000807"/>
    <s v="131ak000001XjDuAAK"/>
    <b v="0"/>
    <b v="0"/>
    <s v="L-0000807"/>
    <s v="18:30:00.000Z"/>
    <x v="0"/>
    <s v="a07ak00001rZMs3AAG"/>
    <s v="LOGAN Harris"/>
    <s v="2026-09-16T17:01:29.000Z"/>
    <b v="1"/>
    <s v="a06ak00000amzBzAAI|2026-05-10|18:30:00.000Z"/>
    <n v="1"/>
    <s v="Brick"/>
    <x v="0"/>
    <x v="0"/>
  </r>
  <r>
    <s v="005ak00000icyWTAAY"/>
    <s v="2026-09-14T21:01:59.000Z"/>
    <n v="30"/>
    <s v="a0Aak00000FtDyaEAF"/>
    <s v="a06ak00000amzBzAAI"/>
    <s v="Ezra Garcia"/>
    <m/>
    <x v="5"/>
    <b v="0"/>
    <m/>
    <s v="005ak00000icyWTAAY"/>
    <s v="2026-09-16T17:01:29.000Z"/>
    <m/>
    <m/>
    <d v="2026-02-19T00:00:00"/>
    <s v="LSN-00827"/>
    <s v="L-0000808"/>
    <s v="131ak000001XjDuAAK"/>
    <b v="0"/>
    <b v="0"/>
    <s v="L-0000808"/>
    <s v="16:00:00.000Z"/>
    <x v="3"/>
    <s v="a07ak00001rZMs3AAG"/>
    <s v="LOGAN Harris"/>
    <s v="2026-09-16T17:01:29.000Z"/>
    <b v="1"/>
    <s v="a06ak00000amzBzAAI|2026-02-19|16:00:00.000Z"/>
    <n v="1"/>
    <s v="Brick"/>
    <x v="1"/>
    <x v="0"/>
  </r>
  <r>
    <s v="005ak00000icyWTAAY"/>
    <s v="2026-09-14T21:01:59.000Z"/>
    <n v="30"/>
    <s v="a0Aak00000FtDybEAF"/>
    <s v="a06ak00000amzBzAAI"/>
    <s v="Ezra Garcia"/>
    <s v="Good progress on technique."/>
    <x v="5"/>
    <b v="0"/>
    <m/>
    <s v="005ak00000icyWTAAY"/>
    <s v="2026-09-16T17:01:29.000Z"/>
    <m/>
    <m/>
    <d v="2026-07-11T00:00:00"/>
    <s v="LSN-00828"/>
    <s v="L-0000809"/>
    <s v="131ak000001XjDuAAK"/>
    <b v="0"/>
    <b v="0"/>
    <s v="L-0000809"/>
    <s v="18:00:00.000Z"/>
    <x v="0"/>
    <s v="a07ak00001rZMs3AAG"/>
    <s v="LOGAN Harris"/>
    <s v="2026-09-16T17:01:29.000Z"/>
    <b v="1"/>
    <s v="a06ak00000amzBzAAI|2026-07-11|18:00:00.000Z"/>
    <n v="1"/>
    <s v="Brick"/>
    <x v="8"/>
    <x v="0"/>
  </r>
  <r>
    <s v="005ak00000icyWTAAY"/>
    <s v="2026-09-14T21:01:59.000Z"/>
    <n v="30"/>
    <s v="a0Aak00000FtDycEAF"/>
    <s v="a06ak00000amzBzAAI"/>
    <s v="Ezra Garcia"/>
    <m/>
    <x v="5"/>
    <b v="0"/>
    <m/>
    <s v="005ak00000icyWTAAY"/>
    <s v="2026-09-16T17:01:29.000Z"/>
    <m/>
    <m/>
    <d v="2026-04-26T00:00:00"/>
    <s v="LSN-00829"/>
    <s v="L-0000810"/>
    <s v="131ak000001XjDuAAK"/>
    <b v="0"/>
    <b v="0"/>
    <s v="L-0000810"/>
    <s v="18:00:00.000Z"/>
    <x v="3"/>
    <s v="a07ak00001rZMs3AAG"/>
    <s v="LOGAN Harris"/>
    <s v="2026-09-16T17:01:29.000Z"/>
    <b v="1"/>
    <s v="a06ak00000amzBzAAI|2026-04-26|18:00:00.000Z"/>
    <n v="1"/>
    <s v="Brick"/>
    <x v="5"/>
    <x v="0"/>
  </r>
  <r>
    <s v="005ak00000icyWTAAY"/>
    <s v="2026-09-14T21:01:59.000Z"/>
    <n v="45"/>
    <s v="a0Aak00000FtDydEAF"/>
    <s v="a06ak00000amzBzAAI"/>
    <s v="Ezra Garcia"/>
    <s v="Good progress on technique."/>
    <x v="5"/>
    <b v="0"/>
    <m/>
    <s v="005ak00000icyWTAAY"/>
    <s v="2026-09-16T17:01:29.000Z"/>
    <m/>
    <m/>
    <d v="2026-06-28T00:00:00"/>
    <s v="LSN-00830"/>
    <s v="L-0000811"/>
    <s v="131ak000001XjDuAAK"/>
    <b v="0"/>
    <b v="0"/>
    <s v="L-0000811"/>
    <s v="15:00:00.000Z"/>
    <x v="0"/>
    <s v="a07ak00001rZMs3AAG"/>
    <s v="LOGAN Harris"/>
    <s v="2026-09-16T17:01:29.000Z"/>
    <b v="1"/>
    <s v="a06ak00000amzBzAAI|2026-06-28|15:00:00.000Z"/>
    <n v="1"/>
    <s v="Brick"/>
    <x v="7"/>
    <x v="0"/>
  </r>
  <r>
    <s v="005ak00000icyWTAAY"/>
    <s v="2026-09-14T21:16:27.000Z"/>
    <n v="45"/>
    <s v="a0Aak00000FtFrOEAV"/>
    <s v="a06ak00000amzC7AAI"/>
    <s v="Wyatt Hall"/>
    <s v="Worked on scales and timing."/>
    <x v="10"/>
    <b v="0"/>
    <m/>
    <s v="005ak00000icyWTAAY"/>
    <s v="2026-09-16T17:01:26.000Z"/>
    <m/>
    <m/>
    <d v="2026-06-02T00:00:00"/>
    <s v="LSN-00114"/>
    <s v="L-0000812"/>
    <s v="131ak000001XjDtAAK"/>
    <b v="0"/>
    <b v="0"/>
    <s v="L-0000812"/>
    <s v="16:30:00.000Z"/>
    <x v="0"/>
    <s v="a07ak00001rZMpXAAW"/>
    <s v="Jordan Miller"/>
    <s v="2026-09-16T17:01:26.000Z"/>
    <b v="1"/>
    <s v="a06ak00000amzC7AAI|2026-06-02|16:30:00.000Z"/>
    <n v="1"/>
    <s v="Red Bank"/>
    <x v="7"/>
    <x v="0"/>
  </r>
  <r>
    <s v="005ak00000icyWTAAY"/>
    <s v="2026-09-14T21:16:27.000Z"/>
    <n v="30"/>
    <s v="a0Aak00000FtFrPEAV"/>
    <s v="a06ak00000amzCIAAY"/>
    <s v="Omar Nelson"/>
    <s v="Started new piece."/>
    <x v="7"/>
    <b v="0"/>
    <m/>
    <s v="005ak00000icyWTAAY"/>
    <s v="2026-09-16T17:01:26.000Z"/>
    <m/>
    <m/>
    <d v="2026-04-05T00:00:00"/>
    <s v="LSN-00136"/>
    <s v="L-0000813"/>
    <s v="131ak000001XjDvAAK"/>
    <b v="0"/>
    <b v="0"/>
    <s v="L-0000813"/>
    <s v="15:30:00.000Z"/>
    <x v="0"/>
    <s v="a07ak00001rZMpcAAG"/>
    <s v="Adrian Sullivan"/>
    <s v="2026-09-16T17:01:26.000Z"/>
    <b v="1"/>
    <s v="a06ak00000amzCIAAY|2026-04-05|15:30:00.000Z"/>
    <n v="1"/>
    <s v="Toms River"/>
    <x v="5"/>
    <x v="0"/>
  </r>
  <r>
    <s v="005ak00000icyWTAAY"/>
    <s v="2026-09-14T21:16:29.000Z"/>
    <n v="30"/>
    <s v="a0Aak00000FtFxoEAF"/>
    <s v="a06ak00000amzCLAAY"/>
    <s v="Liam Moore"/>
    <m/>
    <x v="7"/>
    <b v="0"/>
    <m/>
    <s v="005ak00000icyWTAAY"/>
    <s v="2026-09-25T18:00:49.000Z"/>
    <m/>
    <m/>
    <d v="2026-09-01T00:00:00"/>
    <s v="LSN-00213"/>
    <s v="L-0000814"/>
    <s v="131ak000001XjDtAAK"/>
    <b v="1"/>
    <b v="1"/>
    <s v="L-0000814"/>
    <s v="10:00:00.000Z"/>
    <x v="4"/>
    <s v="a07ak00001rZMpsAAG"/>
    <s v="Aubrey Clark"/>
    <s v="2026-09-25T18:00:49.000Z"/>
    <b v="1"/>
    <s v=""/>
    <m/>
    <s v="Red Bank"/>
    <x v="2"/>
    <x v="0"/>
  </r>
  <r>
    <s v="005ak00000icyWTAAY"/>
    <s v="2026-09-14T21:16:29.000Z"/>
    <n v="30"/>
    <s v="a0Aak00000FtFxpEAF"/>
    <s v="a06ak00000amzBvAAI"/>
    <s v="Caroline Okafor"/>
    <m/>
    <x v="1"/>
    <b v="0"/>
    <m/>
    <s v="005ak00000icyWTAAY"/>
    <s v="2026-09-25T18:00:49.000Z"/>
    <m/>
    <m/>
    <d v="2026-02-14T00:00:00"/>
    <s v="LSN-00255"/>
    <s v="L-0000815"/>
    <s v="131ak000001XjDuAAK"/>
    <b v="1"/>
    <b v="1"/>
    <s v="L-0000815"/>
    <s v="15:00:00.000Z"/>
    <x v="4"/>
    <s v="a07ak00001rZMq4AAG"/>
    <s v="Sofia Johnson"/>
    <s v="2026-09-25T18:00:49.000Z"/>
    <b v="1"/>
    <s v=""/>
    <m/>
    <s v="Brick"/>
    <x v="1"/>
    <x v="0"/>
  </r>
  <r>
    <s v="005ak00000icyWTAAY"/>
    <s v="2026-09-14T21:16:29.000Z"/>
    <n v="45"/>
    <s v="a0Aak00000FtFxqEAF"/>
    <s v="a06ak00000amzBnAAI"/>
    <s v="Charlotte Nakamura"/>
    <m/>
    <x v="7"/>
    <b v="0"/>
    <m/>
    <s v="005ak00000icyWTAAY"/>
    <s v="2026-09-25T18:00:49.000Z"/>
    <m/>
    <m/>
    <d v="2026-06-23T00:00:00"/>
    <s v="LSN-00370"/>
    <s v="L-0000816"/>
    <s v="131ak000001XjDtAAK"/>
    <b v="1"/>
    <b v="1"/>
    <s v="L-0000816"/>
    <s v="11:00:00.000Z"/>
    <x v="4"/>
    <s v="a07ak00001rZMqTAAW"/>
    <s v="Naomi Kowalski"/>
    <s v="2026-09-25T18:00:49.000Z"/>
    <b v="1"/>
    <s v=""/>
    <m/>
    <s v="Red Bank"/>
    <x v="7"/>
    <x v="0"/>
  </r>
  <r>
    <s v="005ak00000icyWTAAY"/>
    <s v="2026-09-14T21:16:29.000Z"/>
    <n v="30"/>
    <s v="a0Aak00000FtFxrEAF"/>
    <s v="a06ak00000amzC1AAI"/>
    <s v="Valentina Nakamura"/>
    <s v="Worked on scales and timing."/>
    <x v="5"/>
    <b v="0"/>
    <m/>
    <s v="005ak00000icyWTAAY"/>
    <s v="2026-09-16T17:01:26.000Z"/>
    <m/>
    <m/>
    <d v="2026-05-24T00:00:00"/>
    <s v="LSN-00384"/>
    <s v="L-0000817"/>
    <s v="131ak000001XjDuAAK"/>
    <b v="0"/>
    <b v="0"/>
    <s v="L-0000817"/>
    <s v="17:30:00.000Z"/>
    <x v="0"/>
    <s v="a07ak00001rZMqWAAW"/>
    <s v="Jackson Ryan"/>
    <s v="2026-09-16T17:01:26.000Z"/>
    <b v="1"/>
    <s v="a06ak00000amzC1AAI|2026-05-24|17:30:00.000Z"/>
    <n v="1"/>
    <s v="Brick"/>
    <x v="0"/>
    <x v="0"/>
  </r>
  <r>
    <s v="005ak00000icyWTAAY"/>
    <s v="2026-09-14T21:16:31.000Z"/>
    <n v="30"/>
    <s v="a0Aak00000FtG4KEAV"/>
    <s v="a06ak00000amzC2AAI"/>
    <s v="Lily Rossi"/>
    <s v="Reviewed last week&amp;#39;s assignment."/>
    <x v="9"/>
    <b v="0"/>
    <m/>
    <s v="005ak00000icyWTAAY"/>
    <s v="2026-09-16T17:01:27.000Z"/>
    <m/>
    <m/>
    <d v="2026-08-10T00:00:00"/>
    <s v="LSN-00434"/>
    <s v="L-0000818"/>
    <s v="131ak000001XjDtAAK"/>
    <b v="0"/>
    <b v="0"/>
    <s v="L-0000818"/>
    <s v="15:00:00.000Z"/>
    <x v="0"/>
    <s v="a07ak00001rZMqgAAG"/>
    <s v="Adrian Lewis"/>
    <s v="2026-09-16T17:01:27.000Z"/>
    <b v="1"/>
    <s v="a06ak00000amzC2AAI|2026-08-10|15:00:00.000Z"/>
    <n v="1"/>
    <s v="Red Bank"/>
    <x v="6"/>
    <x v="0"/>
  </r>
  <r>
    <s v="005ak00000icyWTAAY"/>
    <s v="2026-09-14T21:16:31.000Z"/>
    <n v="45"/>
    <s v="a0Aak00000FtG4LEAV"/>
    <s v="a06ak00000amzCBAAY"/>
    <s v="Aiden Hill"/>
    <s v="Focused on sight reading."/>
    <x v="3"/>
    <b v="0"/>
    <m/>
    <s v="005ak00000icyWTAAY"/>
    <s v="2026-09-16T17:01:27.000Z"/>
    <m/>
    <m/>
    <d v="2026-06-18T00:00:00"/>
    <s v="LSN-00484"/>
    <s v="L-0000819"/>
    <s v="131ak000001XjDtAAK"/>
    <b v="0"/>
    <b v="0"/>
    <s v="L-0000819"/>
    <s v="17:30:00.000Z"/>
    <x v="0"/>
    <s v="a07ak00001rZMqrAAG"/>
    <s v="Ruby Moore"/>
    <s v="2026-09-16T17:01:27.000Z"/>
    <b v="1"/>
    <s v="a06ak00000amzCBAAY|2026-06-18|17:30:00.000Z"/>
    <n v="1"/>
    <s v="Red Bank"/>
    <x v="7"/>
    <x v="0"/>
  </r>
  <r>
    <s v="005ak00000icyWTAAY"/>
    <s v="2026-09-14T21:16:31.000Z"/>
    <n v="30"/>
    <s v="a0Aak00000FtG4MEAV"/>
    <s v="a06ak00000amzCIAAY"/>
    <s v="Omar Nelson"/>
    <m/>
    <x v="7"/>
    <b v="0"/>
    <m/>
    <s v="005ak00000icyWTAAY"/>
    <s v="2026-09-16T17:01:27.000Z"/>
    <m/>
    <m/>
    <d v="2026-08-03T00:00:00"/>
    <s v="LSN-00503"/>
    <s v="L-0000820"/>
    <s v="131ak000001XjDvAAK"/>
    <b v="0"/>
    <b v="0"/>
    <s v="L-0000820"/>
    <s v="10:00:00.000Z"/>
    <x v="0"/>
    <s v="a07ak00001rZMqtAAG"/>
    <s v="Caroline Hall"/>
    <s v="2026-09-16T17:01:27.000Z"/>
    <b v="1"/>
    <s v="a06ak00000amzCIAAY|2026-08-03|10:00:00.000Z"/>
    <n v="1"/>
    <s v="Toms River"/>
    <x v="6"/>
    <x v="0"/>
  </r>
  <r>
    <s v="005ak00000icyWTAAY"/>
    <s v="2026-09-14T21:16:31.000Z"/>
    <n v="60"/>
    <s v="a0Aak00000FtG4NEAV"/>
    <s v="a06ak00000amzCIAAY"/>
    <s v="Omar Nelson"/>
    <s v="Good progress on technique."/>
    <x v="7"/>
    <b v="0"/>
    <m/>
    <s v="005ak00000icyWTAAY"/>
    <s v="2026-09-16T17:01:27.000Z"/>
    <m/>
    <m/>
    <d v="2026-01-15T00:00:00"/>
    <s v="LSN-00534"/>
    <s v="L-0000821"/>
    <s v="131ak000001XjDvAAK"/>
    <b v="0"/>
    <b v="0"/>
    <s v="L-0000821"/>
    <s v="16:00:00.000Z"/>
    <x v="0"/>
    <s v="a07ak00001rZMr2AAG"/>
    <s v="Maria Rodriguez"/>
    <s v="2026-09-16T17:01:27.000Z"/>
    <b v="1"/>
    <s v="a06ak00000amzCIAAY|2026-01-15|16:00:00.000Z"/>
    <n v="1"/>
    <s v="Toms River"/>
    <x v="4"/>
    <x v="0"/>
  </r>
  <r>
    <s v="005ak00000icyWTAAY"/>
    <s v="2026-09-14T21:16:31.000Z"/>
    <n v="45"/>
    <s v="a0Aak00000FtG4OEAV"/>
    <s v="a06ak00000amzC8AAI"/>
    <s v="Adrian Byrne"/>
    <m/>
    <x v="9"/>
    <b v="0"/>
    <m/>
    <s v="005ak00000icyWTAAY"/>
    <s v="2026-09-16T17:01:27.000Z"/>
    <m/>
    <m/>
    <d v="2026-04-21T00:00:00"/>
    <s v="LSN-00546"/>
    <s v="L-0000822"/>
    <s v="131ak000001XjDuAAK"/>
    <b v="0"/>
    <b v="0"/>
    <s v="L-0000822"/>
    <s v="15:30:00.000Z"/>
    <x v="1"/>
    <s v="a07ak00001rZMr4AAG"/>
    <s v="Olivia Baker"/>
    <s v="2026-09-16T17:01:27.000Z"/>
    <b v="1"/>
    <s v=""/>
    <m/>
    <s v="Brick"/>
    <x v="5"/>
    <x v="0"/>
  </r>
  <r>
    <s v="005ak00000icyWTAAY"/>
    <s v="2026-09-14T21:16:31.000Z"/>
    <n v="45"/>
    <s v="a0Aak00000FtG4PEAV"/>
    <s v="a06ak00000amzBhAAI"/>
    <s v="Layla Sullivan"/>
    <s v="Worked on scales and timing."/>
    <x v="3"/>
    <b v="0"/>
    <m/>
    <s v="005ak00000icyWTAAY"/>
    <s v="2026-09-16T17:01:27.000Z"/>
    <m/>
    <m/>
    <d v="2026-06-17T00:00:00"/>
    <s v="LSN-00553"/>
    <s v="L-0000823"/>
    <s v="131ak000001XjDuAAK"/>
    <b v="0"/>
    <b v="0"/>
    <s v="L-0000823"/>
    <s v="18:00:00.000Z"/>
    <x v="0"/>
    <s v="a07ak00001rZMr6AAG"/>
    <s v="Priya Roberts"/>
    <s v="2026-09-16T17:01:27.000Z"/>
    <b v="1"/>
    <s v="a06ak00000amzBhAAI|2026-06-17|18:00:00.000Z"/>
    <n v="1"/>
    <s v="Brick"/>
    <x v="7"/>
    <x v="0"/>
  </r>
  <r>
    <s v="005ak00000icyWTAAY"/>
    <s v="2026-09-14T21:16:33.000Z"/>
    <n v="60"/>
    <s v="a0Aak00000FtGAsEAN"/>
    <s v="a06ak00000amzC7AAI"/>
    <s v="Wyatt Hall"/>
    <m/>
    <x v="10"/>
    <b v="0"/>
    <m/>
    <s v="005ak00000icyWTAAY"/>
    <s v="2026-09-16T17:01:29.000Z"/>
    <m/>
    <m/>
    <d v="2026-07-13T00:00:00"/>
    <s v="LSN-00640"/>
    <s v="L-0000824"/>
    <s v="131ak000001XjDtAAK"/>
    <b v="0"/>
    <b v="0"/>
    <s v="L-0000824"/>
    <s v="11:00:00.000Z"/>
    <x v="1"/>
    <s v="a07ak00001rZMrMAAW"/>
    <s v="Declan Martinez"/>
    <s v="2026-09-16T17:01:29.000Z"/>
    <b v="1"/>
    <s v=""/>
    <m/>
    <s v="Red Bank"/>
    <x v="8"/>
    <x v="0"/>
  </r>
  <r>
    <s v="005ak00000icyWTAAY"/>
    <s v="2026-09-14T21:16:33.000Z"/>
    <n v="30"/>
    <s v="a0Aak00000FtGAtEAN"/>
    <s v="a06ak00000amzCFAAY"/>
    <s v="Valentina Sanchez"/>
    <m/>
    <x v="11"/>
    <b v="0"/>
    <m/>
    <s v="005ak00000icyWTAAY"/>
    <s v="2026-09-16T17:01:29.000Z"/>
    <m/>
    <m/>
    <d v="2026-08-18T00:00:00"/>
    <s v="LSN-00704"/>
    <s v="L-0000825"/>
    <s v="131ak000001XjDuAAK"/>
    <b v="0"/>
    <b v="0"/>
    <s v="L-0000825"/>
    <s v="16:30:00.000Z"/>
    <x v="0"/>
    <s v="a07ak00001rZMrbAAG"/>
    <s v="Layla Ramirez"/>
    <s v="2026-09-16T17:01:29.000Z"/>
    <b v="1"/>
    <s v="a06ak00000amzCFAAY|2026-08-18|16:30:00.000Z"/>
    <n v="1"/>
    <s v="Brick"/>
    <x v="6"/>
    <x v="0"/>
  </r>
  <r>
    <s v="005ak00000icyWTAAY"/>
    <s v="2026-09-14T21:16:33.000Z"/>
    <n v="30"/>
    <s v="a0Aak00000FtGAuEAN"/>
    <s v="a06ak00000amzC8AAI"/>
    <s v="Adrian Byrne"/>
    <m/>
    <x v="9"/>
    <b v="0"/>
    <m/>
    <s v="005ak00000icyWTAAY"/>
    <s v="2026-09-25T18:00:49.000Z"/>
    <m/>
    <m/>
    <d v="2026-08-24T00:00:00"/>
    <s v="LSN-00727"/>
    <s v="L-0000826"/>
    <s v="131ak000001XjDuAAK"/>
    <b v="1"/>
    <b v="0"/>
    <s v="L-0000826"/>
    <s v="10:00:00.000Z"/>
    <x v="4"/>
    <s v="a07ak00001rZMrgAAG"/>
    <s v="Isaac Young"/>
    <s v="2026-09-25T18:00:49.000Z"/>
    <b v="1"/>
    <s v=""/>
    <m/>
    <s v="Brick"/>
    <x v="6"/>
    <x v="0"/>
  </r>
  <r>
    <s v="005ak00000icyWTAAY"/>
    <s v="2026-09-14T21:16:33.000Z"/>
    <n v="30"/>
    <s v="a0Aak00000FtGAvEAN"/>
    <s v="a06ak00000amzBxAAI"/>
    <s v="Miles Allen"/>
    <s v="Reviewed last week&amp;#39;s assignment."/>
    <x v="7"/>
    <b v="0"/>
    <m/>
    <s v="005ak00000icyWTAAY"/>
    <s v="2026-09-16T17:01:29.000Z"/>
    <m/>
    <m/>
    <d v="2026-08-07T00:00:00"/>
    <s v="LSN-00749"/>
    <s v="L-0000827"/>
    <s v="131ak000001XjDuAAK"/>
    <b v="0"/>
    <b v="0"/>
    <s v="L-0000827"/>
    <s v="15:30:00.000Z"/>
    <x v="0"/>
    <s v="a07ak00001rZMrkAAG"/>
    <s v="Camila Roberts"/>
    <s v="2026-09-16T17:01:29.000Z"/>
    <b v="1"/>
    <s v="a06ak00000amzBxAAI|2026-08-07|15:30:00.000Z"/>
    <n v="1"/>
    <s v="Brick"/>
    <x v="6"/>
    <x v="0"/>
  </r>
  <r>
    <s v="005ak00000icyWTAAY"/>
    <s v="2026-09-14T21:16:34.000Z"/>
    <n v="30"/>
    <s v="a0Aak00000FtGBuEAN"/>
    <s v="a06ak00000amzC6AAI"/>
    <s v="Omar Perez"/>
    <s v="Worked on scales and timing."/>
    <x v="5"/>
    <b v="0"/>
    <m/>
    <s v="005ak00000icyWTAAY"/>
    <s v="2026-09-16T17:01:29.000Z"/>
    <m/>
    <m/>
    <d v="2026-03-31T00:00:00"/>
    <s v="LSN-00801"/>
    <s v="L-0000828"/>
    <s v="131ak000001XjDtAAK"/>
    <b v="0"/>
    <b v="0"/>
    <s v="L-0000828"/>
    <s v="19:00:00.000Z"/>
    <x v="0"/>
    <s v="a07ak00001rZMrwAAG"/>
    <s v="Jonah Clark"/>
    <s v="2026-09-16T17:01:29.000Z"/>
    <b v="1"/>
    <s v="a06ak00000amzC6AAI|2026-03-31|19:00:00.000Z"/>
    <n v="1"/>
    <s v="Red Bank"/>
    <x v="3"/>
    <x v="0"/>
  </r>
  <r>
    <s v="005ak00000iupxlAAA"/>
    <s v="2026-09-17T17:44:49.000Z"/>
    <n v="45"/>
    <s v="a0Aak00000G3LebEAF"/>
    <s v="a06ak00000amzCEAAY"/>
    <s v="Caroline Baker"/>
    <m/>
    <x v="11"/>
    <b v="0"/>
    <m/>
    <s v="005ak00000iupxlAAA"/>
    <s v="2026-09-17T17:50:19.000Z"/>
    <m/>
    <m/>
    <d v="2026-10-07T00:00:00"/>
    <m/>
    <s v="L-0000830"/>
    <s v="131ak000001XjDuAAK"/>
    <b v="1"/>
    <b v="0"/>
    <s v="L-0000830"/>
    <s v="15:30:00.000Z"/>
    <x v="4"/>
    <s v="a07ak00001rZMqMAAW"/>
    <s v="Adrian Chen"/>
    <s v="2026-09-17T17:50:19.000Z"/>
    <b v="1"/>
    <s v=""/>
    <n v="114"/>
    <s v="Brick"/>
    <x v="9"/>
    <x v="0"/>
  </r>
  <r>
    <s v="005ak00000icyWTAAY"/>
    <s v="2026-10-01T15:56:45.000Z"/>
    <n v="60"/>
    <s v="a0Aak00000GkO4ZEAV"/>
    <s v="a06ak00000amzC1AAI"/>
    <s v="Valentina Nakamura"/>
    <m/>
    <x v="5"/>
    <b v="0"/>
    <m/>
    <s v="005ak00000icyWTAAY"/>
    <s v="2026-10-01T15:56:45.000Z"/>
    <m/>
    <m/>
    <d v="2026-12-15T00:00:00"/>
    <s v="LSN-01041"/>
    <s v="L-0001052"/>
    <s v="131ak000001XjDuAAK"/>
    <b v="0"/>
    <b v="0"/>
    <s v="a0Aak00000GkO4Z"/>
    <s v="15:30:00.000Z"/>
    <x v="2"/>
    <s v="a07ak00001rZMq0AAG"/>
    <s v="Henry Ryan"/>
    <s v="2026-10-01T15:56:45.000Z"/>
    <b v="1"/>
    <s v="a06ak00000amzC1AAI|2026-12-15|15:30:00.000Z"/>
    <n v="1"/>
    <s v="Brick"/>
    <x v="10"/>
    <x v="1"/>
  </r>
  <r>
    <s v="005ak00000icyWTAAY"/>
    <s v="2026-10-01T15:56:45.000Z"/>
    <n v="30"/>
    <s v="a0Aak00000GkO4aEAF"/>
    <s v="a06ak00000amzBxAAI"/>
    <s v="Miles Allen"/>
    <m/>
    <x v="7"/>
    <b v="0"/>
    <m/>
    <s v="005ak00000icyWTAAY"/>
    <s v="2026-10-01T15:56:45.000Z"/>
    <m/>
    <m/>
    <d v="2026-12-15T00:00:00"/>
    <s v="LSN-01042"/>
    <s v="L-0001053"/>
    <s v="131ak000001XjDuAAK"/>
    <b v="0"/>
    <b v="0"/>
    <s v="a0Aak00000GkO4a"/>
    <s v="15:30:00.000Z"/>
    <x v="2"/>
    <s v="a07ak00001rZMrkAAG"/>
    <s v="Camila Roberts"/>
    <s v="2026-10-01T15:56:45.000Z"/>
    <b v="1"/>
    <s v="a06ak00000amzBxAAI|2026-12-15|15:30:00.000Z"/>
    <n v="1"/>
    <s v="Brick"/>
    <x v="10"/>
    <x v="1"/>
  </r>
  <r>
    <s v="005ak00000icyWTAAY"/>
    <s v="2026-10-01T15:56:45.000Z"/>
    <n v="45"/>
    <s v="a0Aak00000GkO4bEAF"/>
    <s v="a06ak00000amzCBAAY"/>
    <s v="Aiden Hill"/>
    <m/>
    <x v="10"/>
    <b v="0"/>
    <m/>
    <s v="005ak00000icyWTAAY"/>
    <s v="2026-10-01T15:56:45.000Z"/>
    <m/>
    <m/>
    <d v="2026-12-15T00:00:00"/>
    <s v="LSN-01043"/>
    <s v="L-0001054"/>
    <s v="131ak000001XjDtAAK"/>
    <b v="0"/>
    <b v="0"/>
    <s v="a0Aak00000GkO4b"/>
    <s v="16:30:00.000Z"/>
    <x v="2"/>
    <s v="a07ak00001rZMqLAAW"/>
    <s v="Everly Roberts"/>
    <s v="2026-10-01T15:56:45.000Z"/>
    <b v="1"/>
    <s v="a06ak00000amzCBAAY|2026-12-15|16:30:00.000Z"/>
    <n v="1"/>
    <s v="Red Bank"/>
    <x v="10"/>
    <x v="1"/>
  </r>
  <r>
    <s v="005ak00000icyWTAAY"/>
    <s v="2026-10-01T15:56:45.000Z"/>
    <n v="30"/>
    <s v="a0Aak00000GkO4cEAF"/>
    <s v="a06ak00000amzCBAAY"/>
    <s v="Aiden Hill"/>
    <m/>
    <x v="10"/>
    <b v="0"/>
    <m/>
    <s v="005ak00000icyWTAAY"/>
    <s v="2026-10-01T15:56:45.000Z"/>
    <m/>
    <m/>
    <d v="2026-12-15T00:00:00"/>
    <s v="LSN-01044"/>
    <s v="L-0001055"/>
    <s v="131ak000001XjDtAAK"/>
    <b v="0"/>
    <b v="0"/>
    <s v="a0Aak00000GkO4c"/>
    <s v="17:30:00.000Z"/>
    <x v="2"/>
    <s v="a07ak00001rZMpXAAW"/>
    <s v="Jordan Miller"/>
    <s v="2026-10-01T15:56:45.000Z"/>
    <b v="1"/>
    <s v="a06ak00000amzCBAAY|2026-12-15|17:30:00.000Z"/>
    <n v="1"/>
    <s v="Red Bank"/>
    <x v="10"/>
    <x v="1"/>
  </r>
  <r>
    <s v="005ak00000icyWTAAY"/>
    <s v="2026-10-01T15:56:45.000Z"/>
    <n v="60"/>
    <s v="a0Aak00000GkO4dEAF"/>
    <s v="a06ak00000amzC8AAI"/>
    <s v="Adrian Byrne"/>
    <m/>
    <x v="9"/>
    <b v="0"/>
    <m/>
    <s v="005ak00000icyWTAAY"/>
    <s v="2026-10-01T15:56:45.000Z"/>
    <m/>
    <m/>
    <d v="2026-12-15T00:00:00"/>
    <s v="LSN-01045"/>
    <s v="L-0001056"/>
    <s v="131ak000001XjDvAAK"/>
    <b v="0"/>
    <b v="0"/>
    <s v="a0Aak00000GkO4d"/>
    <s v="18:00:00.000Z"/>
    <x v="2"/>
    <s v="a07ak00001rZMqhAAG"/>
    <s v="Chloe Allen"/>
    <s v="2026-10-01T15:56:45.000Z"/>
    <b v="1"/>
    <s v="a06ak00000amzC8AAI|2026-12-15|18:00:00.000Z"/>
    <n v="1"/>
    <s v="Toms River"/>
    <x v="10"/>
    <x v="1"/>
  </r>
  <r>
    <s v="005ak00000icyWTAAY"/>
    <s v="2026-10-01T15:56:45.000Z"/>
    <n v="30"/>
    <s v="a0Aak00000GkO4eEAF"/>
    <s v="a06ak00000amzByAAI"/>
    <s v="Vincent Sullivan"/>
    <m/>
    <x v="8"/>
    <b v="0"/>
    <m/>
    <s v="005ak00000icyWTAAY"/>
    <s v="2026-10-01T15:56:45.000Z"/>
    <m/>
    <m/>
    <d v="2026-12-16T00:00:00"/>
    <s v="LSN-01046"/>
    <s v="L-0001057"/>
    <s v="131ak000001XjDuAAK"/>
    <b v="0"/>
    <b v="0"/>
    <s v="a0Aak00000GkO4e"/>
    <s v="15:00:00.000Z"/>
    <x v="2"/>
    <s v="a07ak00001rZMqoAAG"/>
    <s v="Bella Martin"/>
    <s v="2026-10-01T15:56:45.000Z"/>
    <b v="1"/>
    <s v="a06ak00000amzByAAI|2026-12-16|15:00:00.000Z"/>
    <n v="1"/>
    <s v="Brick"/>
    <x v="10"/>
    <x v="1"/>
  </r>
  <r>
    <s v="005ak00000icyWTAAY"/>
    <s v="2026-10-01T15:56:45.000Z"/>
    <n v="60"/>
    <s v="a0Aak00000GkO4fEAF"/>
    <s v="a06ak00000amzBgAAI"/>
    <s v="Noah Mitchell"/>
    <m/>
    <x v="0"/>
    <b v="0"/>
    <m/>
    <s v="005ak00000icyWTAAY"/>
    <s v="2026-10-01T15:56:45.000Z"/>
    <m/>
    <m/>
    <d v="2026-12-16T00:00:00"/>
    <s v="LSN-01047"/>
    <s v="L-0001058"/>
    <s v="131ak000001XjDuAAK"/>
    <b v="0"/>
    <b v="0"/>
    <s v="a0Aak00000GkO4f"/>
    <s v="16:00:00.000Z"/>
    <x v="2"/>
    <s v="a07ak00001rZMq7AAG"/>
    <s v="Jackson Sullivan"/>
    <s v="2026-10-01T15:56:45.000Z"/>
    <b v="1"/>
    <s v="a06ak00000amzBgAAI|2026-12-16|16:00:00.000Z"/>
    <n v="1"/>
    <s v="Brick"/>
    <x v="10"/>
    <x v="1"/>
  </r>
  <r>
    <s v="005ak00000icyWTAAY"/>
    <s v="2026-10-01T15:56:45.000Z"/>
    <n v="45"/>
    <s v="a0Aak00000GkO4gEAF"/>
    <s v="a06ak00000amzC0AAI"/>
    <s v="James Moore"/>
    <m/>
    <x v="6"/>
    <b v="0"/>
    <m/>
    <s v="005ak00000icyWTAAY"/>
    <s v="2026-10-01T15:56:45.000Z"/>
    <m/>
    <m/>
    <d v="2026-12-16T00:00:00"/>
    <s v="LSN-01048"/>
    <s v="L-0001059"/>
    <s v="131ak000001XjDtAAK"/>
    <b v="0"/>
    <b v="0"/>
    <s v="a0Aak00000GkO4g"/>
    <s v="17:00:00.000Z"/>
    <x v="2"/>
    <s v="a07ak00001rZMqCAAW"/>
    <s v="Omar Smith"/>
    <s v="2026-10-01T15:56:45.000Z"/>
    <b v="1"/>
    <s v="a06ak00000amzC0AAI|2026-12-16|17:00:00.000Z"/>
    <n v="1"/>
    <s v="Red Bank"/>
    <x v="10"/>
    <x v="1"/>
  </r>
  <r>
    <s v="005ak00000icyWTAAY"/>
    <s v="2026-10-01T15:56:45.000Z"/>
    <n v="30"/>
    <s v="a0Aak00000GkO4hEAF"/>
    <s v="a06ak00000amzCCAAY"/>
    <s v="Rowan Jones"/>
    <m/>
    <x v="3"/>
    <b v="0"/>
    <m/>
    <s v="005ak00000icyWTAAY"/>
    <s v="2026-10-01T15:56:45.000Z"/>
    <m/>
    <m/>
    <d v="2026-12-16T00:00:00"/>
    <s v="LSN-01049"/>
    <s v="L-0001060"/>
    <s v="131ak000001XjDuAAK"/>
    <b v="0"/>
    <b v="0"/>
    <s v="a0Aak00000GkO4h"/>
    <s v="18:00:00.000Z"/>
    <x v="2"/>
    <s v="a07ak00001rZMr6AAG"/>
    <s v="Priya Roberts"/>
    <s v="2026-10-01T15:56:45.000Z"/>
    <b v="1"/>
    <s v="a06ak00000amzCCAAY|2026-12-16|18:00:00.000Z"/>
    <n v="1"/>
    <s v="Brick"/>
    <x v="10"/>
    <x v="1"/>
  </r>
  <r>
    <s v="005ak00000icyWTAAY"/>
    <s v="2026-10-01T15:56:45.000Z"/>
    <n v="60"/>
    <s v="a0Aak00000GkO4iEAF"/>
    <s v="a06ak00000amzBiAAI"/>
    <s v="Zoey Torres"/>
    <m/>
    <x v="8"/>
    <b v="0"/>
    <m/>
    <s v="005ak00000icyWTAAY"/>
    <s v="2026-10-01T15:56:45.000Z"/>
    <m/>
    <m/>
    <d v="2026-12-16T00:00:00"/>
    <s v="LSN-01050"/>
    <s v="L-0001061"/>
    <s v="131ak000001XjDtAAK"/>
    <b v="0"/>
    <b v="0"/>
    <s v="a0Aak00000GkO4i"/>
    <s v="19:00:00.000Z"/>
    <x v="2"/>
    <s v="a07ak00001rZMr9AAG"/>
    <s v="Owen Dubois"/>
    <s v="2026-10-01T15:56:45.000Z"/>
    <b v="1"/>
    <s v="a06ak00000amzBiAAI|2026-12-16|19:00:00.000Z"/>
    <n v="1"/>
    <s v="Red Bank"/>
    <x v="10"/>
    <x v="1"/>
  </r>
  <r>
    <s v="005ak00000icyWTAAY"/>
    <s v="2026-10-01T15:56:45.000Z"/>
    <n v="30"/>
    <s v="a0Aak00000GkO4jEAF"/>
    <s v="a06ak00000amzBfAAI"/>
    <s v="Mia Smith"/>
    <m/>
    <x v="6"/>
    <b v="0"/>
    <m/>
    <s v="005ak00000icyWTAAY"/>
    <s v="2026-10-01T15:56:45.000Z"/>
    <m/>
    <m/>
    <d v="2026-12-17T00:00:00"/>
    <s v="LSN-01051"/>
    <s v="L-0001062"/>
    <s v="131ak000001XjDuAAK"/>
    <b v="0"/>
    <b v="0"/>
    <s v="a0Aak00000GkO4j"/>
    <s v="15:00:00.000Z"/>
    <x v="2"/>
    <s v="a07ak00001rZMpjAAG"/>
    <s v="Genesis Novak"/>
    <s v="2026-10-01T15:56:45.000Z"/>
    <b v="1"/>
    <s v="a06ak00000amzBfAAI|2026-12-17|15:00:00.000Z"/>
    <n v="1"/>
    <s v="Brick"/>
    <x v="10"/>
    <x v="1"/>
  </r>
  <r>
    <s v="005ak00000icyWTAAY"/>
    <s v="2026-10-01T15:56:45.000Z"/>
    <n v="60"/>
    <s v="a0Aak00000GkO4kEAF"/>
    <s v="a06ak00000amzByAAI"/>
    <s v="Vincent Sullivan"/>
    <m/>
    <x v="8"/>
    <b v="0"/>
    <m/>
    <s v="005ak00000icyWTAAY"/>
    <s v="2026-10-01T15:56:45.000Z"/>
    <m/>
    <m/>
    <d v="2026-12-17T00:00:00"/>
    <s v="LSN-01052"/>
    <s v="L-0001063"/>
    <s v="131ak000001XjDuAAK"/>
    <b v="0"/>
    <b v="0"/>
    <s v="a0Aak00000GkO4k"/>
    <s v="15:30:00.000Z"/>
    <x v="2"/>
    <s v="a07ak00001rZMpVAAW"/>
    <s v="Tyler Rodriguez"/>
    <s v="2026-10-01T15:56:45.000Z"/>
    <b v="1"/>
    <s v="a06ak00000amzByAAI|2026-12-17|15:30:00.000Z"/>
    <n v="1"/>
    <s v="Brick"/>
    <x v="10"/>
    <x v="1"/>
  </r>
  <r>
    <s v="005ak00000icyWTAAY"/>
    <s v="2026-10-01T15:56:45.000Z"/>
    <n v="30"/>
    <s v="a0Aak00000GkO4lEAF"/>
    <s v="a06ak00000amzC8AAI"/>
    <s v="Adrian Byrne"/>
    <m/>
    <x v="2"/>
    <b v="0"/>
    <m/>
    <s v="005ak00000icyWTAAY"/>
    <s v="2026-10-01T15:56:45.000Z"/>
    <m/>
    <m/>
    <d v="2026-12-17T00:00:00"/>
    <s v="LSN-01053"/>
    <s v="L-0001064"/>
    <s v="131ak000001XjDuAAK"/>
    <b v="0"/>
    <b v="0"/>
    <s v="a0Aak00000GkO4l"/>
    <s v="18:00:00.000Z"/>
    <x v="2"/>
    <s v="a07ak00001rZMqYAAW"/>
    <s v="Chen Mitchell"/>
    <s v="2026-10-01T15:56:45.000Z"/>
    <b v="1"/>
    <s v="a06ak00000amzC8AAI|2026-12-17|18:00:00.000Z"/>
    <n v="1"/>
    <s v="Brick"/>
    <x v="10"/>
    <x v="1"/>
  </r>
  <r>
    <s v="005ak00000icyWTAAY"/>
    <s v="2026-10-01T15:56:45.000Z"/>
    <n v="30"/>
    <s v="a0Aak00000GkO4mEAF"/>
    <s v="a06ak00000amzBiAAI"/>
    <s v="Zoey Torres"/>
    <m/>
    <x v="8"/>
    <b v="0"/>
    <m/>
    <s v="005ak00000icyWTAAY"/>
    <s v="2026-10-01T15:56:45.000Z"/>
    <m/>
    <m/>
    <d v="2026-12-17T00:00:00"/>
    <s v="LSN-01054"/>
    <s v="L-0001065"/>
    <s v="131ak000001XjDtAAK"/>
    <b v="0"/>
    <b v="0"/>
    <s v="a0Aak00000GkO4m"/>
    <s v="18:30:00.000Z"/>
    <x v="2"/>
    <s v="a07ak00001rZMqFAAW"/>
    <s v="Nathan Novak"/>
    <s v="2026-10-01T15:56:45.000Z"/>
    <b v="1"/>
    <s v="a06ak00000amzBiAAI|2026-12-17|18:30:00.000Z"/>
    <n v="1"/>
    <s v="Red Bank"/>
    <x v="10"/>
    <x v="1"/>
  </r>
  <r>
    <s v="005ak00000icyWTAAY"/>
    <s v="2026-10-01T15:56:45.000Z"/>
    <n v="45"/>
    <s v="a0Aak00000GkO4nEAF"/>
    <s v="a06ak00000amzBiAAI"/>
    <s v="Zoey Torres"/>
    <m/>
    <x v="1"/>
    <b v="0"/>
    <m/>
    <s v="005ak00000icyWTAAY"/>
    <s v="2026-10-01T15:56:45.000Z"/>
    <m/>
    <m/>
    <d v="2026-12-18T00:00:00"/>
    <s v="LSN-01055"/>
    <s v="L-0001066"/>
    <s v="131ak000001XjDtAAK"/>
    <b v="0"/>
    <b v="0"/>
    <s v="a0Aak00000GkO4n"/>
    <s v="15:00:00.000Z"/>
    <x v="2"/>
    <s v="a07ak00001rZMpqAAG"/>
    <s v="Isaac Harris"/>
    <s v="2026-10-01T15:56:45.000Z"/>
    <b v="1"/>
    <s v="a06ak00000amzBiAAI|2026-12-18|15:00:00.000Z"/>
    <n v="1"/>
    <s v="Red Bank"/>
    <x v="10"/>
    <x v="1"/>
  </r>
  <r>
    <s v="005ak00000icyWTAAY"/>
    <s v="2026-10-01T15:56:45.000Z"/>
    <n v="45"/>
    <s v="a0Aak00000GkO4oEAF"/>
    <s v="a06ak00000amzBzAAI"/>
    <s v="Ezra Garcia"/>
    <m/>
    <x v="5"/>
    <b v="0"/>
    <m/>
    <s v="005ak00000icyWTAAY"/>
    <s v="2026-10-01T15:56:45.000Z"/>
    <m/>
    <m/>
    <d v="2026-12-18T00:00:00"/>
    <s v="LSN-01056"/>
    <s v="L-0001067"/>
    <s v="131ak000001XjDvAAK"/>
    <b v="0"/>
    <b v="0"/>
    <s v="a0Aak00000GkO4o"/>
    <s v="16:30:00.000Z"/>
    <x v="2"/>
    <s v="a07ak00001rZMpQAAW"/>
    <s v="Priya Ramirez"/>
    <s v="2026-10-01T15:56:45.000Z"/>
    <b v="1"/>
    <s v="a06ak00000amzBzAAI|2026-12-18|16:30:00.000Z"/>
    <n v="1"/>
    <s v="Toms River"/>
    <x v="10"/>
    <x v="1"/>
  </r>
  <r>
    <s v="005ak00000icyWTAAY"/>
    <s v="2026-10-01T15:56:45.000Z"/>
    <n v="30"/>
    <s v="a0Aak00000GkO4pEAF"/>
    <s v="a06ak00000amzC8AAI"/>
    <s v="Adrian Byrne"/>
    <m/>
    <x v="9"/>
    <b v="0"/>
    <m/>
    <s v="005ak00000icyWTAAY"/>
    <s v="2026-10-01T15:56:45.000Z"/>
    <m/>
    <m/>
    <d v="2026-12-18T00:00:00"/>
    <s v="LSN-01057"/>
    <s v="L-0001068"/>
    <s v="131ak000001XjDuAAK"/>
    <b v="0"/>
    <b v="0"/>
    <s v="a0Aak00000GkO4p"/>
    <s v="16:30:00.000Z"/>
    <x v="2"/>
    <s v="a07ak00001rZMr4AAG"/>
    <s v="Olivia Baker"/>
    <s v="2026-10-01T15:56:45.000Z"/>
    <b v="1"/>
    <s v="a06ak00000amzC8AAI|2026-12-18|16:30:00.000Z"/>
    <n v="1"/>
    <s v="Brick"/>
    <x v="10"/>
    <x v="1"/>
  </r>
  <r>
    <s v="005ak00000icyWTAAY"/>
    <s v="2026-10-01T15:56:45.000Z"/>
    <n v="30"/>
    <s v="a0Aak00000GkO4qEAF"/>
    <s v="a06ak00000amzCCAAY"/>
    <s v="Rowan Jones"/>
    <m/>
    <x v="7"/>
    <b v="0"/>
    <m/>
    <s v="005ak00000icyWTAAY"/>
    <s v="2026-10-01T15:56:45.000Z"/>
    <m/>
    <m/>
    <d v="2026-12-18T00:00:00"/>
    <s v="LSN-01058"/>
    <s v="L-0001069"/>
    <s v="131ak000001XjDuAAK"/>
    <b v="0"/>
    <b v="0"/>
    <s v="a0Aak00000GkO4q"/>
    <s v="19:00:00.000Z"/>
    <x v="2"/>
    <s v="a07ak00001rZMrsAAG"/>
    <s v="Miles Hill"/>
    <s v="2026-10-01T15:56:45.000Z"/>
    <b v="1"/>
    <s v="a06ak00000amzCCAAY|2026-12-18|19:00:00.000Z"/>
    <n v="1"/>
    <s v="Brick"/>
    <x v="10"/>
    <x v="1"/>
  </r>
  <r>
    <s v="005ak00000icyWTAAY"/>
    <s v="2026-10-01T15:56:45.000Z"/>
    <n v="60"/>
    <s v="a0Aak00000GkO4rEAF"/>
    <s v="a06ak00000amzC1AAI"/>
    <s v="Valentina Nakamura"/>
    <m/>
    <x v="5"/>
    <b v="0"/>
    <m/>
    <s v="005ak00000icyWTAAY"/>
    <s v="2026-10-01T15:56:45.000Z"/>
    <m/>
    <m/>
    <d v="2026-12-22T00:00:00"/>
    <s v="LSN-01059"/>
    <s v="L-0001070"/>
    <s v="131ak000001XjDuAAK"/>
    <b v="0"/>
    <b v="0"/>
    <s v="a0Aak00000GkO4r"/>
    <s v="15:30:00.000Z"/>
    <x v="2"/>
    <s v="a07ak00001rZMq0AAG"/>
    <s v="Henry Ryan"/>
    <s v="2026-10-01T15:56:45.000Z"/>
    <b v="1"/>
    <s v="a06ak00000amzC1AAI|2026-12-22|15:30:00.000Z"/>
    <n v="1"/>
    <s v="Brick"/>
    <x v="10"/>
    <x v="1"/>
  </r>
  <r>
    <s v="005ak00000icyWTAAY"/>
    <s v="2026-10-01T15:56:45.000Z"/>
    <n v="45"/>
    <s v="a0Aak00000GkO4sEAF"/>
    <s v="a06ak00000amzC1AAI"/>
    <s v="Valentina Nakamura"/>
    <m/>
    <x v="5"/>
    <b v="0"/>
    <m/>
    <s v="005ak00000icyWTAAY"/>
    <s v="2026-10-01T15:56:45.000Z"/>
    <m/>
    <m/>
    <d v="2026-12-22T00:00:00"/>
    <s v="LSN-01060"/>
    <s v="L-0001071"/>
    <s v="131ak000001XjDuAAK"/>
    <b v="0"/>
    <b v="0"/>
    <s v="a0Aak00000GkO4s"/>
    <s v="17:30:00.000Z"/>
    <x v="2"/>
    <s v="a07ak00001rZMrOAAW"/>
    <s v="Evelyn Lee"/>
    <s v="2026-10-01T15:56:45.000Z"/>
    <b v="1"/>
    <s v="a06ak00000amzC1AAI|2026-12-22|17:30:00.000Z"/>
    <n v="1"/>
    <s v="Brick"/>
    <x v="10"/>
    <x v="1"/>
  </r>
  <r>
    <s v="005ak00000icyWTAAY"/>
    <s v="2026-10-01T15:56:45.000Z"/>
    <n v="30"/>
    <s v="a0Aak00000GkO4tEAF"/>
    <s v="a06ak00000amzCBAAY"/>
    <s v="Aiden Hill"/>
    <m/>
    <x v="3"/>
    <b v="0"/>
    <m/>
    <s v="005ak00000icyWTAAY"/>
    <s v="2026-10-01T15:56:45.000Z"/>
    <m/>
    <m/>
    <d v="2026-12-22T00:00:00"/>
    <s v="LSN-01061"/>
    <s v="L-0001072"/>
    <s v="131ak000001XjDtAAK"/>
    <b v="0"/>
    <b v="0"/>
    <s v="a0Aak00000GkO4t"/>
    <s v="19:00:00.000Z"/>
    <x v="2"/>
    <s v="a07ak00001rZMppAAG"/>
    <s v="Ruby Taylor"/>
    <s v="2026-10-01T15:56:45.000Z"/>
    <b v="1"/>
    <s v="a06ak00000amzCBAAY|2026-12-22|19:00:00.000Z"/>
    <n v="1"/>
    <s v="Red Bank"/>
    <x v="10"/>
    <x v="1"/>
  </r>
  <r>
    <s v="005ak00000icyWTAAY"/>
    <s v="2026-10-01T15:56:45.000Z"/>
    <n v="30"/>
    <s v="a0Aak00000GkO4uEAF"/>
    <s v="a06ak00000amzC0AAI"/>
    <s v="James Moore"/>
    <m/>
    <x v="10"/>
    <b v="0"/>
    <m/>
    <s v="005ak00000icyWTAAY"/>
    <s v="2026-10-01T15:56:45.000Z"/>
    <m/>
    <m/>
    <d v="2026-12-22T00:00:00"/>
    <s v="LSN-01062"/>
    <s v="L-0001073"/>
    <s v="131ak000001XjDtAAK"/>
    <b v="0"/>
    <b v="0"/>
    <s v="a0Aak00000GkO4u"/>
    <s v="19:00:00.000Z"/>
    <x v="2"/>
    <s v="a07ak00001rZMrfAAG"/>
    <s v="Marcus Nelson"/>
    <s v="2026-10-01T15:56:45.000Z"/>
    <b v="1"/>
    <s v="a06ak00000amzC0AAI|2026-12-22|19:00:00.000Z"/>
    <n v="1"/>
    <s v="Red Bank"/>
    <x v="10"/>
    <x v="1"/>
  </r>
  <r>
    <s v="005ak00000icyWTAAY"/>
    <s v="2026-10-01T15:56:45.000Z"/>
    <n v="30"/>
    <s v="a0Aak00000GkO4vEAF"/>
    <s v="a06ak00000amzBtAAI"/>
    <s v="Jamal Torres"/>
    <m/>
    <x v="2"/>
    <b v="0"/>
    <m/>
    <s v="005ak00000icyWTAAY"/>
    <s v="2026-10-01T15:56:45.000Z"/>
    <m/>
    <m/>
    <d v="2026-12-23T00:00:00"/>
    <s v="LSN-01063"/>
    <s v="L-0001074"/>
    <s v="131ak000001XjDvAAK"/>
    <b v="0"/>
    <b v="0"/>
    <s v="a0Aak00000GkO4v"/>
    <s v="15:00:00.000Z"/>
    <x v="2"/>
    <s v="a07ak00001rZMpzAAG"/>
    <s v="Skylar Rivera"/>
    <s v="2026-10-01T15:56:45.000Z"/>
    <b v="1"/>
    <s v="a06ak00000amzBtAAI|2026-12-23|15:00:00.000Z"/>
    <n v="1"/>
    <s v="Toms River"/>
    <x v="10"/>
    <x v="1"/>
  </r>
  <r>
    <s v="005ak00000icyWTAAY"/>
    <s v="2026-10-01T15:56:45.000Z"/>
    <n v="60"/>
    <s v="a0Aak00000GkO4wEAF"/>
    <s v="a06ak00000amzC0AAI"/>
    <s v="James Moore"/>
    <m/>
    <x v="9"/>
    <b v="0"/>
    <m/>
    <s v="005ak00000icyWTAAY"/>
    <s v="2026-10-01T15:56:45.000Z"/>
    <m/>
    <m/>
    <d v="2026-12-23T00:00:00"/>
    <s v="LSN-01064"/>
    <s v="L-0001075"/>
    <s v="131ak000001XjDtAAK"/>
    <b v="0"/>
    <b v="0"/>
    <s v="a0Aak00000GkO4w"/>
    <s v="16:00:00.000Z"/>
    <x v="2"/>
    <s v="a07ak00001rZMpWAAW"/>
    <s v="Leo Thomas"/>
    <s v="2026-10-01T15:56:45.000Z"/>
    <b v="1"/>
    <s v="a06ak00000amzC0AAI|2026-12-23|16:00:00.000Z"/>
    <n v="1"/>
    <s v="Red Bank"/>
    <x v="10"/>
    <x v="1"/>
  </r>
  <r>
    <s v="005ak00000icyWTAAY"/>
    <s v="2026-10-01T15:56:45.000Z"/>
    <n v="60"/>
    <s v="a0Aak00000GkO4xEAF"/>
    <s v="a06ak00000amzBiAAI"/>
    <s v="Zoey Torres"/>
    <m/>
    <x v="7"/>
    <b v="0"/>
    <m/>
    <s v="005ak00000icyWTAAY"/>
    <s v="2026-10-01T15:56:45.000Z"/>
    <m/>
    <m/>
    <d v="2026-12-23T00:00:00"/>
    <s v="LSN-01065"/>
    <s v="L-0001076"/>
    <s v="131ak000001XjDtAAK"/>
    <b v="0"/>
    <b v="0"/>
    <s v="a0Aak00000GkO4x"/>
    <s v="16:00:00.000Z"/>
    <x v="2"/>
    <s v="a07ak00001rZMpmAAG"/>
    <s v="Scarlett Jackson"/>
    <s v="2026-10-01T15:56:45.000Z"/>
    <b v="1"/>
    <s v="a06ak00000amzBiAAI|2026-12-23|16:00:00.000Z"/>
    <n v="1"/>
    <s v="Red Bank"/>
    <x v="10"/>
    <x v="1"/>
  </r>
  <r>
    <s v="005ak00000icyWTAAY"/>
    <s v="2026-10-01T15:56:45.000Z"/>
    <n v="45"/>
    <s v="a0Aak00000GkO4yEAF"/>
    <s v="a06ak00000amzBfAAI"/>
    <s v="Mia Smith"/>
    <m/>
    <x v="6"/>
    <b v="0"/>
    <m/>
    <s v="005ak00000icyWTAAY"/>
    <s v="2026-10-01T15:56:45.000Z"/>
    <m/>
    <m/>
    <d v="2026-12-23T00:00:00"/>
    <s v="LSN-01066"/>
    <s v="L-0001077"/>
    <s v="131ak000001XjDuAAK"/>
    <b v="0"/>
    <b v="0"/>
    <s v="a0Aak00000GkO4y"/>
    <s v="16:30:00.000Z"/>
    <x v="2"/>
    <s v="a07ak00001rZMqaAAG"/>
    <s v="Theo Anderson"/>
    <s v="2026-10-01T15:56:45.000Z"/>
    <b v="1"/>
    <s v="a06ak00000amzBfAAI|2026-12-23|16:30:00.000Z"/>
    <n v="1"/>
    <s v="Brick"/>
    <x v="10"/>
    <x v="1"/>
  </r>
  <r>
    <s v="005ak00000icyWTAAY"/>
    <s v="2026-10-01T15:56:45.000Z"/>
    <n v="60"/>
    <s v="a0Aak00000GkO4zEAF"/>
    <s v="a06ak00000amzBzAAI"/>
    <s v="Ezra Garcia"/>
    <m/>
    <x v="11"/>
    <b v="0"/>
    <m/>
    <s v="005ak00000icyWTAAY"/>
    <s v="2026-10-01T15:56:45.000Z"/>
    <m/>
    <m/>
    <d v="2026-12-23T00:00:00"/>
    <s v="LSN-01067"/>
    <s v="L-0001078"/>
    <s v="131ak000001XjDtAAK"/>
    <b v="0"/>
    <b v="0"/>
    <s v="a0Aak00000GkO4z"/>
    <s v="17:30:00.000Z"/>
    <x v="2"/>
    <s v="a07ak00001rZMpfAAG"/>
    <s v="Jonah Moore"/>
    <s v="2026-10-01T15:56:45.000Z"/>
    <b v="1"/>
    <s v="a06ak00000amzBzAAI|2026-12-23|17:30:00.000Z"/>
    <n v="1"/>
    <s v="Red Bank"/>
    <x v="10"/>
    <x v="1"/>
  </r>
  <r>
    <s v="005ak00000icyWTAAY"/>
    <s v="2026-10-01T15:56:45.000Z"/>
    <n v="60"/>
    <s v="a0Aak00000GkO50EAF"/>
    <s v="a06ak00000amzBzAAI"/>
    <s v="Ezra Garcia"/>
    <m/>
    <x v="5"/>
    <b v="0"/>
    <m/>
    <s v="005ak00000icyWTAAY"/>
    <s v="2026-10-01T15:56:45.000Z"/>
    <m/>
    <m/>
    <d v="2027-01-04T00:00:00"/>
    <s v="LSN-01068"/>
    <s v="L-0001079"/>
    <s v="131ak000001XjDtAAK"/>
    <b v="0"/>
    <b v="0"/>
    <s v="a0Aak00000GkO50"/>
    <s v="15:30:00.000Z"/>
    <x v="2"/>
    <s v="a07ak00001rZMqGAAW"/>
    <s v="Josiah Clark"/>
    <s v="2026-10-01T15:56:45.000Z"/>
    <b v="1"/>
    <s v="a06ak00000amzBzAAI|2027-01-04|15:30:00.000Z"/>
    <n v="1"/>
    <s v="Red Bank"/>
    <x v="11"/>
    <x v="1"/>
  </r>
  <r>
    <s v="005ak00000icyWTAAY"/>
    <s v="2026-10-01T15:56:45.000Z"/>
    <n v="45"/>
    <s v="a0Aak00000GkO51EAF"/>
    <s v="a06ak00000amzC1AAI"/>
    <s v="Valentina Nakamura"/>
    <m/>
    <x v="5"/>
    <b v="0"/>
    <m/>
    <s v="005ak00000icyWTAAY"/>
    <s v="2026-10-01T15:56:45.000Z"/>
    <m/>
    <m/>
    <d v="2027-01-04T00:00:00"/>
    <s v="LSN-01069"/>
    <s v="L-0001080"/>
    <s v="131ak000001XjDuAAK"/>
    <b v="0"/>
    <b v="0"/>
    <s v="a0Aak00000GkO51"/>
    <s v="17:00:00.000Z"/>
    <x v="2"/>
    <s v="a07ak00001rZMqWAAW"/>
    <s v="Jackson Ryan"/>
    <s v="2026-10-01T15:56:45.000Z"/>
    <b v="1"/>
    <s v="a06ak00000amzC1AAI|2027-01-04|17:00:00.000Z"/>
    <n v="1"/>
    <s v="Brick"/>
    <x v="11"/>
    <x v="1"/>
  </r>
  <r>
    <s v="005ak00000icyWTAAY"/>
    <s v="2026-10-01T15:56:45.000Z"/>
    <n v="30"/>
    <s v="a0Aak00000GkO52EAF"/>
    <s v="a06ak00000amzBzAAI"/>
    <s v="Ezra Garcia"/>
    <m/>
    <x v="0"/>
    <b v="0"/>
    <m/>
    <s v="005ak00000icyWTAAY"/>
    <s v="2026-10-01T15:56:45.000Z"/>
    <m/>
    <m/>
    <d v="2027-01-04T00:00:00"/>
    <s v="LSN-01070"/>
    <s v="L-0001081"/>
    <s v="131ak000001XjDtAAK"/>
    <b v="0"/>
    <b v="0"/>
    <s v="a0Aak00000GkO52"/>
    <s v="17:30:00.000Z"/>
    <x v="2"/>
    <s v="a07ak00001rZMqUAAW"/>
    <s v="Riley Silva"/>
    <s v="2026-10-01T15:56:45.000Z"/>
    <b v="1"/>
    <s v="a06ak00000amzBzAAI|2027-01-04|17:30:00.000Z"/>
    <n v="1"/>
    <s v="Red Bank"/>
    <x v="11"/>
    <x v="1"/>
  </r>
  <r>
    <s v="005ak00000icyWTAAY"/>
    <s v="2026-10-01T15:56:45.000Z"/>
    <n v="30"/>
    <s v="a0Aak00000GkO53EAF"/>
    <s v="a06ak00000amzBzAAI"/>
    <s v="Ezra Garcia"/>
    <m/>
    <x v="5"/>
    <b v="0"/>
    <m/>
    <s v="005ak00000icyWTAAY"/>
    <s v="2026-10-01T15:56:45.000Z"/>
    <m/>
    <m/>
    <d v="2027-01-05T00:00:00"/>
    <s v="LSN-01071"/>
    <s v="L-0001082"/>
    <s v="131ak000001XjDuAAK"/>
    <b v="0"/>
    <b v="0"/>
    <s v="a0Aak00000GkO53"/>
    <s v="16:30:00.000Z"/>
    <x v="2"/>
    <s v="a07ak00001rZMs3AAG"/>
    <s v="LOGAN Harris"/>
    <s v="2026-10-01T15:56:45.000Z"/>
    <b v="1"/>
    <s v="a06ak00000amzBzAAI|2027-01-05|16:30:00.000Z"/>
    <n v="1"/>
    <s v="Brick"/>
    <x v="11"/>
    <x v="1"/>
  </r>
  <r>
    <s v="005ak00000icyWTAAY"/>
    <s v="2026-10-01T15:56:45.000Z"/>
    <n v="45"/>
    <s v="a0Aak00000GkO54EAF"/>
    <s v="a06ak00000amzCHAAY"/>
    <s v="Liam Flores"/>
    <m/>
    <x v="4"/>
    <b v="0"/>
    <m/>
    <s v="005ak00000icyWTAAY"/>
    <s v="2026-10-01T15:56:45.000Z"/>
    <m/>
    <m/>
    <d v="2027-01-05T00:00:00"/>
    <s v="LSN-01072"/>
    <s v="L-0001083"/>
    <s v="131ak000001XjDuAAK"/>
    <b v="0"/>
    <b v="0"/>
    <s v="a0Aak00000GkO54"/>
    <s v="18:30:00.000Z"/>
    <x v="2"/>
    <s v="a07ak00001rZMpZAAW"/>
    <s v="Harper Patel"/>
    <s v="2026-10-01T15:56:45.000Z"/>
    <b v="1"/>
    <s v="a06ak00000amzCHAAY|2027-01-05|18:30:00.000Z"/>
    <n v="1"/>
    <s v="Brick"/>
    <x v="11"/>
    <x v="1"/>
  </r>
  <r>
    <s v="005ak00000icyWTAAY"/>
    <s v="2026-10-01T15:56:45.000Z"/>
    <n v="45"/>
    <s v="a0Aak00000GkO55EAF"/>
    <s v="a06ak00000amzCKAAY"/>
    <s v="Priya Carter"/>
    <m/>
    <x v="3"/>
    <b v="0"/>
    <m/>
    <s v="005ak00000icyWTAAY"/>
    <s v="2026-10-01T15:56:45.000Z"/>
    <m/>
    <m/>
    <d v="2027-01-06T00:00:00"/>
    <s v="LSN-01073"/>
    <s v="L-0001084"/>
    <s v="131ak000001XjDvAAK"/>
    <b v="0"/>
    <b v="0"/>
    <s v="a0Aak00000GkO55"/>
    <s v="15:00:00.000Z"/>
    <x v="2"/>
    <s v="a07ak00001rZMpCAAW"/>
    <s v="Logan Jackson"/>
    <s v="2026-10-01T15:56:45.000Z"/>
    <b v="1"/>
    <s v="a06ak00000amzCKAAY|2027-01-06|15:00:00.000Z"/>
    <n v="1"/>
    <s v="Toms River"/>
    <x v="11"/>
    <x v="1"/>
  </r>
  <r>
    <s v="005ak00000icyWTAAY"/>
    <s v="2026-10-01T15:56:45.000Z"/>
    <n v="30"/>
    <s v="a0Aak00000GkO56EAF"/>
    <s v="a06ak00000amzBtAAI"/>
    <s v="Jamal Torres"/>
    <m/>
    <x v="2"/>
    <b v="0"/>
    <m/>
    <s v="005ak00000icyWTAAY"/>
    <s v="2026-10-01T15:56:45.000Z"/>
    <m/>
    <m/>
    <d v="2027-01-06T00:00:00"/>
    <s v="LSN-01074"/>
    <s v="L-0001085"/>
    <s v="131ak000001XjDvAAK"/>
    <b v="0"/>
    <b v="0"/>
    <s v="a0Aak00000GkO56"/>
    <s v="15:00:00.000Z"/>
    <x v="2"/>
    <s v="a07ak00001rZMpzAAG"/>
    <s v="Skylar Rivera"/>
    <s v="2026-10-01T15:56:45.000Z"/>
    <b v="1"/>
    <s v="a06ak00000amzBtAAI|2027-01-06|15:00:00.000Z"/>
    <n v="1"/>
    <s v="Toms River"/>
    <x v="11"/>
    <x v="1"/>
  </r>
  <r>
    <s v="005ak00000icyWTAAY"/>
    <s v="2026-10-01T15:56:45.000Z"/>
    <n v="60"/>
    <s v="a0Aak00000GkO57EAF"/>
    <s v="a06ak00000amzC0AAI"/>
    <s v="James Moore"/>
    <m/>
    <x v="9"/>
    <b v="0"/>
    <m/>
    <s v="005ak00000icyWTAAY"/>
    <s v="2026-10-01T15:56:45.000Z"/>
    <s v="2026-10-01T15:59:24.000Z"/>
    <s v="2026-10-01T15:59:24.000Z"/>
    <d v="2027-01-06T00:00:00"/>
    <s v="LSN-01075"/>
    <s v="L-0001086"/>
    <s v="131ak000001XjDtAAK"/>
    <b v="0"/>
    <b v="0"/>
    <s v="a0Aak00000GkO57"/>
    <s v="16:00:00.000Z"/>
    <x v="2"/>
    <s v="a07ak00001rZMpWAAW"/>
    <s v="Leo Thomas"/>
    <s v="2026-10-01T15:56:45.000Z"/>
    <b v="1"/>
    <s v="a06ak00000amzC0AAI|2027-01-06|16:00:00.000Z"/>
    <n v="1"/>
    <s v="Red Bank"/>
    <x v="11"/>
    <x v="1"/>
  </r>
  <r>
    <s v="005ak00000icyWTAAY"/>
    <s v="2026-10-01T15:56:45.000Z"/>
    <n v="60"/>
    <s v="a0Aak00000GkO58EAF"/>
    <s v="a06ak00000amzBzAAI"/>
    <s v="Ezra Garcia"/>
    <m/>
    <x v="5"/>
    <b v="0"/>
    <m/>
    <s v="005ak00000icyWTAAY"/>
    <s v="2026-10-01T15:56:45.000Z"/>
    <m/>
    <m/>
    <d v="2027-01-07T00:00:00"/>
    <s v="LSN-01076"/>
    <s v="L-0001087"/>
    <s v="131ak000001XjDtAAK"/>
    <b v="0"/>
    <b v="0"/>
    <s v="a0Aak00000GkO58"/>
    <s v="15:30:00.000Z"/>
    <x v="2"/>
    <s v="a07ak00001rZMrIAAW"/>
    <s v="Sofia Perez"/>
    <s v="2026-10-01T15:56:45.000Z"/>
    <b v="1"/>
    <s v="a06ak00000amzBzAAI|2027-01-07|15:30:00.000Z"/>
    <n v="1"/>
    <s v="Red Bank"/>
    <x v="11"/>
    <x v="1"/>
  </r>
  <r>
    <s v="005ak00000icyWTAAY"/>
    <s v="2026-10-01T15:56:45.000Z"/>
    <n v="30"/>
    <s v="a0Aak00000GkO59EAF"/>
    <s v="a06ak00000amzCBAAY"/>
    <s v="Aiden Hill"/>
    <m/>
    <x v="3"/>
    <b v="0"/>
    <m/>
    <s v="005ak00000icyWTAAY"/>
    <s v="2026-10-01T15:56:45.000Z"/>
    <m/>
    <m/>
    <d v="2027-01-07T00:00:00"/>
    <s v="LSN-01077"/>
    <s v="L-0001088"/>
    <s v="131ak000001XjDtAAK"/>
    <b v="0"/>
    <b v="0"/>
    <s v="a0Aak00000GkO59"/>
    <s v="17:30:00.000Z"/>
    <x v="2"/>
    <s v="a07ak00001rZMqfAAG"/>
    <s v="Isaac Novak"/>
    <s v="2026-10-01T15:56:45.000Z"/>
    <b v="1"/>
    <s v="a06ak00000amzCBAAY|2027-01-07|17:30:00.000Z"/>
    <n v="1"/>
    <s v="Red Bank"/>
    <x v="11"/>
    <x v="1"/>
  </r>
  <r>
    <s v="005ak00000icyWTAAY"/>
    <s v="2026-10-01T15:56:45.000Z"/>
    <n v="60"/>
    <s v="a0Aak00000GkO5AEAV"/>
    <s v="a06ak00000amzCIAAY"/>
    <s v="Omar Nelson"/>
    <m/>
    <x v="7"/>
    <b v="0"/>
    <m/>
    <s v="005ak00000icyWTAAY"/>
    <s v="2026-10-01T15:56:45.000Z"/>
    <m/>
    <m/>
    <d v="2027-01-07T00:00:00"/>
    <s v="LSN-01078"/>
    <s v="L-0001089"/>
    <s v="131ak000001XjDvAAK"/>
    <b v="0"/>
    <b v="0"/>
    <s v="a0Aak00000GkO5A"/>
    <s v="18:00:00.000Z"/>
    <x v="2"/>
    <s v="a07ak00001rZMr2AAG"/>
    <s v="Maria Rodriguez"/>
    <s v="2026-10-01T15:56:45.000Z"/>
    <b v="1"/>
    <s v="a06ak00000amzCIAAY|2027-01-07|18:00:00.000Z"/>
    <n v="1"/>
    <s v="Toms River"/>
    <x v="11"/>
    <x v="1"/>
  </r>
  <r>
    <s v="005ak00000icyWTAAY"/>
    <s v="2026-10-01T15:56:45.000Z"/>
    <n v="30"/>
    <s v="a0Aak00000GkO5BEAV"/>
    <s v="a06ak00000amzC1AAI"/>
    <s v="Valentina Nakamura"/>
    <m/>
    <x v="11"/>
    <b v="0"/>
    <m/>
    <s v="005ak00000icyWTAAY"/>
    <s v="2026-10-01T15:56:45.000Z"/>
    <m/>
    <m/>
    <d v="2027-01-07T00:00:00"/>
    <s v="LSN-01079"/>
    <s v="L-0001090"/>
    <s v="131ak000001XjDtAAK"/>
    <b v="0"/>
    <b v="0"/>
    <s v="a0Aak00000GkO5B"/>
    <s v="18:30:00.000Z"/>
    <x v="2"/>
    <s v="a07ak00001rZMrQAAW"/>
    <s v="Caroline Byrne"/>
    <s v="2026-10-01T15:56:45.000Z"/>
    <b v="1"/>
    <s v="a06ak00000amzC1AAI|2027-01-07|18:30:00.000Z"/>
    <n v="1"/>
    <s v="Red Bank"/>
    <x v="11"/>
    <x v="1"/>
  </r>
  <r>
    <s v="005ak00000icyWTAAY"/>
    <s v="2026-10-01T15:56:45.000Z"/>
    <n v="45"/>
    <s v="a0Aak00000GkO5CEAV"/>
    <s v="a06ak00000amzBtAAI"/>
    <s v="Jamal Torres"/>
    <m/>
    <x v="2"/>
    <b v="0"/>
    <m/>
    <s v="005ak00000icyWTAAY"/>
    <s v="2026-10-01T15:56:45.000Z"/>
    <m/>
    <m/>
    <d v="2027-01-08T00:00:00"/>
    <s v="LSN-01080"/>
    <s v="L-0001091"/>
    <s v="131ak000001XjDtAAK"/>
    <b v="0"/>
    <b v="0"/>
    <s v="a0Aak00000GkO5C"/>
    <s v="15:30:00.000Z"/>
    <x v="2"/>
    <s v="a07ak00001rZMpBAAW"/>
    <s v="Delilah Adams"/>
    <s v="2026-10-01T15:56:45.000Z"/>
    <b v="1"/>
    <s v="a06ak00000amzBtAAI|2027-01-08|15:30:00.000Z"/>
    <n v="1"/>
    <s v="Red Bank"/>
    <x v="11"/>
    <x v="1"/>
  </r>
  <r>
    <s v="005ak00000icyWTAAY"/>
    <s v="2026-10-01T15:56:45.000Z"/>
    <n v="30"/>
    <s v="a0Aak00000GkO5DEAV"/>
    <s v="a06ak00000amzCCAAY"/>
    <s v="Rowan Jones"/>
    <m/>
    <x v="9"/>
    <b v="0"/>
    <m/>
    <s v="005ak00000icyWTAAY"/>
    <s v="2026-10-01T15:56:45.000Z"/>
    <m/>
    <m/>
    <d v="2027-01-08T00:00:00"/>
    <s v="LSN-01081"/>
    <s v="L-0001092"/>
    <s v="131ak000001XjDuAAK"/>
    <b v="0"/>
    <b v="0"/>
    <s v="a0Aak00000GkO5D"/>
    <s v="15:30:00.000Z"/>
    <x v="2"/>
    <s v="a07ak00001rZMq5AAG"/>
    <s v="Omar Clark"/>
    <s v="2026-10-01T15:56:45.000Z"/>
    <b v="1"/>
    <s v="a06ak00000amzCCAAY|2027-01-08|15:30:00.000Z"/>
    <n v="1"/>
    <s v="Brick"/>
    <x v="11"/>
    <x v="1"/>
  </r>
  <r>
    <s v="005ak00000icyWTAAY"/>
    <s v="2026-10-01T15:56:45.000Z"/>
    <n v="30"/>
    <s v="a0Aak00000GkO5EEAV"/>
    <s v="a06ak00000amzCHAAY"/>
    <s v="Liam Flores"/>
    <m/>
    <x v="4"/>
    <b v="0"/>
    <m/>
    <s v="005ak00000icyWTAAY"/>
    <s v="2026-10-01T15:56:45.000Z"/>
    <m/>
    <m/>
    <d v="2027-01-08T00:00:00"/>
    <s v="LSN-01082"/>
    <s v="L-0001093"/>
    <s v="131ak000001XjDvAAK"/>
    <b v="0"/>
    <b v="0"/>
    <s v="a0Aak00000GkO5E"/>
    <s v="16:30:00.000Z"/>
    <x v="2"/>
    <s v="a07ak00001rZMpEAAW"/>
    <s v="Kennedy Sullivan"/>
    <s v="2026-10-01T15:56:45.000Z"/>
    <b v="1"/>
    <s v="a06ak00000amzCHAAY|2027-01-08|16:30:00.000Z"/>
    <n v="1"/>
    <s v="Toms River"/>
    <x v="11"/>
    <x v="1"/>
  </r>
  <r>
    <s v="005ak00000icyWTAAY"/>
    <s v="2026-10-01T15:56:45.000Z"/>
    <n v="45"/>
    <s v="a0Aak00000GkO5FEAV"/>
    <s v="a06ak00000amzBzAAI"/>
    <s v="Ezra Garcia"/>
    <m/>
    <x v="5"/>
    <b v="0"/>
    <m/>
    <s v="005ak00000icyWTAAY"/>
    <s v="2026-10-01T15:56:45.000Z"/>
    <m/>
    <m/>
    <d v="2027-01-08T00:00:00"/>
    <s v="LSN-01083"/>
    <s v="L-0001094"/>
    <s v="131ak000001XjDvAAK"/>
    <b v="0"/>
    <b v="0"/>
    <s v="a0Aak00000GkO5F"/>
    <s v="16:30:00.000Z"/>
    <x v="2"/>
    <s v="a07ak00001rZMpQAAW"/>
    <s v="Priya Ramirez"/>
    <s v="2026-10-01T15:56:45.000Z"/>
    <b v="1"/>
    <s v="a06ak00000amzBzAAI|2027-01-08|16:30:00.000Z"/>
    <n v="1"/>
    <s v="Toms River"/>
    <x v="11"/>
    <x v="1"/>
  </r>
  <r>
    <s v="005ak00000icyWTAAY"/>
    <s v="2026-10-01T15:56:45.000Z"/>
    <n v="30"/>
    <s v="a0Aak00000GkO5GEAV"/>
    <s v="a06ak00000amzByAAI"/>
    <s v="Vincent Sullivan"/>
    <m/>
    <x v="8"/>
    <b v="0"/>
    <m/>
    <s v="005ak00000icyWTAAY"/>
    <s v="2026-10-01T15:56:45.000Z"/>
    <m/>
    <m/>
    <d v="2027-01-08T00:00:00"/>
    <s v="LSN-01084"/>
    <s v="L-0001095"/>
    <s v="131ak000001XjDuAAK"/>
    <b v="0"/>
    <b v="0"/>
    <s v="a0Aak00000GkO5G"/>
    <s v="17:00:00.000Z"/>
    <x v="2"/>
    <s v="a07ak00001rZMpNAAW"/>
    <s v="Hazel Walker"/>
    <s v="2026-10-01T15:56:45.000Z"/>
    <b v="1"/>
    <s v="a06ak00000amzByAAI|2027-01-08|17:00:00.000Z"/>
    <n v="1"/>
    <s v="Brick"/>
    <x v="11"/>
    <x v="1"/>
  </r>
  <r>
    <s v="005ak00000icyWTAAY"/>
    <s v="2026-10-01T15:56:45.000Z"/>
    <n v="30"/>
    <s v="a0Aak00000GkO5HEAV"/>
    <s v="a06ak00000amzCBAAY"/>
    <s v="Aiden Hill"/>
    <m/>
    <x v="3"/>
    <b v="0"/>
    <m/>
    <s v="005ak00000icyWTAAY"/>
    <s v="2026-10-01T15:56:45.000Z"/>
    <m/>
    <m/>
    <d v="2027-01-08T00:00:00"/>
    <s v="LSN-01085"/>
    <s v="L-0001096"/>
    <s v="131ak000001XjDtAAK"/>
    <b v="0"/>
    <b v="0"/>
    <s v="a0Aak00000GkO5H"/>
    <s v="17:30:00.000Z"/>
    <x v="2"/>
    <s v="a07ak00001rZMqOAAW"/>
    <s v="Brandon Byrne"/>
    <s v="2026-10-01T15:56:45.000Z"/>
    <b v="1"/>
    <s v="a06ak00000amzCBAAY|2027-01-08|17:30:00.000Z"/>
    <n v="1"/>
    <s v="Red Bank"/>
    <x v="11"/>
    <x v="1"/>
  </r>
  <r>
    <s v="005ak00000icyWTAAY"/>
    <s v="2026-10-01T15:56:45.000Z"/>
    <n v="45"/>
    <s v="a0Aak00000GkO5IEAV"/>
    <s v="a06ak00000amzC0AAI"/>
    <s v="James Moore"/>
    <m/>
    <x v="6"/>
    <b v="0"/>
    <m/>
    <s v="005ak00000icyWTAAY"/>
    <s v="2026-10-01T15:56:45.000Z"/>
    <m/>
    <m/>
    <d v="2027-01-08T00:00:00"/>
    <s v="LSN-01086"/>
    <s v="L-0001097"/>
    <s v="131ak000001XjDtAAK"/>
    <b v="0"/>
    <b v="0"/>
    <s v="a0Aak00000GkO5I"/>
    <s v="17:30:00.000Z"/>
    <x v="2"/>
    <s v="a07ak00001rZMqsAAG"/>
    <s v="Zoey Kim"/>
    <s v="2026-10-01T15:56:45.000Z"/>
    <b v="1"/>
    <s v="a06ak00000amzC0AAI|2027-01-08|17:30:00.000Z"/>
    <n v="1"/>
    <s v="Red Bank"/>
    <x v="11"/>
    <x v="1"/>
  </r>
  <r>
    <s v="005ak00000icyWTAAY"/>
    <s v="2026-10-01T15:56:45.000Z"/>
    <n v="60"/>
    <s v="a0Aak00000GkO5JEAV"/>
    <s v="a06ak00000amzBzAAI"/>
    <s v="Ezra Garcia"/>
    <m/>
    <x v="11"/>
    <b v="0"/>
    <m/>
    <s v="005ak00000icyWTAAY"/>
    <s v="2026-10-01T15:56:45.000Z"/>
    <m/>
    <m/>
    <d v="2027-01-08T00:00:00"/>
    <s v="LSN-01087"/>
    <s v="L-0001098"/>
    <s v="131ak000001XjDtAAK"/>
    <b v="0"/>
    <b v="0"/>
    <s v="a0Aak00000GkO5J"/>
    <s v="18:30:00.000Z"/>
    <x v="2"/>
    <s v="a07ak00001rZMquAAG"/>
    <s v="Audrey Nelson"/>
    <s v="2026-10-01T15:56:45.000Z"/>
    <b v="1"/>
    <s v="a06ak00000amzBzAAI|2027-01-08|18:30:00.000Z"/>
    <n v="1"/>
    <s v="Red Bank"/>
    <x v="11"/>
    <x v="1"/>
  </r>
  <r>
    <s v="005ak00000icyWTAAY"/>
    <s v="2026-10-01T15:56:45.000Z"/>
    <n v="30"/>
    <s v="a0Aak00000GkO5KEAV"/>
    <s v="a06ak00000amzBgAAI"/>
    <s v="Noah Mitchell"/>
    <m/>
    <x v="1"/>
    <b v="0"/>
    <m/>
    <s v="005ak00000icyWTAAY"/>
    <s v="2026-10-01T15:56:45.000Z"/>
    <m/>
    <m/>
    <d v="2027-01-08T00:00:00"/>
    <s v="LSN-01088"/>
    <s v="L-0001099"/>
    <s v="131ak000001XjDuAAK"/>
    <b v="0"/>
    <b v="0"/>
    <s v="a0Aak00000GkO5K"/>
    <s v="18:30:00.000Z"/>
    <x v="2"/>
    <s v="a07ak00001rZMs2AAG"/>
    <s v="Sofia Johnson"/>
    <s v="2026-10-01T15:56:45.000Z"/>
    <b v="1"/>
    <s v="a06ak00000amzBgAAI|2027-01-08|18:30:00.000Z"/>
    <n v="1"/>
    <s v="Brick"/>
    <x v="11"/>
    <x v="1"/>
  </r>
  <r>
    <s v="005ak00000icyWTAAY"/>
    <s v="2026-10-01T15:56:45.000Z"/>
    <n v="30"/>
    <s v="a0Aak00000GkO5LEAV"/>
    <s v="a06ak00000amzByAAI"/>
    <s v="Vincent Sullivan"/>
    <m/>
    <x v="10"/>
    <b v="0"/>
    <m/>
    <s v="005ak00000icyWTAAY"/>
    <s v="2026-10-01T15:56:45.000Z"/>
    <m/>
    <m/>
    <d v="2027-01-08T00:00:00"/>
    <s v="LSN-01089"/>
    <s v="L-0001100"/>
    <s v="131ak000001XjDuAAK"/>
    <b v="0"/>
    <b v="0"/>
    <s v="a0Aak00000GkO5L"/>
    <s v="19:00:00.000Z"/>
    <x v="2"/>
    <s v="a07ak00001rZMqlAAG"/>
    <s v="Savannah Campbell"/>
    <s v="2026-10-01T15:56:45.000Z"/>
    <b v="1"/>
    <s v="a06ak00000amzByAAI|2027-01-08|19:00:00.000Z"/>
    <n v="1"/>
    <s v="Brick"/>
    <x v="11"/>
    <x v="1"/>
  </r>
  <r>
    <s v="005ak00000icyWTAAY"/>
    <s v="2026-10-01T15:56:45.000Z"/>
    <n v="45"/>
    <s v="a0Aak00000GkO5MEAV"/>
    <s v="a06ak00000amzBzAAI"/>
    <s v="Ezra Garcia"/>
    <m/>
    <x v="5"/>
    <b v="0"/>
    <m/>
    <s v="005ak00000icyWTAAY"/>
    <s v="2026-10-01T15:56:45.000Z"/>
    <m/>
    <m/>
    <d v="2027-01-09T00:00:00"/>
    <s v="LSN-01090"/>
    <s v="L-0001101"/>
    <s v="131ak000001XjDtAAK"/>
    <b v="0"/>
    <b v="0"/>
    <s v="a0Aak00000GkO5M"/>
    <s v="11:00:00.000Z"/>
    <x v="2"/>
    <s v="a07ak00001rZMpvAAG"/>
    <s v="Anna Roberts"/>
    <s v="2026-10-01T15:56:45.000Z"/>
    <b v="1"/>
    <s v="a06ak00000amzBzAAI|2027-01-09|11:00:00.000Z"/>
    <n v="1"/>
    <s v="Red Bank"/>
    <x v="11"/>
    <x v="1"/>
  </r>
  <r>
    <s v="005ak00000icyWTAAY"/>
    <s v="2026-10-01T15:56:45.000Z"/>
    <n v="30"/>
    <s v="a0Aak00000GkO5NEAV"/>
    <s v="a06ak00000amzCHAAY"/>
    <s v="Liam Flores"/>
    <m/>
    <x v="4"/>
    <b v="0"/>
    <m/>
    <s v="005ak00000icyWTAAY"/>
    <s v="2026-10-01T15:56:45.000Z"/>
    <m/>
    <m/>
    <d v="2027-01-09T00:00:00"/>
    <s v="LSN-01091"/>
    <s v="L-0001102"/>
    <s v="131ak000001XjDtAAK"/>
    <b v="0"/>
    <b v="0"/>
    <s v="a0Aak00000GkO5N"/>
    <s v="11:30:00.000Z"/>
    <x v="2"/>
    <s v="a07ak00001rZMqPAAW"/>
    <s v="Tyler Byrne"/>
    <s v="2026-10-01T15:56:45.000Z"/>
    <b v="1"/>
    <s v="a06ak00000amzCHAAY|2027-01-09|11:30:00.000Z"/>
    <n v="1"/>
    <s v="Red Bank"/>
    <x v="11"/>
    <x v="1"/>
  </r>
  <r>
    <s v="005ak00000icyWTAAY"/>
    <s v="2026-10-01T15:56:45.000Z"/>
    <n v="45"/>
    <s v="a0Aak00000GkO5OEAV"/>
    <s v="a06ak00000amzCCAAY"/>
    <s v="Rowan Jones"/>
    <m/>
    <x v="9"/>
    <b v="0"/>
    <m/>
    <s v="005ak00000icyWTAAY"/>
    <s v="2026-10-01T15:56:45.000Z"/>
    <m/>
    <m/>
    <d v="2027-01-09T00:00:00"/>
    <s v="LSN-01092"/>
    <s v="L-0001103"/>
    <s v="131ak000001XjDvAAK"/>
    <b v="0"/>
    <b v="0"/>
    <s v="a0Aak00000GkO5O"/>
    <s v="12:30:00.000Z"/>
    <x v="2"/>
    <s v="a07ak00001rZMpSAAW"/>
    <s v="Julian Flores"/>
    <s v="2026-10-01T15:56:45.000Z"/>
    <b v="1"/>
    <s v="a06ak00000amzCCAAY|2027-01-09|12:30:00.000Z"/>
    <n v="1"/>
    <s v="Toms River"/>
    <x v="11"/>
    <x v="1"/>
  </r>
  <r>
    <s v="005ak00000icyWTAAY"/>
    <s v="2026-10-01T15:56:45.000Z"/>
    <n v="60"/>
    <s v="a0Aak00000GkO5PEAV"/>
    <s v="a06ak00000amzBzAAI"/>
    <s v="Ezra Garcia"/>
    <m/>
    <x v="5"/>
    <b v="0"/>
    <m/>
    <s v="005ak00000icyWTAAY"/>
    <s v="2026-10-01T15:56:45.000Z"/>
    <m/>
    <m/>
    <d v="2027-01-11T00:00:00"/>
    <s v="LSN-01093"/>
    <s v="L-0001104"/>
    <s v="131ak000001XjDtAAK"/>
    <b v="0"/>
    <b v="0"/>
    <s v="a0Aak00000GkO5P"/>
    <s v="15:30:00.000Z"/>
    <x v="2"/>
    <s v="a07ak00001rZMqGAAW"/>
    <s v="Josiah Clark"/>
    <s v="2026-10-01T15:56:45.000Z"/>
    <b v="1"/>
    <s v="a06ak00000amzBzAAI|2027-01-11|15:30:00.000Z"/>
    <n v="1"/>
    <s v="Red Bank"/>
    <x v="11"/>
    <x v="1"/>
  </r>
  <r>
    <s v="005ak00000icyWTAAY"/>
    <s v="2026-10-01T15:56:45.000Z"/>
    <n v="45"/>
    <s v="a0Aak00000GkO5QEAV"/>
    <s v="a06ak00000amzBgAAI"/>
    <s v="Noah Mitchell"/>
    <m/>
    <x v="1"/>
    <b v="0"/>
    <m/>
    <s v="005ak00000icyWTAAY"/>
    <s v="2026-10-01T15:56:45.000Z"/>
    <m/>
    <m/>
    <d v="2027-01-11T00:00:00"/>
    <s v="LSN-01094"/>
    <s v="L-0001105"/>
    <s v="131ak000001XjDuAAK"/>
    <b v="0"/>
    <b v="0"/>
    <s v="a0Aak00000GkO5Q"/>
    <s v="15:30:00.000Z"/>
    <x v="2"/>
    <s v="a07ak00001rZMqzAAG"/>
    <s v="Gabriel Green"/>
    <s v="2026-10-01T15:56:45.000Z"/>
    <b v="1"/>
    <s v="a06ak00000amzBgAAI|2027-01-11|15:30:00.000Z"/>
    <n v="1"/>
    <s v="Brick"/>
    <x v="11"/>
    <x v="1"/>
  </r>
  <r>
    <s v="005ak00000icyWTAAY"/>
    <s v="2026-10-01T15:56:45.000Z"/>
    <n v="60"/>
    <s v="a0Aak00000GkO5REAV"/>
    <s v="a06ak00000amzCBAAY"/>
    <s v="Aiden Hill"/>
    <m/>
    <x v="10"/>
    <b v="0"/>
    <m/>
    <s v="005ak00000icyWTAAY"/>
    <s v="2026-10-01T15:56:45.000Z"/>
    <m/>
    <m/>
    <d v="2027-01-11T00:00:00"/>
    <s v="LSN-01095"/>
    <s v="L-0001106"/>
    <s v="131ak000001XjDtAAK"/>
    <b v="0"/>
    <b v="0"/>
    <s v="a0Aak00000GkO5R"/>
    <s v="16:30:00.000Z"/>
    <x v="2"/>
    <s v="a07ak00001rZMrMAAW"/>
    <s v="Declan Martinez"/>
    <s v="2026-10-01T15:56:45.000Z"/>
    <b v="1"/>
    <s v="a06ak00000amzCBAAY|2027-01-11|16:30:00.000Z"/>
    <n v="1"/>
    <s v="Red Bank"/>
    <x v="11"/>
    <x v="1"/>
  </r>
  <r>
    <s v="005ak00000icyWTAAY"/>
    <s v="2026-10-01T15:56:45.000Z"/>
    <n v="30"/>
    <s v="a0Aak00000GkO5SEAV"/>
    <s v="a06ak00000amzC1AAI"/>
    <s v="Valentina Nakamura"/>
    <m/>
    <x v="11"/>
    <b v="0"/>
    <m/>
    <s v="005ak00000icyWTAAY"/>
    <s v="2026-10-01T15:56:45.000Z"/>
    <m/>
    <m/>
    <d v="2027-01-11T00:00:00"/>
    <s v="LSN-01096"/>
    <s v="L-0001107"/>
    <s v="131ak000001XjDuAAK"/>
    <b v="0"/>
    <b v="0"/>
    <s v="a0Aak00000GkO5S"/>
    <s v="16:30:00.000Z"/>
    <x v="2"/>
    <s v="a07ak00001rZMrbAAG"/>
    <s v="Layla Ramirez"/>
    <s v="2026-10-01T15:56:45.000Z"/>
    <b v="1"/>
    <s v="a06ak00000amzC1AAI|2027-01-11|16:30:00.000Z"/>
    <n v="1"/>
    <s v="Brick"/>
    <x v="11"/>
    <x v="1"/>
  </r>
  <r>
    <s v="005ak00000icyWTAAY"/>
    <s v="2026-10-01T15:56:45.000Z"/>
    <n v="45"/>
    <s v="a0Aak00000GkO5TEAV"/>
    <s v="a06ak00000amzBiAAI"/>
    <s v="Zoey Torres"/>
    <m/>
    <x v="1"/>
    <b v="0"/>
    <m/>
    <s v="005ak00000icyWTAAY"/>
    <s v="2026-10-01T15:56:45.000Z"/>
    <m/>
    <m/>
    <d v="2027-01-11T00:00:00"/>
    <s v="LSN-01097"/>
    <s v="L-0001108"/>
    <s v="131ak000001XjDtAAK"/>
    <b v="0"/>
    <b v="0"/>
    <s v="a0Aak00000GkO5T"/>
    <s v="17:30:00.000Z"/>
    <x v="2"/>
    <s v="a07ak00001rZMq6AAG"/>
    <s v="Miles Jones"/>
    <s v="2026-10-01T15:56:45.000Z"/>
    <b v="1"/>
    <s v="a06ak00000amzBiAAI|2027-01-11|17:30:00.000Z"/>
    <n v="1"/>
    <s v="Red Bank"/>
    <x v="11"/>
    <x v="1"/>
  </r>
  <r>
    <s v="005ak00000icyWTAAY"/>
    <s v="2026-10-01T15:56:45.000Z"/>
    <n v="30"/>
    <s v="a0Aak00000GkO5UEAV"/>
    <s v="a06ak00000amzBzAAI"/>
    <s v="Ezra Garcia"/>
    <m/>
    <x v="0"/>
    <b v="0"/>
    <m/>
    <s v="005ak00000icyWTAAY"/>
    <s v="2026-10-01T15:56:45.000Z"/>
    <m/>
    <m/>
    <d v="2027-01-11T00:00:00"/>
    <s v="LSN-01098"/>
    <s v="L-0001109"/>
    <s v="131ak000001XjDtAAK"/>
    <b v="0"/>
    <b v="0"/>
    <s v="a0Aak00000GkO5U"/>
    <s v="17:30:00.000Z"/>
    <x v="2"/>
    <s v="a07ak00001rZMqUAAW"/>
    <s v="Riley Silva"/>
    <s v="2026-10-01T15:56:45.000Z"/>
    <b v="1"/>
    <s v="a06ak00000amzBzAAI|2027-01-11|17:30:00.000Z"/>
    <n v="1"/>
    <s v="Red Bank"/>
    <x v="11"/>
    <x v="1"/>
  </r>
  <r>
    <s v="005ak00000icyWTAAY"/>
    <s v="2026-10-01T15:56:45.000Z"/>
    <n v="45"/>
    <s v="a0Aak00000GkO5VEAV"/>
    <s v="a06ak00000amzCIAAY"/>
    <s v="Omar Nelson"/>
    <m/>
    <x v="7"/>
    <b v="0"/>
    <m/>
    <s v="005ak00000icyWTAAY"/>
    <s v="2026-10-01T15:56:45.000Z"/>
    <m/>
    <m/>
    <d v="2027-01-11T00:00:00"/>
    <s v="LSN-01099"/>
    <s v="L-0001110"/>
    <s v="131ak000001XjDvAAK"/>
    <b v="0"/>
    <b v="0"/>
    <s v="a0Aak00000GkO5V"/>
    <s v="19:00:00.000Z"/>
    <x v="2"/>
    <s v="a07ak00001rZMpLAAW"/>
    <s v="Nathan Ahmed"/>
    <s v="2026-10-01T15:56:45.000Z"/>
    <b v="1"/>
    <s v="a06ak00000amzCIAAY|2027-01-11|19:00:00.000Z"/>
    <n v="1"/>
    <s v="Toms River"/>
    <x v="11"/>
    <x v="1"/>
  </r>
  <r>
    <s v="005ak00000icyWTAAY"/>
    <s v="2026-10-01T15:56:45.000Z"/>
    <n v="45"/>
    <s v="a0Aak00000GkO5WEAV"/>
    <s v="a06ak00000amzBzAAI"/>
    <s v="Ezra Garcia"/>
    <m/>
    <x v="0"/>
    <b v="0"/>
    <m/>
    <s v="005ak00000icyWTAAY"/>
    <s v="2026-10-01T15:56:45.000Z"/>
    <m/>
    <m/>
    <d v="2027-01-12T00:00:00"/>
    <s v="LSN-01100"/>
    <s v="L-0001111"/>
    <s v="131ak000001XjDtAAK"/>
    <b v="0"/>
    <b v="0"/>
    <s v="a0Aak00000GkO5W"/>
    <s v="18:30:00.000Z"/>
    <x v="2"/>
    <s v="a07ak00001rZMpJAAW"/>
    <s v="Josiah Torres"/>
    <s v="2026-10-01T15:56:45.000Z"/>
    <b v="1"/>
    <s v="a06ak00000amzBzAAI|2027-01-12|18:30:00.000Z"/>
    <n v="1"/>
    <s v="Red Bank"/>
    <x v="11"/>
    <x v="1"/>
  </r>
  <r>
    <s v="005ak00000icyWTAAY"/>
    <s v="2026-10-01T15:56:45.000Z"/>
    <n v="45"/>
    <s v="a0Aak00000GkO5XEAV"/>
    <s v="a06ak00000amzCHAAY"/>
    <s v="Liam Flores"/>
    <m/>
    <x v="4"/>
    <b v="0"/>
    <m/>
    <s v="005ak00000icyWTAAY"/>
    <s v="2026-10-01T15:56:45.000Z"/>
    <m/>
    <m/>
    <d v="2027-01-12T00:00:00"/>
    <s v="LSN-01101"/>
    <s v="L-0001112"/>
    <s v="131ak000001XjDuAAK"/>
    <b v="0"/>
    <b v="0"/>
    <s v="a0Aak00000GkO5X"/>
    <s v="18:30:00.000Z"/>
    <x v="2"/>
    <s v="a07ak00001rZMpZAAW"/>
    <s v="Harper Patel"/>
    <s v="2026-10-01T15:56:45.000Z"/>
    <b v="1"/>
    <s v="a06ak00000amzCHAAY|2027-01-12|18:30:00.000Z"/>
    <n v="1"/>
    <s v="Brick"/>
    <x v="11"/>
    <x v="1"/>
  </r>
  <r>
    <s v="005ak00000icyWTAAY"/>
    <s v="2026-10-01T15:56:45.000Z"/>
    <n v="30"/>
    <s v="a0Aak00000GkO5YEAV"/>
    <s v="a06ak00000amzByAAI"/>
    <s v="Vincent Sullivan"/>
    <m/>
    <x v="8"/>
    <b v="0"/>
    <m/>
    <s v="005ak00000icyWTAAY"/>
    <s v="2026-10-01T15:56:45.000Z"/>
    <m/>
    <m/>
    <d v="2027-01-13T00:00:00"/>
    <s v="LSN-01102"/>
    <s v="L-0001113"/>
    <s v="131ak000001XjDuAAK"/>
    <b v="0"/>
    <b v="0"/>
    <s v="a0Aak00000GkO5Y"/>
    <s v="15:00:00.000Z"/>
    <x v="2"/>
    <s v="a07ak00001rZMqoAAG"/>
    <s v="Bella Martin"/>
    <s v="2026-10-01T15:56:45.000Z"/>
    <b v="1"/>
    <s v="a06ak00000amzByAAI|2027-01-13|15:00:00.000Z"/>
    <n v="1"/>
    <s v="Brick"/>
    <x v="11"/>
    <x v="1"/>
  </r>
  <r>
    <s v="005ak00000icyWTAAY"/>
    <s v="2026-10-01T15:56:45.000Z"/>
    <n v="30"/>
    <s v="a0Aak00000GkO5ZEAV"/>
    <s v="a06ak00000amzC0AAI"/>
    <s v="James Moore"/>
    <m/>
    <x v="9"/>
    <b v="0"/>
    <m/>
    <s v="005ak00000icyWTAAY"/>
    <s v="2026-10-01T15:56:45.000Z"/>
    <m/>
    <m/>
    <d v="2027-01-14T00:00:00"/>
    <s v="LSN-01103"/>
    <s v="L-0001114"/>
    <s v="131ak000001XjDtAAK"/>
    <b v="0"/>
    <b v="0"/>
    <s v="a0Aak00000GkO5Z"/>
    <s v="15:00:00.000Z"/>
    <x v="2"/>
    <s v="a07ak00001rZMpbAAG"/>
    <s v="Sofia Green"/>
    <s v="2026-10-01T15:56:45.000Z"/>
    <b v="1"/>
    <s v="a06ak00000amzC0AAI|2027-01-14|15:00:00.000Z"/>
    <n v="1"/>
    <s v="Red Bank"/>
    <x v="11"/>
    <x v="1"/>
  </r>
  <r>
    <s v="005ak00000icyWTAAY"/>
    <s v="2026-10-01T15:56:45.000Z"/>
    <n v="30"/>
    <s v="a0Aak00000GkO5aEAF"/>
    <s v="a06ak00000amzBiAAI"/>
    <s v="Zoey Torres"/>
    <m/>
    <x v="7"/>
    <b v="0"/>
    <m/>
    <s v="005ak00000icyWTAAY"/>
    <s v="2026-10-01T15:56:45.000Z"/>
    <m/>
    <m/>
    <d v="2027-01-14T00:00:00"/>
    <s v="LSN-01104"/>
    <s v="L-0001115"/>
    <s v="131ak000001XjDtAAK"/>
    <b v="0"/>
    <b v="0"/>
    <s v="a0Aak00000GkO5a"/>
    <s v="15:30:00.000Z"/>
    <x v="2"/>
    <s v="a07ak00001rZMpsAAG"/>
    <s v="Aubrey Clark"/>
    <s v="2026-10-01T15:56:45.000Z"/>
    <b v="1"/>
    <s v="a06ak00000amzBiAAI|2027-01-14|15:30:00.000Z"/>
    <n v="1"/>
    <s v="Red Bank"/>
    <x v="11"/>
    <x v="1"/>
  </r>
  <r>
    <s v="005ak00000icyWTAAY"/>
    <s v="2026-10-01T15:56:45.000Z"/>
    <n v="30"/>
    <s v="a0Aak00000GkO5bEAF"/>
    <s v="a06ak00000amzC0AAI"/>
    <s v="James Moore"/>
    <m/>
    <x v="9"/>
    <b v="0"/>
    <m/>
    <s v="005ak00000icyWTAAY"/>
    <s v="2026-10-01T15:56:45.000Z"/>
    <m/>
    <m/>
    <d v="2027-01-14T00:00:00"/>
    <s v="LSN-01105"/>
    <s v="L-0001116"/>
    <s v="131ak000001XjDtAAK"/>
    <b v="0"/>
    <b v="0"/>
    <s v="a0Aak00000GkO5b"/>
    <s v="16:00:00.000Z"/>
    <x v="2"/>
    <s v="a07ak00001rZMqZAAW"/>
    <s v="Nathan Perez"/>
    <s v="2026-10-01T15:56:45.000Z"/>
    <b v="1"/>
    <s v="a06ak00000amzC0AAI|2027-01-14|16:00:00.000Z"/>
    <n v="1"/>
    <s v="Red Bank"/>
    <x v="11"/>
    <x v="1"/>
  </r>
  <r>
    <s v="005ak00000icyWTAAY"/>
    <s v="2026-10-01T15:56:45.000Z"/>
    <n v="30"/>
    <s v="a0Aak00000GkO5cEAF"/>
    <s v="a06ak00000amzBgAAI"/>
    <s v="Noah Mitchell"/>
    <m/>
    <x v="8"/>
    <b v="0"/>
    <m/>
    <s v="005ak00000icyWTAAY"/>
    <s v="2026-10-01T15:56:45.000Z"/>
    <m/>
    <m/>
    <d v="2027-01-14T00:00:00"/>
    <s v="LSN-01106"/>
    <s v="L-0001117"/>
    <s v="131ak000001XjDuAAK"/>
    <b v="0"/>
    <b v="0"/>
    <s v="a0Aak00000GkO5c"/>
    <s v="16:00:00.000Z"/>
    <x v="2"/>
    <s v="a07ak00001rZMrqAAG"/>
    <s v="Matthew Thomas"/>
    <s v="2026-10-01T15:56:45.000Z"/>
    <b v="1"/>
    <s v="a06ak00000amzBgAAI|2027-01-14|16:00:00.000Z"/>
    <n v="1"/>
    <s v="Brick"/>
    <x v="11"/>
    <x v="1"/>
  </r>
  <r>
    <s v="005ak00000icyWTAAY"/>
    <s v="2026-10-01T15:56:45.000Z"/>
    <n v="30"/>
    <s v="a0Aak00000GkO5dEAF"/>
    <s v="a06ak00000amzCBAAY"/>
    <s v="Aiden Hill"/>
    <m/>
    <x v="3"/>
    <b v="0"/>
    <m/>
    <s v="005ak00000icyWTAAY"/>
    <s v="2026-10-01T15:56:45.000Z"/>
    <m/>
    <m/>
    <d v="2027-01-14T00:00:00"/>
    <s v="LSN-01107"/>
    <s v="L-0001118"/>
    <s v="131ak000001XjDtAAK"/>
    <b v="0"/>
    <b v="0"/>
    <s v="a0Aak00000GkO5d"/>
    <s v="17:30:00.000Z"/>
    <x v="2"/>
    <s v="a07ak00001rZMqfAAG"/>
    <s v="Isaac Novak"/>
    <s v="2026-10-01T15:56:45.000Z"/>
    <b v="1"/>
    <s v="a06ak00000amzCBAAY|2027-01-14|17:30:00.000Z"/>
    <n v="1"/>
    <s v="Red Bank"/>
    <x v="11"/>
    <x v="1"/>
  </r>
  <r>
    <s v="005ak00000icyWTAAY"/>
    <s v="2026-10-01T15:56:45.000Z"/>
    <n v="60"/>
    <s v="a0Aak00000GkO5eEAF"/>
    <s v="a06ak00000amzCIAAY"/>
    <s v="Omar Nelson"/>
    <m/>
    <x v="7"/>
    <b v="0"/>
    <m/>
    <s v="005ak00000icyWTAAY"/>
    <s v="2026-10-01T15:56:45.000Z"/>
    <m/>
    <m/>
    <d v="2027-01-14T00:00:00"/>
    <s v="LSN-01108"/>
    <s v="L-0001119"/>
    <s v="131ak000001XjDvAAK"/>
    <b v="0"/>
    <b v="0"/>
    <s v="a0Aak00000GkO5e"/>
    <s v="18:00:00.000Z"/>
    <x v="2"/>
    <s v="a07ak00001rZMr2AAG"/>
    <s v="Maria Rodriguez"/>
    <s v="2026-10-01T15:56:45.000Z"/>
    <b v="1"/>
    <s v="a06ak00000amzCIAAY|2027-01-14|18:00:00.000Z"/>
    <n v="1"/>
    <s v="Toms River"/>
    <x v="11"/>
    <x v="1"/>
  </r>
  <r>
    <s v="005ak00000icyWTAAY"/>
    <s v="2026-10-01T15:56:45.000Z"/>
    <n v="30"/>
    <s v="a0Aak00000GkO5fEAF"/>
    <s v="a06ak00000amzBiAAI"/>
    <s v="Zoey Torres"/>
    <m/>
    <x v="8"/>
    <b v="0"/>
    <m/>
    <s v="005ak00000icyWTAAY"/>
    <s v="2026-10-01T15:56:45.000Z"/>
    <m/>
    <m/>
    <d v="2027-01-14T00:00:00"/>
    <s v="LSN-01109"/>
    <s v="L-0001120"/>
    <s v="131ak000001XjDtAAK"/>
    <b v="0"/>
    <b v="0"/>
    <s v="a0Aak00000GkO5f"/>
    <s v="19:00:00.000Z"/>
    <x v="2"/>
    <s v="a07ak00001rZMqIAAW"/>
    <s v="Gabriel Baker"/>
    <s v="2026-10-01T15:56:45.000Z"/>
    <b v="1"/>
    <s v="a06ak00000amzBiAAI|2027-01-14|19:00:00.000Z"/>
    <n v="1"/>
    <s v="Red Bank"/>
    <x v="11"/>
    <x v="1"/>
  </r>
  <r>
    <s v="005ak00000icyWTAAY"/>
    <s v="2026-10-01T15:56:45.000Z"/>
    <n v="30"/>
    <s v="a0Aak00000GkO5gEAF"/>
    <s v="a06ak00000amzCHAAY"/>
    <s v="Liam Flores"/>
    <m/>
    <x v="4"/>
    <b v="0"/>
    <m/>
    <s v="005ak00000icyWTAAY"/>
    <s v="2026-10-01T15:56:45.000Z"/>
    <m/>
    <m/>
    <d v="2027-01-15T00:00:00"/>
    <s v="LSN-01110"/>
    <s v="L-0001121"/>
    <s v="131ak000001XjDvAAK"/>
    <b v="0"/>
    <b v="0"/>
    <s v="a0Aak00000GkO5g"/>
    <s v="16:30:00.000Z"/>
    <x v="2"/>
    <s v="a07ak00001rZMpEAAW"/>
    <s v="Kennedy Sullivan"/>
    <s v="2026-10-01T15:56:45.000Z"/>
    <b v="1"/>
    <s v="a06ak00000amzCHAAY|2027-01-15|16:30:00.000Z"/>
    <n v="1"/>
    <s v="Toms River"/>
    <x v="11"/>
    <x v="1"/>
  </r>
  <r>
    <s v="005ak00000icyWTAAY"/>
    <s v="2026-10-01T15:56:45.000Z"/>
    <n v="45"/>
    <s v="a0Aak00000GkO5hEAF"/>
    <s v="a06ak00000amzBzAAI"/>
    <s v="Ezra Garcia"/>
    <m/>
    <x v="5"/>
    <b v="0"/>
    <m/>
    <s v="005ak00000icyWTAAY"/>
    <s v="2026-10-01T15:56:45.000Z"/>
    <m/>
    <m/>
    <d v="2027-01-15T00:00:00"/>
    <s v="LSN-01111"/>
    <s v="L-0001122"/>
    <s v="131ak000001XjDvAAK"/>
    <b v="0"/>
    <b v="0"/>
    <s v="a0Aak00000GkO5h"/>
    <s v="16:30:00.000Z"/>
    <x v="2"/>
    <s v="a07ak00001rZMpQAAW"/>
    <s v="Priya Ramirez"/>
    <s v="2026-10-01T15:56:45.000Z"/>
    <b v="1"/>
    <s v="a06ak00000amzBzAAI|2027-01-15|16:30:00.000Z"/>
    <n v="1"/>
    <s v="Toms River"/>
    <x v="11"/>
    <x v="1"/>
  </r>
  <r>
    <s v="005ak00000icyWTAAY"/>
    <s v="2026-10-01T15:56:45.000Z"/>
    <n v="45"/>
    <s v="a0Aak00000GkO5iEAF"/>
    <s v="a06ak00000amzCCAAY"/>
    <s v="Rowan Jones"/>
    <m/>
    <x v="9"/>
    <b v="0"/>
    <m/>
    <s v="005ak00000icyWTAAY"/>
    <s v="2026-10-01T15:56:45.000Z"/>
    <m/>
    <m/>
    <d v="2027-01-15T00:00:00"/>
    <s v="LSN-01112"/>
    <s v="L-0001123"/>
    <s v="131ak000001XjDvAAK"/>
    <b v="0"/>
    <b v="0"/>
    <s v="a0Aak00000GkO5i"/>
    <s v="17:00:00.000Z"/>
    <x v="2"/>
    <s v="a07ak00001rZMriAAG"/>
    <s v="Paisley Davis"/>
    <s v="2026-10-01T15:56:45.000Z"/>
    <b v="1"/>
    <s v="a06ak00000amzCCAAY|2027-01-15|17:00:00.000Z"/>
    <n v="1"/>
    <s v="Toms River"/>
    <x v="11"/>
    <x v="1"/>
  </r>
  <r>
    <s v="005ak00000icyWTAAY"/>
    <s v="2026-10-01T15:56:45.000Z"/>
    <n v="45"/>
    <s v="a0Aak00000GkO5jEAF"/>
    <s v="a06ak00000amzCHAAY"/>
    <s v="Liam Flores"/>
    <m/>
    <x v="4"/>
    <b v="0"/>
    <m/>
    <s v="005ak00000icyWTAAY"/>
    <s v="2026-10-01T15:56:45.000Z"/>
    <m/>
    <m/>
    <d v="2027-01-15T00:00:00"/>
    <s v="LSN-01113"/>
    <s v="L-0001124"/>
    <s v="131ak000001XjDuAAK"/>
    <b v="0"/>
    <b v="0"/>
    <s v="a0Aak00000GkO5j"/>
    <s v="18:00:00.000Z"/>
    <x v="2"/>
    <s v="a07ak00001rZMqEAAW"/>
    <s v="Lucas Rodriguez"/>
    <s v="2026-10-01T15:56:45.000Z"/>
    <b v="1"/>
    <s v="a06ak00000amzCHAAY|2027-01-15|18:00:00.000Z"/>
    <n v="1"/>
    <s v="Brick"/>
    <x v="11"/>
    <x v="1"/>
  </r>
  <r>
    <s v="005ak00000icyWTAAY"/>
    <s v="2026-10-01T15:56:45.000Z"/>
    <n v="30"/>
    <s v="a0Aak00000GkO5kEAF"/>
    <s v="a06ak00000amzC8AAI"/>
    <s v="Adrian Byrne"/>
    <m/>
    <x v="2"/>
    <b v="0"/>
    <m/>
    <s v="005ak00000icyWTAAY"/>
    <s v="2026-10-01T15:56:45.000Z"/>
    <m/>
    <m/>
    <d v="2027-01-15T00:00:00"/>
    <s v="LSN-01114"/>
    <s v="L-0001125"/>
    <s v="131ak000001XjDuAAK"/>
    <b v="0"/>
    <b v="0"/>
    <s v="a0Aak00000GkO5k"/>
    <s v="19:00:00.000Z"/>
    <x v="2"/>
    <s v="a07ak00001rZMpiAAG"/>
    <s v="Bella Adams"/>
    <s v="2026-10-01T15:56:45.000Z"/>
    <b v="1"/>
    <s v="a06ak00000amzC8AAI|2027-01-15|19:00:00.000Z"/>
    <n v="1"/>
    <s v="Brick"/>
    <x v="11"/>
    <x v="1"/>
  </r>
  <r>
    <s v="005ak00000icyWTAAY"/>
    <s v="2026-10-01T15:56:45.000Z"/>
    <n v="30"/>
    <s v="a0Aak00000GkO5lEAF"/>
    <s v="a06ak00000amzC1AAI"/>
    <s v="Valentina Nakamura"/>
    <m/>
    <x v="11"/>
    <b v="0"/>
    <m/>
    <s v="005ak00000icyWTAAY"/>
    <s v="2026-10-01T15:56:45.000Z"/>
    <m/>
    <m/>
    <d v="2027-01-16T00:00:00"/>
    <s v="LSN-01115"/>
    <s v="L-0001126"/>
    <s v="131ak000001XjDvAAK"/>
    <b v="0"/>
    <b v="0"/>
    <s v="a0Aak00000GkO5l"/>
    <s v="11:30:00.000Z"/>
    <x v="2"/>
    <s v="a07ak00001rZMpwAAG"/>
    <s v="Brooklyn Young"/>
    <s v="2026-10-01T15:56:45.000Z"/>
    <b v="1"/>
    <s v="a06ak00000amzC1AAI|2027-01-16|11:30:00.000Z"/>
    <n v="1"/>
    <s v="Toms River"/>
    <x v="11"/>
    <x v="1"/>
  </r>
  <r>
    <s v="005ak00000icyWTAAY"/>
    <s v="2026-10-01T15:56:45.000Z"/>
    <n v="60"/>
    <s v="a0Aak00000GkO5mEAF"/>
    <s v="a06ak00000amzBzAAI"/>
    <s v="Ezra Garcia"/>
    <m/>
    <x v="5"/>
    <b v="0"/>
    <m/>
    <s v="005ak00000icyWTAAY"/>
    <s v="2026-10-01T15:56:45.000Z"/>
    <m/>
    <m/>
    <d v="2027-01-18T00:00:00"/>
    <s v="LSN-01116"/>
    <s v="L-0001127"/>
    <s v="131ak000001XjDtAAK"/>
    <b v="0"/>
    <b v="0"/>
    <s v="a0Aak00000GkO5m"/>
    <s v="15:30:00.000Z"/>
    <x v="2"/>
    <s v="a07ak00001rZMqGAAW"/>
    <s v="Josiah Clark"/>
    <s v="2026-10-01T15:56:45.000Z"/>
    <b v="1"/>
    <s v="a06ak00000amzBzAAI|2027-01-18|15:30:00.000Z"/>
    <n v="1"/>
    <s v="Red Bank"/>
    <x v="11"/>
    <x v="1"/>
  </r>
  <r>
    <s v="005ak00000icyWTAAY"/>
    <s v="2026-10-01T15:56:45.000Z"/>
    <n v="45"/>
    <s v="a0Aak00000GkO5nEAF"/>
    <s v="a06ak00000amzBgAAI"/>
    <s v="Noah Mitchell"/>
    <m/>
    <x v="1"/>
    <b v="0"/>
    <m/>
    <s v="005ak00000icyWTAAY"/>
    <s v="2026-10-01T15:56:45.000Z"/>
    <m/>
    <m/>
    <d v="2027-01-18T00:00:00"/>
    <s v="LSN-01117"/>
    <s v="L-0001128"/>
    <s v="131ak000001XjDuAAK"/>
    <b v="0"/>
    <b v="0"/>
    <s v="a0Aak00000GkO5n"/>
    <s v="15:30:00.000Z"/>
    <x v="2"/>
    <s v="a07ak00001rZMqzAAG"/>
    <s v="Gabriel Green"/>
    <s v="2026-10-01T15:56:45.000Z"/>
    <b v="1"/>
    <s v="a06ak00000amzBgAAI|2027-01-18|15:30:00.000Z"/>
    <n v="1"/>
    <s v="Brick"/>
    <x v="11"/>
    <x v="1"/>
  </r>
  <r>
    <s v="005ak00000icyWTAAY"/>
    <s v="2026-10-01T15:56:45.000Z"/>
    <n v="45"/>
    <s v="a0Aak00000GkO5oEAF"/>
    <s v="a06ak00000amzC1AAI"/>
    <s v="Valentina Nakamura"/>
    <m/>
    <x v="5"/>
    <b v="0"/>
    <m/>
    <s v="005ak00000icyWTAAY"/>
    <s v="2026-10-01T15:56:45.000Z"/>
    <m/>
    <m/>
    <d v="2027-01-18T00:00:00"/>
    <s v="LSN-01118"/>
    <s v="L-0001129"/>
    <s v="131ak000001XjDuAAK"/>
    <b v="0"/>
    <b v="0"/>
    <s v="a0Aak00000GkO5o"/>
    <s v="15:30:00.000Z"/>
    <x v="2"/>
    <s v="a07ak00001rZMrpAAG"/>
    <s v="Miles Silva"/>
    <s v="2026-10-01T15:56:45.000Z"/>
    <b v="1"/>
    <s v="a06ak00000amzC1AAI|2027-01-18|15:30:00.000Z"/>
    <n v="1"/>
    <s v="Brick"/>
    <x v="11"/>
    <x v="1"/>
  </r>
  <r>
    <s v="005ak00000icyWTAAY"/>
    <s v="2026-10-01T15:56:45.000Z"/>
    <n v="60"/>
    <s v="a0Aak00000GkO5pEAF"/>
    <s v="a06ak00000amzCBAAY"/>
    <s v="Aiden Hill"/>
    <m/>
    <x v="10"/>
    <b v="0"/>
    <m/>
    <s v="005ak00000icyWTAAY"/>
    <s v="2026-10-01T15:56:45.000Z"/>
    <m/>
    <m/>
    <d v="2027-01-18T00:00:00"/>
    <s v="LSN-01119"/>
    <s v="L-0001130"/>
    <s v="131ak000001XjDtAAK"/>
    <b v="0"/>
    <b v="0"/>
    <s v="a0Aak00000GkO5p"/>
    <s v="16:30:00.000Z"/>
    <x v="2"/>
    <s v="a07ak00001rZMrMAAW"/>
    <s v="Declan Martinez"/>
    <s v="2026-10-01T15:56:45.000Z"/>
    <b v="1"/>
    <s v="a06ak00000amzCBAAY|2027-01-18|16:30:00.000Z"/>
    <n v="1"/>
    <s v="Red Bank"/>
    <x v="11"/>
    <x v="1"/>
  </r>
  <r>
    <s v="005ak00000icyWTAAY"/>
    <s v="2026-10-01T15:56:45.000Z"/>
    <n v="60"/>
    <s v="a0Aak00000GkO5qEAF"/>
    <s v="a06ak00000amzCCAAY"/>
    <s v="Rowan Jones"/>
    <m/>
    <x v="3"/>
    <b v="0"/>
    <m/>
    <s v="005ak00000icyWTAAY"/>
    <s v="2026-10-01T15:56:45.000Z"/>
    <m/>
    <m/>
    <d v="2027-01-18T00:00:00"/>
    <s v="LSN-01120"/>
    <s v="L-0001131"/>
    <s v="131ak000001XjDuAAK"/>
    <b v="0"/>
    <b v="0"/>
    <s v="a0Aak00000GkO5q"/>
    <s v="18:30:00.000Z"/>
    <x v="2"/>
    <s v="a07ak00001rZMpaAAG"/>
    <s v="Layla Hill"/>
    <s v="2026-10-01T15:56:45.000Z"/>
    <b v="1"/>
    <s v="a06ak00000amzCCAAY|2027-01-18|18:30:00.000Z"/>
    <n v="1"/>
    <s v="Brick"/>
    <x v="11"/>
    <x v="1"/>
  </r>
  <r>
    <s v="005ak00000icyWTAAY"/>
    <s v="2026-10-01T15:56:45.000Z"/>
    <n v="30"/>
    <s v="a0Aak00000GkO5rEAF"/>
    <s v="a06ak00000amzC8AAI"/>
    <s v="Adrian Byrne"/>
    <m/>
    <x v="9"/>
    <b v="0"/>
    <m/>
    <s v="005ak00000icyWTAAY"/>
    <s v="2026-10-01T15:56:45.000Z"/>
    <m/>
    <m/>
    <d v="2027-01-19T00:00:00"/>
    <s v="LSN-01121"/>
    <s v="L-0001132"/>
    <s v="131ak000001XjDuAAK"/>
    <b v="0"/>
    <b v="0"/>
    <s v="a0Aak00000GkO5r"/>
    <s v="16:30:00.000Z"/>
    <x v="2"/>
    <s v="a07ak00001rZMrgAAG"/>
    <s v="Isaac Young"/>
    <s v="2026-10-01T15:56:45.000Z"/>
    <b v="1"/>
    <s v="a06ak00000amzC8AAI|2027-01-19|16:30:00.000Z"/>
    <n v="1"/>
    <s v="Brick"/>
    <x v="11"/>
    <x v="1"/>
  </r>
  <r>
    <s v="005ak00000icyWTAAY"/>
    <s v="2026-10-01T15:56:45.000Z"/>
    <n v="30"/>
    <s v="a0Aak00000GkO5sEAF"/>
    <s v="a06ak00000amzCCAAY"/>
    <s v="Rowan Jones"/>
    <m/>
    <x v="9"/>
    <b v="0"/>
    <m/>
    <s v="005ak00000icyWTAAY"/>
    <s v="2026-10-01T15:56:45.000Z"/>
    <m/>
    <m/>
    <d v="2027-01-19T00:00:00"/>
    <s v="LSN-01122"/>
    <s v="L-0001133"/>
    <s v="131ak000001XjDvAAK"/>
    <b v="0"/>
    <b v="0"/>
    <s v="a0Aak00000GkO5s"/>
    <s v="17:00:00.000Z"/>
    <x v="2"/>
    <s v="a07ak00001rZMreAAG"/>
    <s v="Josiah Rodriguez"/>
    <s v="2026-10-01T15:56:45.000Z"/>
    <b v="1"/>
    <s v="a06ak00000amzCCAAY|2027-01-19|17:00:00.000Z"/>
    <n v="1"/>
    <s v="Toms River"/>
    <x v="11"/>
    <x v="1"/>
  </r>
  <r>
    <s v="005ak00000icyWTAAY"/>
    <s v="2026-10-01T15:56:45.000Z"/>
    <n v="60"/>
    <s v="a0Aak00000GkO5tEAF"/>
    <s v="a06ak00000amzC8AAI"/>
    <s v="Adrian Byrne"/>
    <m/>
    <x v="9"/>
    <b v="0"/>
    <m/>
    <s v="005ak00000icyWTAAY"/>
    <s v="2026-10-01T15:56:45.000Z"/>
    <m/>
    <m/>
    <d v="2027-01-19T00:00:00"/>
    <s v="LSN-01123"/>
    <s v="L-0001134"/>
    <s v="131ak000001XjDvAAK"/>
    <b v="0"/>
    <b v="0"/>
    <s v="a0Aak00000GkO5t"/>
    <s v="18:00:00.000Z"/>
    <x v="2"/>
    <s v="a07ak00001rZMqhAAG"/>
    <s v="Chloe Allen"/>
    <s v="2026-10-01T15:56:45.000Z"/>
    <b v="1"/>
    <s v="a06ak00000amzC8AAI|2027-01-19|18:00:00.000Z"/>
    <n v="1"/>
    <s v="Toms River"/>
    <x v="11"/>
    <x v="1"/>
  </r>
  <r>
    <s v="005ak00000icyWTAAY"/>
    <s v="2026-10-01T15:56:45.000Z"/>
    <n v="30"/>
    <s v="a0Aak00000GkO5uEAF"/>
    <s v="a06ak00000amzCBAAY"/>
    <s v="Aiden Hill"/>
    <m/>
    <x v="3"/>
    <b v="0"/>
    <m/>
    <s v="005ak00000icyWTAAY"/>
    <s v="2026-10-01T15:56:45.000Z"/>
    <m/>
    <m/>
    <d v="2027-01-19T00:00:00"/>
    <s v="LSN-01124"/>
    <s v="L-0001135"/>
    <s v="131ak000001XjDtAAK"/>
    <b v="0"/>
    <b v="0"/>
    <s v="a0Aak00000GkO5u"/>
    <s v="19:00:00.000Z"/>
    <x v="2"/>
    <s v="a07ak00001rZMppAAG"/>
    <s v="Ruby Taylor"/>
    <s v="2026-10-01T15:56:45.000Z"/>
    <b v="1"/>
    <s v="a06ak00000amzCBAAY|2027-01-19|19:00:00.000Z"/>
    <n v="1"/>
    <s v="Red Bank"/>
    <x v="11"/>
    <x v="1"/>
  </r>
  <r>
    <s v="005ak00000icyWTAAY"/>
    <s v="2026-10-01T15:56:45.000Z"/>
    <n v="30"/>
    <s v="a0Aak00000GkO5vEAF"/>
    <s v="a06ak00000amzByAAI"/>
    <s v="Vincent Sullivan"/>
    <m/>
    <x v="8"/>
    <b v="0"/>
    <m/>
    <s v="005ak00000icyWTAAY"/>
    <s v="2026-10-01T15:56:45.000Z"/>
    <m/>
    <m/>
    <d v="2027-01-20T00:00:00"/>
    <s v="LSN-01125"/>
    <s v="L-0001136"/>
    <s v="131ak000001XjDuAAK"/>
    <b v="0"/>
    <b v="0"/>
    <s v="a0Aak00000GkO5v"/>
    <s v="15:00:00.000Z"/>
    <x v="2"/>
    <s v="a07ak00001rZMqoAAG"/>
    <s v="Bella Martin"/>
    <s v="2026-10-01T15:56:45.000Z"/>
    <b v="1"/>
    <s v="a06ak00000amzByAAI|2027-01-20|15:00:00.000Z"/>
    <n v="1"/>
    <s v="Brick"/>
    <x v="11"/>
    <x v="1"/>
  </r>
  <r>
    <s v="005ak00000icyWTAAY"/>
    <s v="2026-10-01T15:56:45.000Z"/>
    <n v="30"/>
    <s v="a0Aak00000GkO5wEAF"/>
    <s v="a06ak00000amzC1AAI"/>
    <s v="Valentina Nakamura"/>
    <m/>
    <x v="5"/>
    <b v="0"/>
    <m/>
    <s v="005ak00000icyWTAAY"/>
    <s v="2026-10-01T15:56:45.000Z"/>
    <m/>
    <m/>
    <d v="2027-01-20T00:00:00"/>
    <s v="LSN-01126"/>
    <s v="L-0001137"/>
    <s v="131ak000001XjDuAAK"/>
    <b v="0"/>
    <b v="0"/>
    <s v="a0Aak00000GkO5w"/>
    <s v="16:00:00.000Z"/>
    <x v="2"/>
    <s v="a07ak00001rZMpGAAW"/>
    <s v="Noah Wright"/>
    <s v="2026-10-01T15:56:45.000Z"/>
    <b v="1"/>
    <s v="a06ak00000amzC1AAI|2027-01-20|16:00:00.000Z"/>
    <n v="1"/>
    <s v="Brick"/>
    <x v="11"/>
    <x v="1"/>
  </r>
  <r>
    <s v="005ak00000icyWTAAY"/>
    <s v="2026-10-01T15:56:45.000Z"/>
    <n v="60"/>
    <s v="a0Aak00000GkO5xEAF"/>
    <s v="a06ak00000amzBfAAI"/>
    <s v="Mia Smith"/>
    <m/>
    <x v="6"/>
    <b v="0"/>
    <m/>
    <s v="005ak00000icyWTAAY"/>
    <s v="2026-10-01T15:56:45.000Z"/>
    <m/>
    <m/>
    <d v="2027-01-20T00:00:00"/>
    <s v="LSN-01127"/>
    <s v="L-0001138"/>
    <s v="131ak000001XjDvAAK"/>
    <b v="0"/>
    <b v="0"/>
    <s v="a0Aak00000GkO5x"/>
    <s v="18:30:00.000Z"/>
    <x v="2"/>
    <s v="a07ak00001rZMpPAAW"/>
    <s v="Aubrey Anderson"/>
    <s v="2026-10-01T15:56:45.000Z"/>
    <b v="1"/>
    <s v="a06ak00000amzBfAAI|2027-01-20|18:30:00.000Z"/>
    <n v="1"/>
    <s v="Toms River"/>
    <x v="11"/>
    <x v="1"/>
  </r>
  <r>
    <s v="005ak00000icyWTAAY"/>
    <s v="2026-10-01T15:56:45.000Z"/>
    <n v="60"/>
    <s v="a0Aak00000GkO5yEAF"/>
    <s v="a06ak00000amzByAAI"/>
    <s v="Vincent Sullivan"/>
    <m/>
    <x v="8"/>
    <b v="0"/>
    <m/>
    <s v="005ak00000icyWTAAY"/>
    <s v="2026-10-01T15:56:45.000Z"/>
    <m/>
    <m/>
    <d v="2027-01-21T00:00:00"/>
    <s v="LSN-01128"/>
    <s v="L-0001139"/>
    <s v="131ak000001XjDuAAK"/>
    <b v="0"/>
    <b v="0"/>
    <s v="a0Aak00000GkO5y"/>
    <s v="15:30:00.000Z"/>
    <x v="2"/>
    <s v="a07ak00001rZMpVAAW"/>
    <s v="Tyler Rodriguez"/>
    <s v="2026-10-01T15:56:45.000Z"/>
    <b v="1"/>
    <s v="a06ak00000amzByAAI|2027-01-21|15:30:00.000Z"/>
    <n v="1"/>
    <s v="Brick"/>
    <x v="11"/>
    <x v="1"/>
  </r>
  <r>
    <s v="005ak00000icyWTAAY"/>
    <s v="2026-10-01T15:56:45.000Z"/>
    <n v="30"/>
    <s v="a0Aak00000GkO5zEAF"/>
    <s v="a06ak00000amzCBAAY"/>
    <s v="Aiden Hill"/>
    <m/>
    <x v="3"/>
    <b v="0"/>
    <m/>
    <s v="005ak00000icyWTAAY"/>
    <s v="2026-10-01T15:56:45.000Z"/>
    <m/>
    <m/>
    <d v="2027-01-21T00:00:00"/>
    <s v="LSN-01129"/>
    <s v="L-0001140"/>
    <s v="131ak000001XjDtAAK"/>
    <b v="0"/>
    <b v="0"/>
    <s v="a0Aak00000GkO5z"/>
    <s v="17:30:00.000Z"/>
    <x v="2"/>
    <s v="a07ak00001rZMqfAAG"/>
    <s v="Isaac Novak"/>
    <s v="2026-10-01T15:56:45.000Z"/>
    <b v="1"/>
    <s v="a06ak00000amzCBAAY|2027-01-21|17:30:00.000Z"/>
    <n v="1"/>
    <s v="Red Bank"/>
    <x v="11"/>
    <x v="1"/>
  </r>
  <r>
    <s v="005ak00000icyWTAAY"/>
    <s v="2026-10-01T15:56:45.000Z"/>
    <n v="45"/>
    <s v="a0Aak00000GkO60EAF"/>
    <s v="a06ak00000amzByAAI"/>
    <s v="Vincent Sullivan"/>
    <m/>
    <x v="10"/>
    <b v="0"/>
    <m/>
    <s v="005ak00000icyWTAAY"/>
    <s v="2026-10-01T15:56:45.000Z"/>
    <m/>
    <m/>
    <d v="2027-01-21T00:00:00"/>
    <s v="LSN-01130"/>
    <s v="L-0001141"/>
    <s v="131ak000001XjDvAAK"/>
    <b v="0"/>
    <b v="0"/>
    <s v="a0Aak00000GkO60"/>
    <s v="19:00:00.000Z"/>
    <x v="2"/>
    <s v="a07ak00001rZMrSAAW"/>
    <s v="Leo Okafor"/>
    <s v="2026-10-01T15:56:45.000Z"/>
    <b v="1"/>
    <s v="a06ak00000amzByAAI|2027-01-21|19:00:00.000Z"/>
    <n v="1"/>
    <s v="Toms River"/>
    <x v="11"/>
    <x v="1"/>
  </r>
  <r>
    <s v="005ak00000icyWTAAY"/>
    <s v="2026-10-01T15:56:45.000Z"/>
    <n v="30"/>
    <s v="a0Aak00000GkO61EAF"/>
    <s v="a06ak00000amzCCAAY"/>
    <s v="Rowan Jones"/>
    <m/>
    <x v="9"/>
    <b v="0"/>
    <m/>
    <s v="005ak00000icyWTAAY"/>
    <s v="2026-10-01T15:56:45.000Z"/>
    <m/>
    <m/>
    <d v="2027-01-22T00:00:00"/>
    <s v="LSN-01131"/>
    <s v="L-0001142"/>
    <s v="131ak000001XjDuAAK"/>
    <b v="0"/>
    <b v="0"/>
    <s v="a0Aak00000GkO61"/>
    <s v="15:30:00.000Z"/>
    <x v="2"/>
    <s v="a07ak00001rZMq5AAG"/>
    <s v="Omar Clark"/>
    <s v="2026-10-01T15:56:45.000Z"/>
    <b v="1"/>
    <s v="a06ak00000amzCCAAY|2027-01-22|15:30:00.000Z"/>
    <n v="1"/>
    <s v="Brick"/>
    <x v="11"/>
    <x v="1"/>
  </r>
  <r>
    <s v="005ak00000icyWTAAY"/>
    <s v="2026-10-01T15:56:45.000Z"/>
    <n v="30"/>
    <s v="a0Aak00000GkO62EAF"/>
    <s v="a06ak00000amzBxAAI"/>
    <s v="Miles Allen"/>
    <m/>
    <x v="7"/>
    <b v="0"/>
    <m/>
    <s v="005ak00000icyWTAAY"/>
    <s v="2026-10-01T15:56:45.000Z"/>
    <m/>
    <m/>
    <d v="2027-01-22T00:00:00"/>
    <s v="LSN-01132"/>
    <s v="L-0001143"/>
    <s v="131ak000001XjDuAAK"/>
    <b v="0"/>
    <b v="0"/>
    <s v="a0Aak00000GkO62"/>
    <s v="16:30:00.000Z"/>
    <x v="2"/>
    <s v="a07ak00001rZMpIAAW"/>
    <s v="Genesis Lopez"/>
    <s v="2026-10-01T15:56:45.000Z"/>
    <b v="1"/>
    <s v="a06ak00000amzBxAAI|2027-01-22|16:30:00.000Z"/>
    <n v="1"/>
    <s v="Brick"/>
    <x v="11"/>
    <x v="1"/>
  </r>
  <r>
    <s v="005ak00000icyWTAAY"/>
    <s v="2026-10-01T15:56:45.000Z"/>
    <n v="30"/>
    <s v="a0Aak00000GkO63EAF"/>
    <s v="a06ak00000amzBzAAI"/>
    <s v="Ezra Garcia"/>
    <m/>
    <x v="5"/>
    <b v="0"/>
    <m/>
    <s v="005ak00000icyWTAAY"/>
    <s v="2026-10-01T15:56:45.000Z"/>
    <m/>
    <m/>
    <d v="2027-01-23T00:00:00"/>
    <s v="LSN-01133"/>
    <s v="L-0001144"/>
    <s v="131ak000001XjDtAAK"/>
    <b v="0"/>
    <b v="0"/>
    <s v="a0Aak00000GkO63"/>
    <s v="09:00:00.000Z"/>
    <x v="2"/>
    <s v="a07ak00001rZMrwAAG"/>
    <s v="Jonah Clark"/>
    <s v="2026-10-01T15:56:45.000Z"/>
    <b v="1"/>
    <s v="a06ak00000amzBzAAI|2027-01-23|09:00:00.000Z"/>
    <n v="1"/>
    <s v="Red Bank"/>
    <x v="11"/>
    <x v="1"/>
  </r>
  <r>
    <s v="005ak00000icyWTAAY"/>
    <s v="2026-10-01T15:56:45.000Z"/>
    <n v="30"/>
    <s v="a0Aak00000GkO64EAF"/>
    <s v="a06ak00000amzBiAAI"/>
    <s v="Zoey Torres"/>
    <m/>
    <x v="8"/>
    <b v="0"/>
    <m/>
    <s v="005ak00000icyWTAAY"/>
    <s v="2026-10-01T15:56:45.000Z"/>
    <m/>
    <m/>
    <d v="2027-01-23T00:00:00"/>
    <s v="LSN-01134"/>
    <s v="L-0001145"/>
    <s v="131ak000001XjDtAAK"/>
    <b v="0"/>
    <b v="0"/>
    <s v="a0Aak00000GkO64"/>
    <s v="09:30:00.000Z"/>
    <x v="2"/>
    <s v="a07ak00001rZMrPAAW"/>
    <s v="Emily Campbell"/>
    <s v="2026-10-01T15:56:45.000Z"/>
    <b v="1"/>
    <s v="a06ak00000amzBiAAI|2027-01-23|09:30:00.000Z"/>
    <n v="1"/>
    <s v="Red Bank"/>
    <x v="11"/>
    <x v="1"/>
  </r>
  <r>
    <s v="005ak00000icyWTAAY"/>
    <s v="2026-10-01T15:56:45.000Z"/>
    <n v="30"/>
    <s v="a0Aak00000GkO65EAF"/>
    <s v="a06ak00000amzBiAAI"/>
    <s v="Zoey Torres"/>
    <m/>
    <x v="1"/>
    <b v="0"/>
    <m/>
    <s v="005ak00000icyWTAAY"/>
    <s v="2026-10-01T15:56:45.000Z"/>
    <m/>
    <m/>
    <d v="2027-01-23T00:00:00"/>
    <s v="LSN-01135"/>
    <s v="L-0001146"/>
    <s v="131ak000001XjDtAAK"/>
    <b v="0"/>
    <b v="0"/>
    <s v="a0Aak00000GkO65"/>
    <s v="10:00:00.000Z"/>
    <x v="2"/>
    <s v="a07ak00001rZMpTAAW"/>
    <s v="Henry Dubois"/>
    <s v="2026-10-01T15:56:45.000Z"/>
    <b v="1"/>
    <s v="a06ak00000amzBiAAI|2027-01-23|10:00:00.000Z"/>
    <n v="1"/>
    <s v="Red Bank"/>
    <x v="11"/>
    <x v="1"/>
  </r>
  <r>
    <s v="005ak00000icyWTAAY"/>
    <s v="2026-10-01T15:56:45.000Z"/>
    <n v="45"/>
    <s v="a0Aak00000GkO66EAF"/>
    <s v="a06ak00000amzBzAAI"/>
    <s v="Ezra Garcia"/>
    <m/>
    <x v="5"/>
    <b v="0"/>
    <m/>
    <s v="005ak00000icyWTAAY"/>
    <s v="2026-10-01T15:56:45.000Z"/>
    <m/>
    <m/>
    <d v="2027-01-23T00:00:00"/>
    <s v="LSN-01136"/>
    <s v="L-0001147"/>
    <s v="131ak000001XjDtAAK"/>
    <b v="0"/>
    <b v="0"/>
    <s v="a0Aak00000GkO66"/>
    <s v="11:00:00.000Z"/>
    <x v="2"/>
    <s v="a07ak00001rZMpvAAG"/>
    <s v="Anna Roberts"/>
    <s v="2026-10-01T15:56:45.000Z"/>
    <b v="1"/>
    <s v="a06ak00000amzBzAAI|2027-01-23|11:00:00.000Z"/>
    <n v="1"/>
    <s v="Red Bank"/>
    <x v="11"/>
    <x v="1"/>
  </r>
  <r>
    <s v="005ak00000icyWTAAY"/>
    <s v="2026-10-01T15:56:45.000Z"/>
    <n v="30"/>
    <s v="a0Aak00000GkO67EAF"/>
    <s v="a06ak00000amzC1AAI"/>
    <s v="Valentina Nakamura"/>
    <m/>
    <x v="11"/>
    <b v="0"/>
    <m/>
    <s v="005ak00000icyWTAAY"/>
    <s v="2026-10-01T15:56:45.000Z"/>
    <m/>
    <m/>
    <d v="2027-01-23T00:00:00"/>
    <s v="LSN-01137"/>
    <s v="L-0001148"/>
    <s v="131ak000001XjDvAAK"/>
    <b v="0"/>
    <b v="0"/>
    <s v="a0Aak00000GkO67"/>
    <s v="11:30:00.000Z"/>
    <x v="2"/>
    <s v="a07ak00001rZMpwAAG"/>
    <s v="Brooklyn Young"/>
    <s v="2026-10-01T15:56:45.000Z"/>
    <b v="1"/>
    <s v="a06ak00000amzC1AAI|2027-01-23|11:30:00.000Z"/>
    <n v="1"/>
    <s v="Toms River"/>
    <x v="11"/>
    <x v="1"/>
  </r>
  <r>
    <s v="005ak00000icyWTAAY"/>
    <s v="2026-10-01T15:56:45.000Z"/>
    <n v="60"/>
    <s v="a0Aak00000GkO68EAF"/>
    <s v="a06ak00000amzC8AAI"/>
    <s v="Adrian Byrne"/>
    <m/>
    <x v="2"/>
    <b v="0"/>
    <m/>
    <s v="005ak00000icyWTAAY"/>
    <s v="2026-10-01T15:56:45.000Z"/>
    <m/>
    <m/>
    <d v="2027-01-23T00:00:00"/>
    <s v="LSN-01138"/>
    <s v="L-0001149"/>
    <s v="131ak000001XjDuAAK"/>
    <b v="0"/>
    <b v="0"/>
    <s v="a0Aak00000GkO68"/>
    <s v="12:30:00.000Z"/>
    <x v="2"/>
    <s v="a07ak00001rZMrUAAW"/>
    <s v="Daniel Kim"/>
    <s v="2026-10-01T15:56:45.000Z"/>
    <b v="1"/>
    <s v="a06ak00000amzC8AAI|2027-01-23|12:30:00.000Z"/>
    <n v="1"/>
    <s v="Brick"/>
    <x v="11"/>
    <x v="1"/>
  </r>
  <r>
    <s v="005ak00000icyWTAAY"/>
    <s v="2026-10-01T15:50:11.000Z"/>
    <n v="30"/>
    <s v="a0Aak00000GkUoREAV"/>
    <s v="a06ak00000amzBzAAI"/>
    <s v="Ezra Garcia"/>
    <s v="Reviewed last week&amp;#39;s assignment."/>
    <x v="5"/>
    <b v="0"/>
    <m/>
    <s v="005ak00000icyWTAAY"/>
    <s v="2026-10-01T15:50:11.000Z"/>
    <m/>
    <m/>
    <d v="2026-10-08T00:00:00"/>
    <s v="LSN-00831"/>
    <s v="L-0000842"/>
    <s v="131ak000001XjDtAAK"/>
    <b v="0"/>
    <b v="0"/>
    <s v="a0Aak00000GkUoR"/>
    <s v="15:00:00.000Z"/>
    <x v="0"/>
    <s v="a07ak00001rZMr1AAG"/>
    <s v="Lincoln Scott"/>
    <s v="2026-10-01T15:50:11.000Z"/>
    <b v="1"/>
    <s v="a06ak00000amzBzAAI|2026-10-08|15:00:00.000Z"/>
    <n v="1"/>
    <s v="Red Bank"/>
    <x v="9"/>
    <x v="0"/>
  </r>
  <r>
    <s v="005ak00000icyWTAAY"/>
    <s v="2026-10-01T15:50:11.000Z"/>
    <n v="30"/>
    <s v="a0Aak00000GkUoSEAV"/>
    <s v="a06ak00000amzBfAAI"/>
    <s v="Mia Smith"/>
    <s v="Good progress on technique."/>
    <x v="6"/>
    <b v="0"/>
    <m/>
    <s v="005ak00000icyWTAAY"/>
    <s v="2026-10-01T15:50:11.000Z"/>
    <m/>
    <m/>
    <d v="2026-10-08T00:00:00"/>
    <s v="LSN-00832"/>
    <s v="L-0000843"/>
    <s v="131ak000001XjDuAAK"/>
    <b v="0"/>
    <b v="0"/>
    <s v="a0Aak00000GkUoS"/>
    <s v="18:00:00.000Z"/>
    <x v="0"/>
    <s v="a07ak00001rZMs0AAG"/>
    <s v="Sofia Nelson"/>
    <s v="2026-10-01T15:50:11.000Z"/>
    <b v="1"/>
    <s v="a06ak00000amzBfAAI|2026-10-08|18:00:00.000Z"/>
    <n v="1"/>
    <s v="Brick"/>
    <x v="9"/>
    <x v="0"/>
  </r>
  <r>
    <s v="005ak00000icyWTAAY"/>
    <s v="2026-10-01T15:50:11.000Z"/>
    <n v="45"/>
    <s v="a0Aak00000GkUoTEAV"/>
    <s v="a06ak00000amzBtAAI"/>
    <s v="Jamal Torres"/>
    <s v="Worked on scales and timing."/>
    <x v="2"/>
    <b v="0"/>
    <m/>
    <s v="005ak00000icyWTAAY"/>
    <s v="2026-10-01T15:50:11.000Z"/>
    <m/>
    <m/>
    <d v="2026-10-09T00:00:00"/>
    <s v="LSN-00833"/>
    <s v="L-0000844"/>
    <s v="131ak000001XjDtAAK"/>
    <b v="0"/>
    <b v="0"/>
    <s v="a0Aak00000GkUoT"/>
    <s v="15:30:00.000Z"/>
    <x v="0"/>
    <s v="a07ak00001rZMpBAAW"/>
    <s v="Delilah Adams"/>
    <s v="2026-10-01T15:50:11.000Z"/>
    <b v="1"/>
    <s v="a06ak00000amzBtAAI|2026-10-09|15:30:00.000Z"/>
    <n v="1"/>
    <s v="Red Bank"/>
    <x v="9"/>
    <x v="0"/>
  </r>
  <r>
    <s v="005ak00000icyWTAAY"/>
    <s v="2026-10-01T15:50:11.000Z"/>
    <n v="30"/>
    <s v="a0Aak00000GkUoUEAV"/>
    <s v="a06ak00000amzCCAAY"/>
    <s v="Rowan Jones"/>
    <s v="Focused on sight reading."/>
    <x v="9"/>
    <b v="0"/>
    <m/>
    <s v="005ak00000icyWTAAY"/>
    <s v="2026-10-01T15:50:11.000Z"/>
    <m/>
    <m/>
    <d v="2026-10-09T00:00:00"/>
    <s v="LSN-00834"/>
    <s v="L-0000845"/>
    <s v="131ak000001XjDuAAK"/>
    <b v="0"/>
    <b v="0"/>
    <s v="a0Aak00000GkUoU"/>
    <s v="15:30:00.000Z"/>
    <x v="0"/>
    <s v="a07ak00001rZMq5AAG"/>
    <s v="Omar Clark"/>
    <s v="2026-10-01T15:50:11.000Z"/>
    <b v="1"/>
    <s v="a06ak00000amzCCAAY|2026-10-09|15:30:00.000Z"/>
    <n v="1"/>
    <s v="Brick"/>
    <x v="9"/>
    <x v="0"/>
  </r>
  <r>
    <s v="005ak00000icyWTAAY"/>
    <s v="2026-10-01T15:50:11.000Z"/>
    <n v="30"/>
    <s v="a0Aak00000GkUoVEAV"/>
    <s v="a06ak00000amzBiAAI"/>
    <s v="Zoey Torres"/>
    <s v="Started new piece."/>
    <x v="1"/>
    <b v="0"/>
    <m/>
    <s v="005ak00000icyWTAAY"/>
    <s v="2026-10-01T15:50:11.000Z"/>
    <m/>
    <m/>
    <d v="2026-10-10T00:00:00"/>
    <s v="LSN-00835"/>
    <s v="L-0000846"/>
    <s v="131ak000001XjDtAAK"/>
    <b v="0"/>
    <b v="0"/>
    <s v="a0Aak00000GkUoV"/>
    <s v="10:00:00.000Z"/>
    <x v="0"/>
    <s v="a07ak00001rZMpTAAW"/>
    <s v="Henry Dubois"/>
    <s v="2026-10-01T15:50:11.000Z"/>
    <b v="1"/>
    <s v="a06ak00000amzBiAAI|2026-10-10|10:00:00.000Z"/>
    <n v="1"/>
    <s v="Red Bank"/>
    <x v="9"/>
    <x v="0"/>
  </r>
  <r>
    <s v="005ak00000icyWTAAY"/>
    <s v="2026-10-01T15:50:11.000Z"/>
    <n v="45"/>
    <s v="a0Aak00000GkUoWEAV"/>
    <s v="a06ak00000amzByAAI"/>
    <s v="Vincent Sullivan"/>
    <s v="Good progress on technique."/>
    <x v="10"/>
    <b v="0"/>
    <m/>
    <s v="005ak00000icyWTAAY"/>
    <s v="2026-10-01T15:50:11.000Z"/>
    <m/>
    <m/>
    <d v="2026-10-10T00:00:00"/>
    <s v="LSN-00836"/>
    <s v="L-0000847"/>
    <s v="131ak000001XjDuAAK"/>
    <b v="0"/>
    <b v="0"/>
    <s v="a0Aak00000GkUoW"/>
    <s v="10:00:00.000Z"/>
    <x v="0"/>
    <s v="a07ak00001rZMpxAAG"/>
    <s v="Mei White"/>
    <s v="2026-10-01T15:50:11.000Z"/>
    <b v="1"/>
    <s v="a06ak00000amzByAAI|2026-10-10|10:00:00.000Z"/>
    <n v="1"/>
    <s v="Brick"/>
    <x v="9"/>
    <x v="0"/>
  </r>
  <r>
    <s v="005ak00000icyWTAAY"/>
    <s v="2026-10-01T15:50:11.000Z"/>
    <n v="30"/>
    <s v="a0Aak00000GkUoXEAV"/>
    <s v="a06ak00000amzBxAAI"/>
    <s v="Miles Allen"/>
    <m/>
    <x v="7"/>
    <b v="0"/>
    <m/>
    <s v="005ak00000icyWTAAY"/>
    <s v="2026-10-01T15:50:11.000Z"/>
    <m/>
    <m/>
    <d v="2026-10-10T00:00:00"/>
    <s v="LSN-00838"/>
    <s v="L-0000848"/>
    <s v="131ak000001XjDuAAK"/>
    <b v="0"/>
    <b v="0"/>
    <s v="a0Aak00000GkUoX"/>
    <s v="11:00:00.000Z"/>
    <x v="3"/>
    <s v="a07ak00001rZMqKAAW"/>
    <s v="Kai Mitchell"/>
    <s v="2026-10-01T15:50:11.000Z"/>
    <b v="1"/>
    <s v="a06ak00000amzBxAAI|2026-10-10|11:00:00.000Z"/>
    <n v="1"/>
    <s v="Brick"/>
    <x v="9"/>
    <x v="0"/>
  </r>
  <r>
    <s v="005ak00000icyWTAAY"/>
    <s v="2026-10-01T15:50:11.000Z"/>
    <n v="45"/>
    <s v="a0Aak00000GkUoYEAV"/>
    <s v="a06ak00000amzBtAAI"/>
    <s v="Jamal Torres"/>
    <m/>
    <x v="8"/>
    <b v="0"/>
    <m/>
    <s v="005ak00000icyWTAAY"/>
    <s v="2026-10-01T15:50:11.000Z"/>
    <m/>
    <m/>
    <d v="2026-10-12T00:00:00"/>
    <s v="LSN-00839"/>
    <s v="L-0000849"/>
    <s v="131ak000001XjDvAAK"/>
    <b v="1"/>
    <b v="0"/>
    <s v="a0Aak00000GkUoY"/>
    <s v="18:30:00.000Z"/>
    <x v="4"/>
    <s v="a07ak00001rZMrWAAW"/>
    <s v="Mei Sullivan"/>
    <s v="2026-10-01T15:50:11.000Z"/>
    <b v="1"/>
    <s v=""/>
    <n v="114"/>
    <s v="Toms River"/>
    <x v="9"/>
    <x v="0"/>
  </r>
  <r>
    <s v="005ak00000icyWTAAY"/>
    <s v="2026-10-01T15:50:11.000Z"/>
    <n v="60"/>
    <s v="a0Aak00000GkUoZEAV"/>
    <s v="a06ak00000amzC1AAI"/>
    <s v="Valentina Nakamura"/>
    <s v="Started new piece."/>
    <x v="5"/>
    <b v="0"/>
    <m/>
    <s v="005ak00000icyWTAAY"/>
    <s v="2026-10-01T15:50:11.000Z"/>
    <m/>
    <m/>
    <d v="2026-10-13T00:00:00"/>
    <s v="LSN-00840"/>
    <s v="L-0000850"/>
    <s v="131ak000001XjDuAAK"/>
    <b v="0"/>
    <b v="0"/>
    <s v="a0Aak00000GkUoZ"/>
    <s v="15:30:00.000Z"/>
    <x v="0"/>
    <s v="a07ak00001rZMq0AAG"/>
    <s v="Henry Ryan"/>
    <s v="2026-10-01T15:50:11.000Z"/>
    <b v="1"/>
    <s v="a06ak00000amzC1AAI|2026-10-13|15:30:00.000Z"/>
    <n v="1"/>
    <s v="Brick"/>
    <x v="9"/>
    <x v="0"/>
  </r>
  <r>
    <s v="005ak00000icyWTAAY"/>
    <s v="2026-10-01T15:55:08.000Z"/>
    <n v="45"/>
    <s v="a0Aak00000GkVijEAF"/>
    <s v="a06ak00000amzC0AAI"/>
    <s v="James Moore"/>
    <m/>
    <x v="9"/>
    <b v="0"/>
    <m/>
    <s v="005ak00000icyWTAAY"/>
    <s v="2026-10-01T15:55:08.000Z"/>
    <m/>
    <m/>
    <d v="2026-10-10T00:00:00"/>
    <s v="LSN-00837"/>
    <s v="L-0000851"/>
    <s v="131ak000001XjDtAAK"/>
    <b v="0"/>
    <b v="0"/>
    <s v="a0Aak00000GkVij"/>
    <s v="10:00:00.000Z"/>
    <x v="3"/>
    <s v="a07ak00001rZMqgAAG"/>
    <s v="Adrian Lewis"/>
    <s v="2026-10-01T15:55:08.000Z"/>
    <b v="1"/>
    <s v="a06ak00000amzC0AAI|2026-10-10|10:00:00.000Z"/>
    <n v="1"/>
    <s v="Red Bank"/>
    <x v="9"/>
    <x v="0"/>
  </r>
  <r>
    <s v="005ak00000icyWTAAY"/>
    <s v="2026-10-01T15:56:44.000Z"/>
    <n v="60"/>
    <s v="a0Aak00000GkVu1EAF"/>
    <s v="a06ak00000amzCHAAY"/>
    <s v="Liam Flores"/>
    <s v="Good progress on technique."/>
    <x v="4"/>
    <b v="0"/>
    <m/>
    <s v="005ak00000icyWTAAY"/>
    <s v="2026-10-01T15:56:44.000Z"/>
    <m/>
    <m/>
    <d v="2026-10-13T00:00:00"/>
    <s v="LSN-00841"/>
    <s v="L-0000852"/>
    <s v="131ak000001XjDtAAK"/>
    <b v="0"/>
    <b v="0"/>
    <s v="a0Aak00000GkVu1"/>
    <s v="16:30:00.000Z"/>
    <x v="0"/>
    <s v="a07ak00001rZMrVAAW"/>
    <s v="Isaac Taylor"/>
    <s v="2026-10-01T15:56:44.000Z"/>
    <b v="1"/>
    <s v="a06ak00000amzCHAAY|2026-10-13|16:30:00.000Z"/>
    <n v="1"/>
    <s v="Red Bank"/>
    <x v="9"/>
    <x v="0"/>
  </r>
  <r>
    <s v="005ak00000icyWTAAY"/>
    <s v="2026-10-01T15:56:44.000Z"/>
    <n v="30"/>
    <s v="a0Aak00000GkVu2EAF"/>
    <s v="a06ak00000amzCCAAY"/>
    <s v="Rowan Jones"/>
    <s v="Reviewed last week&amp;#39;s assignment."/>
    <x v="9"/>
    <b v="0"/>
    <m/>
    <s v="005ak00000icyWTAAY"/>
    <s v="2026-10-01T15:56:44.000Z"/>
    <m/>
    <m/>
    <d v="2026-10-13T00:00:00"/>
    <s v="LSN-00842"/>
    <s v="L-0000853"/>
    <s v="131ak000001XjDvAAK"/>
    <b v="0"/>
    <b v="0"/>
    <s v="a0Aak00000GkVu2"/>
    <s v="17:00:00.000Z"/>
    <x v="0"/>
    <s v="a07ak00001rZMreAAG"/>
    <s v="Josiah Rodriguez"/>
    <s v="2026-10-01T15:56:44.000Z"/>
    <b v="1"/>
    <s v="a06ak00000amzCCAAY|2026-10-13|17:00:00.000Z"/>
    <n v="1"/>
    <s v="Toms River"/>
    <x v="9"/>
    <x v="0"/>
  </r>
  <r>
    <s v="005ak00000icyWTAAY"/>
    <s v="2026-10-01T15:56:44.000Z"/>
    <n v="30"/>
    <s v="a0Aak00000GkVu3EAF"/>
    <s v="a06ak00000amzBtAAI"/>
    <s v="Jamal Torres"/>
    <m/>
    <x v="2"/>
    <b v="0"/>
    <m/>
    <s v="005ak00000icyWTAAY"/>
    <s v="2026-10-01T15:56:44.000Z"/>
    <m/>
    <m/>
    <d v="2026-10-13T00:00:00"/>
    <s v="LSN-00843"/>
    <s v="L-0000854"/>
    <s v="131ak000001XjDtAAK"/>
    <b v="0"/>
    <b v="0"/>
    <s v="a0Aak00000GkVu3"/>
    <s v="18:00:00.000Z"/>
    <x v="0"/>
    <s v="a07ak00001rZMrnAAG"/>
    <s v="Camila Jones"/>
    <s v="2026-10-01T15:56:44.000Z"/>
    <b v="1"/>
    <s v="a06ak00000amzBtAAI|2026-10-13|18:00:00.000Z"/>
    <n v="1"/>
    <s v="Red Bank"/>
    <x v="9"/>
    <x v="0"/>
  </r>
  <r>
    <s v="005ak00000icyWTAAY"/>
    <s v="2026-10-01T15:56:44.000Z"/>
    <n v="30"/>
    <s v="a0Aak00000GkVu4EAF"/>
    <s v="a06ak00000amzCBAAY"/>
    <s v="Aiden Hill"/>
    <s v="Worked on scales and timing."/>
    <x v="3"/>
    <b v="0"/>
    <m/>
    <s v="005ak00000icyWTAAY"/>
    <s v="2026-10-01T15:56:44.000Z"/>
    <m/>
    <m/>
    <d v="2026-10-13T00:00:00"/>
    <s v="LSN-00844"/>
    <s v="L-0000855"/>
    <s v="131ak000001XjDtAAK"/>
    <b v="0"/>
    <b v="0"/>
    <s v="a0Aak00000GkVu4"/>
    <s v="19:00:00.000Z"/>
    <x v="0"/>
    <s v="a07ak00001rZMppAAG"/>
    <s v="Ruby Taylor"/>
    <s v="2026-10-01T15:56:44.000Z"/>
    <b v="1"/>
    <s v="a06ak00000amzCBAAY|2026-10-13|19:00:00.000Z"/>
    <n v="1"/>
    <s v="Red Bank"/>
    <x v="9"/>
    <x v="0"/>
  </r>
  <r>
    <s v="005ak00000icyWTAAY"/>
    <s v="2026-10-01T15:56:44.000Z"/>
    <n v="30"/>
    <s v="a0Aak00000GkVu5EAF"/>
    <s v="a06ak00000amzC1AAI"/>
    <s v="Valentina Nakamura"/>
    <m/>
    <x v="5"/>
    <b v="0"/>
    <m/>
    <s v="005ak00000icyWTAAY"/>
    <s v="2026-10-01T15:56:44.000Z"/>
    <m/>
    <m/>
    <d v="2026-10-14T00:00:00"/>
    <s v="LSN-00845"/>
    <s v="L-0000856"/>
    <s v="131ak000001XjDuAAK"/>
    <b v="0"/>
    <b v="0"/>
    <s v="a0Aak00000GkVu5"/>
    <s v="16:00:00.000Z"/>
    <x v="3"/>
    <s v="a07ak00001rZMpGAAW"/>
    <s v="Noah Wright"/>
    <s v="2026-10-01T15:56:44.000Z"/>
    <b v="1"/>
    <s v="a06ak00000amzC1AAI|2026-10-14|16:00:00.000Z"/>
    <n v="1"/>
    <s v="Brick"/>
    <x v="9"/>
    <x v="0"/>
  </r>
  <r>
    <s v="005ak00000icyWTAAY"/>
    <s v="2026-10-01T15:56:44.000Z"/>
    <n v="30"/>
    <s v="a0Aak00000GkVu6EAF"/>
    <s v="a06ak00000amzBfAAI"/>
    <s v="Mia Smith"/>
    <m/>
    <x v="6"/>
    <b v="0"/>
    <m/>
    <s v="005ak00000icyWTAAY"/>
    <s v="2026-10-01T15:56:44.000Z"/>
    <m/>
    <m/>
    <d v="2026-10-15T00:00:00"/>
    <s v="LSN-00846"/>
    <s v="L-0000857"/>
    <s v="131ak000001XjDuAAK"/>
    <b v="0"/>
    <b v="0"/>
    <s v="a0Aak00000GkVu6"/>
    <s v="15:00:00.000Z"/>
    <x v="2"/>
    <s v="a07ak00001rZMpjAAG"/>
    <s v="Genesis Novak"/>
    <s v="2026-10-01T15:56:44.000Z"/>
    <b v="1"/>
    <s v="a06ak00000amzBfAAI|2026-10-15|15:00:00.000Z"/>
    <n v="1"/>
    <s v="Brick"/>
    <x v="9"/>
    <x v="1"/>
  </r>
  <r>
    <s v="005ak00000icyWTAAY"/>
    <s v="2026-10-01T15:56:44.000Z"/>
    <n v="30"/>
    <s v="a0Aak00000GkVu7EAF"/>
    <s v="a06ak00000amzC1AAI"/>
    <s v="Valentina Nakamura"/>
    <m/>
    <x v="11"/>
    <b v="0"/>
    <m/>
    <s v="005ak00000icyWTAAY"/>
    <s v="2026-10-01T15:56:44.000Z"/>
    <m/>
    <m/>
    <d v="2026-10-15T00:00:00"/>
    <s v="LSN-00847"/>
    <s v="L-0000858"/>
    <s v="131ak000001XjDuAAK"/>
    <b v="0"/>
    <b v="0"/>
    <s v="a0Aak00000GkVu7"/>
    <s v="15:00:00.000Z"/>
    <x v="2"/>
    <s v="a07ak00001rZMpkAAG"/>
    <s v="Fatima Jones"/>
    <s v="2026-10-01T15:56:44.000Z"/>
    <b v="1"/>
    <s v="a06ak00000amzC1AAI|2026-10-15|15:00:00.000Z"/>
    <n v="1"/>
    <s v="Brick"/>
    <x v="9"/>
    <x v="1"/>
  </r>
  <r>
    <s v="005ak00000icyWTAAY"/>
    <s v="2026-10-01T15:56:44.000Z"/>
    <n v="30"/>
    <s v="a0Aak00000GkVu8EAF"/>
    <s v="a06ak00000amzBzAAI"/>
    <s v="Ezra Garcia"/>
    <m/>
    <x v="5"/>
    <b v="0"/>
    <m/>
    <s v="005ak00000icyWTAAY"/>
    <s v="2026-10-01T15:56:44.000Z"/>
    <m/>
    <m/>
    <d v="2026-10-15T00:00:00"/>
    <s v="LSN-00848"/>
    <s v="L-0000859"/>
    <s v="131ak000001XjDtAAK"/>
    <b v="0"/>
    <b v="0"/>
    <s v="a0Aak00000GkVu8"/>
    <s v="15:00:00.000Z"/>
    <x v="2"/>
    <s v="a07ak00001rZMr1AAG"/>
    <s v="Lincoln Scott"/>
    <s v="2026-10-01T15:56:44.000Z"/>
    <b v="1"/>
    <s v="a06ak00000amzBzAAI|2026-10-15|15:00:00.000Z"/>
    <n v="1"/>
    <s v="Red Bank"/>
    <x v="9"/>
    <x v="1"/>
  </r>
  <r>
    <s v="005ak00000icyWTAAY"/>
    <s v="2026-10-01T15:56:44.000Z"/>
    <n v="30"/>
    <s v="a0Aak00000GkVu9EAF"/>
    <s v="a06ak00000amzBfAAI"/>
    <s v="Mia Smith"/>
    <m/>
    <x v="8"/>
    <b v="0"/>
    <m/>
    <s v="005ak00000icyWTAAY"/>
    <s v="2026-10-01T15:56:44.000Z"/>
    <m/>
    <m/>
    <d v="2026-10-15T00:00:00"/>
    <s v="LSN-00849"/>
    <s v="L-0000860"/>
    <s v="131ak000001XjDuAAK"/>
    <b v="0"/>
    <b v="0"/>
    <s v="a0Aak00000GkVu9"/>
    <s v="17:00:00.000Z"/>
    <x v="2"/>
    <s v="a07ak00001rZMr8AAG"/>
    <s v="Grace Patel"/>
    <s v="2026-10-01T15:56:44.000Z"/>
    <b v="1"/>
    <s v="a06ak00000amzBfAAI|2026-10-15|17:00:00.000Z"/>
    <n v="1"/>
    <s v="Brick"/>
    <x v="9"/>
    <x v="1"/>
  </r>
  <r>
    <s v="005ak00000icyWTAAY"/>
    <s v="2026-10-01T15:56:44.000Z"/>
    <n v="60"/>
    <s v="a0Aak00000GkVuAEAV"/>
    <s v="a06ak00000amzBzAAI"/>
    <s v="Ezra Garcia"/>
    <m/>
    <x v="11"/>
    <b v="0"/>
    <m/>
    <s v="005ak00000icyWTAAY"/>
    <s v="2026-10-01T15:56:44.000Z"/>
    <m/>
    <m/>
    <d v="2026-10-16T00:00:00"/>
    <s v="LSN-00850"/>
    <s v="L-0000861"/>
    <s v="131ak000001XjDtAAK"/>
    <b v="0"/>
    <b v="0"/>
    <s v="a0Aak00000GkVuA"/>
    <s v="18:30:00.000Z"/>
    <x v="2"/>
    <s v="a07ak00001rZMquAAG"/>
    <s v="Audrey Nelson"/>
    <s v="2026-10-01T15:56:44.000Z"/>
    <b v="1"/>
    <s v="a06ak00000amzBzAAI|2026-10-16|18:30:00.000Z"/>
    <n v="1"/>
    <s v="Red Bank"/>
    <x v="9"/>
    <x v="1"/>
  </r>
  <r>
    <s v="005ak00000icyWTAAY"/>
    <s v="2026-10-01T15:56:44.000Z"/>
    <n v="30"/>
    <s v="a0Aak00000GkVuBEAV"/>
    <s v="a06ak00000amzByAAI"/>
    <s v="Vincent Sullivan"/>
    <m/>
    <x v="10"/>
    <b v="0"/>
    <m/>
    <s v="005ak00000icyWTAAY"/>
    <s v="2026-10-01T15:56:44.000Z"/>
    <m/>
    <m/>
    <d v="2026-10-16T00:00:00"/>
    <s v="LSN-00851"/>
    <s v="L-0000862"/>
    <s v="131ak000001XjDuAAK"/>
    <b v="0"/>
    <b v="0"/>
    <s v="a0Aak00000GkVuB"/>
    <s v="19:00:00.000Z"/>
    <x v="2"/>
    <s v="a07ak00001rZMqlAAG"/>
    <s v="Savannah Campbell"/>
    <s v="2026-10-01T15:56:44.000Z"/>
    <b v="1"/>
    <s v="a06ak00000amzByAAI|2026-10-16|19:00:00.000Z"/>
    <n v="1"/>
    <s v="Brick"/>
    <x v="9"/>
    <x v="1"/>
  </r>
  <r>
    <s v="005ak00000icyWTAAY"/>
    <s v="2026-10-01T15:56:44.000Z"/>
    <n v="30"/>
    <s v="a0Aak00000GkVuCEAV"/>
    <s v="a06ak00000amzBzAAI"/>
    <s v="Ezra Garcia"/>
    <m/>
    <x v="5"/>
    <b v="0"/>
    <m/>
    <s v="005ak00000icyWTAAY"/>
    <s v="2026-10-01T15:56:44.000Z"/>
    <m/>
    <m/>
    <d v="2026-10-17T00:00:00"/>
    <s v="LSN-00852"/>
    <s v="L-0000863"/>
    <s v="131ak000001XjDtAAK"/>
    <b v="0"/>
    <b v="0"/>
    <s v="a0Aak00000GkVuC"/>
    <s v="09:00:00.000Z"/>
    <x v="2"/>
    <s v="a07ak00001rZMrwAAG"/>
    <s v="Jonah Clark"/>
    <s v="2026-10-01T15:56:44.000Z"/>
    <b v="1"/>
    <s v="a06ak00000amzBzAAI|2026-10-17|09:00:00.000Z"/>
    <n v="1"/>
    <s v="Red Bank"/>
    <x v="9"/>
    <x v="1"/>
  </r>
  <r>
    <s v="005ak00000icyWTAAY"/>
    <s v="2026-10-01T15:56:44.000Z"/>
    <n v="45"/>
    <s v="a0Aak00000GkVuDEAV"/>
    <s v="a06ak00000amzBiAAI"/>
    <s v="Zoey Torres"/>
    <m/>
    <x v="7"/>
    <b v="0"/>
    <m/>
    <s v="005ak00000icyWTAAY"/>
    <s v="2026-10-01T15:56:44.000Z"/>
    <m/>
    <m/>
    <d v="2026-10-17T00:00:00"/>
    <s v="LSN-00853"/>
    <s v="L-0000864"/>
    <s v="131ak000001XjDtAAK"/>
    <b v="0"/>
    <b v="0"/>
    <s v="a0Aak00000GkVuD"/>
    <s v="12:30:00.000Z"/>
    <x v="2"/>
    <s v="a07ak00001rZMrJAAW"/>
    <s v="Chen Sullivan"/>
    <s v="2026-10-01T15:56:44.000Z"/>
    <b v="1"/>
    <s v="a06ak00000amzBiAAI|2026-10-17|12:30:00.000Z"/>
    <n v="1"/>
    <s v="Red Bank"/>
    <x v="9"/>
    <x v="1"/>
  </r>
  <r>
    <s v="005ak00000icyWTAAY"/>
    <s v="2026-10-01T15:56:44.000Z"/>
    <n v="60"/>
    <s v="a0Aak00000GkVuEEAV"/>
    <s v="a06ak00000amzCBAAY"/>
    <s v="Aiden Hill"/>
    <m/>
    <x v="10"/>
    <b v="0"/>
    <m/>
    <s v="005ak00000icyWTAAY"/>
    <s v="2026-10-01T15:56:44.000Z"/>
    <m/>
    <m/>
    <d v="2026-10-17T00:00:00"/>
    <s v="LSN-00854"/>
    <s v="L-0000865"/>
    <s v="131ak000001XjDtAAK"/>
    <b v="0"/>
    <b v="0"/>
    <s v="a0Aak00000GkVuE"/>
    <s v="12:30:00.000Z"/>
    <x v="2"/>
    <s v="a07ak00001rZMrNAAW"/>
    <s v="Skylar Kim"/>
    <s v="2026-10-01T15:56:44.000Z"/>
    <b v="1"/>
    <s v="a06ak00000amzCBAAY|2026-10-17|12:30:00.000Z"/>
    <n v="1"/>
    <s v="Red Bank"/>
    <x v="9"/>
    <x v="1"/>
  </r>
  <r>
    <s v="005ak00000icyWTAAY"/>
    <s v="2026-10-01T15:56:44.000Z"/>
    <n v="30"/>
    <s v="a0Aak00000GkVuFEAV"/>
    <s v="a06ak00000amzBiAAI"/>
    <s v="Zoey Torres"/>
    <m/>
    <x v="7"/>
    <b v="0"/>
    <m/>
    <s v="005ak00000icyWTAAY"/>
    <s v="2026-10-01T15:56:44.000Z"/>
    <m/>
    <m/>
    <d v="2026-10-19T00:00:00"/>
    <s v="LSN-00855"/>
    <s v="L-0000866"/>
    <s v="131ak000001XjDtAAK"/>
    <b v="0"/>
    <b v="0"/>
    <s v="a0Aak00000GkVuF"/>
    <s v="15:00:00.000Z"/>
    <x v="2"/>
    <s v="a07ak00001rZMrrAAG"/>
    <s v="Emma Lewis"/>
    <s v="2026-10-01T15:56:44.000Z"/>
    <b v="1"/>
    <s v="a06ak00000amzBiAAI|2026-10-19|15:00:00.000Z"/>
    <n v="1"/>
    <s v="Red Bank"/>
    <x v="9"/>
    <x v="1"/>
  </r>
  <r>
    <s v="005ak00000icyWTAAY"/>
    <s v="2026-10-01T15:56:44.000Z"/>
    <n v="60"/>
    <s v="a0Aak00000GkVuGEAV"/>
    <s v="a06ak00000amzBgAAI"/>
    <s v="Noah Mitchell"/>
    <m/>
    <x v="0"/>
    <b v="0"/>
    <m/>
    <s v="005ak00000icyWTAAY"/>
    <s v="2026-10-01T15:56:44.000Z"/>
    <m/>
    <m/>
    <d v="2026-10-19T00:00:00"/>
    <s v="LSN-00856"/>
    <s v="L-0000867"/>
    <s v="131ak000001XjDuAAK"/>
    <b v="0"/>
    <b v="0"/>
    <s v="a0Aak00000GkVuG"/>
    <s v="17:30:00.000Z"/>
    <x v="2"/>
    <s v="a07ak00001rZMq8AAG"/>
    <s v="Evelyn Robinson"/>
    <s v="2026-10-01T15:56:44.000Z"/>
    <b v="1"/>
    <s v="a06ak00000amzBgAAI|2026-10-19|17:30:00.000Z"/>
    <n v="1"/>
    <s v="Brick"/>
    <x v="9"/>
    <x v="1"/>
  </r>
  <r>
    <s v="005ak00000icyWTAAY"/>
    <s v="2026-10-01T15:56:44.000Z"/>
    <n v="45"/>
    <s v="a0Aak00000GkVuHEAV"/>
    <s v="a06ak00000amzBiAAI"/>
    <s v="Zoey Torres"/>
    <m/>
    <x v="1"/>
    <b v="0"/>
    <m/>
    <s v="005ak00000icyWTAAY"/>
    <s v="2026-10-01T15:56:44.000Z"/>
    <m/>
    <m/>
    <d v="2026-10-19T00:00:00"/>
    <s v="LSN-00857"/>
    <s v="L-0000868"/>
    <s v="131ak000001XjDtAAK"/>
    <b v="0"/>
    <b v="0"/>
    <s v="a0Aak00000GkVuH"/>
    <s v="18:30:00.000Z"/>
    <x v="2"/>
    <s v="a07ak00001rZMpgAAG"/>
    <s v="Micah King"/>
    <s v="2026-10-01T15:56:44.000Z"/>
    <b v="1"/>
    <s v="a06ak00000amzBiAAI|2026-10-19|18:30:00.000Z"/>
    <n v="1"/>
    <s v="Red Bank"/>
    <x v="9"/>
    <x v="1"/>
  </r>
  <r>
    <s v="005ak00000icyWTAAY"/>
    <s v="2026-10-01T15:56:44.000Z"/>
    <n v="30"/>
    <s v="a0Aak00000GkVuIEAV"/>
    <s v="a06ak00000amzCBAAY"/>
    <s v="Aiden Hill"/>
    <m/>
    <x v="3"/>
    <b v="0"/>
    <m/>
    <s v="005ak00000icyWTAAY"/>
    <s v="2026-10-01T15:56:44.000Z"/>
    <m/>
    <m/>
    <d v="2026-10-20T00:00:00"/>
    <s v="LSN-00858"/>
    <s v="L-0000869"/>
    <s v="131ak000001XjDtAAK"/>
    <b v="0"/>
    <b v="0"/>
    <s v="a0Aak00000GkVuI"/>
    <s v="15:00:00.000Z"/>
    <x v="2"/>
    <s v="a07ak00001rZMrvAAG"/>
    <s v="Savannah Patel"/>
    <s v="2026-10-01T15:56:44.000Z"/>
    <b v="1"/>
    <s v="a06ak00000amzCBAAY|2026-10-20|15:00:00.000Z"/>
    <n v="1"/>
    <s v="Red Bank"/>
    <x v="9"/>
    <x v="1"/>
  </r>
  <r>
    <s v="005ak00000icyWTAAY"/>
    <s v="2026-10-01T15:56:44.000Z"/>
    <n v="60"/>
    <s v="a0Aak00000GkVuJEAV"/>
    <s v="a06ak00000amzC1AAI"/>
    <s v="Valentina Nakamura"/>
    <m/>
    <x v="5"/>
    <b v="0"/>
    <m/>
    <s v="005ak00000icyWTAAY"/>
    <s v="2026-10-01T15:56:44.000Z"/>
    <m/>
    <m/>
    <d v="2026-10-20T00:00:00"/>
    <s v="LSN-00859"/>
    <s v="L-0000870"/>
    <s v="131ak000001XjDuAAK"/>
    <b v="0"/>
    <b v="0"/>
    <s v="a0Aak00000GkVuJ"/>
    <s v="15:30:00.000Z"/>
    <x v="2"/>
    <s v="a07ak00001rZMq0AAG"/>
    <s v="Henry Ryan"/>
    <s v="2026-10-01T15:56:44.000Z"/>
    <b v="1"/>
    <s v="a06ak00000amzC1AAI|2026-10-20|15:30:00.000Z"/>
    <n v="1"/>
    <s v="Brick"/>
    <x v="9"/>
    <x v="1"/>
  </r>
  <r>
    <s v="005ak00000icyWTAAY"/>
    <s v="2026-10-01T15:56:44.000Z"/>
    <n v="45"/>
    <s v="a0Aak00000GkVuKEAV"/>
    <s v="a06ak00000amzCBAAY"/>
    <s v="Aiden Hill"/>
    <m/>
    <x v="10"/>
    <b v="0"/>
    <m/>
    <s v="005ak00000icyWTAAY"/>
    <s v="2026-10-01T15:56:44.000Z"/>
    <m/>
    <m/>
    <d v="2026-10-20T00:00:00"/>
    <s v="LSN-00860"/>
    <s v="L-0000871"/>
    <s v="131ak000001XjDtAAK"/>
    <b v="0"/>
    <b v="0"/>
    <s v="a0Aak00000GkVuK"/>
    <s v="16:30:00.000Z"/>
    <x v="2"/>
    <s v="a07ak00001rZMqLAAW"/>
    <s v="Everly Roberts"/>
    <s v="2026-10-01T15:56:44.000Z"/>
    <b v="1"/>
    <s v="a06ak00000amzCBAAY|2026-10-20|16:30:00.000Z"/>
    <n v="1"/>
    <s v="Red Bank"/>
    <x v="9"/>
    <x v="1"/>
  </r>
  <r>
    <s v="005ak00000icyWTAAY"/>
    <s v="2026-10-01T15:56:44.000Z"/>
    <n v="60"/>
    <s v="a0Aak00000GkVuLEAV"/>
    <s v="a06ak00000amzC8AAI"/>
    <s v="Adrian Byrne"/>
    <m/>
    <x v="9"/>
    <b v="0"/>
    <m/>
    <s v="005ak00000icyWTAAY"/>
    <s v="2026-10-01T15:56:44.000Z"/>
    <m/>
    <m/>
    <d v="2026-10-20T00:00:00"/>
    <s v="LSN-00861"/>
    <s v="L-0000872"/>
    <s v="131ak000001XjDvAAK"/>
    <b v="0"/>
    <b v="0"/>
    <s v="a0Aak00000GkVuL"/>
    <s v="18:00:00.000Z"/>
    <x v="2"/>
    <s v="a07ak00001rZMqhAAG"/>
    <s v="Chloe Allen"/>
    <s v="2026-10-01T15:56:44.000Z"/>
    <b v="1"/>
    <s v="a06ak00000amzC8AAI|2026-10-20|18:00:00.000Z"/>
    <n v="1"/>
    <s v="Toms River"/>
    <x v="9"/>
    <x v="1"/>
  </r>
  <r>
    <s v="005ak00000icyWTAAY"/>
    <s v="2026-10-01T15:56:44.000Z"/>
    <n v="60"/>
    <s v="a0Aak00000GkVuMEAV"/>
    <s v="a06ak00000amzBiAAI"/>
    <s v="Zoey Torres"/>
    <m/>
    <x v="7"/>
    <b v="0"/>
    <m/>
    <s v="005ak00000icyWTAAY"/>
    <s v="2026-10-01T15:56:44.000Z"/>
    <m/>
    <m/>
    <d v="2026-10-21T00:00:00"/>
    <s v="LSN-00862"/>
    <s v="L-0000873"/>
    <s v="131ak000001XjDtAAK"/>
    <b v="0"/>
    <b v="0"/>
    <s v="a0Aak00000GkVuM"/>
    <s v="16:00:00.000Z"/>
    <x v="2"/>
    <s v="a07ak00001rZMpmAAG"/>
    <s v="Scarlett Jackson"/>
    <s v="2026-10-01T15:56:44.000Z"/>
    <b v="1"/>
    <s v="a06ak00000amzBiAAI|2026-10-21|16:00:00.000Z"/>
    <n v="1"/>
    <s v="Red Bank"/>
    <x v="9"/>
    <x v="1"/>
  </r>
  <r>
    <s v="005ak00000icyWTAAY"/>
    <s v="2026-10-01T15:56:44.000Z"/>
    <n v="60"/>
    <s v="a0Aak00000GkVuNEAV"/>
    <s v="a06ak00000amzBzAAI"/>
    <s v="Ezra Garcia"/>
    <m/>
    <x v="11"/>
    <b v="0"/>
    <m/>
    <s v="005ak00000icyWTAAY"/>
    <s v="2026-10-01T15:56:44.000Z"/>
    <m/>
    <m/>
    <d v="2026-10-21T00:00:00"/>
    <s v="LSN-00863"/>
    <s v="L-0000874"/>
    <s v="131ak000001XjDtAAK"/>
    <b v="0"/>
    <b v="0"/>
    <s v="a0Aak00000GkVuN"/>
    <s v="17:30:00.000Z"/>
    <x v="2"/>
    <s v="a07ak00001rZMpfAAG"/>
    <s v="Jonah Moore"/>
    <s v="2026-10-01T15:56:44.000Z"/>
    <b v="1"/>
    <s v="a06ak00000amzBzAAI|2026-10-21|17:30:00.000Z"/>
    <n v="1"/>
    <s v="Red Bank"/>
    <x v="9"/>
    <x v="1"/>
  </r>
  <r>
    <s v="005ak00000icyWTAAY"/>
    <s v="2026-10-01T15:56:44.000Z"/>
    <n v="30"/>
    <s v="a0Aak00000GkVuOEAV"/>
    <s v="a06ak00000amzCCAAY"/>
    <s v="Rowan Jones"/>
    <m/>
    <x v="3"/>
    <b v="0"/>
    <m/>
    <s v="005ak00000icyWTAAY"/>
    <s v="2026-10-01T15:56:44.000Z"/>
    <m/>
    <m/>
    <d v="2026-10-21T00:00:00"/>
    <s v="LSN-00864"/>
    <s v="L-0000875"/>
    <s v="131ak000001XjDuAAK"/>
    <b v="0"/>
    <b v="0"/>
    <s v="a0Aak00000GkVuO"/>
    <s v="18:00:00.000Z"/>
    <x v="2"/>
    <s v="a07ak00001rZMr6AAG"/>
    <s v="Priya Roberts"/>
    <s v="2026-10-01T15:56:44.000Z"/>
    <b v="1"/>
    <s v="a06ak00000amzCCAAY|2026-10-21|18:00:00.000Z"/>
    <n v="1"/>
    <s v="Brick"/>
    <x v="9"/>
    <x v="1"/>
  </r>
  <r>
    <s v="005ak00000icyWTAAY"/>
    <s v="2026-10-01T15:56:44.000Z"/>
    <n v="30"/>
    <s v="a0Aak00000GkVuPEAV"/>
    <s v="a06ak00000amzBfAAI"/>
    <s v="Mia Smith"/>
    <m/>
    <x v="6"/>
    <b v="0"/>
    <m/>
    <s v="005ak00000icyWTAAY"/>
    <s v="2026-10-01T15:56:44.000Z"/>
    <m/>
    <m/>
    <d v="2026-10-22T00:00:00"/>
    <s v="LSN-00865"/>
    <s v="L-0000876"/>
    <s v="131ak000001XjDuAAK"/>
    <b v="0"/>
    <b v="0"/>
    <s v="a0Aak00000GkVuP"/>
    <s v="15:00:00.000Z"/>
    <x v="2"/>
    <s v="a07ak00001rZMpjAAG"/>
    <s v="Genesis Novak"/>
    <s v="2026-10-01T15:56:44.000Z"/>
    <b v="1"/>
    <s v="a06ak00000amzBfAAI|2026-10-22|15:00:00.000Z"/>
    <n v="1"/>
    <s v="Brick"/>
    <x v="9"/>
    <x v="1"/>
  </r>
  <r>
    <s v="005ak00000icyWTAAY"/>
    <s v="2026-10-01T15:56:44.000Z"/>
    <n v="30"/>
    <s v="a0Aak00000GkVuQEAV"/>
    <s v="a06ak00000amzC1AAI"/>
    <s v="Valentina Nakamura"/>
    <m/>
    <x v="11"/>
    <b v="0"/>
    <m/>
    <s v="005ak00000icyWTAAY"/>
    <s v="2026-10-01T15:56:44.000Z"/>
    <m/>
    <m/>
    <d v="2026-10-22T00:00:00"/>
    <s v="LSN-00866"/>
    <s v="L-0000877"/>
    <s v="131ak000001XjDuAAK"/>
    <b v="0"/>
    <b v="0"/>
    <s v="a0Aak00000GkVuQ"/>
    <s v="15:00:00.000Z"/>
    <x v="2"/>
    <s v="a07ak00001rZMpkAAG"/>
    <s v="Fatima Jones"/>
    <s v="2026-10-01T15:56:44.000Z"/>
    <b v="1"/>
    <s v="a06ak00000amzC1AAI|2026-10-22|15:00:00.000Z"/>
    <n v="1"/>
    <s v="Brick"/>
    <x v="9"/>
    <x v="1"/>
  </r>
  <r>
    <s v="005ak00000icyWTAAY"/>
    <s v="2026-10-01T15:56:44.000Z"/>
    <n v="60"/>
    <s v="a0Aak00000GkVuREAV"/>
    <s v="a06ak00000amzBzAAI"/>
    <s v="Ezra Garcia"/>
    <m/>
    <x v="5"/>
    <b v="0"/>
    <m/>
    <s v="005ak00000icyWTAAY"/>
    <s v="2026-10-01T15:56:44.000Z"/>
    <m/>
    <m/>
    <d v="2026-10-22T00:00:00"/>
    <s v="LSN-00867"/>
    <s v="L-0000878"/>
    <s v="131ak000001XjDtAAK"/>
    <b v="0"/>
    <b v="0"/>
    <s v="a0Aak00000GkVuR"/>
    <s v="15:30:00.000Z"/>
    <x v="2"/>
    <s v="a07ak00001rZMrIAAW"/>
    <s v="Sofia Perez"/>
    <s v="2026-10-01T15:56:44.000Z"/>
    <b v="1"/>
    <s v="a06ak00000amzBzAAI|2026-10-22|15:30:00.000Z"/>
    <n v="1"/>
    <s v="Red Bank"/>
    <x v="9"/>
    <x v="1"/>
  </r>
  <r>
    <s v="005ak00000icyWTAAY"/>
    <s v="2026-10-01T15:56:44.000Z"/>
    <n v="30"/>
    <s v="a0Aak00000GkVuSEAV"/>
    <s v="a06ak00000amzBgAAI"/>
    <s v="Noah Mitchell"/>
    <m/>
    <x v="8"/>
    <b v="0"/>
    <m/>
    <s v="005ak00000icyWTAAY"/>
    <s v="2026-10-01T15:56:44.000Z"/>
    <m/>
    <m/>
    <d v="2026-10-22T00:00:00"/>
    <s v="LSN-00868"/>
    <s v="L-0000879"/>
    <s v="131ak000001XjDuAAK"/>
    <b v="0"/>
    <b v="0"/>
    <s v="a0Aak00000GkVuS"/>
    <s v="16:00:00.000Z"/>
    <x v="2"/>
    <s v="a07ak00001rZMrqAAG"/>
    <s v="Matthew Thomas"/>
    <s v="2026-10-01T15:56:44.000Z"/>
    <b v="1"/>
    <s v="a06ak00000amzBgAAI|2026-10-22|16:00:00.000Z"/>
    <n v="1"/>
    <s v="Brick"/>
    <x v="9"/>
    <x v="1"/>
  </r>
  <r>
    <s v="005ak00000icyWTAAY"/>
    <s v="2026-10-01T15:56:44.000Z"/>
    <n v="30"/>
    <s v="a0Aak00000GkVuTEAV"/>
    <s v="a06ak00000amzCHAAY"/>
    <s v="Liam Flores"/>
    <m/>
    <x v="4"/>
    <b v="0"/>
    <m/>
    <s v="005ak00000icyWTAAY"/>
    <s v="2026-10-01T15:56:44.000Z"/>
    <m/>
    <m/>
    <d v="2026-10-22T00:00:00"/>
    <s v="LSN-00869"/>
    <s v="L-0000880"/>
    <s v="131ak000001XjDvAAK"/>
    <b v="0"/>
    <b v="0"/>
    <s v="a0Aak00000GkVuT"/>
    <s v="18:00:00.000Z"/>
    <x v="2"/>
    <s v="a07ak00001rZMqqAAG"/>
    <s v="Julian Allen"/>
    <s v="2026-10-01T15:56:44.000Z"/>
    <b v="1"/>
    <s v="a06ak00000amzCHAAY|2026-10-22|18:00:00.000Z"/>
    <n v="1"/>
    <s v="Toms River"/>
    <x v="9"/>
    <x v="1"/>
  </r>
  <r>
    <s v="005ak00000icyWTAAY"/>
    <s v="2026-10-01T15:56:44.000Z"/>
    <n v="30"/>
    <s v="a0Aak00000GkVuUEAV"/>
    <s v="a06ak00000amzC1AAI"/>
    <s v="Valentina Nakamura"/>
    <m/>
    <x v="11"/>
    <b v="0"/>
    <m/>
    <s v="005ak00000icyWTAAY"/>
    <s v="2026-10-01T15:56:44.000Z"/>
    <m/>
    <m/>
    <d v="2026-10-22T00:00:00"/>
    <s v="LSN-00870"/>
    <s v="L-0000881"/>
    <s v="131ak000001XjDtAAK"/>
    <b v="0"/>
    <b v="0"/>
    <s v="a0Aak00000GkVuU"/>
    <s v="18:30:00.000Z"/>
    <x v="2"/>
    <s v="a07ak00001rZMrQAAW"/>
    <s v="Caroline Byrne"/>
    <s v="2026-10-01T15:56:44.000Z"/>
    <b v="1"/>
    <s v="a06ak00000amzC1AAI|2026-10-22|18:30:00.000Z"/>
    <n v="1"/>
    <s v="Red Bank"/>
    <x v="9"/>
    <x v="1"/>
  </r>
  <r>
    <s v="005ak00000icyWTAAY"/>
    <s v="2026-10-01T15:56:44.000Z"/>
    <n v="30"/>
    <s v="a0Aak00000GkVuVEAV"/>
    <s v="a06ak00000amzBiAAI"/>
    <s v="Zoey Torres"/>
    <m/>
    <x v="8"/>
    <b v="0"/>
    <m/>
    <s v="005ak00000icyWTAAY"/>
    <s v="2026-10-01T15:56:44.000Z"/>
    <m/>
    <m/>
    <d v="2026-10-22T00:00:00"/>
    <s v="LSN-00871"/>
    <s v="L-0000882"/>
    <s v="131ak000001XjDtAAK"/>
    <b v="0"/>
    <b v="0"/>
    <s v="a0Aak00000GkVuV"/>
    <s v="19:00:00.000Z"/>
    <x v="2"/>
    <s v="a07ak00001rZMqIAAW"/>
    <s v="Gabriel Baker"/>
    <s v="2026-10-01T15:56:44.000Z"/>
    <b v="1"/>
    <s v="a06ak00000amzBiAAI|2026-10-22|19:00:00.000Z"/>
    <n v="1"/>
    <s v="Red Bank"/>
    <x v="9"/>
    <x v="1"/>
  </r>
  <r>
    <s v="005ak00000icyWTAAY"/>
    <s v="2026-10-01T15:56:44.000Z"/>
    <n v="45"/>
    <s v="a0Aak00000GkVuWEAV"/>
    <s v="a06ak00000amzByAAI"/>
    <s v="Vincent Sullivan"/>
    <m/>
    <x v="10"/>
    <b v="0"/>
    <m/>
    <s v="005ak00000icyWTAAY"/>
    <s v="2026-10-01T15:56:44.000Z"/>
    <m/>
    <m/>
    <d v="2026-10-22T00:00:00"/>
    <s v="LSN-00872"/>
    <s v="L-0000883"/>
    <s v="131ak000001XjDvAAK"/>
    <b v="0"/>
    <b v="0"/>
    <s v="a0Aak00000GkVuW"/>
    <s v="19:00:00.000Z"/>
    <x v="2"/>
    <s v="a07ak00001rZMrSAAW"/>
    <s v="Leo Okafor"/>
    <s v="2026-10-01T15:56:44.000Z"/>
    <b v="1"/>
    <s v="a06ak00000amzByAAI|2026-10-22|19:00:00.000Z"/>
    <n v="1"/>
    <s v="Toms River"/>
    <x v="9"/>
    <x v="1"/>
  </r>
  <r>
    <s v="005ak00000icyWTAAY"/>
    <s v="2026-10-01T15:56:44.000Z"/>
    <n v="45"/>
    <s v="a0Aak00000GkVuXEAV"/>
    <s v="a06ak00000amzCCAAY"/>
    <s v="Rowan Jones"/>
    <m/>
    <x v="9"/>
    <b v="0"/>
    <m/>
    <s v="005ak00000icyWTAAY"/>
    <s v="2026-10-01T15:56:44.000Z"/>
    <m/>
    <m/>
    <d v="2026-10-23T00:00:00"/>
    <s v="LSN-00873"/>
    <s v="L-0000884"/>
    <s v="131ak000001XjDvAAK"/>
    <b v="0"/>
    <b v="0"/>
    <s v="a0Aak00000GkVuX"/>
    <s v="17:00:00.000Z"/>
    <x v="2"/>
    <s v="a07ak00001rZMriAAG"/>
    <s v="Paisley Davis"/>
    <s v="2026-10-01T15:56:44.000Z"/>
    <b v="1"/>
    <s v="a06ak00000amzCCAAY|2026-10-23|17:00:00.000Z"/>
    <n v="1"/>
    <s v="Toms River"/>
    <x v="9"/>
    <x v="1"/>
  </r>
  <r>
    <s v="005ak00000icyWTAAY"/>
    <s v="2026-10-01T15:56:44.000Z"/>
    <n v="45"/>
    <s v="a0Aak00000GkVuYEAV"/>
    <s v="a06ak00000amzCHAAY"/>
    <s v="Liam Flores"/>
    <m/>
    <x v="4"/>
    <b v="0"/>
    <m/>
    <s v="005ak00000icyWTAAY"/>
    <s v="2026-10-01T15:56:44.000Z"/>
    <m/>
    <m/>
    <d v="2026-10-23T00:00:00"/>
    <s v="LSN-00874"/>
    <s v="L-0000885"/>
    <s v="131ak000001XjDuAAK"/>
    <b v="0"/>
    <b v="0"/>
    <s v="a0Aak00000GkVuY"/>
    <s v="18:00:00.000Z"/>
    <x v="2"/>
    <s v="a07ak00001rZMqEAAW"/>
    <s v="Lucas Rodriguez"/>
    <s v="2026-10-01T15:56:44.000Z"/>
    <b v="1"/>
    <s v="a06ak00000amzCHAAY|2026-10-23|18:00:00.000Z"/>
    <n v="1"/>
    <s v="Brick"/>
    <x v="9"/>
    <x v="1"/>
  </r>
  <r>
    <s v="005ak00000icyWTAAY"/>
    <s v="2026-10-01T15:56:44.000Z"/>
    <n v="30"/>
    <s v="a0Aak00000GkVuZEAV"/>
    <s v="a06ak00000amzBzAAI"/>
    <s v="Ezra Garcia"/>
    <m/>
    <x v="5"/>
    <b v="0"/>
    <m/>
    <s v="005ak00000icyWTAAY"/>
    <s v="2026-10-01T15:56:44.000Z"/>
    <m/>
    <m/>
    <d v="2026-10-24T00:00:00"/>
    <s v="LSN-00875"/>
    <s v="L-0000886"/>
    <s v="131ak000001XjDtAAK"/>
    <b v="0"/>
    <b v="0"/>
    <s v="a0Aak00000GkVuZ"/>
    <s v="09:30:00.000Z"/>
    <x v="2"/>
    <s v="a07ak00001rZMr7AAG"/>
    <s v="Lucy Dubois"/>
    <s v="2026-10-01T15:56:44.000Z"/>
    <b v="1"/>
    <s v="a06ak00000amzBzAAI|2026-10-24|09:30:00.000Z"/>
    <n v="1"/>
    <s v="Red Bank"/>
    <x v="9"/>
    <x v="1"/>
  </r>
  <r>
    <s v="005ak00000icyWTAAY"/>
    <s v="2026-10-01T15:56:44.000Z"/>
    <n v="30"/>
    <s v="a0Aak00000GkVuaEAF"/>
    <s v="a06ak00000amzBiAAI"/>
    <s v="Zoey Torres"/>
    <m/>
    <x v="8"/>
    <b v="0"/>
    <m/>
    <s v="005ak00000icyWTAAY"/>
    <s v="2026-10-01T15:56:44.000Z"/>
    <m/>
    <m/>
    <d v="2026-10-24T00:00:00"/>
    <s v="LSN-00876"/>
    <s v="L-0000887"/>
    <s v="131ak000001XjDtAAK"/>
    <b v="0"/>
    <b v="0"/>
    <s v="a0Aak00000GkVua"/>
    <s v="09:30:00.000Z"/>
    <x v="2"/>
    <s v="a07ak00001rZMrPAAW"/>
    <s v="Emily Campbell"/>
    <s v="2026-10-01T15:56:44.000Z"/>
    <b v="1"/>
    <s v="a06ak00000amzBiAAI|2026-10-24|09:30:00.000Z"/>
    <n v="1"/>
    <s v="Red Bank"/>
    <x v="9"/>
    <x v="1"/>
  </r>
  <r>
    <s v="005ak00000icyWTAAY"/>
    <s v="2026-10-01T15:56:44.000Z"/>
    <n v="30"/>
    <s v="a0Aak00000GkVubEAF"/>
    <s v="a06ak00000amzBxAAI"/>
    <s v="Miles Allen"/>
    <m/>
    <x v="7"/>
    <b v="0"/>
    <m/>
    <s v="005ak00000icyWTAAY"/>
    <s v="2026-10-01T15:56:44.000Z"/>
    <m/>
    <m/>
    <d v="2026-10-24T00:00:00"/>
    <s v="LSN-00877"/>
    <s v="L-0000888"/>
    <s v="131ak000001XjDuAAK"/>
    <b v="0"/>
    <b v="0"/>
    <s v="a0Aak00000GkVub"/>
    <s v="10:00:00.000Z"/>
    <x v="2"/>
    <s v="a07ak00001rZMruAAG"/>
    <s v="Diego Kelly"/>
    <s v="2026-10-01T15:56:44.000Z"/>
    <b v="1"/>
    <s v="a06ak00000amzBxAAI|2026-10-24|10:00:00.000Z"/>
    <n v="1"/>
    <s v="Brick"/>
    <x v="9"/>
    <x v="1"/>
  </r>
  <r>
    <s v="005ak00000icyWTAAY"/>
    <s v="2026-10-01T15:56:44.000Z"/>
    <n v="30"/>
    <s v="a0Aak00000GkVucEAF"/>
    <s v="a06ak00000amzBxAAI"/>
    <s v="Miles Allen"/>
    <m/>
    <x v="7"/>
    <b v="0"/>
    <m/>
    <s v="005ak00000icyWTAAY"/>
    <s v="2026-10-01T15:56:44.000Z"/>
    <m/>
    <m/>
    <d v="2026-10-24T00:00:00"/>
    <s v="LSN-00878"/>
    <s v="L-0000889"/>
    <s v="131ak000001XjDuAAK"/>
    <b v="0"/>
    <b v="0"/>
    <s v="a0Aak00000GkVuc"/>
    <s v="11:00:00.000Z"/>
    <x v="2"/>
    <s v="a07ak00001rZMqKAAW"/>
    <s v="Kai Mitchell"/>
    <s v="2026-10-01T15:56:44.000Z"/>
    <b v="1"/>
    <s v="a06ak00000amzBxAAI|2026-10-24|11:00:00.000Z"/>
    <n v="1"/>
    <s v="Brick"/>
    <x v="9"/>
    <x v="1"/>
  </r>
  <r>
    <s v="005ak00000icyWTAAY"/>
    <s v="2026-10-01T15:56:44.000Z"/>
    <n v="30"/>
    <s v="a0Aak00000GkVudEAF"/>
    <s v="a06ak00000amzCHAAY"/>
    <s v="Liam Flores"/>
    <m/>
    <x v="4"/>
    <b v="0"/>
    <m/>
    <s v="005ak00000icyWTAAY"/>
    <s v="2026-10-01T15:56:44.000Z"/>
    <m/>
    <m/>
    <d v="2026-10-24T00:00:00"/>
    <s v="LSN-00879"/>
    <s v="L-0000890"/>
    <s v="131ak000001XjDtAAK"/>
    <b v="0"/>
    <b v="0"/>
    <s v="a0Aak00000GkVud"/>
    <s v="12:00:00.000Z"/>
    <x v="2"/>
    <s v="a07ak00001rZMr0AAG"/>
    <s v="Scarlett Byrne"/>
    <s v="2026-10-01T15:56:44.000Z"/>
    <b v="1"/>
    <s v="a06ak00000amzCHAAY|2026-10-24|12:00:00.000Z"/>
    <n v="1"/>
    <s v="Red Bank"/>
    <x v="9"/>
    <x v="1"/>
  </r>
  <r>
    <s v="005ak00000icyWTAAY"/>
    <s v="2026-10-01T15:56:44.000Z"/>
    <n v="45"/>
    <s v="a0Aak00000GkVueEAF"/>
    <s v="a06ak00000amzBiAAI"/>
    <s v="Zoey Torres"/>
    <m/>
    <x v="7"/>
    <b v="0"/>
    <m/>
    <s v="005ak00000icyWTAAY"/>
    <s v="2026-10-01T15:56:44.000Z"/>
    <m/>
    <m/>
    <d v="2026-10-24T00:00:00"/>
    <s v="LSN-00880"/>
    <s v="L-0000891"/>
    <s v="131ak000001XjDtAAK"/>
    <b v="0"/>
    <b v="0"/>
    <s v="a0Aak00000GkVue"/>
    <s v="12:30:00.000Z"/>
    <x v="2"/>
    <s v="a07ak00001rZMrJAAW"/>
    <s v="Chen Sullivan"/>
    <s v="2026-10-01T15:56:44.000Z"/>
    <b v="1"/>
    <s v="a06ak00000amzBiAAI|2026-10-24|12:30:00.000Z"/>
    <n v="1"/>
    <s v="Red Bank"/>
    <x v="9"/>
    <x v="1"/>
  </r>
  <r>
    <s v="005ak00000icyWTAAY"/>
    <s v="2026-10-01T15:56:44.000Z"/>
    <n v="60"/>
    <s v="a0Aak00000GkVufEAF"/>
    <s v="a06ak00000amzBgAAI"/>
    <s v="Noah Mitchell"/>
    <m/>
    <x v="0"/>
    <b v="0"/>
    <m/>
    <s v="005ak00000icyWTAAY"/>
    <s v="2026-10-01T15:56:44.000Z"/>
    <m/>
    <m/>
    <d v="2026-10-26T00:00:00"/>
    <s v="LSN-00881"/>
    <s v="L-0000892"/>
    <s v="131ak000001XjDuAAK"/>
    <b v="0"/>
    <b v="0"/>
    <s v="a0Aak00000GkVuf"/>
    <s v="18:30:00.000Z"/>
    <x v="2"/>
    <s v="a07ak00001rZMprAAG"/>
    <s v="Henry Brown"/>
    <s v="2026-10-01T15:56:44.000Z"/>
    <b v="1"/>
    <s v="a06ak00000amzBgAAI|2026-10-26|18:30:00.000Z"/>
    <n v="1"/>
    <s v="Brick"/>
    <x v="9"/>
    <x v="1"/>
  </r>
  <r>
    <s v="005ak00000icyWTAAY"/>
    <s v="2026-10-01T15:56:44.000Z"/>
    <n v="60"/>
    <s v="a0Aak00000GkVugEAF"/>
    <s v="a06ak00000amzCHAAY"/>
    <s v="Liam Flores"/>
    <m/>
    <x v="4"/>
    <b v="0"/>
    <m/>
    <s v="005ak00000icyWTAAY"/>
    <s v="2026-10-01T15:56:44.000Z"/>
    <m/>
    <m/>
    <d v="2026-10-26T00:00:00"/>
    <s v="LSN-00882"/>
    <s v="L-0000893"/>
    <s v="131ak000001XjDuAAK"/>
    <b v="0"/>
    <b v="0"/>
    <s v="a0Aak00000GkVug"/>
    <s v="18:30:00.000Z"/>
    <x v="2"/>
    <s v="a07ak00001rZMraAAG"/>
    <s v="Yusuf King"/>
    <s v="2026-10-01T15:56:44.000Z"/>
    <b v="1"/>
    <s v="a06ak00000amzCHAAY|2026-10-26|18:30:00.000Z"/>
    <n v="1"/>
    <s v="Brick"/>
    <x v="9"/>
    <x v="1"/>
  </r>
  <r>
    <s v="005ak00000icyWTAAY"/>
    <s v="2026-10-01T15:56:44.000Z"/>
    <n v="30"/>
    <s v="a0Aak00000GkVuhEAF"/>
    <s v="a06ak00000amzBxAAI"/>
    <s v="Miles Allen"/>
    <m/>
    <x v="7"/>
    <b v="0"/>
    <m/>
    <s v="005ak00000icyWTAAY"/>
    <s v="2026-10-01T15:56:44.000Z"/>
    <m/>
    <m/>
    <d v="2026-10-27T00:00:00"/>
    <s v="LSN-00883"/>
    <s v="L-0000894"/>
    <s v="131ak000001XjDuAAK"/>
    <b v="0"/>
    <b v="0"/>
    <s v="a0Aak00000GkVuh"/>
    <s v="15:00:00.000Z"/>
    <x v="2"/>
    <s v="a07ak00001rZMrAAAW"/>
    <s v="Lincoln Garcia"/>
    <s v="2026-10-01T15:56:44.000Z"/>
    <b v="1"/>
    <s v="a06ak00000amzBxAAI|2026-10-27|15:00:00.000Z"/>
    <n v="1"/>
    <s v="Brick"/>
    <x v="9"/>
    <x v="1"/>
  </r>
  <r>
    <s v="005ak00000icyWTAAY"/>
    <s v="2026-10-01T15:56:44.000Z"/>
    <n v="45"/>
    <s v="a0Aak00000GkVuiEAF"/>
    <s v="a06ak00000amzBtAAI"/>
    <s v="Jamal Torres"/>
    <m/>
    <x v="8"/>
    <b v="0"/>
    <m/>
    <s v="005ak00000icyWTAAY"/>
    <s v="2026-10-01T15:56:44.000Z"/>
    <m/>
    <m/>
    <d v="2026-10-27T00:00:00"/>
    <s v="LSN-00884"/>
    <s v="L-0000895"/>
    <s v="131ak000001XjDvAAK"/>
    <b v="0"/>
    <b v="0"/>
    <s v="a0Aak00000GkVui"/>
    <s v="15:30:00.000Z"/>
    <x v="2"/>
    <s v="a07ak00001rZMrhAAG"/>
    <s v="Lucy Kowalski"/>
    <s v="2026-10-01T15:56:44.000Z"/>
    <b v="1"/>
    <s v="a06ak00000amzBtAAI|2026-10-27|15:30:00.000Z"/>
    <n v="1"/>
    <s v="Toms River"/>
    <x v="9"/>
    <x v="1"/>
  </r>
  <r>
    <s v="005ak00000icyWTAAY"/>
    <s v="2026-10-01T15:56:44.000Z"/>
    <n v="45"/>
    <s v="a0Aak00000GkVujEAF"/>
    <s v="a06ak00000amzBzAAI"/>
    <s v="Ezra Garcia"/>
    <m/>
    <x v="0"/>
    <b v="0"/>
    <m/>
    <s v="005ak00000icyWTAAY"/>
    <s v="2026-10-01T15:56:44.000Z"/>
    <m/>
    <m/>
    <d v="2026-10-27T00:00:00"/>
    <s v="LSN-00885"/>
    <s v="L-0000896"/>
    <s v="131ak000001XjDtAAK"/>
    <b v="0"/>
    <b v="0"/>
    <s v="a0Aak00000GkVuj"/>
    <s v="18:30:00.000Z"/>
    <x v="2"/>
    <s v="a07ak00001rZMpJAAW"/>
    <s v="Josiah Torres"/>
    <s v="2026-10-01T15:56:44.000Z"/>
    <b v="1"/>
    <s v="a06ak00000amzBzAAI|2026-10-27|18:30:00.000Z"/>
    <n v="1"/>
    <s v="Red Bank"/>
    <x v="9"/>
    <x v="1"/>
  </r>
  <r>
    <s v="005ak00000icyWTAAY"/>
    <s v="2026-10-01T15:56:44.000Z"/>
    <n v="30"/>
    <s v="a0Aak00000GkVukEAF"/>
    <s v="a06ak00000amzC0AAI"/>
    <s v="James Moore"/>
    <m/>
    <x v="10"/>
    <b v="0"/>
    <m/>
    <s v="005ak00000icyWTAAY"/>
    <s v="2026-10-01T15:56:44.000Z"/>
    <m/>
    <m/>
    <d v="2026-10-27T00:00:00"/>
    <s v="LSN-00886"/>
    <s v="L-0000897"/>
    <s v="131ak000001XjDtAAK"/>
    <b v="0"/>
    <b v="0"/>
    <s v="a0Aak00000GkVuk"/>
    <s v="19:00:00.000Z"/>
    <x v="2"/>
    <s v="a07ak00001rZMrfAAG"/>
    <s v="Marcus Nelson"/>
    <s v="2026-10-01T15:56:44.000Z"/>
    <b v="1"/>
    <s v="a06ak00000amzC0AAI|2026-10-27|19:00:00.000Z"/>
    <n v="1"/>
    <s v="Red Bank"/>
    <x v="9"/>
    <x v="1"/>
  </r>
  <r>
    <s v="005ak00000icyWTAAY"/>
    <s v="2026-10-01T15:56:44.000Z"/>
    <n v="30"/>
    <s v="a0Aak00000GkVulEAF"/>
    <s v="a06ak00000amzBgAAI"/>
    <s v="Noah Mitchell"/>
    <m/>
    <x v="1"/>
    <b v="0"/>
    <m/>
    <s v="005ak00000icyWTAAY"/>
    <s v="2026-10-01T15:56:44.000Z"/>
    <m/>
    <m/>
    <d v="2026-10-28T00:00:00"/>
    <s v="LSN-00887"/>
    <s v="L-0000898"/>
    <s v="131ak000001XjDuAAK"/>
    <b v="0"/>
    <b v="0"/>
    <s v="a0Aak00000GkVul"/>
    <s v="15:30:00.000Z"/>
    <x v="2"/>
    <s v="a07ak00001rZMpFAAW"/>
    <s v="Vincent Jones"/>
    <s v="2026-10-01T15:56:44.000Z"/>
    <b v="1"/>
    <s v="a06ak00000amzBgAAI|2026-10-28|15:30:00.000Z"/>
    <n v="1"/>
    <s v="Brick"/>
    <x v="9"/>
    <x v="1"/>
  </r>
  <r>
    <s v="005ak00000icyWTAAY"/>
    <s v="2026-10-01T15:56:44.000Z"/>
    <n v="30"/>
    <s v="a0Aak00000GkVumEAF"/>
    <s v="a06ak00000amzCIAAY"/>
    <s v="Omar Nelson"/>
    <m/>
    <x v="7"/>
    <b v="0"/>
    <m/>
    <s v="005ak00000icyWTAAY"/>
    <s v="2026-10-01T15:56:44.000Z"/>
    <m/>
    <m/>
    <d v="2026-10-28T00:00:00"/>
    <s v="LSN-00888"/>
    <s v="L-0000899"/>
    <s v="131ak000001XjDvAAK"/>
    <b v="0"/>
    <b v="0"/>
    <s v="a0Aak00000GkVum"/>
    <s v="17:00:00.000Z"/>
    <x v="2"/>
    <s v="a07ak00001rZMpcAAG"/>
    <s v="Adrian Sullivan"/>
    <s v="2026-10-01T15:56:44.000Z"/>
    <b v="1"/>
    <s v="a06ak00000amzCIAAY|2026-10-28|17:00:00.000Z"/>
    <n v="1"/>
    <s v="Toms River"/>
    <x v="9"/>
    <x v="1"/>
  </r>
  <r>
    <s v="005ak00000icyWTAAY"/>
    <s v="2026-10-01T15:56:44.000Z"/>
    <n v="45"/>
    <s v="a0Aak00000GkVunEAF"/>
    <s v="a06ak00000amzC0AAI"/>
    <s v="James Moore"/>
    <m/>
    <x v="6"/>
    <b v="0"/>
    <m/>
    <s v="005ak00000icyWTAAY"/>
    <s v="2026-10-01T15:56:44.000Z"/>
    <m/>
    <m/>
    <d v="2026-10-28T00:00:00"/>
    <s v="LSN-00889"/>
    <s v="L-0000900"/>
    <s v="131ak000001XjDtAAK"/>
    <b v="0"/>
    <b v="0"/>
    <s v="a0Aak00000GkVun"/>
    <s v="17:00:00.000Z"/>
    <x v="2"/>
    <s v="a07ak00001rZMqCAAW"/>
    <s v="Omar Smith"/>
    <s v="2026-10-01T15:56:44.000Z"/>
    <b v="1"/>
    <s v="a06ak00000amzC0AAI|2026-10-28|17:00:00.000Z"/>
    <n v="1"/>
    <s v="Red Bank"/>
    <x v="9"/>
    <x v="1"/>
  </r>
  <r>
    <s v="005ak00000icyWTAAY"/>
    <s v="2026-10-01T15:56:44.000Z"/>
    <n v="60"/>
    <s v="a0Aak00000GkVuoEAF"/>
    <s v="a06ak00000amzBzAAI"/>
    <s v="Ezra Garcia"/>
    <m/>
    <x v="11"/>
    <b v="0"/>
    <m/>
    <s v="005ak00000icyWTAAY"/>
    <s v="2026-10-01T15:56:44.000Z"/>
    <m/>
    <m/>
    <d v="2026-10-28T00:00:00"/>
    <s v="LSN-00890"/>
    <s v="L-0000901"/>
    <s v="131ak000001XjDtAAK"/>
    <b v="0"/>
    <b v="0"/>
    <s v="a0Aak00000GkVuo"/>
    <s v="17:30:00.000Z"/>
    <x v="2"/>
    <s v="a07ak00001rZMpfAAG"/>
    <s v="Jonah Moore"/>
    <s v="2026-10-01T15:56:44.000Z"/>
    <b v="1"/>
    <s v="a06ak00000amzBzAAI|2026-10-28|17:30:00.000Z"/>
    <n v="1"/>
    <s v="Red Bank"/>
    <x v="9"/>
    <x v="1"/>
  </r>
  <r>
    <s v="005ak00000icyWTAAY"/>
    <s v="2026-10-01T15:56:44.000Z"/>
    <n v="60"/>
    <s v="a0Aak00000GkVupEAF"/>
    <s v="a06ak00000amzBfAAI"/>
    <s v="Mia Smith"/>
    <m/>
    <x v="6"/>
    <b v="0"/>
    <m/>
    <s v="005ak00000icyWTAAY"/>
    <s v="2026-10-01T15:56:44.000Z"/>
    <m/>
    <m/>
    <d v="2026-10-28T00:00:00"/>
    <s v="LSN-00891"/>
    <s v="L-0000902"/>
    <s v="131ak000001XjDvAAK"/>
    <b v="0"/>
    <b v="0"/>
    <s v="a0Aak00000GkVup"/>
    <s v="18:30:00.000Z"/>
    <x v="2"/>
    <s v="a07ak00001rZMpPAAW"/>
    <s v="Aubrey Anderson"/>
    <s v="2026-10-01T15:56:44.000Z"/>
    <b v="1"/>
    <s v="a06ak00000amzBfAAI|2026-10-28|18:30:00.000Z"/>
    <n v="1"/>
    <s v="Toms River"/>
    <x v="9"/>
    <x v="1"/>
  </r>
  <r>
    <s v="005ak00000icyWTAAY"/>
    <s v="2026-10-01T15:56:44.000Z"/>
    <n v="30"/>
    <s v="a0Aak00000GkVuqEAF"/>
    <s v="a06ak00000amzBiAAI"/>
    <s v="Zoey Torres"/>
    <m/>
    <x v="8"/>
    <b v="0"/>
    <m/>
    <s v="005ak00000icyWTAAY"/>
    <s v="2026-10-01T15:56:44.000Z"/>
    <m/>
    <m/>
    <d v="2026-10-29T00:00:00"/>
    <s v="LSN-00892"/>
    <s v="L-0000903"/>
    <s v="131ak000001XjDtAAK"/>
    <b v="0"/>
    <b v="0"/>
    <s v="a0Aak00000GkVuq"/>
    <s v="15:00:00.000Z"/>
    <x v="2"/>
    <s v="a07ak00001rZMqwAAG"/>
    <s v="Maria Martinez"/>
    <s v="2026-10-01T15:56:44.000Z"/>
    <b v="1"/>
    <s v="a06ak00000amzBiAAI|2026-10-29|15:00:00.000Z"/>
    <n v="1"/>
    <s v="Red Bank"/>
    <x v="9"/>
    <x v="1"/>
  </r>
  <r>
    <s v="005ak00000icyWTAAY"/>
    <s v="2026-10-01T15:56:44.000Z"/>
    <n v="30"/>
    <s v="a0Aak00000GkVurEAF"/>
    <s v="a06ak00000amzBzAAI"/>
    <s v="Ezra Garcia"/>
    <m/>
    <x v="5"/>
    <b v="0"/>
    <m/>
    <s v="005ak00000icyWTAAY"/>
    <s v="2026-10-01T15:56:44.000Z"/>
    <m/>
    <m/>
    <d v="2026-10-29T00:00:00"/>
    <s v="LSN-00893"/>
    <s v="L-0000904"/>
    <s v="131ak000001XjDtAAK"/>
    <b v="0"/>
    <b v="0"/>
    <s v="a0Aak00000GkVur"/>
    <s v="15:00:00.000Z"/>
    <x v="2"/>
    <s v="a07ak00001rZMr1AAG"/>
    <s v="Lincoln Scott"/>
    <s v="2026-10-01T15:56:44.000Z"/>
    <b v="1"/>
    <s v="a06ak00000amzBzAAI|2026-10-29|15:00:00.000Z"/>
    <n v="1"/>
    <s v="Red Bank"/>
    <x v="9"/>
    <x v="1"/>
  </r>
  <r>
    <s v="005ak00000icyWTAAY"/>
    <s v="2026-10-01T15:56:44.000Z"/>
    <n v="60"/>
    <s v="a0Aak00000GkVusEAF"/>
    <s v="a06ak00000amzCBAAY"/>
    <s v="Aiden Hill"/>
    <m/>
    <x v="10"/>
    <b v="0"/>
    <m/>
    <s v="005ak00000icyWTAAY"/>
    <s v="2026-10-01T15:56:44.000Z"/>
    <m/>
    <m/>
    <d v="2026-10-29T00:00:00"/>
    <s v="LSN-00894"/>
    <s v="L-0000905"/>
    <s v="131ak000001XjDtAAK"/>
    <b v="0"/>
    <b v="0"/>
    <s v="a0Aak00000GkVus"/>
    <s v="15:00:00.000Z"/>
    <x v="2"/>
    <s v="a07ak00001rZMrHAAW"/>
    <s v="Lucas Young"/>
    <s v="2026-10-01T15:56:44.000Z"/>
    <b v="1"/>
    <s v="a06ak00000amzCBAAY|2026-10-29|15:00:00.000Z"/>
    <n v="1"/>
    <s v="Red Bank"/>
    <x v="9"/>
    <x v="1"/>
  </r>
  <r>
    <s v="005ak00000icyWTAAY"/>
    <s v="2026-10-01T15:56:44.000Z"/>
    <n v="60"/>
    <s v="a0Aak00000GkVutEAF"/>
    <s v="a06ak00000amzBzAAI"/>
    <s v="Ezra Garcia"/>
    <m/>
    <x v="5"/>
    <b v="0"/>
    <m/>
    <s v="005ak00000icyWTAAY"/>
    <s v="2026-10-01T15:56:44.000Z"/>
    <m/>
    <m/>
    <d v="2026-10-29T00:00:00"/>
    <s v="LSN-00895"/>
    <s v="L-0000906"/>
    <s v="131ak000001XjDvAAK"/>
    <b v="0"/>
    <b v="0"/>
    <s v="a0Aak00000GkVut"/>
    <s v="17:30:00.000Z"/>
    <x v="2"/>
    <s v="a07ak00001rZMq3AAG"/>
    <s v="Anthony Nakamura"/>
    <s v="2026-10-01T15:56:44.000Z"/>
    <b v="1"/>
    <s v="a06ak00000amzBzAAI|2026-10-29|17:30:00.000Z"/>
    <n v="1"/>
    <s v="Toms River"/>
    <x v="9"/>
    <x v="1"/>
  </r>
  <r>
    <s v="005ak00000icyWTAAY"/>
    <s v="2026-10-01T15:56:44.000Z"/>
    <n v="30"/>
    <s v="a0Aak00000GkVuuEAF"/>
    <s v="a06ak00000amzC8AAI"/>
    <s v="Adrian Byrne"/>
    <m/>
    <x v="2"/>
    <b v="0"/>
    <m/>
    <s v="005ak00000icyWTAAY"/>
    <s v="2026-10-01T15:56:44.000Z"/>
    <m/>
    <m/>
    <d v="2026-10-29T00:00:00"/>
    <s v="LSN-00896"/>
    <s v="L-0000907"/>
    <s v="131ak000001XjDuAAK"/>
    <b v="0"/>
    <b v="0"/>
    <s v="a0Aak00000GkVuu"/>
    <s v="18:00:00.000Z"/>
    <x v="2"/>
    <s v="a07ak00001rZMqYAAW"/>
    <s v="Chen Mitchell"/>
    <s v="2026-10-01T15:56:44.000Z"/>
    <b v="1"/>
    <s v="a06ak00000amzC8AAI|2026-10-29|18:00:00.000Z"/>
    <n v="1"/>
    <s v="Brick"/>
    <x v="9"/>
    <x v="1"/>
  </r>
  <r>
    <s v="005ak00000icyWTAAY"/>
    <s v="2026-10-01T15:56:44.000Z"/>
    <n v="30"/>
    <s v="a0Aak00000GkVuvEAF"/>
    <s v="a06ak00000amzCHAAY"/>
    <s v="Liam Flores"/>
    <m/>
    <x v="4"/>
    <b v="0"/>
    <m/>
    <s v="005ak00000icyWTAAY"/>
    <s v="2026-10-01T15:56:44.000Z"/>
    <m/>
    <m/>
    <d v="2026-10-30T00:00:00"/>
    <s v="LSN-00897"/>
    <s v="L-0000908"/>
    <s v="131ak000001XjDvAAK"/>
    <b v="0"/>
    <b v="0"/>
    <s v="a0Aak00000GkVuv"/>
    <s v="16:30:00.000Z"/>
    <x v="2"/>
    <s v="a07ak00001rZMpEAAW"/>
    <s v="Kennedy Sullivan"/>
    <s v="2026-10-01T15:56:44.000Z"/>
    <b v="1"/>
    <s v="a06ak00000amzCHAAY|2026-10-30|16:30:00.000Z"/>
    <n v="1"/>
    <s v="Toms River"/>
    <x v="9"/>
    <x v="1"/>
  </r>
  <r>
    <s v="005ak00000icyWTAAY"/>
    <s v="2026-10-01T15:56:44.000Z"/>
    <n v="30"/>
    <s v="a0Aak00000GkVuwEAF"/>
    <s v="a06ak00000amzBxAAI"/>
    <s v="Miles Allen"/>
    <m/>
    <x v="7"/>
    <b v="0"/>
    <m/>
    <s v="005ak00000icyWTAAY"/>
    <s v="2026-10-01T15:56:44.000Z"/>
    <m/>
    <m/>
    <d v="2026-10-30T00:00:00"/>
    <s v="LSN-00898"/>
    <s v="L-0000909"/>
    <s v="131ak000001XjDuAAK"/>
    <b v="0"/>
    <b v="0"/>
    <s v="a0Aak00000GkVuw"/>
    <s v="16:30:00.000Z"/>
    <x v="2"/>
    <s v="a07ak00001rZMpIAAW"/>
    <s v="Genesis Lopez"/>
    <s v="2026-10-01T15:56:44.000Z"/>
    <b v="1"/>
    <s v="a06ak00000amzBxAAI|2026-10-30|16:30:00.000Z"/>
    <n v="1"/>
    <s v="Brick"/>
    <x v="9"/>
    <x v="1"/>
  </r>
  <r>
    <s v="005ak00000icyWTAAY"/>
    <s v="2026-10-01T15:56:44.000Z"/>
    <n v="45"/>
    <s v="a0Aak00000GkVuxEAF"/>
    <s v="a06ak00000amzBzAAI"/>
    <s v="Ezra Garcia"/>
    <m/>
    <x v="5"/>
    <b v="0"/>
    <m/>
    <s v="005ak00000icyWTAAY"/>
    <s v="2026-10-01T15:56:44.000Z"/>
    <m/>
    <m/>
    <d v="2026-10-30T00:00:00"/>
    <s v="LSN-00899"/>
    <s v="L-0000910"/>
    <s v="131ak000001XjDvAAK"/>
    <b v="0"/>
    <b v="0"/>
    <s v="a0Aak00000GkVux"/>
    <s v="16:30:00.000Z"/>
    <x v="2"/>
    <s v="a07ak00001rZMpQAAW"/>
    <s v="Priya Ramirez"/>
    <s v="2026-10-01T15:56:44.000Z"/>
    <b v="1"/>
    <s v="a06ak00000amzBzAAI|2026-10-30|16:30:00.000Z"/>
    <n v="1"/>
    <s v="Toms River"/>
    <x v="9"/>
    <x v="1"/>
  </r>
  <r>
    <s v="005ak00000icyWTAAY"/>
    <s v="2026-10-01T15:56:44.000Z"/>
    <n v="30"/>
    <s v="a0Aak00000GkVuyEAF"/>
    <s v="a06ak00000amzByAAI"/>
    <s v="Vincent Sullivan"/>
    <m/>
    <x v="8"/>
    <b v="0"/>
    <m/>
    <s v="005ak00000icyWTAAY"/>
    <s v="2026-10-01T15:56:44.000Z"/>
    <m/>
    <m/>
    <d v="2026-10-30T00:00:00"/>
    <s v="LSN-00900"/>
    <s v="L-0000911"/>
    <s v="131ak000001XjDuAAK"/>
    <b v="0"/>
    <b v="0"/>
    <s v="a0Aak00000GkVuy"/>
    <s v="17:00:00.000Z"/>
    <x v="2"/>
    <s v="a07ak00001rZMpNAAW"/>
    <s v="Hazel Walker"/>
    <s v="2026-10-01T15:56:44.000Z"/>
    <b v="1"/>
    <s v="a06ak00000amzByAAI|2026-10-30|17:00:00.000Z"/>
    <n v="1"/>
    <s v="Brick"/>
    <x v="9"/>
    <x v="1"/>
  </r>
  <r>
    <s v="005ak00000icyWTAAY"/>
    <s v="2026-10-01T15:56:44.000Z"/>
    <n v="60"/>
    <s v="a0Aak00000GkVuzEAF"/>
    <s v="a06ak00000amzBzAAI"/>
    <s v="Ezra Garcia"/>
    <m/>
    <x v="11"/>
    <b v="0"/>
    <m/>
    <s v="005ak00000icyWTAAY"/>
    <s v="2026-10-01T15:56:44.000Z"/>
    <m/>
    <m/>
    <d v="2026-10-30T00:00:00"/>
    <s v="LSN-00901"/>
    <s v="L-0000912"/>
    <s v="131ak000001XjDtAAK"/>
    <b v="0"/>
    <b v="0"/>
    <s v="a0Aak00000GkVuz"/>
    <s v="18:30:00.000Z"/>
    <x v="2"/>
    <s v="a07ak00001rZMquAAG"/>
    <s v="Audrey Nelson"/>
    <s v="2026-10-01T15:56:44.000Z"/>
    <b v="1"/>
    <s v="a06ak00000amzBzAAI|2026-10-30|18:30:00.000Z"/>
    <n v="1"/>
    <s v="Red Bank"/>
    <x v="9"/>
    <x v="1"/>
  </r>
  <r>
    <s v="005ak00000icyWTAAY"/>
    <s v="2026-10-01T15:56:44.000Z"/>
    <n v="30"/>
    <s v="a0Aak00000GkVv0EAF"/>
    <s v="a06ak00000amzC8AAI"/>
    <s v="Adrian Byrne"/>
    <m/>
    <x v="2"/>
    <b v="0"/>
    <m/>
    <s v="005ak00000icyWTAAY"/>
    <s v="2026-10-01T15:56:44.000Z"/>
    <m/>
    <m/>
    <d v="2026-10-30T00:00:00"/>
    <s v="LSN-00902"/>
    <s v="L-0000913"/>
    <s v="131ak000001XjDuAAK"/>
    <b v="0"/>
    <b v="0"/>
    <s v="a0Aak00000GkVv0"/>
    <s v="19:00:00.000Z"/>
    <x v="2"/>
    <s v="a07ak00001rZMpiAAG"/>
    <s v="Bella Adams"/>
    <s v="2026-10-01T15:56:44.000Z"/>
    <b v="1"/>
    <s v="a06ak00000amzC8AAI|2026-10-30|19:00:00.000Z"/>
    <n v="1"/>
    <s v="Brick"/>
    <x v="9"/>
    <x v="1"/>
  </r>
  <r>
    <s v="005ak00000icyWTAAY"/>
    <s v="2026-10-01T15:56:44.000Z"/>
    <n v="60"/>
    <s v="a0Aak00000GkVv1EAF"/>
    <s v="a06ak00000amzBgAAI"/>
    <s v="Noah Mitchell"/>
    <m/>
    <x v="1"/>
    <b v="0"/>
    <m/>
    <s v="005ak00000icyWTAAY"/>
    <s v="2026-10-01T15:56:44.000Z"/>
    <m/>
    <m/>
    <d v="2026-10-30T00:00:00"/>
    <s v="LSN-00903"/>
    <s v="L-0000914"/>
    <s v="131ak000001XjDuAAK"/>
    <b v="0"/>
    <b v="0"/>
    <s v="a0Aak00000GkVv1"/>
    <s v="19:00:00.000Z"/>
    <x v="2"/>
    <s v="a07ak00001rZMq4AAG"/>
    <s v="Sofia Johnson"/>
    <s v="2026-10-01T15:56:44.000Z"/>
    <b v="1"/>
    <s v="a06ak00000amzBgAAI|2026-10-30|19:00:00.000Z"/>
    <n v="1"/>
    <s v="Brick"/>
    <x v="9"/>
    <x v="1"/>
  </r>
  <r>
    <s v="005ak00000icyWTAAY"/>
    <s v="2026-10-01T15:56:44.000Z"/>
    <n v="30"/>
    <s v="a0Aak00000GkVv2EAF"/>
    <s v="a06ak00000amzBxAAI"/>
    <s v="Miles Allen"/>
    <m/>
    <x v="7"/>
    <b v="0"/>
    <m/>
    <s v="005ak00000icyWTAAY"/>
    <s v="2026-10-01T15:56:44.000Z"/>
    <m/>
    <m/>
    <d v="2026-10-31T00:00:00"/>
    <s v="LSN-00904"/>
    <s v="L-0000915"/>
    <s v="131ak000001XjDuAAK"/>
    <b v="0"/>
    <b v="0"/>
    <s v="a0Aak00000GkVv2"/>
    <s v="11:30:00.000Z"/>
    <x v="2"/>
    <s v="a07ak00001rZMqAAAW"/>
    <s v="Elijah Jones"/>
    <s v="2026-10-01T15:56:44.000Z"/>
    <b v="1"/>
    <s v="a06ak00000amzBxAAI|2026-10-31|11:30:00.000Z"/>
    <n v="1"/>
    <s v="Brick"/>
    <x v="9"/>
    <x v="1"/>
  </r>
  <r>
    <s v="005ak00000icyWTAAY"/>
    <s v="2026-10-01T15:56:44.000Z"/>
    <n v="60"/>
    <s v="a0Aak00000GkVv3EAF"/>
    <s v="a06ak00000amzByAAI"/>
    <s v="Vincent Sullivan"/>
    <m/>
    <x v="10"/>
    <b v="0"/>
    <m/>
    <s v="005ak00000icyWTAAY"/>
    <s v="2026-10-01T15:56:44.000Z"/>
    <m/>
    <m/>
    <d v="2026-10-31T00:00:00"/>
    <s v="LSN-00905"/>
    <s v="L-0000916"/>
    <s v="131ak000001XjDvAAK"/>
    <b v="0"/>
    <b v="0"/>
    <s v="a0Aak00000GkVv3"/>
    <s v="12:30:00.000Z"/>
    <x v="2"/>
    <s v="a07ak00001rZMpnAAG"/>
    <s v="Leo Mitchell"/>
    <s v="2026-10-01T15:56:44.000Z"/>
    <b v="1"/>
    <s v="a06ak00000amzByAAI|2026-10-31|12:30:00.000Z"/>
    <n v="1"/>
    <s v="Toms River"/>
    <x v="9"/>
    <x v="1"/>
  </r>
  <r>
    <s v="005ak00000icyWTAAY"/>
    <s v="2026-10-01T15:56:44.000Z"/>
    <n v="45"/>
    <s v="a0Aak00000GkVv4EAF"/>
    <s v="a06ak00000amzBgAAI"/>
    <s v="Noah Mitchell"/>
    <m/>
    <x v="1"/>
    <b v="0"/>
    <m/>
    <s v="005ak00000icyWTAAY"/>
    <s v="2026-10-01T15:56:44.000Z"/>
    <m/>
    <m/>
    <d v="2026-11-02T00:00:00"/>
    <s v="LSN-00906"/>
    <s v="L-0000917"/>
    <s v="131ak000001XjDuAAK"/>
    <b v="0"/>
    <b v="0"/>
    <s v="a0Aak00000GkVv4"/>
    <s v="16:30:00.000Z"/>
    <x v="2"/>
    <s v="a07ak00001rZMpDAAW"/>
    <s v="Mei Thompson"/>
    <s v="2026-10-01T15:56:44.000Z"/>
    <b v="1"/>
    <s v="a06ak00000amzBgAAI|2026-11-02|16:30:00.000Z"/>
    <n v="1"/>
    <s v="Brick"/>
    <x v="12"/>
    <x v="1"/>
  </r>
  <r>
    <s v="005ak00000icyWTAAY"/>
    <s v="2026-10-01T15:56:44.000Z"/>
    <n v="45"/>
    <s v="a0Aak00000GkVv5EAF"/>
    <s v="a06ak00000amzBiAAI"/>
    <s v="Zoey Torres"/>
    <m/>
    <x v="7"/>
    <b v="0"/>
    <m/>
    <s v="005ak00000icyWTAAY"/>
    <s v="2026-10-01T15:56:44.000Z"/>
    <m/>
    <m/>
    <d v="2026-11-02T00:00:00"/>
    <s v="LSN-00907"/>
    <s v="L-0000918"/>
    <s v="131ak000001XjDtAAK"/>
    <b v="0"/>
    <b v="0"/>
    <s v="a0Aak00000GkVv5"/>
    <s v="16:30:00.000Z"/>
    <x v="2"/>
    <s v="a07ak00001rZMqiAAG"/>
    <s v="Hazel Perez"/>
    <s v="2026-10-01T15:56:44.000Z"/>
    <b v="1"/>
    <s v="a06ak00000amzBiAAI|2026-11-02|16:30:00.000Z"/>
    <n v="1"/>
    <s v="Red Bank"/>
    <x v="12"/>
    <x v="1"/>
  </r>
  <r>
    <s v="005ak00000icyWTAAY"/>
    <s v="2026-10-01T15:56:44.000Z"/>
    <n v="30"/>
    <s v="a0Aak00000GkVv6EAF"/>
    <s v="a06ak00000amzCBAAY"/>
    <s v="Aiden Hill"/>
    <m/>
    <x v="3"/>
    <b v="0"/>
    <m/>
    <s v="005ak00000icyWTAAY"/>
    <s v="2026-10-01T15:56:44.000Z"/>
    <m/>
    <m/>
    <d v="2026-11-02T00:00:00"/>
    <s v="LSN-00908"/>
    <s v="L-0000919"/>
    <s v="131ak000001XjDtAAK"/>
    <b v="0"/>
    <b v="0"/>
    <s v="a0Aak00000GkVv6"/>
    <s v="17:30:00.000Z"/>
    <x v="2"/>
    <s v="a07ak00001rZMrYAAW"/>
    <s v="Victoria Martinez"/>
    <s v="2026-10-01T15:56:44.000Z"/>
    <b v="1"/>
    <s v="a06ak00000amzCBAAY|2026-11-02|17:30:00.000Z"/>
    <n v="1"/>
    <s v="Red Bank"/>
    <x v="12"/>
    <x v="1"/>
  </r>
  <r>
    <s v="005ak00000icyWTAAY"/>
    <s v="2026-10-01T15:56:44.000Z"/>
    <n v="30"/>
    <s v="a0Aak00000GkVv7EAF"/>
    <s v="a06ak00000amzCIAAY"/>
    <s v="Omar Nelson"/>
    <m/>
    <x v="7"/>
    <b v="0"/>
    <m/>
    <s v="005ak00000icyWTAAY"/>
    <s v="2026-10-01T15:56:44.000Z"/>
    <m/>
    <m/>
    <d v="2026-11-02T00:00:00"/>
    <s v="LSN-00909"/>
    <s v="L-0000920"/>
    <s v="131ak000001XjDvAAK"/>
    <b v="0"/>
    <b v="0"/>
    <s v="a0Aak00000GkVv7"/>
    <s v="17:30:00.000Z"/>
    <x v="2"/>
    <s v="a07ak00001rZMs1AAG"/>
    <s v="Nathan Ahmed"/>
    <s v="2026-10-01T15:56:44.000Z"/>
    <b v="1"/>
    <s v="a06ak00000amzCIAAY|2026-11-02|17:30:00.000Z"/>
    <n v="1"/>
    <s v="Toms River"/>
    <x v="12"/>
    <x v="1"/>
  </r>
  <r>
    <s v="005ak00000icyWTAAY"/>
    <s v="2026-10-01T15:56:44.000Z"/>
    <n v="60"/>
    <s v="a0Aak00000GkVv8EAF"/>
    <s v="a06ak00000amzCCAAY"/>
    <s v="Rowan Jones"/>
    <m/>
    <x v="3"/>
    <b v="0"/>
    <m/>
    <s v="005ak00000icyWTAAY"/>
    <s v="2026-10-01T15:56:44.000Z"/>
    <m/>
    <m/>
    <d v="2026-11-02T00:00:00"/>
    <s v="LSN-00910"/>
    <s v="L-0000921"/>
    <s v="131ak000001XjDuAAK"/>
    <b v="0"/>
    <b v="0"/>
    <s v="a0Aak00000GkVv8"/>
    <s v="18:30:00.000Z"/>
    <x v="2"/>
    <s v="a07ak00001rZMpaAAG"/>
    <s v="Layla Hill"/>
    <s v="2026-10-01T15:56:44.000Z"/>
    <b v="1"/>
    <s v="a06ak00000amzCCAAY|2026-11-02|18:30:00.000Z"/>
    <n v="1"/>
    <s v="Brick"/>
    <x v="12"/>
    <x v="1"/>
  </r>
  <r>
    <s v="005ak00000icyWTAAY"/>
    <s v="2026-10-01T15:56:44.000Z"/>
    <n v="30"/>
    <s v="a0Aak00000GkVv9EAF"/>
    <s v="a06ak00000amzCBAAY"/>
    <s v="Aiden Hill"/>
    <m/>
    <x v="3"/>
    <b v="0"/>
    <m/>
    <s v="005ak00000icyWTAAY"/>
    <s v="2026-10-01T15:56:44.000Z"/>
    <m/>
    <m/>
    <d v="2026-11-03T00:00:00"/>
    <s v="LSN-00911"/>
    <s v="L-0000922"/>
    <s v="131ak000001XjDtAAK"/>
    <b v="0"/>
    <b v="0"/>
    <s v="a0Aak00000GkVv9"/>
    <s v="15:30:00.000Z"/>
    <x v="2"/>
    <s v="a07ak00001rZMrmAAG"/>
    <s v="Nathan Young"/>
    <s v="2026-10-01T15:56:44.000Z"/>
    <b v="1"/>
    <s v="a06ak00000amzCBAAY|2026-11-03|15:30:00.000Z"/>
    <n v="1"/>
    <s v="Red Bank"/>
    <x v="12"/>
    <x v="1"/>
  </r>
  <r>
    <s v="005ak00000icyWTAAY"/>
    <s v="2026-10-01T15:56:44.000Z"/>
    <n v="60"/>
    <s v="a0Aak00000GkVvAEAV"/>
    <s v="a06ak00000amzC1AAI"/>
    <s v="Valentina Nakamura"/>
    <m/>
    <x v="11"/>
    <b v="0"/>
    <m/>
    <s v="005ak00000icyWTAAY"/>
    <s v="2026-10-01T15:56:44.000Z"/>
    <m/>
    <m/>
    <d v="2026-11-03T00:00:00"/>
    <s v="LSN-00912"/>
    <s v="L-0000923"/>
    <s v="131ak000001XjDuAAK"/>
    <b v="0"/>
    <b v="0"/>
    <s v="a0Aak00000GkVvA"/>
    <s v="16:30:00.000Z"/>
    <x v="2"/>
    <s v="a07ak00001rZMrBAAW"/>
    <s v="Diego Moore"/>
    <s v="2026-10-01T15:56:44.000Z"/>
    <b v="1"/>
    <s v="a06ak00000amzC1AAI|2026-11-03|16:30:00.000Z"/>
    <n v="1"/>
    <s v="Brick"/>
    <x v="12"/>
    <x v="1"/>
  </r>
  <r>
    <s v="005ak00000icyWTAAY"/>
    <s v="2026-10-01T15:56:44.000Z"/>
    <n v="60"/>
    <s v="a0Aak00000GkVvBEAV"/>
    <s v="a06ak00000amzCHAAY"/>
    <s v="Liam Flores"/>
    <m/>
    <x v="4"/>
    <b v="0"/>
    <m/>
    <s v="005ak00000icyWTAAY"/>
    <s v="2026-10-01T15:56:44.000Z"/>
    <m/>
    <m/>
    <d v="2026-11-03T00:00:00"/>
    <s v="LSN-00913"/>
    <s v="L-0000924"/>
    <s v="131ak000001XjDtAAK"/>
    <b v="0"/>
    <b v="0"/>
    <s v="a0Aak00000GkVvB"/>
    <s v="16:30:00.000Z"/>
    <x v="2"/>
    <s v="a07ak00001rZMrVAAW"/>
    <s v="Isaac Taylor"/>
    <s v="2026-10-01T15:56:44.000Z"/>
    <b v="1"/>
    <s v="a06ak00000amzCHAAY|2026-11-03|16:30:00.000Z"/>
    <n v="1"/>
    <s v="Red Bank"/>
    <x v="12"/>
    <x v="1"/>
  </r>
  <r>
    <s v="005ak00000icyWTAAY"/>
    <s v="2026-10-01T15:56:44.000Z"/>
    <n v="30"/>
    <s v="a0Aak00000GkVvCEAV"/>
    <s v="a06ak00000amzC8AAI"/>
    <s v="Adrian Byrne"/>
    <m/>
    <x v="9"/>
    <b v="0"/>
    <m/>
    <s v="005ak00000icyWTAAY"/>
    <s v="2026-10-01T15:56:44.000Z"/>
    <m/>
    <m/>
    <d v="2026-11-03T00:00:00"/>
    <s v="LSN-00914"/>
    <s v="L-0000925"/>
    <s v="131ak000001XjDuAAK"/>
    <b v="0"/>
    <b v="0"/>
    <s v="a0Aak00000GkVvC"/>
    <s v="16:30:00.000Z"/>
    <x v="2"/>
    <s v="a07ak00001rZMrgAAG"/>
    <s v="Isaac Young"/>
    <s v="2026-10-01T15:56:44.000Z"/>
    <b v="1"/>
    <s v="a06ak00000amzC8AAI|2026-11-03|16:30:00.000Z"/>
    <n v="1"/>
    <s v="Brick"/>
    <x v="12"/>
    <x v="1"/>
  </r>
  <r>
    <s v="005ak00000icyWTAAY"/>
    <s v="2026-10-01T15:56:44.000Z"/>
    <n v="45"/>
    <s v="a0Aak00000GkVvDEAV"/>
    <s v="a06ak00000amzCHAAY"/>
    <s v="Liam Flores"/>
    <m/>
    <x v="4"/>
    <b v="0"/>
    <m/>
    <s v="005ak00000icyWTAAY"/>
    <s v="2026-10-01T15:56:44.000Z"/>
    <m/>
    <m/>
    <d v="2026-11-03T00:00:00"/>
    <s v="LSN-00915"/>
    <s v="L-0000926"/>
    <s v="131ak000001XjDuAAK"/>
    <b v="0"/>
    <b v="0"/>
    <s v="a0Aak00000GkVvD"/>
    <s v="18:30:00.000Z"/>
    <x v="2"/>
    <s v="a07ak00001rZMpZAAW"/>
    <s v="Harper Patel"/>
    <s v="2026-10-01T15:56:44.000Z"/>
    <b v="1"/>
    <s v="a06ak00000amzCHAAY|2026-11-03|18:30:00.000Z"/>
    <n v="1"/>
    <s v="Brick"/>
    <x v="12"/>
    <x v="1"/>
  </r>
  <r>
    <s v="005ak00000icyWTAAY"/>
    <s v="2026-10-01T15:56:44.000Z"/>
    <n v="45"/>
    <s v="a0Aak00000GkVvEEAV"/>
    <s v="a06ak00000amzBtAAI"/>
    <s v="Jamal Torres"/>
    <m/>
    <x v="2"/>
    <b v="0"/>
    <m/>
    <s v="005ak00000icyWTAAY"/>
    <s v="2026-10-01T15:56:44.000Z"/>
    <m/>
    <m/>
    <d v="2026-11-03T00:00:00"/>
    <s v="LSN-00916"/>
    <s v="L-0000927"/>
    <s v="131ak000001XjDtAAK"/>
    <b v="0"/>
    <b v="0"/>
    <s v="a0Aak00000GkVvE"/>
    <s v="18:30:00.000Z"/>
    <x v="2"/>
    <s v="a07ak00001rZMqdAAG"/>
    <s v="Scarlett Scott"/>
    <s v="2026-10-01T15:56:44.000Z"/>
    <b v="1"/>
    <s v="a06ak00000amzBtAAI|2026-11-03|18:30:00.000Z"/>
    <n v="1"/>
    <s v="Red Bank"/>
    <x v="12"/>
    <x v="1"/>
  </r>
  <r>
    <s v="005ak00000icyWTAAY"/>
    <s v="2026-10-01T15:56:44.000Z"/>
    <n v="60"/>
    <s v="a0Aak00000GkVvFEAV"/>
    <s v="a06ak00000amzBiAAI"/>
    <s v="Zoey Torres"/>
    <m/>
    <x v="8"/>
    <b v="0"/>
    <m/>
    <s v="005ak00000icyWTAAY"/>
    <s v="2026-10-01T15:56:44.000Z"/>
    <m/>
    <m/>
    <d v="2026-11-04T00:00:00"/>
    <s v="LSN-00917"/>
    <s v="L-0000928"/>
    <s v="131ak000001XjDtAAK"/>
    <b v="0"/>
    <b v="0"/>
    <s v="a0Aak00000GkVvF"/>
    <s v="15:00:00.000Z"/>
    <x v="2"/>
    <s v="a07ak00001rZMrzAAG"/>
    <s v="Penelope Baker"/>
    <s v="2026-10-01T15:56:44.000Z"/>
    <b v="1"/>
    <s v="a06ak00000amzBiAAI|2026-11-04|15:00:00.000Z"/>
    <n v="1"/>
    <s v="Red Bank"/>
    <x v="12"/>
    <x v="1"/>
  </r>
  <r>
    <s v="005ak00000icyWTAAY"/>
    <s v="2026-10-01T15:56:44.000Z"/>
    <n v="60"/>
    <s v="a0Aak00000GkVvGEAV"/>
    <s v="a06ak00000amzBgAAI"/>
    <s v="Noah Mitchell"/>
    <m/>
    <x v="0"/>
    <b v="0"/>
    <m/>
    <s v="005ak00000icyWTAAY"/>
    <s v="2026-10-01T15:56:44.000Z"/>
    <m/>
    <m/>
    <d v="2026-11-04T00:00:00"/>
    <s v="LSN-00918"/>
    <s v="L-0000929"/>
    <s v="131ak000001XjDuAAK"/>
    <b v="0"/>
    <b v="0"/>
    <s v="a0Aak00000GkVvG"/>
    <s v="16:00:00.000Z"/>
    <x v="2"/>
    <s v="a07ak00001rZMq7AAG"/>
    <s v="Jackson Sullivan"/>
    <s v="2026-10-01T15:56:44.000Z"/>
    <b v="1"/>
    <s v="a06ak00000amzBgAAI|2026-11-04|16:00:00.000Z"/>
    <n v="1"/>
    <s v="Brick"/>
    <x v="12"/>
    <x v="1"/>
  </r>
  <r>
    <s v="005ak00000icyWTAAY"/>
    <s v="2026-10-01T15:56:44.000Z"/>
    <n v="45"/>
    <s v="a0Aak00000GkVvHEAV"/>
    <s v="a06ak00000amzBfAAI"/>
    <s v="Mia Smith"/>
    <m/>
    <x v="6"/>
    <b v="0"/>
    <m/>
    <s v="005ak00000icyWTAAY"/>
    <s v="2026-10-01T15:56:44.000Z"/>
    <m/>
    <m/>
    <d v="2026-11-04T00:00:00"/>
    <s v="LSN-00919"/>
    <s v="L-0000930"/>
    <s v="131ak000001XjDuAAK"/>
    <b v="0"/>
    <b v="0"/>
    <s v="a0Aak00000GkVvH"/>
    <s v="16:30:00.000Z"/>
    <x v="2"/>
    <s v="a07ak00001rZMqaAAG"/>
    <s v="Theo Anderson"/>
    <s v="2026-10-01T15:56:44.000Z"/>
    <b v="1"/>
    <s v="a06ak00000amzBfAAI|2026-11-04|16:30:00.000Z"/>
    <n v="1"/>
    <s v="Brick"/>
    <x v="12"/>
    <x v="1"/>
  </r>
  <r>
    <s v="005ak00000icyWTAAY"/>
    <s v="2026-10-01T15:56:44.000Z"/>
    <n v="60"/>
    <s v="a0Aak00000GkVvIEAV"/>
    <s v="a06ak00000amzBiAAI"/>
    <s v="Zoey Torres"/>
    <m/>
    <x v="1"/>
    <b v="0"/>
    <m/>
    <s v="005ak00000icyWTAAY"/>
    <s v="2026-10-01T15:56:44.000Z"/>
    <m/>
    <m/>
    <d v="2026-11-04T00:00:00"/>
    <s v="LSN-00920"/>
    <s v="L-0000931"/>
    <s v="131ak000001XjDtAAK"/>
    <b v="0"/>
    <b v="0"/>
    <s v="a0Aak00000GkVvI"/>
    <s v="17:00:00.000Z"/>
    <x v="2"/>
    <s v="a07ak00001rZMpMAAW"/>
    <s v="Rowan Carter"/>
    <s v="2026-10-01T15:56:44.000Z"/>
    <b v="1"/>
    <s v="a06ak00000amzBiAAI|2026-11-04|17:00:00.000Z"/>
    <n v="1"/>
    <s v="Red Bank"/>
    <x v="12"/>
    <x v="1"/>
  </r>
  <r>
    <s v="005ak00000icyWTAAY"/>
    <s v="2026-10-01T15:56:44.000Z"/>
    <n v="30"/>
    <s v="a0Aak00000GkVvJEAV"/>
    <s v="a06ak00000amzC0AAI"/>
    <s v="James Moore"/>
    <m/>
    <x v="9"/>
    <b v="0"/>
    <m/>
    <s v="005ak00000icyWTAAY"/>
    <s v="2026-10-01T15:56:44.000Z"/>
    <m/>
    <m/>
    <d v="2026-11-05T00:00:00"/>
    <s v="LSN-00921"/>
    <s v="L-0000932"/>
    <s v="131ak000001XjDtAAK"/>
    <b v="0"/>
    <b v="0"/>
    <s v="a0Aak00000GkVvJ"/>
    <s v="15:00:00.000Z"/>
    <x v="2"/>
    <s v="a07ak00001rZMpbAAG"/>
    <s v="Sofia Green"/>
    <s v="2026-10-01T15:56:44.000Z"/>
    <b v="1"/>
    <s v="a06ak00000amzC0AAI|2026-11-05|15:00:00.000Z"/>
    <n v="1"/>
    <s v="Red Bank"/>
    <x v="12"/>
    <x v="1"/>
  </r>
  <r>
    <s v="005ak00000icyWTAAY"/>
    <s v="2026-10-01T15:56:44.000Z"/>
    <n v="60"/>
    <s v="a0Aak00000GkVvKEAV"/>
    <s v="a06ak00000amzByAAI"/>
    <s v="Vincent Sullivan"/>
    <m/>
    <x v="8"/>
    <b v="0"/>
    <m/>
    <s v="005ak00000icyWTAAY"/>
    <s v="2026-10-01T15:56:44.000Z"/>
    <m/>
    <m/>
    <d v="2026-11-05T00:00:00"/>
    <s v="LSN-00922"/>
    <s v="L-0000933"/>
    <s v="131ak000001XjDuAAK"/>
    <b v="0"/>
    <b v="0"/>
    <s v="a0Aak00000GkVvK"/>
    <s v="15:30:00.000Z"/>
    <x v="2"/>
    <s v="a07ak00001rZMpVAAW"/>
    <s v="Tyler Rodriguez"/>
    <s v="2026-10-01T15:56:44.000Z"/>
    <b v="1"/>
    <s v="a06ak00000amzByAAI|2026-11-05|15:30:00.000Z"/>
    <n v="1"/>
    <s v="Brick"/>
    <x v="12"/>
    <x v="1"/>
  </r>
  <r>
    <s v="005ak00000icyWTAAY"/>
    <s v="2026-10-01T15:56:44.000Z"/>
    <n v="45"/>
    <s v="a0Aak00000GkVvLEAV"/>
    <s v="a06ak00000amzCHAAY"/>
    <s v="Liam Flores"/>
    <m/>
    <x v="4"/>
    <b v="0"/>
    <m/>
    <s v="005ak00000icyWTAAY"/>
    <s v="2026-10-01T15:56:44.000Z"/>
    <m/>
    <m/>
    <d v="2026-11-05T00:00:00"/>
    <s v="LSN-00923"/>
    <s v="L-0000934"/>
    <s v="131ak000001XjDtAAK"/>
    <b v="0"/>
    <b v="0"/>
    <s v="a0Aak00000GkVvL"/>
    <s v="15:30:00.000Z"/>
    <x v="2"/>
    <s v="a07ak00001rZMrDAAW"/>
    <s v="Jackson Lopez"/>
    <s v="2026-10-01T15:56:44.000Z"/>
    <b v="1"/>
    <s v="a06ak00000amzCHAAY|2026-11-05|15:30:00.000Z"/>
    <n v="1"/>
    <s v="Red Bank"/>
    <x v="12"/>
    <x v="1"/>
  </r>
  <r>
    <s v="005ak00000icyWTAAY"/>
    <s v="2026-10-01T15:56:44.000Z"/>
    <n v="30"/>
    <s v="a0Aak00000GkVvMEAV"/>
    <s v="a06ak00000amzBgAAI"/>
    <s v="Noah Mitchell"/>
    <m/>
    <x v="8"/>
    <b v="0"/>
    <m/>
    <s v="005ak00000icyWTAAY"/>
    <s v="2026-10-01T15:56:44.000Z"/>
    <m/>
    <m/>
    <d v="2026-11-05T00:00:00"/>
    <s v="LSN-00924"/>
    <s v="L-0000935"/>
    <s v="131ak000001XjDuAAK"/>
    <b v="0"/>
    <b v="0"/>
    <s v="a0Aak00000GkVvM"/>
    <s v="16:00:00.000Z"/>
    <x v="2"/>
    <s v="a07ak00001rZMrqAAG"/>
    <s v="Matthew Thomas"/>
    <s v="2026-10-01T15:56:44.000Z"/>
    <b v="1"/>
    <s v="a06ak00000amzBgAAI|2026-11-05|16:00:00.000Z"/>
    <n v="1"/>
    <s v="Brick"/>
    <x v="12"/>
    <x v="1"/>
  </r>
  <r>
    <s v="005ak00000icyWTAAY"/>
    <s v="2026-10-01T15:56:44.000Z"/>
    <n v="45"/>
    <s v="a0Aak00000GkVvNEAV"/>
    <s v="a06ak00000amzByAAI"/>
    <s v="Vincent Sullivan"/>
    <m/>
    <x v="10"/>
    <b v="0"/>
    <m/>
    <s v="005ak00000icyWTAAY"/>
    <s v="2026-10-01T15:56:44.000Z"/>
    <m/>
    <m/>
    <d v="2026-11-05T00:00:00"/>
    <s v="LSN-00925"/>
    <s v="L-0000936"/>
    <s v="131ak000001XjDvAAK"/>
    <b v="0"/>
    <b v="0"/>
    <s v="a0Aak00000GkVvN"/>
    <s v="19:00:00.000Z"/>
    <x v="2"/>
    <s v="a07ak00001rZMrSAAW"/>
    <s v="Leo Okafor"/>
    <s v="2026-10-01T15:56:44.000Z"/>
    <b v="1"/>
    <s v="a06ak00000amzByAAI|2026-11-05|19:00:00.000Z"/>
    <n v="1"/>
    <s v="Toms River"/>
    <x v="12"/>
    <x v="1"/>
  </r>
  <r>
    <s v="005ak00000icyWTAAY"/>
    <s v="2026-10-01T15:56:44.000Z"/>
    <n v="30"/>
    <s v="a0Aak00000GkVvOEAV"/>
    <s v="a06ak00000amzC1AAI"/>
    <s v="Valentina Nakamura"/>
    <m/>
    <x v="11"/>
    <b v="0"/>
    <m/>
    <s v="005ak00000icyWTAAY"/>
    <s v="2026-10-01T15:56:44.000Z"/>
    <m/>
    <m/>
    <d v="2026-11-06T00:00:00"/>
    <s v="LSN-00926"/>
    <s v="L-0000937"/>
    <s v="131ak000001XjDuAAK"/>
    <b v="0"/>
    <b v="0"/>
    <s v="a0Aak00000GkVvO"/>
    <s v="16:00:00.000Z"/>
    <x v="2"/>
    <s v="a07ak00001rZMqxAAG"/>
    <s v="Mei Brown"/>
    <s v="2026-10-01T15:56:44.000Z"/>
    <b v="1"/>
    <s v="a06ak00000amzC1AAI|2026-11-06|16:00:00.000Z"/>
    <n v="1"/>
    <s v="Brick"/>
    <x v="12"/>
    <x v="1"/>
  </r>
  <r>
    <s v="005ak00000icyWTAAY"/>
    <s v="2026-10-01T15:56:44.000Z"/>
    <n v="30"/>
    <s v="a0Aak00000GkVvPEAV"/>
    <s v="a06ak00000amzC8AAI"/>
    <s v="Adrian Byrne"/>
    <m/>
    <x v="9"/>
    <b v="0"/>
    <m/>
    <s v="005ak00000icyWTAAY"/>
    <s v="2026-10-01T15:56:44.000Z"/>
    <m/>
    <m/>
    <d v="2026-11-06T00:00:00"/>
    <s v="LSN-00927"/>
    <s v="L-0000938"/>
    <s v="131ak000001XjDuAAK"/>
    <b v="0"/>
    <b v="0"/>
    <s v="a0Aak00000GkVvP"/>
    <s v="16:30:00.000Z"/>
    <x v="2"/>
    <s v="a07ak00001rZMr4AAG"/>
    <s v="Olivia Baker"/>
    <s v="2026-10-01T15:56:44.000Z"/>
    <b v="1"/>
    <s v="a06ak00000amzC8AAI|2026-11-06|16:30:00.000Z"/>
    <n v="1"/>
    <s v="Brick"/>
    <x v="12"/>
    <x v="1"/>
  </r>
  <r>
    <s v="005ak00000icyWTAAY"/>
    <s v="2026-10-01T15:56:44.000Z"/>
    <n v="45"/>
    <s v="a0Aak00000GkVvQEAV"/>
    <s v="a06ak00000amzBiAAI"/>
    <s v="Zoey Torres"/>
    <m/>
    <x v="7"/>
    <b v="0"/>
    <m/>
    <s v="005ak00000icyWTAAY"/>
    <s v="2026-10-01T15:56:44.000Z"/>
    <m/>
    <m/>
    <d v="2026-11-06T00:00:00"/>
    <s v="LSN-00928"/>
    <s v="L-0000939"/>
    <s v="131ak000001XjDtAAK"/>
    <b v="0"/>
    <b v="0"/>
    <s v="a0Aak00000GkVvQ"/>
    <s v="18:30:00.000Z"/>
    <x v="2"/>
    <s v="a07ak00001rZMqTAAW"/>
    <s v="Naomi Kowalski"/>
    <s v="2026-10-01T15:56:44.000Z"/>
    <b v="1"/>
    <s v="a06ak00000amzBiAAI|2026-11-06|18:30:00.000Z"/>
    <n v="1"/>
    <s v="Red Bank"/>
    <x v="12"/>
    <x v="1"/>
  </r>
  <r>
    <s v="005ak00000icyWTAAY"/>
    <s v="2026-10-01T15:56:44.000Z"/>
    <n v="30"/>
    <s v="a0Aak00000GkVvREAV"/>
    <s v="a06ak00000amzBiAAI"/>
    <s v="Zoey Torres"/>
    <m/>
    <x v="1"/>
    <b v="0"/>
    <m/>
    <s v="005ak00000icyWTAAY"/>
    <s v="2026-10-01T15:56:44.000Z"/>
    <m/>
    <m/>
    <d v="2026-11-07T00:00:00"/>
    <s v="LSN-00929"/>
    <s v="L-0000940"/>
    <s v="131ak000001XjDtAAK"/>
    <b v="0"/>
    <b v="0"/>
    <s v="a0Aak00000GkVvR"/>
    <s v="10:00:00.000Z"/>
    <x v="2"/>
    <s v="a07ak00001rZMpTAAW"/>
    <s v="Henry Dubois"/>
    <s v="2026-10-01T15:56:44.000Z"/>
    <b v="1"/>
    <s v="a06ak00000amzBiAAI|2026-11-07|10:00:00.000Z"/>
    <n v="1"/>
    <s v="Red Bank"/>
    <x v="12"/>
    <x v="1"/>
  </r>
  <r>
    <s v="005ak00000icyWTAAY"/>
    <s v="2026-10-01T15:56:44.000Z"/>
    <n v="45"/>
    <s v="a0Aak00000GkVvSEAV"/>
    <s v="a06ak00000amzC0AAI"/>
    <s v="James Moore"/>
    <m/>
    <x v="9"/>
    <b v="0"/>
    <m/>
    <s v="005ak00000icyWTAAY"/>
    <s v="2026-10-01T15:56:44.000Z"/>
    <m/>
    <m/>
    <d v="2026-11-07T00:00:00"/>
    <s v="LSN-00930"/>
    <s v="L-0000941"/>
    <s v="131ak000001XjDtAAK"/>
    <b v="0"/>
    <b v="0"/>
    <s v="a0Aak00000GkVvS"/>
    <s v="10:00:00.000Z"/>
    <x v="2"/>
    <s v="a07ak00001rZMqgAAG"/>
    <s v="Adrian Lewis"/>
    <s v="2026-10-01T15:56:44.000Z"/>
    <b v="1"/>
    <s v="a06ak00000amzC0AAI|2026-11-07|10:00:00.000Z"/>
    <n v="1"/>
    <s v="Red Bank"/>
    <x v="12"/>
    <x v="1"/>
  </r>
  <r>
    <s v="005ak00000icyWTAAY"/>
    <s v="2026-10-01T15:56:44.000Z"/>
    <n v="30"/>
    <s v="a0Aak00000GkVvTEAV"/>
    <s v="a06ak00000amzC1AAI"/>
    <s v="Valentina Nakamura"/>
    <m/>
    <x v="11"/>
    <b v="0"/>
    <m/>
    <s v="005ak00000icyWTAAY"/>
    <s v="2026-10-01T15:56:44.000Z"/>
    <m/>
    <m/>
    <d v="2026-11-07T00:00:00"/>
    <s v="LSN-00931"/>
    <s v="L-0000942"/>
    <s v="131ak000001XjDvAAK"/>
    <b v="0"/>
    <b v="0"/>
    <s v="a0Aak00000GkVvT"/>
    <s v="11:30:00.000Z"/>
    <x v="2"/>
    <s v="a07ak00001rZMpwAAG"/>
    <s v="Brooklyn Young"/>
    <s v="2026-10-01T15:56:44.000Z"/>
    <b v="1"/>
    <s v="a06ak00000amzC1AAI|2026-11-07|11:30:00.000Z"/>
    <n v="1"/>
    <s v="Toms River"/>
    <x v="12"/>
    <x v="1"/>
  </r>
  <r>
    <s v="005ak00000icyWTAAY"/>
    <s v="2026-10-01T15:56:44.000Z"/>
    <n v="45"/>
    <s v="a0Aak00000GkVvUEAV"/>
    <s v="a06ak00000amzCCAAY"/>
    <s v="Rowan Jones"/>
    <m/>
    <x v="9"/>
    <b v="0"/>
    <m/>
    <s v="005ak00000icyWTAAY"/>
    <s v="2026-10-01T15:56:44.000Z"/>
    <m/>
    <m/>
    <d v="2026-11-07T00:00:00"/>
    <s v="LSN-00932"/>
    <s v="L-0000943"/>
    <s v="131ak000001XjDvAAK"/>
    <b v="0"/>
    <b v="0"/>
    <s v="a0Aak00000GkVvU"/>
    <s v="12:30:00.000Z"/>
    <x v="2"/>
    <s v="a07ak00001rZMpSAAW"/>
    <s v="Julian Flores"/>
    <s v="2026-10-01T15:56:44.000Z"/>
    <b v="1"/>
    <s v="a06ak00000amzCCAAY|2026-11-07|12:30:00.000Z"/>
    <n v="1"/>
    <s v="Toms River"/>
    <x v="12"/>
    <x v="1"/>
  </r>
  <r>
    <s v="005ak00000icyWTAAY"/>
    <s v="2026-10-01T15:56:44.000Z"/>
    <n v="30"/>
    <s v="a0Aak00000GkVvVEAV"/>
    <s v="a06ak00000amzC0AAI"/>
    <s v="James Moore"/>
    <m/>
    <x v="9"/>
    <b v="0"/>
    <m/>
    <s v="005ak00000icyWTAAY"/>
    <s v="2026-10-01T15:56:44.000Z"/>
    <m/>
    <m/>
    <d v="2026-11-07T00:00:00"/>
    <s v="LSN-00933"/>
    <s v="L-0000944"/>
    <s v="131ak000001XjDtAAK"/>
    <b v="0"/>
    <b v="0"/>
    <s v="a0Aak00000GkVvV"/>
    <s v="12:30:00.000Z"/>
    <x v="2"/>
    <s v="a07ak00001rZMpdAAG"/>
    <s v="Ruby Byrne"/>
    <s v="2026-10-01T15:56:44.000Z"/>
    <b v="1"/>
    <s v="a06ak00000amzC0AAI|2026-11-07|12:30:00.000Z"/>
    <n v="1"/>
    <s v="Red Bank"/>
    <x v="12"/>
    <x v="1"/>
  </r>
  <r>
    <s v="005ak00000icyWTAAY"/>
    <s v="2026-10-01T15:56:44.000Z"/>
    <n v="30"/>
    <s v="a0Aak00000GkVvWEAV"/>
    <s v="a06ak00000amzC0AAI"/>
    <s v="James Moore"/>
    <m/>
    <x v="9"/>
    <b v="0"/>
    <m/>
    <s v="005ak00000icyWTAAY"/>
    <s v="2026-10-01T15:56:44.000Z"/>
    <m/>
    <m/>
    <d v="2026-11-09T00:00:00"/>
    <s v="LSN-00934"/>
    <s v="L-0000945"/>
    <s v="131ak000001XjDtAAK"/>
    <b v="0"/>
    <b v="0"/>
    <s v="a0Aak00000GkVvW"/>
    <s v="16:00:00.000Z"/>
    <x v="2"/>
    <s v="a07ak00001rZMqjAAG"/>
    <s v="Jamal Sanchez"/>
    <s v="2026-10-01T15:56:44.000Z"/>
    <b v="1"/>
    <s v="a06ak00000amzC0AAI|2026-11-09|16:00:00.000Z"/>
    <n v="1"/>
    <s v="Red Bank"/>
    <x v="12"/>
    <x v="1"/>
  </r>
  <r>
    <s v="005ak00000icyWTAAY"/>
    <s v="2026-10-01T15:56:44.000Z"/>
    <n v="60"/>
    <s v="a0Aak00000GkVvXEAV"/>
    <s v="a06ak00000amzBzAAI"/>
    <s v="Ezra Garcia"/>
    <m/>
    <x v="11"/>
    <b v="0"/>
    <m/>
    <s v="005ak00000icyWTAAY"/>
    <s v="2026-10-01T15:56:44.000Z"/>
    <m/>
    <m/>
    <d v="2026-11-09T00:00:00"/>
    <s v="LSN-00935"/>
    <s v="L-0000946"/>
    <s v="131ak000001XjDtAAK"/>
    <b v="0"/>
    <b v="0"/>
    <s v="a0Aak00000GkVvX"/>
    <s v="16:30:00.000Z"/>
    <x v="2"/>
    <s v="a07ak00001rZMqpAAG"/>
    <s v="Aiden Byrne"/>
    <s v="2026-10-01T15:56:44.000Z"/>
    <b v="1"/>
    <s v="a06ak00000amzBzAAI|2026-11-09|16:30:00.000Z"/>
    <n v="1"/>
    <s v="Red Bank"/>
    <x v="12"/>
    <x v="1"/>
  </r>
  <r>
    <s v="005ak00000icyWTAAY"/>
    <s v="2026-10-01T15:56:44.000Z"/>
    <n v="30"/>
    <s v="a0Aak00000GkVvYEAV"/>
    <s v="a06ak00000amzC1AAI"/>
    <s v="Valentina Nakamura"/>
    <m/>
    <x v="11"/>
    <b v="0"/>
    <m/>
    <s v="005ak00000icyWTAAY"/>
    <s v="2026-10-01T15:56:44.000Z"/>
    <m/>
    <m/>
    <d v="2026-11-09T00:00:00"/>
    <s v="LSN-00936"/>
    <s v="L-0000947"/>
    <s v="131ak000001XjDuAAK"/>
    <b v="0"/>
    <b v="0"/>
    <s v="a0Aak00000GkVvY"/>
    <s v="16:30:00.000Z"/>
    <x v="2"/>
    <s v="a07ak00001rZMrbAAG"/>
    <s v="Layla Ramirez"/>
    <s v="2026-10-01T15:56:44.000Z"/>
    <b v="1"/>
    <s v="a06ak00000amzC1AAI|2026-11-09|16:30:00.000Z"/>
    <n v="1"/>
    <s v="Brick"/>
    <x v="12"/>
    <x v="1"/>
  </r>
  <r>
    <s v="005ak00000icyWTAAY"/>
    <s v="2026-10-01T15:56:44.000Z"/>
    <n v="30"/>
    <s v="a0Aak00000GkVvZEAV"/>
    <s v="a06ak00000amzBzAAI"/>
    <s v="Ezra Garcia"/>
    <m/>
    <x v="0"/>
    <b v="0"/>
    <m/>
    <s v="005ak00000icyWTAAY"/>
    <s v="2026-10-01T15:56:44.000Z"/>
    <m/>
    <m/>
    <d v="2026-11-09T00:00:00"/>
    <s v="LSN-00937"/>
    <s v="L-0000948"/>
    <s v="131ak000001XjDtAAK"/>
    <b v="0"/>
    <b v="0"/>
    <s v="a0Aak00000GkVvZ"/>
    <s v="17:30:00.000Z"/>
    <x v="2"/>
    <s v="a07ak00001rZMqUAAW"/>
    <s v="Riley Silva"/>
    <s v="2026-10-01T15:56:44.000Z"/>
    <b v="1"/>
    <s v="a06ak00000amzBzAAI|2026-11-09|17:30:00.000Z"/>
    <n v="1"/>
    <s v="Red Bank"/>
    <x v="12"/>
    <x v="1"/>
  </r>
  <r>
    <s v="005ak00000icyWTAAY"/>
    <s v="2026-10-01T15:56:44.000Z"/>
    <n v="45"/>
    <s v="a0Aak00000GkVvaEAF"/>
    <s v="a06ak00000amzBiAAI"/>
    <s v="Zoey Torres"/>
    <m/>
    <x v="1"/>
    <b v="0"/>
    <m/>
    <s v="005ak00000icyWTAAY"/>
    <s v="2026-10-01T15:56:44.000Z"/>
    <m/>
    <m/>
    <d v="2026-11-09T00:00:00"/>
    <s v="LSN-00938"/>
    <s v="L-0000949"/>
    <s v="131ak000001XjDtAAK"/>
    <b v="0"/>
    <b v="0"/>
    <s v="a0Aak00000GkVva"/>
    <s v="18:30:00.000Z"/>
    <x v="2"/>
    <s v="a07ak00001rZMpgAAG"/>
    <s v="Micah King"/>
    <s v="2026-10-01T15:56:44.000Z"/>
    <b v="1"/>
    <s v="a06ak00000amzBiAAI|2026-11-09|18:30:00.000Z"/>
    <n v="1"/>
    <s v="Red Bank"/>
    <x v="12"/>
    <x v="1"/>
  </r>
  <r>
    <s v="005ak00000icyWTAAY"/>
    <s v="2026-10-01T15:56:44.000Z"/>
    <n v="30"/>
    <s v="a0Aak00000GkVvbEAF"/>
    <s v="a06ak00000amzBxAAI"/>
    <s v="Miles Allen"/>
    <m/>
    <x v="7"/>
    <b v="0"/>
    <m/>
    <s v="005ak00000icyWTAAY"/>
    <s v="2026-10-01T15:56:44.000Z"/>
    <m/>
    <m/>
    <d v="2026-11-10T00:00:00"/>
    <s v="LSN-00939"/>
    <s v="L-0000950"/>
    <s v="131ak000001XjDuAAK"/>
    <b v="0"/>
    <b v="0"/>
    <s v="a0Aak00000GkVvb"/>
    <s v="15:30:00.000Z"/>
    <x v="2"/>
    <s v="a07ak00001rZMrkAAG"/>
    <s v="Camila Roberts"/>
    <s v="2026-10-01T15:56:44.000Z"/>
    <b v="1"/>
    <s v="a06ak00000amzBxAAI|2026-11-10|15:30:00.000Z"/>
    <n v="1"/>
    <s v="Brick"/>
    <x v="12"/>
    <x v="1"/>
  </r>
  <r>
    <s v="005ak00000icyWTAAY"/>
    <s v="2026-10-01T15:56:44.000Z"/>
    <n v="60"/>
    <s v="a0Aak00000GkVvcEAF"/>
    <s v="a06ak00000amzCHAAY"/>
    <s v="Liam Flores"/>
    <m/>
    <x v="4"/>
    <b v="0"/>
    <m/>
    <s v="005ak00000icyWTAAY"/>
    <s v="2026-10-01T15:56:44.000Z"/>
    <m/>
    <m/>
    <d v="2026-11-10T00:00:00"/>
    <s v="LSN-00940"/>
    <s v="L-0000951"/>
    <s v="131ak000001XjDtAAK"/>
    <b v="0"/>
    <b v="0"/>
    <s v="a0Aak00000GkVvc"/>
    <s v="16:30:00.000Z"/>
    <x v="2"/>
    <s v="a07ak00001rZMrVAAW"/>
    <s v="Isaac Taylor"/>
    <s v="2026-10-01T15:56:44.000Z"/>
    <b v="1"/>
    <s v="a06ak00000amzCHAAY|2026-11-10|16:30:00.000Z"/>
    <n v="1"/>
    <s v="Red Bank"/>
    <x v="12"/>
    <x v="1"/>
  </r>
  <r>
    <s v="005ak00000icyWTAAY"/>
    <s v="2026-10-01T15:56:44.000Z"/>
    <n v="30"/>
    <s v="a0Aak00000GkVvdEAF"/>
    <s v="a06ak00000amzCBAAY"/>
    <s v="Aiden Hill"/>
    <m/>
    <x v="3"/>
    <b v="0"/>
    <m/>
    <s v="005ak00000icyWTAAY"/>
    <s v="2026-10-01T15:56:44.000Z"/>
    <m/>
    <m/>
    <d v="2026-11-11T00:00:00"/>
    <s v="LSN-00941"/>
    <s v="L-0000952"/>
    <s v="131ak000001XjDtAAK"/>
    <b v="0"/>
    <b v="0"/>
    <s v="a0Aak00000GkVvd"/>
    <s v="16:30:00.000Z"/>
    <x v="2"/>
    <s v="a07ak00001rZMrjAAG"/>
    <s v="Fatima Nakamura"/>
    <s v="2026-10-01T15:56:44.000Z"/>
    <b v="1"/>
    <s v="a06ak00000amzCBAAY|2026-11-11|16:30:00.000Z"/>
    <n v="1"/>
    <s v="Red Bank"/>
    <x v="12"/>
    <x v="1"/>
  </r>
  <r>
    <s v="005ak00000icyWTAAY"/>
    <s v="2026-10-01T15:56:44.000Z"/>
    <n v="60"/>
    <s v="a0Aak00000GkVveEAF"/>
    <s v="a06ak00000amzBiAAI"/>
    <s v="Zoey Torres"/>
    <m/>
    <x v="1"/>
    <b v="0"/>
    <m/>
    <s v="005ak00000icyWTAAY"/>
    <s v="2026-10-01T15:56:44.000Z"/>
    <m/>
    <m/>
    <d v="2026-11-11T00:00:00"/>
    <s v="LSN-00942"/>
    <s v="L-0000953"/>
    <s v="131ak000001XjDtAAK"/>
    <b v="0"/>
    <b v="0"/>
    <s v="a0Aak00000GkVve"/>
    <s v="17:00:00.000Z"/>
    <x v="2"/>
    <s v="a07ak00001rZMpMAAW"/>
    <s v="Rowan Carter"/>
    <s v="2026-10-01T15:56:44.000Z"/>
    <b v="1"/>
    <s v="a06ak00000amzBiAAI|2026-11-11|17:00:00.000Z"/>
    <n v="1"/>
    <s v="Red Bank"/>
    <x v="12"/>
    <x v="1"/>
  </r>
  <r>
    <s v="005ak00000icyWTAAY"/>
    <s v="2026-10-01T15:56:44.000Z"/>
    <n v="30"/>
    <s v="a0Aak00000GkVvfEAF"/>
    <s v="a06ak00000amzC0AAI"/>
    <s v="James Moore"/>
    <m/>
    <x v="9"/>
    <b v="0"/>
    <m/>
    <s v="005ak00000icyWTAAY"/>
    <s v="2026-10-01T15:56:44.000Z"/>
    <m/>
    <m/>
    <d v="2026-11-12T00:00:00"/>
    <s v="LSN-00943"/>
    <s v="L-0000954"/>
    <s v="131ak000001XjDtAAK"/>
    <b v="0"/>
    <b v="0"/>
    <s v="a0Aak00000GkVvf"/>
    <s v="15:00:00.000Z"/>
    <x v="2"/>
    <s v="a07ak00001rZMpbAAG"/>
    <s v="Sofia Green"/>
    <s v="2026-10-01T15:56:44.000Z"/>
    <b v="1"/>
    <s v="a06ak00000amzC0AAI|2026-11-12|15:00:00.000Z"/>
    <n v="1"/>
    <s v="Red Bank"/>
    <x v="12"/>
    <x v="1"/>
  </r>
  <r>
    <s v="005ak00000icyWTAAY"/>
    <s v="2026-10-01T15:56:44.000Z"/>
    <n v="30"/>
    <s v="a0Aak00000GkVvgEAF"/>
    <s v="a06ak00000amzC0AAI"/>
    <s v="James Moore"/>
    <m/>
    <x v="9"/>
    <b v="0"/>
    <m/>
    <s v="005ak00000icyWTAAY"/>
    <s v="2026-10-01T15:56:44.000Z"/>
    <m/>
    <m/>
    <d v="2026-11-12T00:00:00"/>
    <s v="LSN-00944"/>
    <s v="L-0000955"/>
    <s v="131ak000001XjDtAAK"/>
    <b v="0"/>
    <b v="0"/>
    <s v="a0Aak00000GkVvg"/>
    <s v="16:00:00.000Z"/>
    <x v="2"/>
    <s v="a07ak00001rZMqZAAW"/>
    <s v="Nathan Perez"/>
    <s v="2026-10-01T15:56:44.000Z"/>
    <b v="1"/>
    <s v="a06ak00000amzC0AAI|2026-11-12|16:00:00.000Z"/>
    <n v="1"/>
    <s v="Red Bank"/>
    <x v="12"/>
    <x v="1"/>
  </r>
  <r>
    <s v="005ak00000icyWTAAY"/>
    <s v="2026-10-01T15:56:44.000Z"/>
    <n v="30"/>
    <s v="a0Aak00000GkVvhEAF"/>
    <s v="a06ak00000amzCBAAY"/>
    <s v="Aiden Hill"/>
    <m/>
    <x v="3"/>
    <b v="0"/>
    <m/>
    <s v="005ak00000icyWTAAY"/>
    <s v="2026-10-01T15:56:44.000Z"/>
    <m/>
    <m/>
    <d v="2026-11-12T00:00:00"/>
    <s v="LSN-00945"/>
    <s v="L-0000956"/>
    <s v="131ak000001XjDtAAK"/>
    <b v="0"/>
    <b v="0"/>
    <s v="a0Aak00000GkVvh"/>
    <s v="17:30:00.000Z"/>
    <x v="2"/>
    <s v="a07ak00001rZMqfAAG"/>
    <s v="Isaac Novak"/>
    <s v="2026-10-01T15:56:44.000Z"/>
    <b v="1"/>
    <s v="a06ak00000amzCBAAY|2026-11-12|17:30:00.000Z"/>
    <n v="1"/>
    <s v="Red Bank"/>
    <x v="12"/>
    <x v="1"/>
  </r>
  <r>
    <s v="005ak00000icyWTAAY"/>
    <s v="2026-10-01T15:56:44.000Z"/>
    <n v="30"/>
    <s v="a0Aak00000GkVviEAF"/>
    <s v="a06ak00000amzCIAAY"/>
    <s v="Omar Nelson"/>
    <m/>
    <x v="7"/>
    <b v="0"/>
    <m/>
    <s v="005ak00000icyWTAAY"/>
    <s v="2026-10-01T15:56:44.000Z"/>
    <m/>
    <m/>
    <d v="2026-11-12T00:00:00"/>
    <s v="LSN-00946"/>
    <s v="L-0000957"/>
    <s v="131ak000001XjDvAAK"/>
    <b v="0"/>
    <b v="0"/>
    <s v="a0Aak00000GkVvi"/>
    <s v="19:00:00.000Z"/>
    <x v="2"/>
    <s v="a07ak00001rZMqtAAG"/>
    <s v="Caroline Hall"/>
    <s v="2026-10-01T15:56:44.000Z"/>
    <b v="1"/>
    <s v="a06ak00000amzCIAAY|2026-11-12|19:00:00.000Z"/>
    <n v="1"/>
    <s v="Toms River"/>
    <x v="12"/>
    <x v="1"/>
  </r>
  <r>
    <s v="005ak00000icyWTAAY"/>
    <s v="2026-10-01T15:56:44.000Z"/>
    <n v="45"/>
    <s v="a0Aak00000GkVvjEAF"/>
    <s v="a06ak00000amzBzAAI"/>
    <s v="Ezra Garcia"/>
    <m/>
    <x v="5"/>
    <b v="0"/>
    <m/>
    <s v="005ak00000icyWTAAY"/>
    <s v="2026-10-01T15:56:44.000Z"/>
    <m/>
    <m/>
    <d v="2026-11-13T00:00:00"/>
    <s v="LSN-00947"/>
    <s v="L-0000958"/>
    <s v="131ak000001XjDvAAK"/>
    <b v="0"/>
    <b v="0"/>
    <s v="a0Aak00000GkVvj"/>
    <s v="16:30:00.000Z"/>
    <x v="2"/>
    <s v="a07ak00001rZMpQAAW"/>
    <s v="Priya Ramirez"/>
    <s v="2026-10-01T15:56:44.000Z"/>
    <b v="1"/>
    <s v="a06ak00000amzBzAAI|2026-11-13|16:30:00.000Z"/>
    <n v="1"/>
    <s v="Toms River"/>
    <x v="12"/>
    <x v="1"/>
  </r>
  <r>
    <s v="005ak00000icyWTAAY"/>
    <s v="2026-10-01T15:56:44.000Z"/>
    <n v="30"/>
    <s v="a0Aak00000GkVvkEAF"/>
    <s v="a06ak00000amzCBAAY"/>
    <s v="Aiden Hill"/>
    <m/>
    <x v="3"/>
    <b v="0"/>
    <m/>
    <s v="005ak00000icyWTAAY"/>
    <s v="2026-10-01T15:56:44.000Z"/>
    <m/>
    <m/>
    <d v="2026-11-13T00:00:00"/>
    <s v="LSN-00948"/>
    <s v="L-0000959"/>
    <s v="131ak000001XjDtAAK"/>
    <b v="0"/>
    <b v="0"/>
    <s v="a0Aak00000GkVvk"/>
    <s v="17:30:00.000Z"/>
    <x v="2"/>
    <s v="a07ak00001rZMqOAAW"/>
    <s v="Brandon Byrne"/>
    <s v="2026-10-01T15:56:44.000Z"/>
    <b v="1"/>
    <s v="a06ak00000amzCBAAY|2026-11-13|17:30:00.000Z"/>
    <n v="1"/>
    <s v="Red Bank"/>
    <x v="12"/>
    <x v="1"/>
  </r>
  <r>
    <s v="005ak00000icyWTAAY"/>
    <s v="2026-10-01T15:56:44.000Z"/>
    <n v="45"/>
    <s v="a0Aak00000GkVvlEAF"/>
    <s v="a06ak00000amzC0AAI"/>
    <s v="James Moore"/>
    <m/>
    <x v="6"/>
    <b v="0"/>
    <m/>
    <s v="005ak00000icyWTAAY"/>
    <s v="2026-10-01T15:56:44.000Z"/>
    <m/>
    <m/>
    <d v="2026-11-13T00:00:00"/>
    <s v="LSN-00949"/>
    <s v="L-0000960"/>
    <s v="131ak000001XjDtAAK"/>
    <b v="0"/>
    <b v="0"/>
    <s v="a0Aak00000GkVvl"/>
    <s v="17:30:00.000Z"/>
    <x v="2"/>
    <s v="a07ak00001rZMqsAAG"/>
    <s v="Zoey Kim"/>
    <s v="2026-10-01T15:56:44.000Z"/>
    <b v="1"/>
    <s v="a06ak00000amzC0AAI|2026-11-13|17:30:00.000Z"/>
    <n v="1"/>
    <s v="Red Bank"/>
    <x v="12"/>
    <x v="1"/>
  </r>
  <r>
    <s v="005ak00000icyWTAAY"/>
    <s v="2026-10-01T15:56:44.000Z"/>
    <n v="45"/>
    <s v="a0Aak00000GkVvmEAF"/>
    <s v="a06ak00000amzCHAAY"/>
    <s v="Liam Flores"/>
    <m/>
    <x v="4"/>
    <b v="0"/>
    <m/>
    <s v="005ak00000icyWTAAY"/>
    <s v="2026-10-01T15:56:44.000Z"/>
    <m/>
    <m/>
    <d v="2026-11-13T00:00:00"/>
    <s v="LSN-00950"/>
    <s v="L-0000961"/>
    <s v="131ak000001XjDuAAK"/>
    <b v="0"/>
    <b v="0"/>
    <s v="a0Aak00000GkVvm"/>
    <s v="18:00:00.000Z"/>
    <x v="2"/>
    <s v="a07ak00001rZMqEAAW"/>
    <s v="Lucas Rodriguez"/>
    <s v="2026-10-01T15:56:44.000Z"/>
    <b v="1"/>
    <s v="a06ak00000amzCHAAY|2026-11-13|18:00:00.000Z"/>
    <n v="1"/>
    <s v="Brick"/>
    <x v="12"/>
    <x v="1"/>
  </r>
  <r>
    <s v="005ak00000icyWTAAY"/>
    <s v="2026-10-01T15:56:44.000Z"/>
    <n v="30"/>
    <s v="a0Aak00000GkVvnEAF"/>
    <s v="a06ak00000amzBfAAI"/>
    <s v="Mia Smith"/>
    <m/>
    <x v="6"/>
    <b v="0"/>
    <m/>
    <s v="005ak00000icyWTAAY"/>
    <s v="2026-10-01T15:56:44.000Z"/>
    <m/>
    <m/>
    <d v="2026-11-13T00:00:00"/>
    <s v="LSN-00951"/>
    <s v="L-0000962"/>
    <s v="131ak000001XjDvAAK"/>
    <b v="0"/>
    <b v="0"/>
    <s v="a0Aak00000GkVvn"/>
    <s v="18:00:00.000Z"/>
    <x v="2"/>
    <s v="a07ak00001rZMrRAAW"/>
    <s v="Amelia Okafor"/>
    <s v="2026-10-01T15:56:44.000Z"/>
    <b v="1"/>
    <s v="a06ak00000amzBfAAI|2026-11-13|18:00:00.000Z"/>
    <n v="1"/>
    <s v="Toms River"/>
    <x v="12"/>
    <x v="1"/>
  </r>
  <r>
    <s v="005ak00000icyWTAAY"/>
    <s v="2026-10-01T15:56:44.000Z"/>
    <n v="45"/>
    <s v="a0Aak00000GkVvoEAF"/>
    <s v="a06ak00000amzCCAAY"/>
    <s v="Rowan Jones"/>
    <m/>
    <x v="7"/>
    <b v="0"/>
    <m/>
    <s v="005ak00000icyWTAAY"/>
    <s v="2026-10-01T15:56:44.000Z"/>
    <m/>
    <m/>
    <d v="2026-11-14T00:00:00"/>
    <s v="LSN-00952"/>
    <s v="L-0000963"/>
    <s v="131ak000001XjDuAAK"/>
    <b v="0"/>
    <b v="0"/>
    <s v="a0Aak00000GkVvo"/>
    <s v="09:00:00.000Z"/>
    <x v="2"/>
    <s v="a07ak00001rZMqNAAW"/>
    <s v="Matthew Jackson"/>
    <s v="2026-10-01T15:56:44.000Z"/>
    <b v="1"/>
    <s v="a06ak00000amzCCAAY|2026-11-14|09:00:00.000Z"/>
    <n v="1"/>
    <s v="Brick"/>
    <x v="12"/>
    <x v="1"/>
  </r>
  <r>
    <s v="005ak00000icyWTAAY"/>
    <s v="2026-10-01T15:56:44.000Z"/>
    <n v="30"/>
    <s v="a0Aak00000GkVvpEAF"/>
    <s v="a06ak00000amzBiAAI"/>
    <s v="Zoey Torres"/>
    <m/>
    <x v="1"/>
    <b v="0"/>
    <m/>
    <s v="005ak00000icyWTAAY"/>
    <s v="2026-10-01T15:56:44.000Z"/>
    <m/>
    <m/>
    <d v="2026-11-14T00:00:00"/>
    <s v="LSN-00953"/>
    <s v="L-0000964"/>
    <s v="131ak000001XjDtAAK"/>
    <b v="0"/>
    <b v="0"/>
    <s v="a0Aak00000GkVvp"/>
    <s v="10:00:00.000Z"/>
    <x v="2"/>
    <s v="a07ak00001rZMpTAAW"/>
    <s v="Henry Dubois"/>
    <s v="2026-10-01T15:56:44.000Z"/>
    <b v="1"/>
    <s v="a06ak00000amzBiAAI|2026-11-14|10:00:00.000Z"/>
    <n v="1"/>
    <s v="Red Bank"/>
    <x v="12"/>
    <x v="1"/>
  </r>
  <r>
    <s v="005ak00000icyWTAAY"/>
    <s v="2026-10-01T15:56:44.000Z"/>
    <n v="45"/>
    <s v="a0Aak00000GkVvqEAF"/>
    <s v="a06ak00000amzBzAAI"/>
    <s v="Ezra Garcia"/>
    <m/>
    <x v="11"/>
    <b v="0"/>
    <m/>
    <s v="005ak00000icyWTAAY"/>
    <s v="2026-10-01T15:56:44.000Z"/>
    <m/>
    <m/>
    <d v="2026-11-14T00:00:00"/>
    <s v="LSN-00954"/>
    <s v="L-0000965"/>
    <s v="131ak000001XjDtAAK"/>
    <b v="0"/>
    <b v="0"/>
    <s v="a0Aak00000GkVvq"/>
    <s v="10:00:00.000Z"/>
    <x v="2"/>
    <s v="a07ak00001rZMpuAAG"/>
    <s v="Everly Nelson"/>
    <s v="2026-10-01T15:56:44.000Z"/>
    <b v="1"/>
    <s v="a06ak00000amzBzAAI|2026-11-14|10:00:00.000Z"/>
    <n v="1"/>
    <s v="Red Bank"/>
    <x v="12"/>
    <x v="1"/>
  </r>
  <r>
    <s v="005ak00000icyWTAAY"/>
    <s v="2026-10-01T15:56:44.000Z"/>
    <n v="45"/>
    <s v="a0Aak00000GkVvrEAF"/>
    <s v="a06ak00000amzByAAI"/>
    <s v="Vincent Sullivan"/>
    <m/>
    <x v="10"/>
    <b v="0"/>
    <m/>
    <s v="005ak00000icyWTAAY"/>
    <s v="2026-10-01T15:56:44.000Z"/>
    <m/>
    <m/>
    <d v="2026-11-14T00:00:00"/>
    <s v="LSN-00955"/>
    <s v="L-0000966"/>
    <s v="131ak000001XjDuAAK"/>
    <b v="0"/>
    <b v="0"/>
    <s v="a0Aak00000GkVvr"/>
    <s v="10:00:00.000Z"/>
    <x v="2"/>
    <s v="a07ak00001rZMpxAAG"/>
    <s v="Mei White"/>
    <s v="2026-10-01T15:56:44.000Z"/>
    <b v="1"/>
    <s v="a06ak00000amzByAAI|2026-11-14|10:00:00.000Z"/>
    <n v="1"/>
    <s v="Brick"/>
    <x v="12"/>
    <x v="1"/>
  </r>
  <r>
    <s v="005ak00000icyWTAAY"/>
    <s v="2026-10-01T15:56:44.000Z"/>
    <n v="60"/>
    <s v="a0Aak00000GkVvsEAF"/>
    <s v="a06ak00000amzC8AAI"/>
    <s v="Adrian Byrne"/>
    <m/>
    <x v="2"/>
    <b v="0"/>
    <m/>
    <s v="005ak00000icyWTAAY"/>
    <s v="2026-10-01T15:56:44.000Z"/>
    <m/>
    <m/>
    <d v="2026-11-14T00:00:00"/>
    <s v="LSN-00956"/>
    <s v="L-0000967"/>
    <s v="131ak000001XjDtAAK"/>
    <b v="0"/>
    <b v="0"/>
    <s v="a0Aak00000GkVvs"/>
    <s v="10:30:00.000Z"/>
    <x v="2"/>
    <s v="a07ak00001rZMqyAAG"/>
    <s v="Owen Silva"/>
    <s v="2026-10-01T15:56:44.000Z"/>
    <b v="1"/>
    <s v="a06ak00000amzC8AAI|2026-11-14|10:30:00.000Z"/>
    <n v="1"/>
    <s v="Red Bank"/>
    <x v="12"/>
    <x v="1"/>
  </r>
  <r>
    <s v="005ak00000icyWTAAY"/>
    <s v="2026-10-01T15:56:44.000Z"/>
    <n v="30"/>
    <s v="a0Aak00000GkVvtEAF"/>
    <s v="a06ak00000amzBxAAI"/>
    <s v="Miles Allen"/>
    <m/>
    <x v="7"/>
    <b v="0"/>
    <m/>
    <s v="005ak00000icyWTAAY"/>
    <s v="2026-10-01T15:56:44.000Z"/>
    <m/>
    <m/>
    <d v="2026-11-14T00:00:00"/>
    <s v="LSN-00957"/>
    <s v="L-0000968"/>
    <s v="131ak000001XjDuAAK"/>
    <b v="0"/>
    <b v="0"/>
    <s v="a0Aak00000GkVvt"/>
    <s v="11:30:00.000Z"/>
    <x v="2"/>
    <s v="a07ak00001rZMqAAAW"/>
    <s v="Elijah Jones"/>
    <s v="2026-10-01T15:56:44.000Z"/>
    <b v="1"/>
    <s v="a06ak00000amzBxAAI|2026-11-14|11:30:00.000Z"/>
    <n v="1"/>
    <s v="Brick"/>
    <x v="12"/>
    <x v="1"/>
  </r>
  <r>
    <s v="005ak00000icyWTAAY"/>
    <s v="2026-10-01T15:56:44.000Z"/>
    <n v="45"/>
    <s v="a0Aak00000GkVvuEAF"/>
    <s v="a06ak00000amzCCAAY"/>
    <s v="Rowan Jones"/>
    <m/>
    <x v="9"/>
    <b v="0"/>
    <m/>
    <s v="005ak00000icyWTAAY"/>
    <s v="2026-10-01T15:56:44.000Z"/>
    <m/>
    <m/>
    <d v="2026-11-14T00:00:00"/>
    <s v="LSN-00958"/>
    <s v="L-0000969"/>
    <s v="131ak000001XjDvAAK"/>
    <b v="0"/>
    <b v="0"/>
    <s v="a0Aak00000GkVvu"/>
    <s v="12:30:00.000Z"/>
    <x v="2"/>
    <s v="a07ak00001rZMpSAAW"/>
    <s v="Julian Flores"/>
    <s v="2026-10-01T15:56:44.000Z"/>
    <b v="1"/>
    <s v="a06ak00000amzCCAAY|2026-11-14|12:30:00.000Z"/>
    <n v="1"/>
    <s v="Toms River"/>
    <x v="12"/>
    <x v="1"/>
  </r>
  <r>
    <s v="005ak00000icyWTAAY"/>
    <s v="2026-10-01T15:56:44.000Z"/>
    <n v="60"/>
    <s v="a0Aak00000GkVvvEAF"/>
    <s v="a06ak00000amzC8AAI"/>
    <s v="Adrian Byrne"/>
    <m/>
    <x v="2"/>
    <b v="0"/>
    <m/>
    <s v="005ak00000icyWTAAY"/>
    <s v="2026-10-01T15:56:44.000Z"/>
    <m/>
    <m/>
    <d v="2026-11-14T00:00:00"/>
    <s v="LSN-00959"/>
    <s v="L-0000970"/>
    <s v="131ak000001XjDuAAK"/>
    <b v="0"/>
    <b v="0"/>
    <s v="a0Aak00000GkVvv"/>
    <s v="12:30:00.000Z"/>
    <x v="2"/>
    <s v="a07ak00001rZMrUAAW"/>
    <s v="Daniel Kim"/>
    <s v="2026-10-01T15:56:44.000Z"/>
    <b v="1"/>
    <s v="a06ak00000amzC8AAI|2026-11-14|12:30:00.000Z"/>
    <n v="1"/>
    <s v="Brick"/>
    <x v="12"/>
    <x v="1"/>
  </r>
  <r>
    <s v="005ak00000icyWTAAY"/>
    <s v="2026-10-01T15:56:44.000Z"/>
    <n v="30"/>
    <s v="a0Aak00000GkVvwEAF"/>
    <s v="a06ak00000amzCBAAY"/>
    <s v="Aiden Hill"/>
    <m/>
    <x v="3"/>
    <b v="0"/>
    <m/>
    <s v="005ak00000icyWTAAY"/>
    <s v="2026-10-01T15:56:44.000Z"/>
    <m/>
    <m/>
    <d v="2026-11-16T00:00:00"/>
    <s v="LSN-00960"/>
    <s v="L-0000971"/>
    <s v="131ak000001XjDtAAK"/>
    <b v="0"/>
    <b v="0"/>
    <s v="a0Aak00000GkVvw"/>
    <s v="17:30:00.000Z"/>
    <x v="2"/>
    <s v="a07ak00001rZMrYAAW"/>
    <s v="Victoria Martinez"/>
    <s v="2026-10-01T15:56:44.000Z"/>
    <b v="1"/>
    <s v="a06ak00000amzCBAAY|2026-11-16|17:30:00.000Z"/>
    <n v="1"/>
    <s v="Red Bank"/>
    <x v="12"/>
    <x v="1"/>
  </r>
  <r>
    <s v="005ak00000icyWTAAY"/>
    <s v="2026-10-01T15:56:44.000Z"/>
    <n v="45"/>
    <s v="a0Aak00000GkVvxEAF"/>
    <s v="a06ak00000amzCBAAY"/>
    <s v="Aiden Hill"/>
    <m/>
    <x v="10"/>
    <b v="0"/>
    <m/>
    <s v="005ak00000icyWTAAY"/>
    <s v="2026-10-01T15:56:44.000Z"/>
    <m/>
    <m/>
    <d v="2026-11-17T00:00:00"/>
    <s v="LSN-00961"/>
    <s v="L-0000972"/>
    <s v="131ak000001XjDtAAK"/>
    <b v="0"/>
    <b v="0"/>
    <s v="a0Aak00000GkVvx"/>
    <s v="16:30:00.000Z"/>
    <x v="2"/>
    <s v="a07ak00001rZMqLAAW"/>
    <s v="Everly Roberts"/>
    <s v="2026-10-01T15:56:44.000Z"/>
    <b v="1"/>
    <s v="a06ak00000amzCBAAY|2026-11-17|16:30:00.000Z"/>
    <n v="1"/>
    <s v="Red Bank"/>
    <x v="12"/>
    <x v="1"/>
  </r>
  <r>
    <s v="005ak00000icyWTAAY"/>
    <s v="2026-10-01T15:56:44.000Z"/>
    <n v="60"/>
    <s v="a0Aak00000GkVvyEAF"/>
    <s v="a06ak00000amzC1AAI"/>
    <s v="Valentina Nakamura"/>
    <m/>
    <x v="11"/>
    <b v="0"/>
    <m/>
    <s v="005ak00000icyWTAAY"/>
    <s v="2026-10-01T15:56:44.000Z"/>
    <m/>
    <m/>
    <d v="2026-11-17T00:00:00"/>
    <s v="LSN-00962"/>
    <s v="L-0000973"/>
    <s v="131ak000001XjDuAAK"/>
    <b v="0"/>
    <b v="0"/>
    <s v="a0Aak00000GkVvy"/>
    <s v="16:30:00.000Z"/>
    <x v="2"/>
    <s v="a07ak00001rZMrBAAW"/>
    <s v="Diego Moore"/>
    <s v="2026-10-01T15:56:44.000Z"/>
    <b v="1"/>
    <s v="a06ak00000amzC1AAI|2026-11-17|16:30:00.000Z"/>
    <n v="1"/>
    <s v="Brick"/>
    <x v="12"/>
    <x v="1"/>
  </r>
  <r>
    <s v="005ak00000icyWTAAY"/>
    <s v="2026-10-01T15:56:44.000Z"/>
    <n v="60"/>
    <s v="a0Aak00000GkVvzEAF"/>
    <s v="a06ak00000amzCHAAY"/>
    <s v="Liam Flores"/>
    <m/>
    <x v="4"/>
    <b v="0"/>
    <m/>
    <s v="005ak00000icyWTAAY"/>
    <s v="2026-10-01T15:56:44.000Z"/>
    <m/>
    <m/>
    <d v="2026-11-17T00:00:00"/>
    <s v="LSN-00963"/>
    <s v="L-0000974"/>
    <s v="131ak000001XjDtAAK"/>
    <b v="0"/>
    <b v="0"/>
    <s v="a0Aak00000GkVvz"/>
    <s v="16:30:00.000Z"/>
    <x v="2"/>
    <s v="a07ak00001rZMrVAAW"/>
    <s v="Isaac Taylor"/>
    <s v="2026-10-01T15:56:44.000Z"/>
    <b v="1"/>
    <s v="a06ak00000amzCHAAY|2026-11-17|16:30:00.000Z"/>
    <n v="1"/>
    <s v="Red Bank"/>
    <x v="12"/>
    <x v="1"/>
  </r>
  <r>
    <s v="005ak00000icyWTAAY"/>
    <s v="2026-10-01T15:56:44.000Z"/>
    <n v="60"/>
    <s v="a0Aak00000GkVw0EAF"/>
    <s v="a06ak00000amzC8AAI"/>
    <s v="Adrian Byrne"/>
    <m/>
    <x v="9"/>
    <b v="0"/>
    <m/>
    <s v="005ak00000icyWTAAY"/>
    <s v="2026-10-01T15:56:44.000Z"/>
    <m/>
    <m/>
    <d v="2026-11-17T00:00:00"/>
    <s v="LSN-00964"/>
    <s v="L-0000975"/>
    <s v="131ak000001XjDvAAK"/>
    <b v="0"/>
    <b v="0"/>
    <s v="a0Aak00000GkVw0"/>
    <s v="18:00:00.000Z"/>
    <x v="2"/>
    <s v="a07ak00001rZMqhAAG"/>
    <s v="Chloe Allen"/>
    <s v="2026-10-01T15:56:44.000Z"/>
    <b v="1"/>
    <s v="a06ak00000amzC8AAI|2026-11-17|18:00:00.000Z"/>
    <n v="1"/>
    <s v="Toms River"/>
    <x v="12"/>
    <x v="1"/>
  </r>
  <r>
    <s v="005ak00000icyWTAAY"/>
    <s v="2026-10-01T15:56:44.000Z"/>
    <n v="45"/>
    <s v="a0Aak00000GkVw1EAF"/>
    <s v="a06ak00000amzC0AAI"/>
    <s v="James Moore"/>
    <m/>
    <x v="6"/>
    <b v="0"/>
    <m/>
    <s v="005ak00000icyWTAAY"/>
    <s v="2026-10-01T15:56:44.000Z"/>
    <m/>
    <m/>
    <d v="2026-11-18T00:00:00"/>
    <s v="LSN-00965"/>
    <s v="L-0000976"/>
    <s v="131ak000001XjDtAAK"/>
    <b v="0"/>
    <b v="0"/>
    <s v="a0Aak00000GkVw1"/>
    <s v="17:00:00.000Z"/>
    <x v="2"/>
    <s v="a07ak00001rZMqCAAW"/>
    <s v="Omar Smith"/>
    <s v="2026-10-01T15:56:44.000Z"/>
    <b v="1"/>
    <s v="a06ak00000amzC0AAI|2026-11-18|17:00:00.000Z"/>
    <n v="1"/>
    <s v="Red Bank"/>
    <x v="12"/>
    <x v="1"/>
  </r>
  <r>
    <s v="005ak00000icyWTAAY"/>
    <s v="2026-10-01T15:56:44.000Z"/>
    <n v="30"/>
    <s v="a0Aak00000GkVw2EAF"/>
    <s v="a06ak00000amzBfAAI"/>
    <s v="Mia Smith"/>
    <m/>
    <x v="6"/>
    <b v="0"/>
    <m/>
    <s v="005ak00000icyWTAAY"/>
    <s v="2026-10-01T15:56:44.000Z"/>
    <m/>
    <m/>
    <d v="2026-11-19T00:00:00"/>
    <s v="LSN-00966"/>
    <s v="L-0000977"/>
    <s v="131ak000001XjDuAAK"/>
    <b v="0"/>
    <b v="0"/>
    <s v="a0Aak00000GkVw2"/>
    <s v="15:00:00.000Z"/>
    <x v="2"/>
    <s v="a07ak00001rZMpjAAG"/>
    <s v="Genesis Novak"/>
    <s v="2026-10-01T15:56:44.000Z"/>
    <b v="1"/>
    <s v="a06ak00000amzBfAAI|2026-11-19|15:00:00.000Z"/>
    <n v="1"/>
    <s v="Brick"/>
    <x v="12"/>
    <x v="1"/>
  </r>
  <r>
    <s v="005ak00000icyWTAAY"/>
    <s v="2026-10-01T15:56:44.000Z"/>
    <n v="30"/>
    <s v="a0Aak00000GkVw3EAF"/>
    <s v="a06ak00000amzBzAAI"/>
    <s v="Ezra Garcia"/>
    <m/>
    <x v="5"/>
    <b v="0"/>
    <m/>
    <s v="005ak00000icyWTAAY"/>
    <s v="2026-10-01T15:56:44.000Z"/>
    <m/>
    <m/>
    <d v="2026-11-19T00:00:00"/>
    <s v="LSN-00967"/>
    <s v="L-0000978"/>
    <s v="131ak000001XjDtAAK"/>
    <b v="0"/>
    <b v="0"/>
    <s v="a0Aak00000GkVw3"/>
    <s v="15:00:00.000Z"/>
    <x v="2"/>
    <s v="a07ak00001rZMr1AAG"/>
    <s v="Lincoln Scott"/>
    <s v="2026-10-01T15:56:44.000Z"/>
    <b v="1"/>
    <s v="a06ak00000amzBzAAI|2026-11-19|15:00:00.000Z"/>
    <n v="1"/>
    <s v="Red Bank"/>
    <x v="12"/>
    <x v="1"/>
  </r>
  <r>
    <s v="005ak00000icyWTAAY"/>
    <s v="2026-10-01T15:56:44.000Z"/>
    <n v="30"/>
    <s v="a0Aak00000GkVw4EAF"/>
    <s v="a06ak00000amzBfAAI"/>
    <s v="Mia Smith"/>
    <m/>
    <x v="8"/>
    <b v="0"/>
    <m/>
    <s v="005ak00000icyWTAAY"/>
    <s v="2026-10-01T15:56:44.000Z"/>
    <m/>
    <m/>
    <d v="2026-11-19T00:00:00"/>
    <s v="LSN-00968"/>
    <s v="L-0000979"/>
    <s v="131ak000001XjDuAAK"/>
    <b v="0"/>
    <b v="0"/>
    <s v="a0Aak00000GkVw4"/>
    <s v="17:00:00.000Z"/>
    <x v="2"/>
    <s v="a07ak00001rZMr8AAG"/>
    <s v="Grace Patel"/>
    <s v="2026-10-01T15:56:44.000Z"/>
    <b v="1"/>
    <s v="a06ak00000amzBfAAI|2026-11-19|17:00:00.000Z"/>
    <n v="1"/>
    <s v="Brick"/>
    <x v="12"/>
    <x v="1"/>
  </r>
  <r>
    <s v="005ak00000icyWTAAY"/>
    <s v="2026-10-01T15:56:44.000Z"/>
    <n v="30"/>
    <s v="a0Aak00000GkVw5EAF"/>
    <s v="a06ak00000amzCBAAY"/>
    <s v="Aiden Hill"/>
    <m/>
    <x v="3"/>
    <b v="0"/>
    <m/>
    <s v="005ak00000icyWTAAY"/>
    <s v="2026-10-01T15:56:44.000Z"/>
    <m/>
    <m/>
    <d v="2026-11-19T00:00:00"/>
    <s v="LSN-00969"/>
    <s v="L-0000980"/>
    <s v="131ak000001XjDtAAK"/>
    <b v="0"/>
    <b v="0"/>
    <s v="a0Aak00000GkVw5"/>
    <s v="17:00:00.000Z"/>
    <x v="2"/>
    <s v="a07ak00001rZMrKAAW"/>
    <s v="Levi Campbell"/>
    <s v="2026-10-01T15:56:44.000Z"/>
    <b v="1"/>
    <s v="a06ak00000amzCBAAY|2026-11-19|17:00:00.000Z"/>
    <n v="1"/>
    <s v="Red Bank"/>
    <x v="12"/>
    <x v="1"/>
  </r>
  <r>
    <s v="005ak00000icyWTAAY"/>
    <s v="2026-10-01T15:56:44.000Z"/>
    <n v="60"/>
    <s v="a0Aak00000GkVw6EAF"/>
    <s v="a06ak00000amzCIAAY"/>
    <s v="Omar Nelson"/>
    <m/>
    <x v="7"/>
    <b v="0"/>
    <m/>
    <s v="005ak00000icyWTAAY"/>
    <s v="2026-10-01T15:56:44.000Z"/>
    <m/>
    <m/>
    <d v="2026-11-19T00:00:00"/>
    <s v="LSN-00970"/>
    <s v="L-0000981"/>
    <s v="131ak000001XjDvAAK"/>
    <b v="0"/>
    <b v="0"/>
    <s v="a0Aak00000GkVw6"/>
    <s v="18:00:00.000Z"/>
    <x v="2"/>
    <s v="a07ak00001rZMr2AAG"/>
    <s v="Maria Rodriguez"/>
    <s v="2026-10-01T15:56:44.000Z"/>
    <b v="1"/>
    <s v="a06ak00000amzCIAAY|2026-11-19|18:00:00.000Z"/>
    <n v="1"/>
    <s v="Toms River"/>
    <x v="12"/>
    <x v="1"/>
  </r>
  <r>
    <s v="005ak00000icyWTAAY"/>
    <s v="2026-10-01T15:56:44.000Z"/>
    <n v="30"/>
    <s v="a0Aak00000GkVw7EAF"/>
    <s v="a06ak00000amzC1AAI"/>
    <s v="Valentina Nakamura"/>
    <m/>
    <x v="11"/>
    <b v="0"/>
    <m/>
    <s v="005ak00000icyWTAAY"/>
    <s v="2026-10-01T15:56:44.000Z"/>
    <m/>
    <m/>
    <d v="2026-11-19T00:00:00"/>
    <s v="LSN-00971"/>
    <s v="L-0000982"/>
    <s v="131ak000001XjDtAAK"/>
    <b v="0"/>
    <b v="0"/>
    <s v="a0Aak00000GkVw7"/>
    <s v="18:30:00.000Z"/>
    <x v="2"/>
    <s v="a07ak00001rZMrQAAW"/>
    <s v="Caroline Byrne"/>
    <s v="2026-10-01T15:56:44.000Z"/>
    <b v="1"/>
    <s v="a06ak00000amzC1AAI|2026-11-19|18:30:00.000Z"/>
    <n v="1"/>
    <s v="Red Bank"/>
    <x v="12"/>
    <x v="1"/>
  </r>
  <r>
    <s v="005ak00000icyWTAAY"/>
    <s v="2026-10-01T15:56:44.000Z"/>
    <n v="30"/>
    <s v="a0Aak00000GkVw8EAF"/>
    <s v="a06ak00000amzCIAAY"/>
    <s v="Omar Nelson"/>
    <m/>
    <x v="7"/>
    <b v="0"/>
    <m/>
    <s v="005ak00000icyWTAAY"/>
    <s v="2026-10-01T15:56:44.000Z"/>
    <m/>
    <m/>
    <d v="2026-11-19T00:00:00"/>
    <s v="LSN-00972"/>
    <s v="L-0000983"/>
    <s v="131ak000001XjDvAAK"/>
    <b v="0"/>
    <b v="0"/>
    <s v="a0Aak00000GkVw8"/>
    <s v="19:00:00.000Z"/>
    <x v="2"/>
    <s v="a07ak00001rZMqtAAG"/>
    <s v="Caroline Hall"/>
    <s v="2026-10-01T15:56:44.000Z"/>
    <b v="1"/>
    <s v="a06ak00000amzCIAAY|2026-11-19|19:00:00.000Z"/>
    <n v="1"/>
    <s v="Toms River"/>
    <x v="12"/>
    <x v="1"/>
  </r>
  <r>
    <s v="005ak00000icyWTAAY"/>
    <s v="2026-10-01T15:56:44.000Z"/>
    <n v="30"/>
    <s v="a0Aak00000GkVw9EAF"/>
    <s v="a06ak00000amzBgAAI"/>
    <s v="Noah Mitchell"/>
    <m/>
    <x v="1"/>
    <b v="0"/>
    <m/>
    <s v="005ak00000icyWTAAY"/>
    <s v="2026-10-01T15:56:44.000Z"/>
    <m/>
    <m/>
    <d v="2026-11-20T00:00:00"/>
    <s v="LSN-00973"/>
    <s v="L-0000984"/>
    <s v="131ak000001XjDuAAK"/>
    <b v="0"/>
    <b v="0"/>
    <s v="a0Aak00000GkVw9"/>
    <s v="18:30:00.000Z"/>
    <x v="2"/>
    <s v="a07ak00001rZMs2AAG"/>
    <s v="Sofia Johnson"/>
    <s v="2026-10-01T15:56:44.000Z"/>
    <b v="1"/>
    <s v="a06ak00000amzBgAAI|2026-11-20|18:30:00.000Z"/>
    <n v="1"/>
    <s v="Brick"/>
    <x v="12"/>
    <x v="1"/>
  </r>
  <r>
    <s v="005ak00000icyWTAAY"/>
    <s v="2026-10-01T15:56:44.000Z"/>
    <n v="45"/>
    <s v="a0Aak00000GkVwAEAV"/>
    <s v="a06ak00000amzBzAAI"/>
    <s v="Ezra Garcia"/>
    <m/>
    <x v="5"/>
    <b v="0"/>
    <m/>
    <s v="005ak00000icyWTAAY"/>
    <s v="2026-10-01T15:56:44.000Z"/>
    <m/>
    <m/>
    <d v="2026-11-21T00:00:00"/>
    <s v="LSN-00974"/>
    <s v="L-0000985"/>
    <s v="131ak000001XjDtAAK"/>
    <b v="0"/>
    <b v="0"/>
    <s v="a0Aak00000GkVwA"/>
    <s v="11:00:00.000Z"/>
    <x v="2"/>
    <s v="a07ak00001rZMpvAAG"/>
    <s v="Anna Roberts"/>
    <s v="2026-10-01T15:56:44.000Z"/>
    <b v="1"/>
    <s v="a06ak00000amzBzAAI|2026-11-21|11:00:00.000Z"/>
    <n v="1"/>
    <s v="Red Bank"/>
    <x v="12"/>
    <x v="1"/>
  </r>
  <r>
    <s v="005ak00000icyWTAAY"/>
    <s v="2026-10-01T15:56:44.000Z"/>
    <n v="30"/>
    <s v="a0Aak00000GkVwBEAV"/>
    <s v="a06ak00000amzBxAAI"/>
    <s v="Miles Allen"/>
    <m/>
    <x v="7"/>
    <b v="0"/>
    <m/>
    <s v="005ak00000icyWTAAY"/>
    <s v="2026-10-01T15:56:44.000Z"/>
    <m/>
    <m/>
    <d v="2026-11-21T00:00:00"/>
    <s v="LSN-00975"/>
    <s v="L-0000986"/>
    <s v="131ak000001XjDuAAK"/>
    <b v="0"/>
    <b v="0"/>
    <s v="a0Aak00000GkVwB"/>
    <s v="11:00:00.000Z"/>
    <x v="2"/>
    <s v="a07ak00001rZMqKAAW"/>
    <s v="Kai Mitchell"/>
    <s v="2026-10-01T15:56:44.000Z"/>
    <b v="1"/>
    <s v="a06ak00000amzBxAAI|2026-11-21|11:00:00.000Z"/>
    <n v="1"/>
    <s v="Brick"/>
    <x v="12"/>
    <x v="1"/>
  </r>
  <r>
    <s v="005ak00000icyWTAAY"/>
    <s v="2026-10-01T15:56:44.000Z"/>
    <n v="60"/>
    <s v="a0Aak00000GkVwCEAV"/>
    <s v="a06ak00000amzC8AAI"/>
    <s v="Adrian Byrne"/>
    <m/>
    <x v="2"/>
    <b v="0"/>
    <m/>
    <s v="005ak00000icyWTAAY"/>
    <s v="2026-10-01T15:56:44.000Z"/>
    <m/>
    <m/>
    <d v="2026-11-21T00:00:00"/>
    <s v="LSN-00976"/>
    <s v="L-0000987"/>
    <s v="131ak000001XjDuAAK"/>
    <b v="0"/>
    <b v="0"/>
    <s v="a0Aak00000GkVwC"/>
    <s v="12:30:00.000Z"/>
    <x v="2"/>
    <s v="a07ak00001rZMrUAAW"/>
    <s v="Daniel Kim"/>
    <s v="2026-10-01T15:56:44.000Z"/>
    <b v="1"/>
    <s v="a06ak00000amzC8AAI|2026-11-21|12:30:00.000Z"/>
    <n v="1"/>
    <s v="Brick"/>
    <x v="12"/>
    <x v="1"/>
  </r>
  <r>
    <s v="005ak00000icyWTAAY"/>
    <s v="2026-10-01T15:56:44.000Z"/>
    <n v="60"/>
    <s v="a0Aak00000GkVwDEAV"/>
    <s v="a06ak00000amzBtAAI"/>
    <s v="Jamal Torres"/>
    <m/>
    <x v="8"/>
    <b v="0"/>
    <m/>
    <s v="005ak00000icyWTAAY"/>
    <s v="2026-10-01T15:56:44.000Z"/>
    <m/>
    <m/>
    <d v="2026-11-23T00:00:00"/>
    <s v="LSN-00977"/>
    <s v="L-0000988"/>
    <s v="131ak000001XjDvAAK"/>
    <b v="0"/>
    <b v="0"/>
    <s v="a0Aak00000GkVwD"/>
    <s v="15:00:00.000Z"/>
    <x v="2"/>
    <s v="a07ak00001rZMrGAAW"/>
    <s v="Ryan Kelly"/>
    <s v="2026-10-01T15:56:44.000Z"/>
    <b v="1"/>
    <s v="a06ak00000amzBtAAI|2026-11-23|15:00:00.000Z"/>
    <n v="1"/>
    <s v="Toms River"/>
    <x v="12"/>
    <x v="1"/>
  </r>
  <r>
    <s v="005ak00000icyWTAAY"/>
    <s v="2026-10-01T15:56:44.000Z"/>
    <n v="30"/>
    <s v="a0Aak00000GkVwEEAV"/>
    <s v="a06ak00000amzC0AAI"/>
    <s v="James Moore"/>
    <m/>
    <x v="9"/>
    <b v="0"/>
    <m/>
    <s v="005ak00000icyWTAAY"/>
    <s v="2026-10-01T15:56:44.000Z"/>
    <m/>
    <m/>
    <d v="2026-11-23T00:00:00"/>
    <s v="LSN-00978"/>
    <s v="L-0000989"/>
    <s v="131ak000001XjDtAAK"/>
    <b v="0"/>
    <b v="0"/>
    <s v="a0Aak00000GkVwE"/>
    <s v="16:00:00.000Z"/>
    <x v="2"/>
    <s v="a07ak00001rZMqjAAG"/>
    <s v="Jamal Sanchez"/>
    <s v="2026-10-01T15:56:44.000Z"/>
    <b v="1"/>
    <s v="a06ak00000amzC0AAI|2026-11-23|16:00:00.000Z"/>
    <n v="1"/>
    <s v="Red Bank"/>
    <x v="12"/>
    <x v="1"/>
  </r>
  <r>
    <s v="005ak00000icyWTAAY"/>
    <s v="2026-10-01T15:56:44.000Z"/>
    <n v="45"/>
    <s v="a0Aak00000GkVwFEAV"/>
    <s v="a06ak00000amzBgAAI"/>
    <s v="Noah Mitchell"/>
    <m/>
    <x v="1"/>
    <b v="0"/>
    <m/>
    <s v="005ak00000icyWTAAY"/>
    <s v="2026-10-01T15:56:44.000Z"/>
    <m/>
    <m/>
    <d v="2026-11-23T00:00:00"/>
    <s v="LSN-00979"/>
    <s v="L-0000990"/>
    <s v="131ak000001XjDuAAK"/>
    <b v="0"/>
    <b v="0"/>
    <s v="a0Aak00000GkVwF"/>
    <s v="16:30:00.000Z"/>
    <x v="2"/>
    <s v="a07ak00001rZMpDAAW"/>
    <s v="Mei Thompson"/>
    <s v="2026-10-01T15:56:44.000Z"/>
    <b v="1"/>
    <s v="a06ak00000amzBgAAI|2026-11-23|16:30:00.000Z"/>
    <n v="1"/>
    <s v="Brick"/>
    <x v="12"/>
    <x v="1"/>
  </r>
  <r>
    <s v="005ak00000icyWTAAY"/>
    <s v="2026-10-01T15:56:44.000Z"/>
    <n v="30"/>
    <s v="a0Aak00000GkVwGEAV"/>
    <s v="a06ak00000amzC1AAI"/>
    <s v="Valentina Nakamura"/>
    <m/>
    <x v="11"/>
    <b v="0"/>
    <m/>
    <s v="005ak00000icyWTAAY"/>
    <s v="2026-10-01T15:56:44.000Z"/>
    <m/>
    <m/>
    <d v="2026-11-23T00:00:00"/>
    <s v="LSN-00980"/>
    <s v="L-0000991"/>
    <s v="131ak000001XjDuAAK"/>
    <b v="0"/>
    <b v="0"/>
    <s v="a0Aak00000GkVwG"/>
    <s v="16:30:00.000Z"/>
    <x v="2"/>
    <s v="a07ak00001rZMrbAAG"/>
    <s v="Layla Ramirez"/>
    <s v="2026-10-01T15:56:44.000Z"/>
    <b v="1"/>
    <s v="a06ak00000amzC1AAI|2026-11-23|16:30:00.000Z"/>
    <n v="1"/>
    <s v="Brick"/>
    <x v="12"/>
    <x v="1"/>
  </r>
  <r>
    <s v="005ak00000icyWTAAY"/>
    <s v="2026-10-01T15:56:44.000Z"/>
    <n v="60"/>
    <s v="a0Aak00000GkVwHEAV"/>
    <s v="a06ak00000amzC1AAI"/>
    <s v="Valentina Nakamura"/>
    <m/>
    <x v="5"/>
    <b v="0"/>
    <m/>
    <s v="005ak00000icyWTAAY"/>
    <s v="2026-10-01T15:56:44.000Z"/>
    <m/>
    <m/>
    <d v="2026-11-24T00:00:00"/>
    <s v="LSN-00981"/>
    <s v="L-0000992"/>
    <s v="131ak000001XjDuAAK"/>
    <b v="0"/>
    <b v="0"/>
    <s v="a0Aak00000GkVwH"/>
    <s v="15:30:00.000Z"/>
    <x v="2"/>
    <s v="a07ak00001rZMq0AAG"/>
    <s v="Henry Ryan"/>
    <s v="2026-10-01T15:56:44.000Z"/>
    <b v="1"/>
    <s v="a06ak00000amzC1AAI|2026-11-24|15:30:00.000Z"/>
    <n v="1"/>
    <s v="Brick"/>
    <x v="12"/>
    <x v="1"/>
  </r>
  <r>
    <s v="005ak00000icyWTAAY"/>
    <s v="2026-10-01T15:56:44.000Z"/>
    <n v="30"/>
    <s v="a0Aak00000GkVwIEAV"/>
    <s v="a06ak00000amzBxAAI"/>
    <s v="Miles Allen"/>
    <m/>
    <x v="7"/>
    <b v="0"/>
    <m/>
    <s v="005ak00000icyWTAAY"/>
    <s v="2026-10-01T15:56:44.000Z"/>
    <m/>
    <m/>
    <d v="2026-11-24T00:00:00"/>
    <s v="LSN-00982"/>
    <s v="L-0000993"/>
    <s v="131ak000001XjDuAAK"/>
    <b v="0"/>
    <b v="0"/>
    <s v="a0Aak00000GkVwI"/>
    <s v="15:30:00.000Z"/>
    <x v="2"/>
    <s v="a07ak00001rZMrkAAG"/>
    <s v="Camila Roberts"/>
    <s v="2026-10-01T15:56:44.000Z"/>
    <b v="1"/>
    <s v="a06ak00000amzBxAAI|2026-11-24|15:30:00.000Z"/>
    <n v="1"/>
    <s v="Brick"/>
    <x v="12"/>
    <x v="1"/>
  </r>
  <r>
    <s v="005ak00000icyWTAAY"/>
    <s v="2026-10-01T15:56:44.000Z"/>
    <n v="30"/>
    <s v="a0Aak00000GkVwJEAV"/>
    <s v="a06ak00000amzCCAAY"/>
    <s v="Rowan Jones"/>
    <m/>
    <x v="9"/>
    <b v="0"/>
    <m/>
    <s v="005ak00000icyWTAAY"/>
    <s v="2026-10-01T15:56:44.000Z"/>
    <m/>
    <m/>
    <d v="2026-11-24T00:00:00"/>
    <s v="LSN-00983"/>
    <s v="L-0000994"/>
    <s v="131ak000001XjDvAAK"/>
    <b v="0"/>
    <b v="0"/>
    <s v="a0Aak00000GkVwJ"/>
    <s v="17:00:00.000Z"/>
    <x v="2"/>
    <s v="a07ak00001rZMreAAG"/>
    <s v="Josiah Rodriguez"/>
    <s v="2026-10-01T15:56:44.000Z"/>
    <b v="1"/>
    <s v="a06ak00000amzCCAAY|2026-11-24|17:00:00.000Z"/>
    <n v="1"/>
    <s v="Toms River"/>
    <x v="12"/>
    <x v="1"/>
  </r>
  <r>
    <s v="005ak00000icyWTAAY"/>
    <s v="2026-10-01T15:56:44.000Z"/>
    <n v="60"/>
    <s v="a0Aak00000GkVwKEAV"/>
    <s v="a06ak00000amzBgAAI"/>
    <s v="Noah Mitchell"/>
    <m/>
    <x v="0"/>
    <b v="0"/>
    <m/>
    <s v="005ak00000icyWTAAY"/>
    <s v="2026-10-01T15:56:44.000Z"/>
    <m/>
    <m/>
    <d v="2026-11-25T00:00:00"/>
    <s v="LSN-00984"/>
    <s v="L-0000995"/>
    <s v="131ak000001XjDuAAK"/>
    <b v="0"/>
    <b v="0"/>
    <s v="a0Aak00000GkVwK"/>
    <s v="16:00:00.000Z"/>
    <x v="2"/>
    <s v="a07ak00001rZMq7AAG"/>
    <s v="Jackson Sullivan"/>
    <s v="2026-10-01T15:56:44.000Z"/>
    <b v="1"/>
    <s v="a06ak00000amzBgAAI|2026-11-25|16:00:00.000Z"/>
    <n v="1"/>
    <s v="Brick"/>
    <x v="12"/>
    <x v="1"/>
  </r>
  <r>
    <s v="005ak00000icyWTAAY"/>
    <s v="2026-10-01T15:56:44.000Z"/>
    <n v="30"/>
    <s v="a0Aak00000GkVwLEAV"/>
    <s v="a06ak00000amzCIAAY"/>
    <s v="Omar Nelson"/>
    <m/>
    <x v="7"/>
    <b v="0"/>
    <m/>
    <s v="005ak00000icyWTAAY"/>
    <s v="2026-10-01T15:56:44.000Z"/>
    <m/>
    <m/>
    <d v="2026-11-25T00:00:00"/>
    <s v="LSN-00985"/>
    <s v="L-0000996"/>
    <s v="131ak000001XjDvAAK"/>
    <b v="0"/>
    <b v="0"/>
    <s v="a0Aak00000GkVwL"/>
    <s v="17:00:00.000Z"/>
    <x v="2"/>
    <s v="a07ak00001rZMpcAAG"/>
    <s v="Adrian Sullivan"/>
    <s v="2026-10-01T15:56:44.000Z"/>
    <b v="1"/>
    <s v="a06ak00000amzCIAAY|2026-11-25|17:00:00.000Z"/>
    <n v="1"/>
    <s v="Toms River"/>
    <x v="12"/>
    <x v="1"/>
  </r>
  <r>
    <s v="005ak00000icyWTAAY"/>
    <s v="2026-10-01T15:56:44.000Z"/>
    <n v="60"/>
    <s v="a0Aak00000GkVwMEAV"/>
    <s v="a06ak00000amzBzAAI"/>
    <s v="Ezra Garcia"/>
    <m/>
    <x v="5"/>
    <b v="0"/>
    <m/>
    <s v="005ak00000icyWTAAY"/>
    <s v="2026-10-01T15:56:44.000Z"/>
    <m/>
    <m/>
    <d v="2026-11-30T00:00:00"/>
    <s v="LSN-00986"/>
    <s v="L-0000997"/>
    <s v="131ak000001XjDtAAK"/>
    <b v="0"/>
    <b v="0"/>
    <s v="a0Aak00000GkVwM"/>
    <s v="15:30:00.000Z"/>
    <x v="2"/>
    <s v="a07ak00001rZMqGAAW"/>
    <s v="Josiah Clark"/>
    <s v="2026-10-01T15:56:44.000Z"/>
    <b v="1"/>
    <s v="a06ak00000amzBzAAI|2026-11-30|15:30:00.000Z"/>
    <n v="1"/>
    <s v="Red Bank"/>
    <x v="12"/>
    <x v="1"/>
  </r>
  <r>
    <s v="005ak00000icyWTAAY"/>
    <s v="2026-10-01T15:56:44.000Z"/>
    <n v="60"/>
    <s v="a0Aak00000GkVwNEAV"/>
    <s v="a06ak00000amzBzAAI"/>
    <s v="Ezra Garcia"/>
    <m/>
    <x v="11"/>
    <b v="0"/>
    <m/>
    <s v="005ak00000icyWTAAY"/>
    <s v="2026-10-01T15:56:44.000Z"/>
    <m/>
    <m/>
    <d v="2026-11-30T00:00:00"/>
    <s v="LSN-00987"/>
    <s v="L-0000998"/>
    <s v="131ak000001XjDtAAK"/>
    <b v="0"/>
    <b v="0"/>
    <s v="a0Aak00000GkVwN"/>
    <s v="16:30:00.000Z"/>
    <x v="2"/>
    <s v="a07ak00001rZMqpAAG"/>
    <s v="Aiden Byrne"/>
    <s v="2026-10-01T15:56:44.000Z"/>
    <b v="1"/>
    <s v="a06ak00000amzBzAAI|2026-11-30|16:30:00.000Z"/>
    <n v="1"/>
    <s v="Red Bank"/>
    <x v="12"/>
    <x v="1"/>
  </r>
  <r>
    <s v="005ak00000icyWTAAY"/>
    <s v="2026-10-01T15:56:44.000Z"/>
    <n v="60"/>
    <s v="a0Aak00000GkVwOEAV"/>
    <s v="a06ak00000amzCBAAY"/>
    <s v="Aiden Hill"/>
    <m/>
    <x v="10"/>
    <b v="0"/>
    <m/>
    <s v="005ak00000icyWTAAY"/>
    <s v="2026-10-01T15:56:44.000Z"/>
    <m/>
    <m/>
    <d v="2026-11-30T00:00:00"/>
    <s v="LSN-00988"/>
    <s v="L-0000999"/>
    <s v="131ak000001XjDtAAK"/>
    <b v="0"/>
    <b v="0"/>
    <s v="a0Aak00000GkVwO"/>
    <s v="16:30:00.000Z"/>
    <x v="2"/>
    <s v="a07ak00001rZMrMAAW"/>
    <s v="Declan Martinez"/>
    <s v="2026-10-01T15:56:44.000Z"/>
    <b v="1"/>
    <s v="a06ak00000amzCBAAY|2026-11-30|16:30:00.000Z"/>
    <n v="1"/>
    <s v="Red Bank"/>
    <x v="12"/>
    <x v="1"/>
  </r>
  <r>
    <s v="005ak00000icyWTAAY"/>
    <s v="2026-10-01T15:56:44.000Z"/>
    <n v="30"/>
    <s v="a0Aak00000GkVwPEAV"/>
    <s v="a06ak00000amzCIAAY"/>
    <s v="Omar Nelson"/>
    <m/>
    <x v="7"/>
    <b v="0"/>
    <m/>
    <s v="005ak00000icyWTAAY"/>
    <s v="2026-10-01T15:56:44.000Z"/>
    <m/>
    <m/>
    <d v="2026-11-30T00:00:00"/>
    <s v="LSN-00989"/>
    <s v="L-0001000"/>
    <s v="131ak000001XjDvAAK"/>
    <b v="0"/>
    <b v="0"/>
    <s v="a0Aak00000GkVwP"/>
    <s v="17:30:00.000Z"/>
    <x v="2"/>
    <s v="a07ak00001rZMs1AAG"/>
    <s v="Nathan Ahmed"/>
    <s v="2026-10-01T15:56:44.000Z"/>
    <b v="1"/>
    <s v="a06ak00000amzCIAAY|2026-11-30|17:30:00.000Z"/>
    <n v="1"/>
    <s v="Toms River"/>
    <x v="12"/>
    <x v="1"/>
  </r>
  <r>
    <s v="005ak00000icyWTAAY"/>
    <s v="2026-10-01T15:56:44.000Z"/>
    <n v="45"/>
    <s v="a0Aak00000GkVwQEAV"/>
    <s v="a06ak00000amzBiAAI"/>
    <s v="Zoey Torres"/>
    <m/>
    <x v="1"/>
    <b v="0"/>
    <m/>
    <s v="005ak00000icyWTAAY"/>
    <s v="2026-10-01T15:56:44.000Z"/>
    <m/>
    <m/>
    <d v="2026-11-30T00:00:00"/>
    <s v="LSN-00990"/>
    <s v="L-0001001"/>
    <s v="131ak000001XjDtAAK"/>
    <b v="0"/>
    <b v="0"/>
    <s v="a0Aak00000GkVwQ"/>
    <s v="18:30:00.000Z"/>
    <x v="2"/>
    <s v="a07ak00001rZMpgAAG"/>
    <s v="Micah King"/>
    <s v="2026-10-01T15:56:44.000Z"/>
    <b v="1"/>
    <s v="a06ak00000amzBiAAI|2026-11-30|18:30:00.000Z"/>
    <n v="1"/>
    <s v="Red Bank"/>
    <x v="12"/>
    <x v="1"/>
  </r>
  <r>
    <s v="005ak00000icyWTAAY"/>
    <s v="2026-10-01T15:56:44.000Z"/>
    <n v="30"/>
    <s v="a0Aak00000GkVwREAV"/>
    <s v="a06ak00000amzC1AAI"/>
    <s v="Valentina Nakamura"/>
    <m/>
    <x v="5"/>
    <b v="0"/>
    <m/>
    <s v="005ak00000icyWTAAY"/>
    <s v="2026-10-01T15:56:44.000Z"/>
    <m/>
    <m/>
    <d v="2026-11-30T00:00:00"/>
    <s v="LSN-00991"/>
    <s v="L-0001002"/>
    <s v="131ak000001XjDvAAK"/>
    <b v="0"/>
    <b v="0"/>
    <s v="a0Aak00000GkVwR"/>
    <s v="19:00:00.000Z"/>
    <x v="2"/>
    <s v="a07ak00001rZMpKAAW"/>
    <s v="Sofia Sullivan"/>
    <s v="2026-10-01T15:56:44.000Z"/>
    <b v="1"/>
    <s v="a06ak00000amzC1AAI|2026-11-30|19:00:00.000Z"/>
    <n v="1"/>
    <s v="Toms River"/>
    <x v="12"/>
    <x v="1"/>
  </r>
  <r>
    <s v="005ak00000icyWTAAY"/>
    <s v="2026-10-01T15:56:44.000Z"/>
    <n v="30"/>
    <s v="a0Aak00000GkVwSEAV"/>
    <s v="a06ak00000amzBzAAI"/>
    <s v="Ezra Garcia"/>
    <m/>
    <x v="5"/>
    <b v="0"/>
    <m/>
    <s v="005ak00000icyWTAAY"/>
    <s v="2026-10-01T15:56:44.000Z"/>
    <m/>
    <m/>
    <d v="2026-12-01T00:00:00"/>
    <s v="LSN-00992"/>
    <s v="L-0001003"/>
    <s v="131ak000001XjDtAAK"/>
    <b v="0"/>
    <b v="0"/>
    <s v="a0Aak00000GkVwS"/>
    <s v="18:00:00.000Z"/>
    <x v="2"/>
    <s v="a07ak00001rZMqmAAG"/>
    <s v="Logan Harris"/>
    <s v="2026-10-01T15:56:44.000Z"/>
    <b v="1"/>
    <s v="a06ak00000amzBzAAI|2026-12-01|18:00:00.000Z"/>
    <n v="1"/>
    <s v="Red Bank"/>
    <x v="10"/>
    <x v="1"/>
  </r>
  <r>
    <s v="005ak00000icyWTAAY"/>
    <s v="2026-10-01T15:56:44.000Z"/>
    <n v="30"/>
    <s v="a0Aak00000GkVwTEAV"/>
    <s v="a06ak00000amzCCAAY"/>
    <s v="Rowan Jones"/>
    <m/>
    <x v="3"/>
    <b v="0"/>
    <m/>
    <s v="005ak00000icyWTAAY"/>
    <s v="2026-10-01T15:56:44.000Z"/>
    <m/>
    <m/>
    <d v="2026-12-02T00:00:00"/>
    <s v="LSN-00993"/>
    <s v="L-0001004"/>
    <s v="131ak000001XjDuAAK"/>
    <b v="0"/>
    <b v="0"/>
    <s v="a0Aak00000GkVwT"/>
    <s v="18:00:00.000Z"/>
    <x v="2"/>
    <s v="a07ak00001rZMr6AAG"/>
    <s v="Priya Roberts"/>
    <s v="2026-10-01T15:56:44.000Z"/>
    <b v="1"/>
    <s v="a06ak00000amzCCAAY|2026-12-02|18:00:00.000Z"/>
    <n v="1"/>
    <s v="Brick"/>
    <x v="10"/>
    <x v="1"/>
  </r>
  <r>
    <s v="005ak00000icyWTAAY"/>
    <s v="2026-10-01T15:56:44.000Z"/>
    <n v="30"/>
    <s v="a0Aak00000GkVwUEAV"/>
    <s v="a06ak00000amzBxAAI"/>
    <s v="Miles Allen"/>
    <m/>
    <x v="7"/>
    <b v="0"/>
    <m/>
    <s v="005ak00000icyWTAAY"/>
    <s v="2026-10-01T15:56:44.000Z"/>
    <m/>
    <m/>
    <d v="2026-12-02T00:00:00"/>
    <s v="LSN-00994"/>
    <s v="L-0001005"/>
    <s v="131ak000001XjDuAAK"/>
    <b v="0"/>
    <b v="0"/>
    <s v="a0Aak00000GkVwU"/>
    <s v="19:00:00.000Z"/>
    <x v="2"/>
    <s v="a07ak00001rZMrlAAG"/>
    <s v="Kai Ahmed"/>
    <s v="2026-10-01T15:56:44.000Z"/>
    <b v="1"/>
    <s v="a06ak00000amzBxAAI|2026-12-02|19:00:00.000Z"/>
    <n v="1"/>
    <s v="Brick"/>
    <x v="10"/>
    <x v="1"/>
  </r>
  <r>
    <s v="005ak00000icyWTAAY"/>
    <s v="2026-10-01T15:56:44.000Z"/>
    <n v="30"/>
    <s v="a0Aak00000GkVwVEAV"/>
    <s v="a06ak00000amzC0AAI"/>
    <s v="James Moore"/>
    <m/>
    <x v="9"/>
    <b v="0"/>
    <m/>
    <s v="005ak00000icyWTAAY"/>
    <s v="2026-10-01T15:56:44.000Z"/>
    <m/>
    <m/>
    <d v="2026-12-03T00:00:00"/>
    <s v="LSN-00995"/>
    <s v="L-0001006"/>
    <s v="131ak000001XjDtAAK"/>
    <b v="0"/>
    <b v="0"/>
    <s v="a0Aak00000GkVwV"/>
    <s v="16:00:00.000Z"/>
    <x v="2"/>
    <s v="a07ak00001rZMqZAAW"/>
    <s v="Nathan Perez"/>
    <s v="2026-10-01T15:56:44.000Z"/>
    <b v="1"/>
    <s v="a06ak00000amzC0AAI|2026-12-03|16:00:00.000Z"/>
    <n v="1"/>
    <s v="Red Bank"/>
    <x v="10"/>
    <x v="1"/>
  </r>
  <r>
    <s v="005ak00000icyWTAAY"/>
    <s v="2026-10-01T15:56:44.000Z"/>
    <n v="30"/>
    <s v="a0Aak00000GkVwWEAV"/>
    <s v="a06ak00000amzCBAAY"/>
    <s v="Aiden Hill"/>
    <m/>
    <x v="3"/>
    <b v="0"/>
    <m/>
    <s v="005ak00000icyWTAAY"/>
    <s v="2026-10-01T15:56:44.000Z"/>
    <m/>
    <m/>
    <d v="2026-12-03T00:00:00"/>
    <s v="LSN-00996"/>
    <s v="L-0001007"/>
    <s v="131ak000001XjDtAAK"/>
    <b v="0"/>
    <b v="0"/>
    <s v="a0Aak00000GkVwW"/>
    <s v="17:00:00.000Z"/>
    <x v="2"/>
    <s v="a07ak00001rZMrKAAW"/>
    <s v="Levi Campbell"/>
    <s v="2026-10-01T15:56:44.000Z"/>
    <b v="1"/>
    <s v="a06ak00000amzCBAAY|2026-12-03|17:00:00.000Z"/>
    <n v="1"/>
    <s v="Red Bank"/>
    <x v="10"/>
    <x v="1"/>
  </r>
  <r>
    <s v="005ak00000icyWTAAY"/>
    <s v="2026-10-01T15:56:44.000Z"/>
    <n v="30"/>
    <s v="a0Aak00000GkVwXEAV"/>
    <s v="a06ak00000amzBiAAI"/>
    <s v="Zoey Torres"/>
    <m/>
    <x v="8"/>
    <b v="0"/>
    <m/>
    <s v="005ak00000icyWTAAY"/>
    <s v="2026-10-01T15:56:44.000Z"/>
    <m/>
    <m/>
    <d v="2026-12-03T00:00:00"/>
    <s v="LSN-00997"/>
    <s v="L-0001008"/>
    <s v="131ak000001XjDtAAK"/>
    <b v="0"/>
    <b v="0"/>
    <s v="a0Aak00000GkVwX"/>
    <s v="18:30:00.000Z"/>
    <x v="2"/>
    <s v="a07ak00001rZMqFAAW"/>
    <s v="Nathan Novak"/>
    <s v="2026-10-01T15:56:44.000Z"/>
    <b v="1"/>
    <s v="a06ak00000amzBiAAI|2026-12-03|18:30:00.000Z"/>
    <n v="1"/>
    <s v="Red Bank"/>
    <x v="10"/>
    <x v="1"/>
  </r>
  <r>
    <s v="005ak00000icyWTAAY"/>
    <s v="2026-10-01T15:56:44.000Z"/>
    <n v="30"/>
    <s v="a0Aak00000GkVwYEAV"/>
    <s v="a06ak00000amzCHAAY"/>
    <s v="Liam Flores"/>
    <m/>
    <x v="4"/>
    <b v="0"/>
    <m/>
    <s v="005ak00000icyWTAAY"/>
    <s v="2026-10-01T15:56:44.000Z"/>
    <m/>
    <m/>
    <d v="2026-12-04T00:00:00"/>
    <s v="LSN-00998"/>
    <s v="L-0001009"/>
    <s v="131ak000001XjDvAAK"/>
    <b v="0"/>
    <b v="0"/>
    <s v="a0Aak00000GkVwY"/>
    <s v="16:30:00.000Z"/>
    <x v="2"/>
    <s v="a07ak00001rZMpEAAW"/>
    <s v="Kennedy Sullivan"/>
    <s v="2026-10-01T15:56:44.000Z"/>
    <b v="1"/>
    <s v="a06ak00000amzCHAAY|2026-12-04|16:30:00.000Z"/>
    <n v="1"/>
    <s v="Toms River"/>
    <x v="10"/>
    <x v="1"/>
  </r>
  <r>
    <s v="005ak00000icyWTAAY"/>
    <s v="2026-10-01T15:56:44.000Z"/>
    <n v="30"/>
    <s v="a0Aak00000GkVwZEAV"/>
    <s v="a06ak00000amzC8AAI"/>
    <s v="Adrian Byrne"/>
    <m/>
    <x v="2"/>
    <b v="0"/>
    <m/>
    <s v="005ak00000icyWTAAY"/>
    <s v="2026-10-01T15:56:44.000Z"/>
    <m/>
    <m/>
    <d v="2026-12-04T00:00:00"/>
    <s v="LSN-00999"/>
    <s v="L-0001010"/>
    <s v="131ak000001XjDuAAK"/>
    <b v="0"/>
    <b v="0"/>
    <s v="a0Aak00000GkVwZ"/>
    <s v="19:00:00.000Z"/>
    <x v="2"/>
    <s v="a07ak00001rZMpiAAG"/>
    <s v="Bella Adams"/>
    <s v="2026-10-01T15:56:44.000Z"/>
    <b v="1"/>
    <s v="a06ak00000amzC8AAI|2026-12-04|19:00:00.000Z"/>
    <n v="1"/>
    <s v="Brick"/>
    <x v="10"/>
    <x v="1"/>
  </r>
  <r>
    <s v="005ak00000icyWTAAY"/>
    <s v="2026-10-01T15:56:44.000Z"/>
    <n v="45"/>
    <s v="a0Aak00000GkVwaEAF"/>
    <s v="a06ak00000amzBzAAI"/>
    <s v="Ezra Garcia"/>
    <m/>
    <x v="5"/>
    <b v="0"/>
    <m/>
    <s v="005ak00000icyWTAAY"/>
    <s v="2026-10-01T15:56:44.000Z"/>
    <m/>
    <m/>
    <d v="2026-12-05T00:00:00"/>
    <s v="LSN-01000"/>
    <s v="L-0001011"/>
    <s v="131ak000001XjDtAAK"/>
    <b v="0"/>
    <b v="0"/>
    <s v="a0Aak00000GkVwa"/>
    <s v="11:00:00.000Z"/>
    <x v="2"/>
    <s v="a07ak00001rZMpvAAG"/>
    <s v="Anna Roberts"/>
    <s v="2026-10-01T15:56:44.000Z"/>
    <b v="1"/>
    <s v="a06ak00000amzBzAAI|2026-12-05|11:00:00.000Z"/>
    <n v="1"/>
    <s v="Red Bank"/>
    <x v="10"/>
    <x v="1"/>
  </r>
  <r>
    <s v="005ak00000icyWTAAY"/>
    <s v="2026-10-01T15:56:44.000Z"/>
    <n v="30"/>
    <s v="a0Aak00000GkVwbEAF"/>
    <s v="a06ak00000amzBxAAI"/>
    <s v="Miles Allen"/>
    <m/>
    <x v="7"/>
    <b v="0"/>
    <m/>
    <s v="005ak00000icyWTAAY"/>
    <s v="2026-10-01T15:56:44.000Z"/>
    <m/>
    <m/>
    <d v="2026-12-05T00:00:00"/>
    <s v="LSN-01001"/>
    <s v="L-0001012"/>
    <s v="131ak000001XjDuAAK"/>
    <b v="0"/>
    <b v="0"/>
    <s v="a0Aak00000GkVwb"/>
    <s v="11:00:00.000Z"/>
    <x v="2"/>
    <s v="a07ak00001rZMqKAAW"/>
    <s v="Kai Mitchell"/>
    <s v="2026-10-01T15:56:44.000Z"/>
    <b v="1"/>
    <s v="a06ak00000amzBxAAI|2026-12-05|11:00:00.000Z"/>
    <n v="1"/>
    <s v="Brick"/>
    <x v="10"/>
    <x v="1"/>
  </r>
  <r>
    <s v="005ak00000icyWTAAY"/>
    <s v="2026-10-01T15:56:44.000Z"/>
    <n v="30"/>
    <s v="a0Aak00000GkVwcEAF"/>
    <s v="a06ak00000amzCHAAY"/>
    <s v="Liam Flores"/>
    <m/>
    <x v="4"/>
    <b v="0"/>
    <m/>
    <s v="005ak00000icyWTAAY"/>
    <s v="2026-10-01T15:56:44.000Z"/>
    <m/>
    <m/>
    <d v="2026-12-05T00:00:00"/>
    <s v="LSN-01002"/>
    <s v="L-0001013"/>
    <s v="131ak000001XjDtAAK"/>
    <b v="0"/>
    <b v="0"/>
    <s v="a0Aak00000GkVwc"/>
    <s v="12:00:00.000Z"/>
    <x v="2"/>
    <s v="a07ak00001rZMr0AAG"/>
    <s v="Scarlett Byrne"/>
    <s v="2026-10-01T15:56:44.000Z"/>
    <b v="1"/>
    <s v="a06ak00000amzCHAAY|2026-12-05|12:00:00.000Z"/>
    <n v="1"/>
    <s v="Red Bank"/>
    <x v="10"/>
    <x v="1"/>
  </r>
  <r>
    <s v="005ak00000icyWTAAY"/>
    <s v="2026-10-01T15:56:44.000Z"/>
    <n v="60"/>
    <s v="a0Aak00000GkVwdEAF"/>
    <s v="a06ak00000amzBtAAI"/>
    <s v="Jamal Torres"/>
    <m/>
    <x v="8"/>
    <b v="0"/>
    <m/>
    <s v="005ak00000icyWTAAY"/>
    <s v="2026-10-01T15:56:44.000Z"/>
    <m/>
    <m/>
    <d v="2026-12-07T00:00:00"/>
    <s v="LSN-01003"/>
    <s v="L-0001014"/>
    <s v="131ak000001XjDvAAK"/>
    <b v="0"/>
    <b v="0"/>
    <s v="a0Aak00000GkVwd"/>
    <s v="15:00:00.000Z"/>
    <x v="2"/>
    <s v="a07ak00001rZMrGAAW"/>
    <s v="Ryan Kelly"/>
    <s v="2026-10-01T15:56:44.000Z"/>
    <b v="1"/>
    <s v="a06ak00000amzBtAAI|2026-12-07|15:00:00.000Z"/>
    <n v="1"/>
    <s v="Toms River"/>
    <x v="10"/>
    <x v="1"/>
  </r>
  <r>
    <s v="005ak00000icyWTAAY"/>
    <s v="2026-10-01T15:56:44.000Z"/>
    <n v="45"/>
    <s v="a0Aak00000GkVweEAF"/>
    <s v="a06ak00000amzCHAAY"/>
    <s v="Liam Flores"/>
    <m/>
    <x v="4"/>
    <b v="0"/>
    <m/>
    <s v="005ak00000icyWTAAY"/>
    <s v="2026-10-01T15:56:44.000Z"/>
    <m/>
    <m/>
    <d v="2026-12-07T00:00:00"/>
    <s v="LSN-01004"/>
    <s v="L-0001015"/>
    <s v="131ak000001XjDvAAK"/>
    <b v="0"/>
    <b v="0"/>
    <s v="a0Aak00000GkVwe"/>
    <s v="16:30:00.000Z"/>
    <x v="2"/>
    <s v="a07ak00001rZMqDAAW"/>
    <s v="Ryan Lopez"/>
    <s v="2026-10-01T15:56:44.000Z"/>
    <b v="1"/>
    <s v="a06ak00000amzCHAAY|2026-12-07|16:30:00.000Z"/>
    <n v="1"/>
    <s v="Toms River"/>
    <x v="10"/>
    <x v="1"/>
  </r>
  <r>
    <s v="005ak00000icyWTAAY"/>
    <s v="2026-10-01T15:56:44.000Z"/>
    <n v="45"/>
    <s v="a0Aak00000GkVwfEAF"/>
    <s v="a06ak00000amzC1AAI"/>
    <s v="Valentina Nakamura"/>
    <m/>
    <x v="5"/>
    <b v="0"/>
    <m/>
    <s v="005ak00000icyWTAAY"/>
    <s v="2026-10-01T15:56:44.000Z"/>
    <m/>
    <m/>
    <d v="2026-12-07T00:00:00"/>
    <s v="LSN-01005"/>
    <s v="L-0001016"/>
    <s v="131ak000001XjDuAAK"/>
    <b v="0"/>
    <b v="0"/>
    <s v="a0Aak00000GkVwf"/>
    <s v="17:00:00.000Z"/>
    <x v="2"/>
    <s v="a07ak00001rZMqWAAW"/>
    <s v="Jackson Ryan"/>
    <s v="2026-10-01T15:56:44.000Z"/>
    <b v="1"/>
    <s v="a06ak00000amzC1AAI|2026-12-07|17:00:00.000Z"/>
    <n v="1"/>
    <s v="Brick"/>
    <x v="10"/>
    <x v="1"/>
  </r>
  <r>
    <s v="005ak00000icyWTAAY"/>
    <s v="2026-10-01T15:56:44.000Z"/>
    <n v="45"/>
    <s v="a0Aak00000GkVwgEAF"/>
    <s v="a06ak00000amzBiAAI"/>
    <s v="Zoey Torres"/>
    <m/>
    <x v="1"/>
    <b v="0"/>
    <m/>
    <s v="005ak00000icyWTAAY"/>
    <s v="2026-10-01T15:56:44.000Z"/>
    <m/>
    <m/>
    <d v="2026-12-07T00:00:00"/>
    <s v="LSN-01006"/>
    <s v="L-0001017"/>
    <s v="131ak000001XjDtAAK"/>
    <b v="0"/>
    <b v="0"/>
    <s v="a0Aak00000GkVwg"/>
    <s v="18:30:00.000Z"/>
    <x v="2"/>
    <s v="a07ak00001rZMpgAAG"/>
    <s v="Micah King"/>
    <s v="2026-10-01T15:56:44.000Z"/>
    <b v="1"/>
    <s v="a06ak00000amzBiAAI|2026-12-07|18:30:00.000Z"/>
    <n v="1"/>
    <s v="Red Bank"/>
    <x v="10"/>
    <x v="1"/>
  </r>
  <r>
    <s v="005ak00000icyWTAAY"/>
    <s v="2026-10-01T15:56:44.000Z"/>
    <n v="45"/>
    <s v="a0Aak00000GkVwhEAF"/>
    <s v="a06ak00000amzBtAAI"/>
    <s v="Jamal Torres"/>
    <m/>
    <x v="8"/>
    <b v="0"/>
    <m/>
    <s v="005ak00000icyWTAAY"/>
    <s v="2026-10-01T15:56:44.000Z"/>
    <m/>
    <m/>
    <d v="2026-12-07T00:00:00"/>
    <s v="LSN-01007"/>
    <s v="L-0001018"/>
    <s v="131ak000001XjDvAAK"/>
    <b v="0"/>
    <b v="0"/>
    <s v="a0Aak00000GkVwh"/>
    <s v="18:30:00.000Z"/>
    <x v="2"/>
    <s v="a07ak00001rZMrWAAW"/>
    <s v="Mei Sullivan"/>
    <s v="2026-10-01T15:56:44.000Z"/>
    <b v="1"/>
    <s v="a06ak00000amzBtAAI|2026-12-07|18:30:00.000Z"/>
    <n v="1"/>
    <s v="Toms River"/>
    <x v="10"/>
    <x v="1"/>
  </r>
  <r>
    <s v="005ak00000icyWTAAY"/>
    <s v="2026-10-01T15:56:44.000Z"/>
    <n v="45"/>
    <s v="a0Aak00000GkVwiEAF"/>
    <s v="a06ak00000amzC0AAI"/>
    <s v="James Moore"/>
    <m/>
    <x v="6"/>
    <b v="0"/>
    <m/>
    <s v="005ak00000icyWTAAY"/>
    <s v="2026-10-01T15:56:44.000Z"/>
    <m/>
    <m/>
    <d v="2026-12-08T00:00:00"/>
    <s v="LSN-01008"/>
    <s v="L-0001019"/>
    <s v="131ak000001XjDtAAK"/>
    <b v="0"/>
    <b v="0"/>
    <s v="a0Aak00000GkVwi"/>
    <s v="16:00:00.000Z"/>
    <x v="2"/>
    <s v="a07ak00001rZMpRAAW"/>
    <s v="Rowan Wilson"/>
    <s v="2026-10-01T15:56:44.000Z"/>
    <b v="1"/>
    <s v="a06ak00000amzC0AAI|2026-12-08|16:00:00.000Z"/>
    <n v="1"/>
    <s v="Red Bank"/>
    <x v="10"/>
    <x v="1"/>
  </r>
  <r>
    <s v="005ak00000icyWTAAY"/>
    <s v="2026-10-01T15:56:44.000Z"/>
    <n v="30"/>
    <s v="a0Aak00000GkVwjEAF"/>
    <s v="a06ak00000amzBzAAI"/>
    <s v="Ezra Garcia"/>
    <m/>
    <x v="5"/>
    <b v="0"/>
    <m/>
    <s v="005ak00000icyWTAAY"/>
    <s v="2026-10-01T15:56:44.000Z"/>
    <m/>
    <m/>
    <d v="2026-12-08T00:00:00"/>
    <s v="LSN-01009"/>
    <s v="L-0001020"/>
    <s v="131ak000001XjDuAAK"/>
    <b v="0"/>
    <b v="0"/>
    <s v="a0Aak00000GkVwj"/>
    <s v="16:30:00.000Z"/>
    <x v="2"/>
    <s v="a07ak00001rZMs3AAG"/>
    <s v="LOGAN Harris"/>
    <s v="2026-10-01T15:56:44.000Z"/>
    <b v="1"/>
    <s v="a06ak00000amzBzAAI|2026-12-08|16:30:00.000Z"/>
    <n v="1"/>
    <s v="Brick"/>
    <x v="10"/>
    <x v="1"/>
  </r>
  <r>
    <s v="005ak00000icyWTAAY"/>
    <s v="2026-10-01T15:56:44.000Z"/>
    <n v="60"/>
    <s v="a0Aak00000GkVwkEAF"/>
    <s v="a06ak00000amzCBAAY"/>
    <s v="Aiden Hill"/>
    <m/>
    <x v="3"/>
    <b v="0"/>
    <m/>
    <s v="005ak00000icyWTAAY"/>
    <s v="2026-10-01T15:56:44.000Z"/>
    <m/>
    <m/>
    <d v="2026-12-08T00:00:00"/>
    <s v="LSN-01010"/>
    <s v="L-0001021"/>
    <s v="131ak000001XjDtAAK"/>
    <b v="0"/>
    <b v="0"/>
    <s v="a0Aak00000GkVwk"/>
    <s v="18:00:00.000Z"/>
    <x v="2"/>
    <s v="a07ak00001rZMqJAAW"/>
    <s v="Emma Smith"/>
    <s v="2026-10-01T15:56:44.000Z"/>
    <b v="1"/>
    <s v="a06ak00000amzCBAAY|2026-12-08|18:00:00.000Z"/>
    <n v="1"/>
    <s v="Red Bank"/>
    <x v="10"/>
    <x v="1"/>
  </r>
  <r>
    <s v="005ak00000icyWTAAY"/>
    <s v="2026-10-01T15:56:44.000Z"/>
    <n v="45"/>
    <s v="a0Aak00000GkVwlEAF"/>
    <s v="a06ak00000amzCHAAY"/>
    <s v="Liam Flores"/>
    <m/>
    <x v="4"/>
    <b v="0"/>
    <m/>
    <s v="005ak00000icyWTAAY"/>
    <s v="2026-10-01T15:56:44.000Z"/>
    <m/>
    <m/>
    <d v="2026-12-08T00:00:00"/>
    <s v="LSN-01011"/>
    <s v="L-0001022"/>
    <s v="131ak000001XjDuAAK"/>
    <b v="0"/>
    <b v="0"/>
    <s v="a0Aak00000GkVwl"/>
    <s v="18:30:00.000Z"/>
    <x v="2"/>
    <s v="a07ak00001rZMpZAAW"/>
    <s v="Harper Patel"/>
    <s v="2026-10-01T15:56:44.000Z"/>
    <b v="1"/>
    <s v="a06ak00000amzCHAAY|2026-12-08|18:30:00.000Z"/>
    <n v="1"/>
    <s v="Brick"/>
    <x v="10"/>
    <x v="1"/>
  </r>
  <r>
    <s v="005ak00000icyWTAAY"/>
    <s v="2026-10-01T15:56:44.000Z"/>
    <n v="45"/>
    <s v="a0Aak00000GkVwmEAF"/>
    <s v="a06ak00000amzBtAAI"/>
    <s v="Jamal Torres"/>
    <m/>
    <x v="2"/>
    <b v="0"/>
    <m/>
    <s v="005ak00000icyWTAAY"/>
    <s v="2026-10-01T15:56:44.000Z"/>
    <m/>
    <m/>
    <d v="2026-12-08T00:00:00"/>
    <s v="LSN-01012"/>
    <s v="L-0001023"/>
    <s v="131ak000001XjDtAAK"/>
    <b v="0"/>
    <b v="0"/>
    <s v="a0Aak00000GkVwm"/>
    <s v="18:30:00.000Z"/>
    <x v="2"/>
    <s v="a07ak00001rZMqdAAG"/>
    <s v="Scarlett Scott"/>
    <s v="2026-10-01T15:56:44.000Z"/>
    <b v="1"/>
    <s v="a06ak00000amzBtAAI|2026-12-08|18:30:00.000Z"/>
    <n v="1"/>
    <s v="Red Bank"/>
    <x v="10"/>
    <x v="1"/>
  </r>
  <r>
    <s v="005ak00000icyWTAAY"/>
    <s v="2026-10-01T15:56:44.000Z"/>
    <n v="45"/>
    <s v="a0Aak00000GkVwnEAF"/>
    <s v="a06ak00000amzCKAAY"/>
    <s v="Priya Carter"/>
    <m/>
    <x v="3"/>
    <b v="0"/>
    <m/>
    <s v="005ak00000icyWTAAY"/>
    <s v="2026-10-01T15:56:44.000Z"/>
    <m/>
    <m/>
    <d v="2026-12-09T00:00:00"/>
    <s v="LSN-01013"/>
    <s v="L-0001024"/>
    <s v="131ak000001XjDvAAK"/>
    <b v="0"/>
    <b v="0"/>
    <s v="a0Aak00000GkVwn"/>
    <s v="15:00:00.000Z"/>
    <x v="2"/>
    <s v="a07ak00001rZMpCAAW"/>
    <s v="Logan Jackson"/>
    <s v="2026-10-01T15:56:44.000Z"/>
    <b v="1"/>
    <s v="a06ak00000amzCKAAY|2026-12-09|15:00:00.000Z"/>
    <n v="1"/>
    <s v="Toms River"/>
    <x v="10"/>
    <x v="1"/>
  </r>
  <r>
    <s v="005ak00000icyWTAAY"/>
    <s v="2026-10-01T15:56:44.000Z"/>
    <n v="30"/>
    <s v="a0Aak00000GkVwoEAF"/>
    <s v="a06ak00000amzCBAAY"/>
    <s v="Aiden Hill"/>
    <m/>
    <x v="3"/>
    <b v="0"/>
    <m/>
    <s v="005ak00000icyWTAAY"/>
    <s v="2026-10-01T15:56:44.000Z"/>
    <m/>
    <m/>
    <d v="2026-12-09T00:00:00"/>
    <s v="LSN-01014"/>
    <s v="L-0001025"/>
    <s v="131ak000001XjDtAAK"/>
    <b v="0"/>
    <b v="0"/>
    <s v="a0Aak00000GkVwo"/>
    <s v="15:00:00.000Z"/>
    <x v="2"/>
    <s v="a07ak00001rZMqrAAG"/>
    <s v="Ruby Moore"/>
    <s v="2026-10-01T15:56:44.000Z"/>
    <b v="1"/>
    <s v="a06ak00000amzCBAAY|2026-12-09|15:00:00.000Z"/>
    <n v="1"/>
    <s v="Red Bank"/>
    <x v="10"/>
    <x v="1"/>
  </r>
  <r>
    <s v="005ak00000icyWTAAY"/>
    <s v="2026-10-01T15:56:44.000Z"/>
    <n v="30"/>
    <s v="a0Aak00000GkVwpEAF"/>
    <s v="a06ak00000amzBgAAI"/>
    <s v="Noah Mitchell"/>
    <m/>
    <x v="1"/>
    <b v="0"/>
    <m/>
    <s v="005ak00000icyWTAAY"/>
    <s v="2026-10-01T15:56:44.000Z"/>
    <m/>
    <m/>
    <d v="2026-12-09T00:00:00"/>
    <s v="LSN-01015"/>
    <s v="L-0001026"/>
    <s v="131ak000001XjDuAAK"/>
    <b v="0"/>
    <b v="0"/>
    <s v="a0Aak00000GkVwp"/>
    <s v="15:30:00.000Z"/>
    <x v="2"/>
    <s v="a07ak00001rZMpFAAW"/>
    <s v="Vincent Jones"/>
    <s v="2026-10-01T15:56:44.000Z"/>
    <b v="1"/>
    <s v="a06ak00000amzBgAAI|2026-12-09|15:30:00.000Z"/>
    <n v="1"/>
    <s v="Brick"/>
    <x v="10"/>
    <x v="1"/>
  </r>
  <r>
    <s v="005ak00000icyWTAAY"/>
    <s v="2026-10-01T15:56:44.000Z"/>
    <n v="30"/>
    <s v="a0Aak00000GkVwqEAF"/>
    <s v="a06ak00000amzCBAAY"/>
    <s v="Aiden Hill"/>
    <m/>
    <x v="3"/>
    <b v="0"/>
    <m/>
    <s v="005ak00000icyWTAAY"/>
    <s v="2026-10-01T15:56:44.000Z"/>
    <m/>
    <m/>
    <d v="2026-12-09T00:00:00"/>
    <s v="LSN-01016"/>
    <s v="L-0001027"/>
    <s v="131ak000001XjDtAAK"/>
    <b v="0"/>
    <b v="0"/>
    <s v="a0Aak00000GkVwq"/>
    <s v="16:30:00.000Z"/>
    <x v="2"/>
    <s v="a07ak00001rZMrjAAG"/>
    <s v="Fatima Nakamura"/>
    <s v="2026-10-01T15:56:44.000Z"/>
    <b v="1"/>
    <s v="a06ak00000amzCBAAY|2026-12-09|16:30:00.000Z"/>
    <n v="1"/>
    <s v="Red Bank"/>
    <x v="10"/>
    <x v="1"/>
  </r>
  <r>
    <s v="005ak00000icyWTAAY"/>
    <s v="2026-10-01T15:56:44.000Z"/>
    <n v="30"/>
    <s v="a0Aak00000GkVwrEAF"/>
    <s v="a06ak00000amzC0AAI"/>
    <s v="James Moore"/>
    <m/>
    <x v="9"/>
    <b v="0"/>
    <m/>
    <s v="005ak00000icyWTAAY"/>
    <s v="2026-10-01T15:56:44.000Z"/>
    <m/>
    <m/>
    <d v="2026-12-10T00:00:00"/>
    <s v="LSN-01017"/>
    <s v="L-0001028"/>
    <s v="131ak000001XjDtAAK"/>
    <b v="0"/>
    <b v="0"/>
    <s v="a0Aak00000GkVwr"/>
    <s v="15:00:00.000Z"/>
    <x v="2"/>
    <s v="a07ak00001rZMpbAAG"/>
    <s v="Sofia Green"/>
    <s v="2026-10-01T15:56:44.000Z"/>
    <b v="1"/>
    <s v="a06ak00000amzC0AAI|2026-12-10|15:00:00.000Z"/>
    <n v="1"/>
    <s v="Red Bank"/>
    <x v="10"/>
    <x v="1"/>
  </r>
  <r>
    <s v="005ak00000icyWTAAY"/>
    <s v="2026-10-01T15:56:44.000Z"/>
    <n v="30"/>
    <s v="a0Aak00000GkVwsEAF"/>
    <s v="a06ak00000amzBzAAI"/>
    <s v="Ezra Garcia"/>
    <m/>
    <x v="5"/>
    <b v="0"/>
    <m/>
    <s v="005ak00000icyWTAAY"/>
    <s v="2026-10-01T15:56:44.000Z"/>
    <m/>
    <m/>
    <d v="2026-12-10T00:00:00"/>
    <s v="LSN-01018"/>
    <s v="L-0001029"/>
    <s v="131ak000001XjDtAAK"/>
    <b v="0"/>
    <b v="0"/>
    <s v="a0Aak00000GkVws"/>
    <s v="15:00:00.000Z"/>
    <x v="2"/>
    <s v="a07ak00001rZMr1AAG"/>
    <s v="Lincoln Scott"/>
    <s v="2026-10-01T15:56:44.000Z"/>
    <b v="1"/>
    <s v="a06ak00000amzBzAAI|2026-12-10|15:00:00.000Z"/>
    <n v="1"/>
    <s v="Red Bank"/>
    <x v="10"/>
    <x v="1"/>
  </r>
  <r>
    <s v="005ak00000icyWTAAY"/>
    <s v="2026-10-01T15:56:44.000Z"/>
    <n v="30"/>
    <s v="a0Aak00000GkVwtEAF"/>
    <s v="a06ak00000amzBiAAI"/>
    <s v="Zoey Torres"/>
    <m/>
    <x v="7"/>
    <b v="0"/>
    <m/>
    <s v="005ak00000icyWTAAY"/>
    <s v="2026-10-01T15:56:44.000Z"/>
    <m/>
    <m/>
    <d v="2026-12-10T00:00:00"/>
    <s v="LSN-01019"/>
    <s v="L-0001030"/>
    <s v="131ak000001XjDtAAK"/>
    <b v="0"/>
    <b v="0"/>
    <s v="a0Aak00000GkVwt"/>
    <s v="15:30:00.000Z"/>
    <x v="2"/>
    <s v="a07ak00001rZMpsAAG"/>
    <s v="Aubrey Clark"/>
    <s v="2026-10-01T15:56:44.000Z"/>
    <b v="1"/>
    <s v="a06ak00000amzBiAAI|2026-12-10|15:30:00.000Z"/>
    <n v="1"/>
    <s v="Red Bank"/>
    <x v="10"/>
    <x v="1"/>
  </r>
  <r>
    <s v="005ak00000icyWTAAY"/>
    <s v="2026-10-01T15:56:44.000Z"/>
    <n v="60"/>
    <s v="a0Aak00000GkVwuEAF"/>
    <s v="a06ak00000amzBzAAI"/>
    <s v="Ezra Garcia"/>
    <m/>
    <x v="5"/>
    <b v="0"/>
    <m/>
    <s v="005ak00000icyWTAAY"/>
    <s v="2026-10-01T15:56:44.000Z"/>
    <m/>
    <m/>
    <d v="2026-12-10T00:00:00"/>
    <s v="LSN-01020"/>
    <s v="L-0001031"/>
    <s v="131ak000001XjDvAAK"/>
    <b v="0"/>
    <b v="0"/>
    <s v="a0Aak00000GkVwu"/>
    <s v="17:30:00.000Z"/>
    <x v="2"/>
    <s v="a07ak00001rZMq3AAG"/>
    <s v="Anthony Nakamura"/>
    <s v="2026-10-01T15:56:44.000Z"/>
    <b v="1"/>
    <s v="a06ak00000amzBzAAI|2026-12-10|17:30:00.000Z"/>
    <n v="1"/>
    <s v="Toms River"/>
    <x v="10"/>
    <x v="1"/>
  </r>
  <r>
    <s v="005ak00000icyWTAAY"/>
    <s v="2026-10-01T15:56:44.000Z"/>
    <n v="60"/>
    <s v="a0Aak00000GkVwvEAF"/>
    <s v="a06ak00000amzCIAAY"/>
    <s v="Omar Nelson"/>
    <m/>
    <x v="7"/>
    <b v="0"/>
    <m/>
    <s v="005ak00000icyWTAAY"/>
    <s v="2026-10-01T15:56:44.000Z"/>
    <m/>
    <m/>
    <d v="2026-12-10T00:00:00"/>
    <s v="LSN-01021"/>
    <s v="L-0001032"/>
    <s v="131ak000001XjDvAAK"/>
    <b v="0"/>
    <b v="0"/>
    <s v="a0Aak00000GkVwv"/>
    <s v="18:00:00.000Z"/>
    <x v="2"/>
    <s v="a07ak00001rZMr2AAG"/>
    <s v="Maria Rodriguez"/>
    <s v="2026-10-01T15:56:44.000Z"/>
    <b v="1"/>
    <s v="a06ak00000amzCIAAY|2026-12-10|18:00:00.000Z"/>
    <n v="1"/>
    <s v="Toms River"/>
    <x v="10"/>
    <x v="1"/>
  </r>
  <r>
    <s v="005ak00000icyWTAAY"/>
    <s v="2026-10-01T15:56:44.000Z"/>
    <n v="45"/>
    <s v="a0Aak00000GkVwwEAF"/>
    <s v="a06ak00000amzCCAAY"/>
    <s v="Rowan Jones"/>
    <m/>
    <x v="9"/>
    <b v="0"/>
    <m/>
    <s v="005ak00000icyWTAAY"/>
    <s v="2026-10-01T15:56:44.000Z"/>
    <m/>
    <m/>
    <d v="2026-12-11T00:00:00"/>
    <s v="LSN-01022"/>
    <s v="L-0001033"/>
    <s v="131ak000001XjDvAAK"/>
    <b v="0"/>
    <b v="0"/>
    <s v="a0Aak00000GkVww"/>
    <s v="17:00:00.000Z"/>
    <x v="2"/>
    <s v="a07ak00001rZMriAAG"/>
    <s v="Paisley Davis"/>
    <s v="2026-10-01T15:56:44.000Z"/>
    <b v="1"/>
    <s v="a06ak00000amzCCAAY|2026-12-11|17:00:00.000Z"/>
    <n v="1"/>
    <s v="Toms River"/>
    <x v="10"/>
    <x v="1"/>
  </r>
  <r>
    <s v="005ak00000icyWTAAY"/>
    <s v="2026-10-01T15:56:44.000Z"/>
    <n v="30"/>
    <s v="a0Aak00000GkVwxEAF"/>
    <s v="a06ak00000amzCBAAY"/>
    <s v="Aiden Hill"/>
    <m/>
    <x v="3"/>
    <b v="0"/>
    <m/>
    <s v="005ak00000icyWTAAY"/>
    <s v="2026-10-01T15:56:44.000Z"/>
    <m/>
    <m/>
    <d v="2026-12-11T00:00:00"/>
    <s v="LSN-01023"/>
    <s v="L-0001034"/>
    <s v="131ak000001XjDtAAK"/>
    <b v="0"/>
    <b v="0"/>
    <s v="a0Aak00000GkVwx"/>
    <s v="17:30:00.000Z"/>
    <x v="2"/>
    <s v="a07ak00001rZMqOAAW"/>
    <s v="Brandon Byrne"/>
    <s v="2026-10-01T15:56:44.000Z"/>
    <b v="1"/>
    <s v="a06ak00000amzCBAAY|2026-12-11|17:30:00.000Z"/>
    <n v="1"/>
    <s v="Red Bank"/>
    <x v="10"/>
    <x v="1"/>
  </r>
  <r>
    <s v="005ak00000icyWTAAY"/>
    <s v="2026-10-01T15:56:44.000Z"/>
    <n v="45"/>
    <s v="a0Aak00000GkVwyEAF"/>
    <s v="a06ak00000amzC8AAI"/>
    <s v="Adrian Byrne"/>
    <m/>
    <x v="9"/>
    <b v="0"/>
    <m/>
    <s v="005ak00000icyWTAAY"/>
    <s v="2026-10-01T15:56:44.000Z"/>
    <m/>
    <m/>
    <d v="2026-12-11T00:00:00"/>
    <s v="LSN-01024"/>
    <s v="L-0001035"/>
    <s v="131ak000001XjDuAAK"/>
    <b v="0"/>
    <b v="0"/>
    <s v="a0Aak00000GkVwy"/>
    <s v="18:00:00.000Z"/>
    <x v="2"/>
    <s v="a07ak00001rZMrdAAG"/>
    <s v="Declan King"/>
    <s v="2026-10-01T15:56:44.000Z"/>
    <b v="1"/>
    <s v="a06ak00000amzC8AAI|2026-12-11|18:00:00.000Z"/>
    <n v="1"/>
    <s v="Brick"/>
    <x v="10"/>
    <x v="1"/>
  </r>
  <r>
    <s v="005ak00000icyWTAAY"/>
    <s v="2026-10-01T15:56:44.000Z"/>
    <n v="30"/>
    <s v="a0Aak00000GkVwzEAF"/>
    <s v="a06ak00000amzBiAAI"/>
    <s v="Zoey Torres"/>
    <m/>
    <x v="7"/>
    <b v="0"/>
    <m/>
    <s v="005ak00000icyWTAAY"/>
    <s v="2026-10-01T15:56:44.000Z"/>
    <m/>
    <m/>
    <d v="2026-12-11T00:00:00"/>
    <s v="LSN-01025"/>
    <s v="L-0001036"/>
    <s v="131ak000001XjDtAAK"/>
    <b v="0"/>
    <b v="0"/>
    <s v="a0Aak00000GkVwz"/>
    <s v="18:00:00.000Z"/>
    <x v="2"/>
    <s v="a07ak00001rZMroAAG"/>
    <s v="Sebastian Wilson"/>
    <s v="2026-10-01T15:56:44.000Z"/>
    <b v="1"/>
    <s v="a06ak00000amzBiAAI|2026-12-11|18:00:00.000Z"/>
    <n v="1"/>
    <s v="Red Bank"/>
    <x v="10"/>
    <x v="1"/>
  </r>
  <r>
    <s v="005ak00000icyWTAAY"/>
    <s v="2026-10-01T15:56:44.000Z"/>
    <n v="30"/>
    <s v="a0Aak00000GkVx0EAF"/>
    <s v="a06ak00000amzCCAAY"/>
    <s v="Rowan Jones"/>
    <m/>
    <x v="7"/>
    <b v="0"/>
    <m/>
    <s v="005ak00000icyWTAAY"/>
    <s v="2026-10-01T15:56:44.000Z"/>
    <m/>
    <m/>
    <d v="2026-12-11T00:00:00"/>
    <s v="LSN-01026"/>
    <s v="L-0001037"/>
    <s v="131ak000001XjDuAAK"/>
    <b v="0"/>
    <b v="0"/>
    <s v="a0Aak00000GkVx0"/>
    <s v="19:00:00.000Z"/>
    <x v="2"/>
    <s v="a07ak00001rZMrsAAG"/>
    <s v="Miles Hill"/>
    <s v="2026-10-01T15:56:44.000Z"/>
    <b v="1"/>
    <s v="a06ak00000amzCCAAY|2026-12-11|19:00:00.000Z"/>
    <n v="1"/>
    <s v="Brick"/>
    <x v="10"/>
    <x v="1"/>
  </r>
  <r>
    <s v="005ak00000icyWTAAY"/>
    <s v="2026-10-01T15:56:44.000Z"/>
    <n v="30"/>
    <s v="a0Aak00000GkVx1EAF"/>
    <s v="a06ak00000amzBiAAI"/>
    <s v="Zoey Torres"/>
    <m/>
    <x v="1"/>
    <b v="0"/>
    <m/>
    <s v="005ak00000icyWTAAY"/>
    <s v="2026-10-01T15:56:44.000Z"/>
    <m/>
    <m/>
    <d v="2026-12-12T00:00:00"/>
    <s v="LSN-01027"/>
    <s v="L-0001038"/>
    <s v="131ak000001XjDtAAK"/>
    <b v="0"/>
    <b v="0"/>
    <s v="a0Aak00000GkVx1"/>
    <s v="10:00:00.000Z"/>
    <x v="2"/>
    <s v="a07ak00001rZMpTAAW"/>
    <s v="Henry Dubois"/>
    <s v="2026-10-01T15:56:44.000Z"/>
    <b v="1"/>
    <s v="a06ak00000amzBiAAI|2026-12-12|10:00:00.000Z"/>
    <n v="1"/>
    <s v="Red Bank"/>
    <x v="10"/>
    <x v="1"/>
  </r>
  <r>
    <s v="005ak00000icyWTAAY"/>
    <s v="2026-10-01T15:56:44.000Z"/>
    <n v="45"/>
    <s v="a0Aak00000GkVx2EAF"/>
    <s v="a06ak00000amzCCAAY"/>
    <s v="Rowan Jones"/>
    <m/>
    <x v="9"/>
    <b v="0"/>
    <m/>
    <s v="005ak00000icyWTAAY"/>
    <s v="2026-10-01T15:56:44.000Z"/>
    <m/>
    <m/>
    <d v="2026-12-12T00:00:00"/>
    <s v="LSN-01028"/>
    <s v="L-0001039"/>
    <s v="131ak000001XjDuAAK"/>
    <b v="0"/>
    <b v="0"/>
    <s v="a0Aak00000GkVx2"/>
    <s v="10:00:00.000Z"/>
    <x v="2"/>
    <s v="a07ak00001rZMphAAG"/>
    <s v="Aiden Roberts"/>
    <s v="2026-10-01T15:56:44.000Z"/>
    <b v="1"/>
    <s v="a06ak00000amzCCAAY|2026-12-12|10:00:00.000Z"/>
    <n v="1"/>
    <s v="Brick"/>
    <x v="10"/>
    <x v="1"/>
  </r>
  <r>
    <s v="005ak00000icyWTAAY"/>
    <s v="2026-10-01T15:56:44.000Z"/>
    <n v="45"/>
    <s v="a0Aak00000GkVx3EAF"/>
    <s v="a06ak00000amzBzAAI"/>
    <s v="Ezra Garcia"/>
    <m/>
    <x v="11"/>
    <b v="0"/>
    <m/>
    <s v="005ak00000icyWTAAY"/>
    <s v="2026-10-01T15:56:44.000Z"/>
    <m/>
    <m/>
    <d v="2026-12-12T00:00:00"/>
    <s v="LSN-01029"/>
    <s v="L-0001040"/>
    <s v="131ak000001XjDtAAK"/>
    <b v="0"/>
    <b v="0"/>
    <s v="a0Aak00000GkVx3"/>
    <s v="10:00:00.000Z"/>
    <x v="2"/>
    <s v="a07ak00001rZMpuAAG"/>
    <s v="Everly Nelson"/>
    <s v="2026-10-01T15:56:44.000Z"/>
    <b v="1"/>
    <s v="a06ak00000amzBzAAI|2026-12-12|10:00:00.000Z"/>
    <n v="1"/>
    <s v="Red Bank"/>
    <x v="10"/>
    <x v="1"/>
  </r>
  <r>
    <s v="005ak00000icyWTAAY"/>
    <s v="2026-10-01T15:56:44.000Z"/>
    <n v="30"/>
    <s v="a0Aak00000GkVx4EAF"/>
    <s v="a06ak00000amzC1AAI"/>
    <s v="Valentina Nakamura"/>
    <m/>
    <x v="11"/>
    <b v="0"/>
    <m/>
    <s v="005ak00000icyWTAAY"/>
    <s v="2026-10-01T15:56:44.000Z"/>
    <m/>
    <m/>
    <d v="2026-12-12T00:00:00"/>
    <s v="LSN-01030"/>
    <s v="L-0001041"/>
    <s v="131ak000001XjDvAAK"/>
    <b v="0"/>
    <b v="0"/>
    <s v="a0Aak00000GkVx4"/>
    <s v="11:30:00.000Z"/>
    <x v="2"/>
    <s v="a07ak00001rZMpwAAG"/>
    <s v="Brooklyn Young"/>
    <s v="2026-10-01T15:56:44.000Z"/>
    <b v="1"/>
    <s v="a06ak00000amzC1AAI|2026-12-12|11:30:00.000Z"/>
    <n v="1"/>
    <s v="Toms River"/>
    <x v="10"/>
    <x v="1"/>
  </r>
  <r>
    <s v="005ak00000icyWTAAY"/>
    <s v="2026-10-01T15:56:44.000Z"/>
    <n v="30"/>
    <s v="a0Aak00000GkVx5EAF"/>
    <s v="a06ak00000amzCHAAY"/>
    <s v="Liam Flores"/>
    <m/>
    <x v="4"/>
    <b v="0"/>
    <m/>
    <s v="005ak00000icyWTAAY"/>
    <s v="2026-10-01T15:56:44.000Z"/>
    <m/>
    <m/>
    <d v="2026-12-12T00:00:00"/>
    <s v="LSN-01031"/>
    <s v="L-0001042"/>
    <s v="131ak000001XjDtAAK"/>
    <b v="0"/>
    <b v="0"/>
    <s v="a0Aak00000GkVx5"/>
    <s v="11:30:00.000Z"/>
    <x v="2"/>
    <s v="a07ak00001rZMqPAAW"/>
    <s v="Tyler Byrne"/>
    <s v="2026-10-01T15:56:44.000Z"/>
    <b v="1"/>
    <s v="a06ak00000amzCHAAY|2026-12-12|11:30:00.000Z"/>
    <n v="1"/>
    <s v="Red Bank"/>
    <x v="10"/>
    <x v="1"/>
  </r>
  <r>
    <s v="005ak00000icyWTAAY"/>
    <s v="2026-10-01T15:56:44.000Z"/>
    <n v="30"/>
    <s v="a0Aak00000GkVx6EAF"/>
    <s v="a06ak00000amzBzAAI"/>
    <s v="Ezra Garcia"/>
    <m/>
    <x v="0"/>
    <b v="0"/>
    <m/>
    <s v="005ak00000icyWTAAY"/>
    <s v="2026-10-01T15:56:44.000Z"/>
    <m/>
    <m/>
    <d v="2026-12-12T00:00:00"/>
    <s v="LSN-01032"/>
    <s v="L-0001043"/>
    <s v="131ak000001XjDtAAK"/>
    <b v="0"/>
    <b v="0"/>
    <s v="a0Aak00000GkVx6"/>
    <s v="12:00:00.000Z"/>
    <x v="2"/>
    <s v="a07ak00001rZMqXAAW"/>
    <s v="Malachi Torres"/>
    <s v="2026-10-01T15:56:44.000Z"/>
    <b v="1"/>
    <s v="a06ak00000amzBzAAI|2026-12-12|12:00:00.000Z"/>
    <n v="1"/>
    <s v="Red Bank"/>
    <x v="10"/>
    <x v="1"/>
  </r>
  <r>
    <s v="005ak00000icyWTAAY"/>
    <s v="2026-10-01T15:56:44.000Z"/>
    <n v="60"/>
    <s v="a0Aak00000GkVx7EAF"/>
    <s v="a06ak00000amzByAAI"/>
    <s v="Vincent Sullivan"/>
    <m/>
    <x v="10"/>
    <b v="0"/>
    <m/>
    <s v="005ak00000icyWTAAY"/>
    <s v="2026-10-01T15:56:44.000Z"/>
    <m/>
    <m/>
    <d v="2026-12-12T00:00:00"/>
    <s v="LSN-01033"/>
    <s v="L-0001044"/>
    <s v="131ak000001XjDvAAK"/>
    <b v="0"/>
    <b v="0"/>
    <s v="a0Aak00000GkVx7"/>
    <s v="12:30:00.000Z"/>
    <x v="2"/>
    <s v="a07ak00001rZMpnAAG"/>
    <s v="Leo Mitchell"/>
    <s v="2026-10-01T15:56:44.000Z"/>
    <b v="1"/>
    <s v="a06ak00000amzByAAI|2026-12-12|12:30:00.000Z"/>
    <n v="1"/>
    <s v="Toms River"/>
    <x v="10"/>
    <x v="1"/>
  </r>
  <r>
    <s v="005ak00000icyWTAAY"/>
    <s v="2026-10-01T15:56:44.000Z"/>
    <n v="45"/>
    <s v="a0Aak00000GkVx8EAF"/>
    <s v="a06ak00000amzBgAAI"/>
    <s v="Noah Mitchell"/>
    <m/>
    <x v="1"/>
    <b v="0"/>
    <m/>
    <s v="005ak00000icyWTAAY"/>
    <s v="2026-10-01T15:56:44.000Z"/>
    <m/>
    <m/>
    <d v="2026-12-14T00:00:00"/>
    <s v="LSN-01034"/>
    <s v="L-0001045"/>
    <s v="131ak000001XjDuAAK"/>
    <b v="0"/>
    <b v="0"/>
    <s v="a0Aak00000GkVx8"/>
    <s v="15:30:00.000Z"/>
    <x v="2"/>
    <s v="a07ak00001rZMqzAAG"/>
    <s v="Gabriel Green"/>
    <s v="2026-10-01T15:56:44.000Z"/>
    <b v="1"/>
    <s v="a06ak00000amzBgAAI|2026-12-14|15:30:00.000Z"/>
    <n v="1"/>
    <s v="Brick"/>
    <x v="10"/>
    <x v="1"/>
  </r>
  <r>
    <s v="005ak00000icyWTAAY"/>
    <s v="2026-10-01T15:56:44.000Z"/>
    <n v="45"/>
    <s v="a0Aak00000GkVx9EAF"/>
    <s v="a06ak00000amzC1AAI"/>
    <s v="Valentina Nakamura"/>
    <m/>
    <x v="5"/>
    <b v="0"/>
    <m/>
    <s v="005ak00000icyWTAAY"/>
    <s v="2026-10-01T15:56:44.000Z"/>
    <m/>
    <m/>
    <d v="2026-12-14T00:00:00"/>
    <s v="LSN-01035"/>
    <s v="L-0001046"/>
    <s v="131ak000001XjDuAAK"/>
    <b v="0"/>
    <b v="0"/>
    <s v="a0Aak00000GkVx9"/>
    <s v="15:30:00.000Z"/>
    <x v="2"/>
    <s v="a07ak00001rZMrpAAG"/>
    <s v="Miles Silva"/>
    <s v="2026-10-01T15:56:44.000Z"/>
    <b v="1"/>
    <s v="a06ak00000amzC1AAI|2026-12-14|15:30:00.000Z"/>
    <n v="1"/>
    <s v="Brick"/>
    <x v="10"/>
    <x v="1"/>
  </r>
  <r>
    <s v="005ak00000icyWTAAY"/>
    <s v="2026-10-01T15:56:44.000Z"/>
    <n v="45"/>
    <s v="a0Aak00000GkVxAEAV"/>
    <s v="a06ak00000amzBiAAI"/>
    <s v="Zoey Torres"/>
    <m/>
    <x v="1"/>
    <b v="0"/>
    <m/>
    <s v="005ak00000icyWTAAY"/>
    <s v="2026-10-01T15:56:44.000Z"/>
    <m/>
    <m/>
    <d v="2026-12-14T00:00:00"/>
    <s v="LSN-01036"/>
    <s v="L-0001047"/>
    <s v="131ak000001XjDtAAK"/>
    <b v="0"/>
    <b v="0"/>
    <s v="a0Aak00000GkVxA"/>
    <s v="17:30:00.000Z"/>
    <x v="2"/>
    <s v="a07ak00001rZMq6AAG"/>
    <s v="Miles Jones"/>
    <s v="2026-10-01T15:56:44.000Z"/>
    <b v="1"/>
    <s v="a06ak00000amzBiAAI|2026-12-14|17:30:00.000Z"/>
    <n v="1"/>
    <s v="Red Bank"/>
    <x v="10"/>
    <x v="1"/>
  </r>
  <r>
    <s v="005ak00000icyWTAAY"/>
    <s v="2026-10-01T15:56:44.000Z"/>
    <n v="30"/>
    <s v="a0Aak00000GkVxBEAV"/>
    <s v="a06ak00000amzCBAAY"/>
    <s v="Aiden Hill"/>
    <m/>
    <x v="3"/>
    <b v="0"/>
    <m/>
    <s v="005ak00000icyWTAAY"/>
    <s v="2026-10-01T15:56:44.000Z"/>
    <m/>
    <m/>
    <d v="2026-12-14T00:00:00"/>
    <s v="LSN-01037"/>
    <s v="L-0001048"/>
    <s v="131ak000001XjDtAAK"/>
    <b v="0"/>
    <b v="0"/>
    <s v="a0Aak00000GkVxB"/>
    <s v="17:30:00.000Z"/>
    <x v="2"/>
    <s v="a07ak00001rZMrYAAW"/>
    <s v="Victoria Martinez"/>
    <s v="2026-10-01T15:56:44.000Z"/>
    <b v="1"/>
    <s v="a06ak00000amzCBAAY|2026-12-14|17:30:00.000Z"/>
    <n v="1"/>
    <s v="Red Bank"/>
    <x v="10"/>
    <x v="1"/>
  </r>
  <r>
    <s v="005ak00000icyWTAAY"/>
    <s v="2026-10-01T15:56:44.000Z"/>
    <n v="60"/>
    <s v="a0Aak00000GkVxCEAV"/>
    <s v="a06ak00000amzCCAAY"/>
    <s v="Rowan Jones"/>
    <m/>
    <x v="3"/>
    <b v="0"/>
    <m/>
    <s v="005ak00000icyWTAAY"/>
    <s v="2026-10-01T15:56:44.000Z"/>
    <m/>
    <m/>
    <d v="2026-12-14T00:00:00"/>
    <s v="LSN-01038"/>
    <s v="L-0001049"/>
    <s v="131ak000001XjDuAAK"/>
    <b v="0"/>
    <b v="0"/>
    <s v="a0Aak00000GkVxC"/>
    <s v="18:30:00.000Z"/>
    <x v="2"/>
    <s v="a07ak00001rZMpaAAG"/>
    <s v="Layla Hill"/>
    <s v="2026-10-01T15:56:44.000Z"/>
    <b v="1"/>
    <s v="a06ak00000amzCCAAY|2026-12-14|18:30:00.000Z"/>
    <n v="1"/>
    <s v="Brick"/>
    <x v="10"/>
    <x v="1"/>
  </r>
  <r>
    <s v="005ak00000icyWTAAY"/>
    <s v="2026-10-01T15:56:44.000Z"/>
    <n v="60"/>
    <s v="a0Aak00000GkVxDEAV"/>
    <s v="a06ak00000amzBgAAI"/>
    <s v="Noah Mitchell"/>
    <m/>
    <x v="0"/>
    <b v="0"/>
    <m/>
    <s v="005ak00000icyWTAAY"/>
    <s v="2026-10-01T15:56:44.000Z"/>
    <m/>
    <m/>
    <d v="2026-12-14T00:00:00"/>
    <s v="LSN-01039"/>
    <s v="L-0001050"/>
    <s v="131ak000001XjDuAAK"/>
    <b v="0"/>
    <b v="0"/>
    <s v="a0Aak00000GkVxD"/>
    <s v="18:30:00.000Z"/>
    <x v="2"/>
    <s v="a07ak00001rZMprAAG"/>
    <s v="Henry Brown"/>
    <s v="2026-10-01T15:56:44.000Z"/>
    <b v="1"/>
    <s v="a06ak00000amzBgAAI|2026-12-14|18:30:00.000Z"/>
    <n v="1"/>
    <s v="Brick"/>
    <x v="10"/>
    <x v="1"/>
  </r>
  <r>
    <s v="005ak00000icyWTAAY"/>
    <s v="2026-10-01T15:56:44.000Z"/>
    <n v="45"/>
    <s v="a0Aak00000GkVxEEAV"/>
    <s v="a06ak00000amzCIAAY"/>
    <s v="Omar Nelson"/>
    <m/>
    <x v="7"/>
    <b v="0"/>
    <m/>
    <s v="005ak00000icyWTAAY"/>
    <s v="2026-10-01T15:56:44.000Z"/>
    <m/>
    <m/>
    <d v="2026-12-14T00:00:00"/>
    <s v="LSN-01040"/>
    <s v="L-0001051"/>
    <s v="131ak000001XjDvAAK"/>
    <b v="0"/>
    <b v="0"/>
    <s v="a0Aak00000GkVxE"/>
    <s v="19:00:00.000Z"/>
    <x v="2"/>
    <s v="a07ak00001rZMpLAAW"/>
    <s v="Nathan Ahmed"/>
    <s v="2026-10-01T15:56:44.000Z"/>
    <b v="1"/>
    <s v="a06ak00000amzCIAAY|2026-12-14|19:00:00.000Z"/>
    <n v="1"/>
    <s v="Toms River"/>
    <x v="10"/>
    <x v="1"/>
  </r>
  <r>
    <s v="005ak00000icyWTAAY"/>
    <s v="2026-10-01T15:56:45.000Z"/>
    <n v="30"/>
    <s v="a0Aak00000GkVxFEAV"/>
    <s v="a06ak00000amzC1AAI"/>
    <s v="Valentina Nakamura"/>
    <m/>
    <x v="11"/>
    <b v="0"/>
    <m/>
    <s v="005ak00000icyWTAAY"/>
    <s v="2026-10-01T15:56:45.000Z"/>
    <m/>
    <m/>
    <d v="2027-01-25T00:00:00"/>
    <s v="LSN-01139"/>
    <s v="L-0001150"/>
    <s v="131ak000001XjDuAAK"/>
    <b v="0"/>
    <b v="0"/>
    <s v="a0Aak00000GkVxF"/>
    <s v="16:30:00.000Z"/>
    <x v="2"/>
    <s v="a07ak00001rZMrbAAG"/>
    <s v="Layla Ramirez"/>
    <s v="2026-10-01T15:56:45.000Z"/>
    <b v="1"/>
    <s v="a06ak00000amzC1AAI|2027-01-25|16:30:00.000Z"/>
    <n v="1"/>
    <s v="Brick"/>
    <x v="11"/>
    <x v="1"/>
  </r>
  <r>
    <s v="005ak00000icyWTAAY"/>
    <s v="2026-10-01T15:56:45.000Z"/>
    <n v="60"/>
    <s v="a0Aak00000GkVxGEAV"/>
    <s v="a06ak00000amzCCAAY"/>
    <s v="Rowan Jones"/>
    <m/>
    <x v="3"/>
    <b v="0"/>
    <m/>
    <s v="005ak00000icyWTAAY"/>
    <s v="2026-10-01T15:56:45.000Z"/>
    <m/>
    <m/>
    <d v="2027-01-25T00:00:00"/>
    <s v="LSN-01140"/>
    <s v="L-0001151"/>
    <s v="131ak000001XjDuAAK"/>
    <b v="0"/>
    <b v="0"/>
    <s v="a0Aak00000GkVxG"/>
    <s v="18:30:00.000Z"/>
    <x v="2"/>
    <s v="a07ak00001rZMpaAAG"/>
    <s v="Layla Hill"/>
    <s v="2026-10-01T15:56:45.000Z"/>
    <b v="1"/>
    <s v="a06ak00000amzCCAAY|2027-01-25|18:30:00.000Z"/>
    <n v="1"/>
    <s v="Brick"/>
    <x v="11"/>
    <x v="1"/>
  </r>
  <r>
    <s v="005ak00000icyWTAAY"/>
    <s v="2026-10-01T15:56:45.000Z"/>
    <n v="45"/>
    <s v="a0Aak00000GkVxHEAV"/>
    <s v="a06ak00000amzCBAAY"/>
    <s v="Aiden Hill"/>
    <m/>
    <x v="10"/>
    <b v="0"/>
    <m/>
    <s v="005ak00000icyWTAAY"/>
    <s v="2026-10-01T15:56:45.000Z"/>
    <m/>
    <m/>
    <d v="2027-01-26T00:00:00"/>
    <s v="LSN-01141"/>
    <s v="L-0001152"/>
    <s v="131ak000001XjDtAAK"/>
    <b v="0"/>
    <b v="0"/>
    <s v="a0Aak00000GkVxH"/>
    <s v="16:30:00.000Z"/>
    <x v="2"/>
    <s v="a07ak00001rZMqLAAW"/>
    <s v="Everly Roberts"/>
    <s v="2026-10-01T15:56:45.000Z"/>
    <b v="1"/>
    <s v="a06ak00000amzCBAAY|2027-01-26|16:30:00.000Z"/>
    <n v="1"/>
    <s v="Red Bank"/>
    <x v="11"/>
    <x v="1"/>
  </r>
  <r>
    <s v="005ak00000icyWTAAY"/>
    <s v="2026-10-01T15:56:45.000Z"/>
    <n v="45"/>
    <s v="a0Aak00000GkVxIEAV"/>
    <s v="a06ak00000amzBzAAI"/>
    <s v="Ezra Garcia"/>
    <m/>
    <x v="0"/>
    <b v="0"/>
    <m/>
    <s v="005ak00000icyWTAAY"/>
    <s v="2026-10-01T15:56:45.000Z"/>
    <m/>
    <m/>
    <d v="2027-01-26T00:00:00"/>
    <s v="LSN-01142"/>
    <s v="L-0001153"/>
    <s v="131ak000001XjDtAAK"/>
    <b v="0"/>
    <b v="0"/>
    <s v="a0Aak00000GkVxI"/>
    <s v="18:30:00.000Z"/>
    <x v="2"/>
    <s v="a07ak00001rZMpJAAW"/>
    <s v="Josiah Torres"/>
    <s v="2026-10-01T15:56:45.000Z"/>
    <b v="1"/>
    <s v="a06ak00000amzBzAAI|2027-01-26|18:30:00.000Z"/>
    <n v="1"/>
    <s v="Red Bank"/>
    <x v="11"/>
    <x v="1"/>
  </r>
  <r>
    <s v="005ak00000icyWTAAY"/>
    <s v="2026-10-01T15:56:45.000Z"/>
    <n v="60"/>
    <s v="a0Aak00000GkVxJEAV"/>
    <s v="a06ak00000amzBiAAI"/>
    <s v="Zoey Torres"/>
    <m/>
    <x v="8"/>
    <b v="0"/>
    <m/>
    <s v="005ak00000icyWTAAY"/>
    <s v="2026-10-01T15:56:45.000Z"/>
    <m/>
    <m/>
    <d v="2027-01-27T00:00:00"/>
    <s v="LSN-01143"/>
    <s v="L-0001154"/>
    <s v="131ak000001XjDtAAK"/>
    <b v="0"/>
    <b v="0"/>
    <s v="a0Aak00000GkVxJ"/>
    <s v="15:00:00.000Z"/>
    <x v="2"/>
    <s v="a07ak00001rZMrzAAG"/>
    <s v="Penelope Baker"/>
    <s v="2026-10-01T15:56:45.000Z"/>
    <b v="1"/>
    <s v="a06ak00000amzBiAAI|2027-01-27|15:00:00.000Z"/>
    <n v="1"/>
    <s v="Red Bank"/>
    <x v="11"/>
    <x v="1"/>
  </r>
  <r>
    <s v="005ak00000icyWTAAY"/>
    <s v="2026-10-01T15:56:45.000Z"/>
    <n v="60"/>
    <s v="a0Aak00000GkVxKEAV"/>
    <s v="a06ak00000amzBiAAI"/>
    <s v="Zoey Torres"/>
    <m/>
    <x v="7"/>
    <b v="0"/>
    <m/>
    <s v="005ak00000icyWTAAY"/>
    <s v="2026-10-01T15:56:45.000Z"/>
    <m/>
    <m/>
    <d v="2027-01-27T00:00:00"/>
    <s v="LSN-01144"/>
    <s v="L-0001155"/>
    <s v="131ak000001XjDtAAK"/>
    <b v="0"/>
    <b v="0"/>
    <s v="a0Aak00000GkVxK"/>
    <s v="16:00:00.000Z"/>
    <x v="2"/>
    <s v="a07ak00001rZMpmAAG"/>
    <s v="Scarlett Jackson"/>
    <s v="2026-10-01T15:56:45.000Z"/>
    <b v="1"/>
    <s v="a06ak00000amzBiAAI|2027-01-27|16:00:00.000Z"/>
    <n v="1"/>
    <s v="Red Bank"/>
    <x v="11"/>
    <x v="1"/>
  </r>
  <r>
    <s v="005ak00000icyWTAAY"/>
    <s v="2026-10-01T15:56:45.000Z"/>
    <n v="45"/>
    <s v="a0Aak00000GkVxLEAV"/>
    <s v="a06ak00000amzBfAAI"/>
    <s v="Mia Smith"/>
    <m/>
    <x v="6"/>
    <b v="0"/>
    <m/>
    <s v="005ak00000icyWTAAY"/>
    <s v="2026-10-01T15:56:45.000Z"/>
    <m/>
    <m/>
    <d v="2027-01-27T00:00:00"/>
    <s v="LSN-01145"/>
    <s v="L-0001156"/>
    <s v="131ak000001XjDuAAK"/>
    <b v="0"/>
    <b v="0"/>
    <s v="a0Aak00000GkVxL"/>
    <s v="16:30:00.000Z"/>
    <x v="2"/>
    <s v="a07ak00001rZMqaAAG"/>
    <s v="Theo Anderson"/>
    <s v="2026-10-01T15:56:45.000Z"/>
    <b v="1"/>
    <s v="a06ak00000amzBfAAI|2027-01-27|16:30:00.000Z"/>
    <n v="1"/>
    <s v="Brick"/>
    <x v="11"/>
    <x v="1"/>
  </r>
  <r>
    <s v="005ak00000icyWTAAY"/>
    <s v="2026-10-01T15:56:45.000Z"/>
    <n v="30"/>
    <s v="a0Aak00000GkVxMEAV"/>
    <s v="a06ak00000amzC0AAI"/>
    <s v="James Moore"/>
    <m/>
    <x v="9"/>
    <b v="0"/>
    <m/>
    <s v="005ak00000icyWTAAY"/>
    <s v="2026-10-01T15:56:45.000Z"/>
    <m/>
    <m/>
    <d v="2027-01-28T00:00:00"/>
    <s v="LSN-01146"/>
    <s v="L-0001157"/>
    <s v="131ak000001XjDtAAK"/>
    <b v="0"/>
    <b v="0"/>
    <s v="a0Aak00000GkVxM"/>
    <s v="15:00:00.000Z"/>
    <x v="2"/>
    <s v="a07ak00001rZMpbAAG"/>
    <s v="Sofia Green"/>
    <s v="2026-10-01T15:56:45.000Z"/>
    <b v="1"/>
    <s v="a06ak00000amzC0AAI|2027-01-28|15:00:00.000Z"/>
    <n v="1"/>
    <s v="Red Bank"/>
    <x v="11"/>
    <x v="1"/>
  </r>
  <r>
    <s v="005ak00000icyWTAAY"/>
    <s v="2026-10-01T15:56:45.000Z"/>
    <n v="30"/>
    <s v="a0Aak00000GkVxNEAV"/>
    <s v="a06ak00000amzBzAAI"/>
    <s v="Ezra Garcia"/>
    <m/>
    <x v="5"/>
    <b v="0"/>
    <m/>
    <s v="005ak00000icyWTAAY"/>
    <s v="2026-10-01T15:56:45.000Z"/>
    <m/>
    <m/>
    <d v="2027-01-28T00:00:00"/>
    <s v="LSN-01147"/>
    <s v="L-0001158"/>
    <s v="131ak000001XjDtAAK"/>
    <b v="0"/>
    <b v="0"/>
    <s v="a0Aak00000GkVxN"/>
    <s v="15:00:00.000Z"/>
    <x v="2"/>
    <s v="a07ak00001rZMr1AAG"/>
    <s v="Lincoln Scott"/>
    <s v="2026-10-01T15:56:45.000Z"/>
    <b v="1"/>
    <s v="a06ak00000amzBzAAI|2027-01-28|15:00:00.000Z"/>
    <n v="1"/>
    <s v="Red Bank"/>
    <x v="11"/>
    <x v="1"/>
  </r>
  <r>
    <s v="005ak00000icyWTAAY"/>
    <s v="2026-10-01T15:56:45.000Z"/>
    <n v="45"/>
    <s v="a0Aak00000GkVxOEAV"/>
    <s v="a06ak00000amzCHAAY"/>
    <s v="Liam Flores"/>
    <m/>
    <x v="4"/>
    <b v="0"/>
    <m/>
    <s v="005ak00000icyWTAAY"/>
    <s v="2026-10-01T15:56:45.000Z"/>
    <m/>
    <m/>
    <d v="2027-01-28T00:00:00"/>
    <s v="LSN-01148"/>
    <s v="L-0001159"/>
    <s v="131ak000001XjDtAAK"/>
    <b v="0"/>
    <b v="0"/>
    <s v="a0Aak00000GkVxO"/>
    <s v="15:30:00.000Z"/>
    <x v="2"/>
    <s v="a07ak00001rZMrDAAW"/>
    <s v="Jackson Lopez"/>
    <s v="2026-10-01T15:56:45.000Z"/>
    <b v="1"/>
    <s v="a06ak00000amzCHAAY|2027-01-28|15:30:00.000Z"/>
    <n v="1"/>
    <s v="Red Bank"/>
    <x v="11"/>
    <x v="1"/>
  </r>
  <r>
    <s v="005ak00000icyWTAAY"/>
    <s v="2026-10-01T15:56:45.000Z"/>
    <n v="30"/>
    <s v="a0Aak00000GkVxPEAV"/>
    <s v="a06ak00000amzC0AAI"/>
    <s v="James Moore"/>
    <m/>
    <x v="9"/>
    <b v="0"/>
    <m/>
    <s v="005ak00000icyWTAAY"/>
    <s v="2026-10-01T15:56:45.000Z"/>
    <m/>
    <m/>
    <d v="2027-01-28T00:00:00"/>
    <s v="LSN-01149"/>
    <s v="L-0001160"/>
    <s v="131ak000001XjDtAAK"/>
    <b v="0"/>
    <b v="0"/>
    <s v="a0Aak00000GkVxP"/>
    <s v="16:00:00.000Z"/>
    <x v="2"/>
    <s v="a07ak00001rZMqZAAW"/>
    <s v="Nathan Perez"/>
    <s v="2026-10-01T15:56:45.000Z"/>
    <b v="1"/>
    <s v="a06ak00000amzC0AAI|2027-01-28|16:00:00.000Z"/>
    <n v="1"/>
    <s v="Red Bank"/>
    <x v="11"/>
    <x v="1"/>
  </r>
  <r>
    <s v="005ak00000icyWTAAY"/>
    <s v="2026-10-01T15:56:45.000Z"/>
    <n v="30"/>
    <s v="a0Aak00000GkVxQEAV"/>
    <s v="a06ak00000amzBgAAI"/>
    <s v="Noah Mitchell"/>
    <m/>
    <x v="8"/>
    <b v="0"/>
    <m/>
    <s v="005ak00000icyWTAAY"/>
    <s v="2026-10-01T15:56:45.000Z"/>
    <m/>
    <m/>
    <d v="2027-01-28T00:00:00"/>
    <s v="LSN-01150"/>
    <s v="L-0001161"/>
    <s v="131ak000001XjDuAAK"/>
    <b v="0"/>
    <b v="0"/>
    <s v="a0Aak00000GkVxQ"/>
    <s v="16:00:00.000Z"/>
    <x v="2"/>
    <s v="a07ak00001rZMrqAAG"/>
    <s v="Matthew Thomas"/>
    <s v="2026-10-01T15:56:45.000Z"/>
    <b v="1"/>
    <s v="a06ak00000amzBgAAI|2027-01-28|16:00:00.000Z"/>
    <n v="1"/>
    <s v="Brick"/>
    <x v="11"/>
    <x v="1"/>
  </r>
  <r>
    <s v="005ak00000icyWTAAY"/>
    <s v="2026-10-01T15:56:45.000Z"/>
    <n v="60"/>
    <s v="a0Aak00000GkVxREAV"/>
    <s v="a06ak00000amzBzAAI"/>
    <s v="Ezra Garcia"/>
    <m/>
    <x v="5"/>
    <b v="0"/>
    <m/>
    <s v="005ak00000icyWTAAY"/>
    <s v="2026-10-01T15:56:45.000Z"/>
    <m/>
    <m/>
    <d v="2027-01-28T00:00:00"/>
    <s v="LSN-01151"/>
    <s v="L-0001162"/>
    <s v="131ak000001XjDvAAK"/>
    <b v="0"/>
    <b v="0"/>
    <s v="a0Aak00000GkVxR"/>
    <s v="17:30:00.000Z"/>
    <x v="2"/>
    <s v="a07ak00001rZMq3AAG"/>
    <s v="Anthony Nakamura"/>
    <s v="2026-10-01T15:56:45.000Z"/>
    <b v="1"/>
    <s v="a06ak00000amzBzAAI|2027-01-28|17:30:00.000Z"/>
    <n v="1"/>
    <s v="Toms River"/>
    <x v="11"/>
    <x v="1"/>
  </r>
  <r>
    <s v="005ak00000icyWTAAY"/>
    <s v="2026-10-01T15:56:45.000Z"/>
    <n v="45"/>
    <s v="a0Aak00000GkVxSEAV"/>
    <s v="a06ak00000amzCHAAY"/>
    <s v="Liam Flores"/>
    <m/>
    <x v="4"/>
    <b v="0"/>
    <m/>
    <s v="005ak00000icyWTAAY"/>
    <s v="2026-10-01T15:56:45.000Z"/>
    <m/>
    <m/>
    <d v="2027-01-29T00:00:00"/>
    <s v="LSN-01152"/>
    <s v="L-0001163"/>
    <s v="131ak000001XjDuAAK"/>
    <b v="0"/>
    <b v="0"/>
    <s v="a0Aak00000GkVxS"/>
    <s v="18:00:00.000Z"/>
    <x v="2"/>
    <s v="a07ak00001rZMqEAAW"/>
    <s v="Lucas Rodriguez"/>
    <s v="2026-10-01T15:56:45.000Z"/>
    <b v="1"/>
    <s v="a06ak00000amzCHAAY|2027-01-29|18:00:00.000Z"/>
    <n v="1"/>
    <s v="Brick"/>
    <x v="11"/>
    <x v="1"/>
  </r>
  <r>
    <s v="005ak00000icyWTAAY"/>
    <s v="2026-10-01T15:56:45.000Z"/>
    <n v="30"/>
    <s v="a0Aak00000GkVxTEAV"/>
    <s v="a06ak00000amzBfAAI"/>
    <s v="Mia Smith"/>
    <m/>
    <x v="6"/>
    <b v="0"/>
    <m/>
    <s v="005ak00000icyWTAAY"/>
    <s v="2026-10-01T15:56:45.000Z"/>
    <m/>
    <m/>
    <d v="2027-01-29T00:00:00"/>
    <s v="LSN-01153"/>
    <s v="L-0001164"/>
    <s v="131ak000001XjDvAAK"/>
    <b v="0"/>
    <b v="0"/>
    <s v="a0Aak00000GkVxT"/>
    <s v="18:00:00.000Z"/>
    <x v="2"/>
    <s v="a07ak00001rZMrRAAW"/>
    <s v="Amelia Okafor"/>
    <s v="2026-10-01T15:56:45.000Z"/>
    <b v="1"/>
    <s v="a06ak00000amzBfAAI|2027-01-29|18:00:00.000Z"/>
    <n v="1"/>
    <s v="Toms River"/>
    <x v="11"/>
    <x v="1"/>
  </r>
  <r>
    <s v="005ak00000icyWTAAY"/>
    <s v="2026-10-01T15:56:45.000Z"/>
    <n v="30"/>
    <s v="a0Aak00000GkVxUEAV"/>
    <s v="a06ak00000amzBxAAI"/>
    <s v="Miles Allen"/>
    <m/>
    <x v="7"/>
    <b v="0"/>
    <m/>
    <s v="005ak00000icyWTAAY"/>
    <s v="2026-10-01T15:56:45.000Z"/>
    <m/>
    <m/>
    <d v="2027-01-30T00:00:00"/>
    <s v="LSN-01154"/>
    <s v="L-0001165"/>
    <s v="131ak000001XjDuAAK"/>
    <b v="0"/>
    <b v="0"/>
    <s v="a0Aak00000GkVxU"/>
    <s v="10:00:00.000Z"/>
    <x v="2"/>
    <s v="a07ak00001rZMruAAG"/>
    <s v="Diego Kelly"/>
    <s v="2026-10-01T15:56:45.000Z"/>
    <b v="1"/>
    <s v="a06ak00000amzBxAAI|2027-01-30|10:00:00.000Z"/>
    <n v="1"/>
    <s v="Brick"/>
    <x v="11"/>
    <x v="1"/>
  </r>
  <r>
    <s v="005ak00000icyWTAAY"/>
    <s v="2026-10-01T15:56:45.000Z"/>
    <n v="60"/>
    <s v="a0Aak00000GkVxVEAV"/>
    <s v="a06ak00000amzCBAAY"/>
    <s v="Aiden Hill"/>
    <m/>
    <x v="10"/>
    <b v="0"/>
    <m/>
    <s v="005ak00000icyWTAAY"/>
    <s v="2026-10-01T15:56:45.000Z"/>
    <m/>
    <m/>
    <d v="2027-01-30T00:00:00"/>
    <s v="LSN-01155"/>
    <s v="L-0001166"/>
    <s v="131ak000001XjDtAAK"/>
    <b v="0"/>
    <b v="0"/>
    <s v="a0Aak00000GkVxV"/>
    <s v="12:30:00.000Z"/>
    <x v="2"/>
    <s v="a07ak00001rZMrNAAW"/>
    <s v="Skylar Kim"/>
    <s v="2026-10-01T15:56:45.000Z"/>
    <b v="1"/>
    <s v="a06ak00000amzCBAAY|2027-01-30|12:30:00.000Z"/>
    <n v="1"/>
    <s v="Red Bank"/>
    <x v="11"/>
    <x v="1"/>
  </r>
  <r>
    <s v="005ak00000icyWTAAY"/>
    <s v="2026-10-01T15:56:45.000Z"/>
    <n v="30"/>
    <s v="a0Aak00000GkVxWEAV"/>
    <s v="a06ak00000amzBzAAI"/>
    <s v="Ezra Garcia"/>
    <m/>
    <x v="0"/>
    <b v="0"/>
    <m/>
    <s v="005ak00000icyWTAAY"/>
    <s v="2026-10-01T15:56:45.000Z"/>
    <m/>
    <m/>
    <d v="2027-02-01T00:00:00"/>
    <s v="LSN-01156"/>
    <s v="L-0001167"/>
    <s v="131ak000001XjDtAAK"/>
    <b v="0"/>
    <b v="0"/>
    <s v="a0Aak00000GkVxW"/>
    <s v="17:30:00.000Z"/>
    <x v="2"/>
    <s v="a07ak00001rZMqUAAW"/>
    <s v="Riley Silva"/>
    <s v="2026-10-01T15:56:45.000Z"/>
    <b v="1"/>
    <s v="a06ak00000amzBzAAI|2027-02-01|17:30:00.000Z"/>
    <n v="1"/>
    <s v="Red Bank"/>
    <x v="13"/>
    <x v="1"/>
  </r>
  <r>
    <s v="005ak00000icyWTAAY"/>
    <s v="2026-10-01T15:56:45.000Z"/>
    <n v="60"/>
    <s v="a0Aak00000GkVxXEAV"/>
    <s v="a06ak00000amzCHAAY"/>
    <s v="Liam Flores"/>
    <m/>
    <x v="4"/>
    <b v="0"/>
    <m/>
    <s v="005ak00000icyWTAAY"/>
    <s v="2026-10-01T15:56:45.000Z"/>
    <m/>
    <m/>
    <d v="2027-02-01T00:00:00"/>
    <s v="LSN-01157"/>
    <s v="L-0001168"/>
    <s v="131ak000001XjDuAAK"/>
    <b v="0"/>
    <b v="0"/>
    <s v="a0Aak00000GkVxX"/>
    <s v="18:30:00.000Z"/>
    <x v="2"/>
    <s v="a07ak00001rZMraAAG"/>
    <s v="Yusuf King"/>
    <s v="2026-10-01T15:56:45.000Z"/>
    <b v="1"/>
    <s v="a06ak00000amzCHAAY|2027-02-01|18:30:00.000Z"/>
    <n v="1"/>
    <s v="Brick"/>
    <x v="13"/>
    <x v="1"/>
  </r>
  <r>
    <s v="005ak00000icyWTAAY"/>
    <s v="2026-10-01T15:56:45.000Z"/>
    <n v="30"/>
    <s v="a0Aak00000GkVxYEAV"/>
    <s v="a06ak00000amzBxAAI"/>
    <s v="Miles Allen"/>
    <m/>
    <x v="7"/>
    <b v="0"/>
    <m/>
    <s v="005ak00000icyWTAAY"/>
    <s v="2026-10-01T15:56:45.000Z"/>
    <m/>
    <m/>
    <d v="2027-02-02T00:00:00"/>
    <s v="LSN-01158"/>
    <s v="L-0001169"/>
    <s v="131ak000001XjDuAAK"/>
    <b v="0"/>
    <b v="0"/>
    <s v="a0Aak00000GkVxY"/>
    <s v="15:00:00.000Z"/>
    <x v="2"/>
    <s v="a07ak00001rZMrAAAW"/>
    <s v="Lincoln Garcia"/>
    <s v="2026-10-01T15:56:45.000Z"/>
    <b v="1"/>
    <s v="a06ak00000amzBxAAI|2027-02-02|15:00:00.000Z"/>
    <n v="1"/>
    <s v="Brick"/>
    <x v="13"/>
    <x v="1"/>
  </r>
  <r>
    <s v="005ak00000icyWTAAY"/>
    <s v="2026-10-01T15:56:45.000Z"/>
    <n v="60"/>
    <s v="a0Aak00000GkVxZEAV"/>
    <s v="a06ak00000amzCHAAY"/>
    <s v="Liam Flores"/>
    <m/>
    <x v="4"/>
    <b v="0"/>
    <m/>
    <s v="005ak00000icyWTAAY"/>
    <s v="2026-10-01T15:56:45.000Z"/>
    <m/>
    <m/>
    <d v="2027-02-02T00:00:00"/>
    <s v="LSN-01159"/>
    <s v="L-0001170"/>
    <s v="131ak000001XjDtAAK"/>
    <b v="0"/>
    <b v="0"/>
    <s v="a0Aak00000GkVxZ"/>
    <s v="16:30:00.000Z"/>
    <x v="2"/>
    <s v="a07ak00001rZMrVAAW"/>
    <s v="Isaac Taylor"/>
    <s v="2026-10-01T15:56:45.000Z"/>
    <b v="1"/>
    <s v="a06ak00000amzCHAAY|2027-02-02|16:30:00.000Z"/>
    <n v="1"/>
    <s v="Red Bank"/>
    <x v="13"/>
    <x v="1"/>
  </r>
  <r>
    <s v="005ak00000icyWTAAY"/>
    <s v="2026-10-01T15:56:45.000Z"/>
    <n v="60"/>
    <s v="a0Aak00000GkVxaEAF"/>
    <s v="a06ak00000amzC8AAI"/>
    <s v="Adrian Byrne"/>
    <m/>
    <x v="9"/>
    <b v="0"/>
    <m/>
    <s v="005ak00000icyWTAAY"/>
    <s v="2026-10-01T15:56:45.000Z"/>
    <m/>
    <m/>
    <d v="2027-02-02T00:00:00"/>
    <s v="LSN-01160"/>
    <s v="L-0001171"/>
    <s v="131ak000001XjDvAAK"/>
    <b v="0"/>
    <b v="0"/>
    <s v="a0Aak00000GkVxa"/>
    <s v="18:00:00.000Z"/>
    <x v="2"/>
    <s v="a07ak00001rZMqhAAG"/>
    <s v="Chloe Allen"/>
    <s v="2026-10-01T15:56:45.000Z"/>
    <b v="1"/>
    <s v="a06ak00000amzC8AAI|2027-02-02|18:00:00.000Z"/>
    <n v="1"/>
    <s v="Toms River"/>
    <x v="13"/>
    <x v="1"/>
  </r>
  <r>
    <s v="005ak00000icyWTAAY"/>
    <s v="2026-10-01T15:56:45.000Z"/>
    <n v="60"/>
    <s v="a0Aak00000GkVxbEAF"/>
    <s v="a06ak00000amzBfAAI"/>
    <s v="Mia Smith"/>
    <m/>
    <x v="6"/>
    <b v="0"/>
    <m/>
    <s v="005ak00000icyWTAAY"/>
    <s v="2026-10-01T15:56:45.000Z"/>
    <m/>
    <m/>
    <d v="2027-02-03T00:00:00"/>
    <s v="LSN-01161"/>
    <s v="L-0001172"/>
    <s v="131ak000001XjDvAAK"/>
    <b v="0"/>
    <b v="0"/>
    <s v="a0Aak00000GkVxb"/>
    <s v="18:30:00.000Z"/>
    <x v="2"/>
    <s v="a07ak00001rZMpPAAW"/>
    <s v="Aubrey Anderson"/>
    <s v="2026-10-01T15:56:45.000Z"/>
    <b v="1"/>
    <s v="a06ak00000amzBfAAI|2027-02-03|18:30:00.000Z"/>
    <n v="1"/>
    <s v="Toms River"/>
    <x v="13"/>
    <x v="1"/>
  </r>
  <r>
    <s v="005ak00000icyWTAAY"/>
    <s v="2026-10-01T15:56:45.000Z"/>
    <n v="30"/>
    <s v="a0Aak00000GkVxcEAF"/>
    <s v="a06ak00000amzBiAAI"/>
    <s v="Zoey Torres"/>
    <m/>
    <x v="8"/>
    <b v="0"/>
    <m/>
    <s v="005ak00000icyWTAAY"/>
    <s v="2026-10-01T15:56:45.000Z"/>
    <m/>
    <m/>
    <d v="2027-02-04T00:00:00"/>
    <s v="LSN-01162"/>
    <s v="L-0001173"/>
    <s v="131ak000001XjDtAAK"/>
    <b v="0"/>
    <b v="0"/>
    <s v="a0Aak00000GkVxc"/>
    <s v="15:00:00.000Z"/>
    <x v="2"/>
    <s v="a07ak00001rZMqwAAG"/>
    <s v="Maria Martinez"/>
    <s v="2026-10-01T15:56:45.000Z"/>
    <b v="1"/>
    <s v="a06ak00000amzBiAAI|2027-02-04|15:00:00.000Z"/>
    <n v="1"/>
    <s v="Red Bank"/>
    <x v="13"/>
    <x v="1"/>
  </r>
  <r>
    <s v="005ak00000icyWTAAY"/>
    <s v="2026-10-01T15:56:45.000Z"/>
    <n v="30"/>
    <s v="a0Aak00000GkVxdEAF"/>
    <s v="a06ak00000amzBiAAI"/>
    <s v="Zoey Torres"/>
    <m/>
    <x v="7"/>
    <b v="0"/>
    <m/>
    <s v="005ak00000icyWTAAY"/>
    <s v="2026-10-01T15:56:45.000Z"/>
    <m/>
    <m/>
    <d v="2027-02-04T00:00:00"/>
    <s v="LSN-01163"/>
    <s v="L-0001174"/>
    <s v="131ak000001XjDtAAK"/>
    <b v="0"/>
    <b v="0"/>
    <s v="a0Aak00000GkVxd"/>
    <s v="15:30:00.000Z"/>
    <x v="2"/>
    <s v="a07ak00001rZMpsAAG"/>
    <s v="Aubrey Clark"/>
    <s v="2026-10-01T15:56:45.000Z"/>
    <b v="1"/>
    <s v="a06ak00000amzBiAAI|2027-02-04|15:30:00.000Z"/>
    <n v="1"/>
    <s v="Red Bank"/>
    <x v="13"/>
    <x v="1"/>
  </r>
  <r>
    <s v="005ak00000icyWTAAY"/>
    <s v="2026-10-01T15:56:45.000Z"/>
    <n v="30"/>
    <s v="a0Aak00000GkVxeEAF"/>
    <s v="a06ak00000amzC0AAI"/>
    <s v="James Moore"/>
    <m/>
    <x v="9"/>
    <b v="0"/>
    <m/>
    <s v="005ak00000icyWTAAY"/>
    <s v="2026-10-01T15:56:45.000Z"/>
    <m/>
    <m/>
    <d v="2027-02-04T00:00:00"/>
    <s v="LSN-01164"/>
    <s v="L-0001175"/>
    <s v="131ak000001XjDtAAK"/>
    <b v="0"/>
    <b v="0"/>
    <s v="a0Aak00000GkVxe"/>
    <s v="16:00:00.000Z"/>
    <x v="2"/>
    <s v="a07ak00001rZMqZAAW"/>
    <s v="Nathan Perez"/>
    <s v="2026-10-01T15:56:45.000Z"/>
    <b v="1"/>
    <s v="a06ak00000amzC0AAI|2027-02-04|16:00:00.000Z"/>
    <n v="1"/>
    <s v="Red Bank"/>
    <x v="13"/>
    <x v="1"/>
  </r>
  <r>
    <s v="005ak00000icyWTAAY"/>
    <s v="2026-10-01T15:56:45.000Z"/>
    <n v="60"/>
    <s v="a0Aak00000GkVxfEAF"/>
    <s v="a06ak00000amzBzAAI"/>
    <s v="Ezra Garcia"/>
    <m/>
    <x v="5"/>
    <b v="0"/>
    <m/>
    <s v="005ak00000icyWTAAY"/>
    <s v="2026-10-01T15:56:45.000Z"/>
    <m/>
    <m/>
    <d v="2027-02-04T00:00:00"/>
    <s v="LSN-01165"/>
    <s v="L-0001176"/>
    <s v="131ak000001XjDvAAK"/>
    <b v="0"/>
    <b v="0"/>
    <s v="a0Aak00000GkVxf"/>
    <s v="17:30:00.000Z"/>
    <x v="2"/>
    <s v="a07ak00001rZMq3AAG"/>
    <s v="Anthony Nakamura"/>
    <s v="2026-10-01T15:56:45.000Z"/>
    <b v="1"/>
    <s v="a06ak00000amzBzAAI|2027-02-04|17:30:00.000Z"/>
    <n v="1"/>
    <s v="Toms River"/>
    <x v="13"/>
    <x v="1"/>
  </r>
  <r>
    <s v="005ak00000icyWTAAY"/>
    <s v="2026-10-01T15:56:45.000Z"/>
    <n v="45"/>
    <s v="a0Aak00000GkVxgEAF"/>
    <s v="a06ak00000amzByAAI"/>
    <s v="Vincent Sullivan"/>
    <m/>
    <x v="10"/>
    <b v="0"/>
    <m/>
    <s v="005ak00000icyWTAAY"/>
    <s v="2026-10-01T15:56:45.000Z"/>
    <m/>
    <m/>
    <d v="2027-02-04T00:00:00"/>
    <s v="LSN-01166"/>
    <s v="L-0001177"/>
    <s v="131ak000001XjDvAAK"/>
    <b v="0"/>
    <b v="0"/>
    <s v="a0Aak00000GkVxg"/>
    <s v="19:00:00.000Z"/>
    <x v="2"/>
    <s v="a07ak00001rZMrSAAW"/>
    <s v="Leo Okafor"/>
    <s v="2026-10-01T15:56:45.000Z"/>
    <b v="1"/>
    <s v="a06ak00000amzByAAI|2027-02-04|19:00:00.000Z"/>
    <n v="1"/>
    <s v="Toms River"/>
    <x v="13"/>
    <x v="1"/>
  </r>
  <r>
    <s v="005ak00000icyWTAAY"/>
    <s v="2026-10-01T15:56:45.000Z"/>
    <n v="30"/>
    <s v="a0Aak00000GkVxhEAF"/>
    <s v="a06ak00000amzBxAAI"/>
    <s v="Miles Allen"/>
    <m/>
    <x v="7"/>
    <b v="0"/>
    <m/>
    <s v="005ak00000icyWTAAY"/>
    <s v="2026-10-01T15:56:45.000Z"/>
    <m/>
    <m/>
    <d v="2027-02-05T00:00:00"/>
    <s v="LSN-01167"/>
    <s v="L-0001178"/>
    <s v="131ak000001XjDuAAK"/>
    <b v="0"/>
    <b v="0"/>
    <s v="a0Aak00000GkVxh"/>
    <s v="16:30:00.000Z"/>
    <x v="2"/>
    <s v="a07ak00001rZMpIAAW"/>
    <s v="Genesis Lopez"/>
    <s v="2026-10-01T15:56:45.000Z"/>
    <b v="1"/>
    <s v="a06ak00000amzBxAAI|2027-02-05|16:30:00.000Z"/>
    <n v="1"/>
    <s v="Brick"/>
    <x v="13"/>
    <x v="1"/>
  </r>
  <r>
    <s v="005ak00000icyWTAAY"/>
    <s v="2026-10-01T15:56:45.000Z"/>
    <n v="30"/>
    <s v="a0Aak00000GkVxiEAF"/>
    <s v="a06ak00000amzC8AAI"/>
    <s v="Adrian Byrne"/>
    <m/>
    <x v="9"/>
    <b v="0"/>
    <m/>
    <s v="005ak00000icyWTAAY"/>
    <s v="2026-10-01T15:56:45.000Z"/>
    <m/>
    <m/>
    <d v="2027-02-05T00:00:00"/>
    <s v="LSN-01168"/>
    <s v="L-0001179"/>
    <s v="131ak000001XjDuAAK"/>
    <b v="0"/>
    <b v="0"/>
    <s v="a0Aak00000GkVxi"/>
    <s v="16:30:00.000Z"/>
    <x v="2"/>
    <s v="a07ak00001rZMr4AAG"/>
    <s v="Olivia Baker"/>
    <s v="2026-10-01T15:56:45.000Z"/>
    <b v="1"/>
    <s v="a06ak00000amzC8AAI|2027-02-05|16:30:00.000Z"/>
    <n v="1"/>
    <s v="Brick"/>
    <x v="13"/>
    <x v="1"/>
  </r>
  <r>
    <s v="005ak00000icyWTAAY"/>
    <s v="2026-10-01T15:56:45.000Z"/>
    <n v="30"/>
    <s v="a0Aak00000GkVxjEAF"/>
    <s v="a06ak00000amzCBAAY"/>
    <s v="Aiden Hill"/>
    <m/>
    <x v="3"/>
    <b v="0"/>
    <m/>
    <s v="005ak00000icyWTAAY"/>
    <s v="2026-10-01T15:56:45.000Z"/>
    <m/>
    <m/>
    <d v="2027-02-05T00:00:00"/>
    <s v="LSN-01169"/>
    <s v="L-0001180"/>
    <s v="131ak000001XjDtAAK"/>
    <b v="0"/>
    <b v="0"/>
    <s v="a0Aak00000GkVxj"/>
    <s v="17:30:00.000Z"/>
    <x v="2"/>
    <s v="a07ak00001rZMqOAAW"/>
    <s v="Brandon Byrne"/>
    <s v="2026-10-01T15:56:45.000Z"/>
    <b v="1"/>
    <s v="a06ak00000amzCBAAY|2027-02-05|17:30:00.000Z"/>
    <n v="1"/>
    <s v="Red Bank"/>
    <x v="13"/>
    <x v="1"/>
  </r>
  <r>
    <s v="005ak00000icyWTAAY"/>
    <s v="2026-10-01T15:56:45.000Z"/>
    <n v="30"/>
    <s v="a0Aak00000GkVxkEAF"/>
    <s v="a06ak00000amzBfAAI"/>
    <s v="Mia Smith"/>
    <m/>
    <x v="6"/>
    <b v="0"/>
    <m/>
    <s v="005ak00000icyWTAAY"/>
    <s v="2026-10-01T15:56:45.000Z"/>
    <m/>
    <m/>
    <d v="2027-02-05T00:00:00"/>
    <s v="LSN-01170"/>
    <s v="L-0001181"/>
    <s v="131ak000001XjDvAAK"/>
    <b v="0"/>
    <b v="0"/>
    <s v="a0Aak00000GkVxk"/>
    <s v="18:00:00.000Z"/>
    <x v="2"/>
    <s v="a07ak00001rZMrRAAW"/>
    <s v="Amelia Okafor"/>
    <s v="2026-10-01T15:56:45.000Z"/>
    <b v="1"/>
    <s v="a06ak00000amzBfAAI|2027-02-05|18:00:00.000Z"/>
    <n v="1"/>
    <s v="Toms River"/>
    <x v="13"/>
    <x v="1"/>
  </r>
  <r>
    <s v="005ak00000icyWTAAY"/>
    <s v="2026-10-01T15:56:45.000Z"/>
    <n v="30"/>
    <s v="a0Aak00000GkVxlEAF"/>
    <s v="a06ak00000amzBzAAI"/>
    <s v="Ezra Garcia"/>
    <m/>
    <x v="5"/>
    <b v="0"/>
    <m/>
    <s v="005ak00000icyWTAAY"/>
    <s v="2026-10-01T15:56:45.000Z"/>
    <m/>
    <m/>
    <d v="2027-02-06T00:00:00"/>
    <s v="LSN-01171"/>
    <s v="L-0001182"/>
    <s v="131ak000001XjDtAAK"/>
    <b v="0"/>
    <b v="0"/>
    <s v="a0Aak00000GkVxl"/>
    <s v="09:00:00.000Z"/>
    <x v="2"/>
    <s v="a07ak00001rZMrwAAG"/>
    <s v="Jonah Clark"/>
    <s v="2026-10-01T15:56:45.000Z"/>
    <b v="1"/>
    <s v="a06ak00000amzBzAAI|2027-02-06|09:00:00.000Z"/>
    <n v="1"/>
    <s v="Red Bank"/>
    <x v="13"/>
    <x v="1"/>
  </r>
  <r>
    <s v="005ak00000icyWTAAY"/>
    <s v="2026-10-01T15:56:45.000Z"/>
    <n v="45"/>
    <s v="a0Aak00000GkVxmEAF"/>
    <s v="a06ak00000amzByAAI"/>
    <s v="Vincent Sullivan"/>
    <m/>
    <x v="10"/>
    <b v="0"/>
    <m/>
    <s v="005ak00000icyWTAAY"/>
    <s v="2026-10-01T15:56:45.000Z"/>
    <m/>
    <m/>
    <d v="2027-02-06T00:00:00"/>
    <s v="LSN-01172"/>
    <s v="L-0001183"/>
    <s v="131ak000001XjDuAAK"/>
    <b v="0"/>
    <b v="0"/>
    <s v="a0Aak00000GkVxm"/>
    <s v="10:00:00.000Z"/>
    <x v="2"/>
    <s v="a07ak00001rZMpxAAG"/>
    <s v="Mei White"/>
    <s v="2026-10-01T15:56:45.000Z"/>
    <b v="1"/>
    <s v="a06ak00000amzByAAI|2027-02-06|10:00:00.000Z"/>
    <n v="1"/>
    <s v="Brick"/>
    <x v="13"/>
    <x v="1"/>
  </r>
  <r>
    <s v="005ak00000icyWTAAY"/>
    <s v="2026-10-01T15:56:45.000Z"/>
    <n v="30"/>
    <s v="a0Aak00000GkVxnEAF"/>
    <s v="a06ak00000amzBxAAI"/>
    <s v="Miles Allen"/>
    <m/>
    <x v="7"/>
    <b v="0"/>
    <m/>
    <s v="005ak00000icyWTAAY"/>
    <s v="2026-10-01T15:56:45.000Z"/>
    <m/>
    <m/>
    <d v="2027-02-06T00:00:00"/>
    <s v="LSN-01173"/>
    <s v="L-0001184"/>
    <s v="131ak000001XjDuAAK"/>
    <b v="0"/>
    <b v="0"/>
    <s v="a0Aak00000GkVxn"/>
    <s v="11:30:00.000Z"/>
    <x v="2"/>
    <s v="a07ak00001rZMqAAAW"/>
    <s v="Elijah Jones"/>
    <s v="2026-10-01T15:56:45.000Z"/>
    <b v="1"/>
    <s v="a06ak00000amzBxAAI|2027-02-06|11:30:00.000Z"/>
    <n v="1"/>
    <s v="Brick"/>
    <x v="13"/>
    <x v="1"/>
  </r>
  <r>
    <s v="005ak00000icyWTAAY"/>
    <s v="2026-10-01T15:56:45.000Z"/>
    <n v="60"/>
    <s v="a0Aak00000GkVxoEAF"/>
    <s v="a06ak00000amzByAAI"/>
    <s v="Vincent Sullivan"/>
    <m/>
    <x v="10"/>
    <b v="0"/>
    <m/>
    <s v="005ak00000icyWTAAY"/>
    <s v="2026-10-01T15:56:45.000Z"/>
    <m/>
    <m/>
    <d v="2027-02-06T00:00:00"/>
    <s v="LSN-01174"/>
    <s v="L-0001185"/>
    <s v="131ak000001XjDvAAK"/>
    <b v="0"/>
    <b v="0"/>
    <s v="a0Aak00000GkVxo"/>
    <s v="12:30:00.000Z"/>
    <x v="2"/>
    <s v="a07ak00001rZMpnAAG"/>
    <s v="Leo Mitchell"/>
    <s v="2026-10-01T15:56:45.000Z"/>
    <b v="1"/>
    <s v="a06ak00000amzByAAI|2027-02-06|12:30:00.000Z"/>
    <n v="1"/>
    <s v="Toms River"/>
    <x v="13"/>
    <x v="1"/>
  </r>
  <r>
    <s v="005ak00000icyWTAAY"/>
    <s v="2026-10-01T15:56:45.000Z"/>
    <n v="60"/>
    <s v="a0Aak00000GkVxpEAF"/>
    <s v="a06ak00000amzCBAAY"/>
    <s v="Aiden Hill"/>
    <m/>
    <x v="10"/>
    <b v="0"/>
    <m/>
    <s v="005ak00000icyWTAAY"/>
    <s v="2026-10-01T15:56:45.000Z"/>
    <m/>
    <m/>
    <d v="2027-02-06T00:00:00"/>
    <s v="LSN-01175"/>
    <s v="L-0001186"/>
    <s v="131ak000001XjDtAAK"/>
    <b v="0"/>
    <b v="0"/>
    <s v="a0Aak00000GkVxp"/>
    <s v="12:30:00.000Z"/>
    <x v="2"/>
    <s v="a07ak00001rZMrNAAW"/>
    <s v="Skylar Kim"/>
    <s v="2026-10-01T15:56:45.000Z"/>
    <b v="1"/>
    <s v="a06ak00000amzCBAAY|2027-02-06|12:30:00.000Z"/>
    <n v="1"/>
    <s v="Red Bank"/>
    <x v="13"/>
    <x v="1"/>
  </r>
  <r>
    <s v="005ak00000icyWTAAY"/>
    <s v="2026-10-01T15:56:45.000Z"/>
    <n v="60"/>
    <s v="a0Aak00000GkVxqEAF"/>
    <s v="a06ak00000amzC8AAI"/>
    <s v="Adrian Byrne"/>
    <m/>
    <x v="2"/>
    <b v="0"/>
    <m/>
    <s v="005ak00000icyWTAAY"/>
    <s v="2026-10-01T15:56:45.000Z"/>
    <m/>
    <m/>
    <d v="2027-02-06T00:00:00"/>
    <s v="LSN-01176"/>
    <s v="L-0001187"/>
    <s v="131ak000001XjDuAAK"/>
    <b v="0"/>
    <b v="0"/>
    <s v="a0Aak00000GkVxq"/>
    <s v="12:30:00.000Z"/>
    <x v="2"/>
    <s v="a07ak00001rZMrUAAW"/>
    <s v="Daniel Kim"/>
    <s v="2026-10-01T15:56:45.000Z"/>
    <b v="1"/>
    <s v="a06ak00000amzC8AAI|2027-02-06|12:30:00.000Z"/>
    <n v="1"/>
    <s v="Brick"/>
    <x v="13"/>
    <x v="1"/>
  </r>
  <r>
    <s v="005ak00000icyWTAAY"/>
    <s v="2026-10-01T15:56:45.000Z"/>
    <n v="45"/>
    <s v="a0Aak00000GkVxrEAF"/>
    <s v="a06ak00000amzCHAAY"/>
    <s v="Liam Flores"/>
    <m/>
    <x v="4"/>
    <b v="0"/>
    <m/>
    <s v="005ak00000icyWTAAY"/>
    <s v="2026-10-01T15:56:45.000Z"/>
    <m/>
    <m/>
    <d v="2027-02-08T00:00:00"/>
    <s v="LSN-01177"/>
    <s v="L-0001188"/>
    <s v="131ak000001XjDvAAK"/>
    <b v="0"/>
    <b v="0"/>
    <s v="a0Aak00000GkVxr"/>
    <s v="16:30:00.000Z"/>
    <x v="2"/>
    <s v="a07ak00001rZMqDAAW"/>
    <s v="Ryan Lopez"/>
    <s v="2026-10-01T15:56:45.000Z"/>
    <b v="1"/>
    <s v="a06ak00000amzCHAAY|2027-02-08|16:30:00.000Z"/>
    <n v="1"/>
    <s v="Toms River"/>
    <x v="13"/>
    <x v="1"/>
  </r>
  <r>
    <s v="005ak00000icyWTAAY"/>
    <s v="2026-10-01T15:56:45.000Z"/>
    <n v="60"/>
    <s v="a0Aak00000GkVxsEAF"/>
    <s v="a06ak00000amzCBAAY"/>
    <s v="Aiden Hill"/>
    <m/>
    <x v="10"/>
    <b v="0"/>
    <m/>
    <s v="005ak00000icyWTAAY"/>
    <s v="2026-10-01T15:56:45.000Z"/>
    <m/>
    <m/>
    <d v="2027-02-08T00:00:00"/>
    <s v="LSN-01178"/>
    <s v="L-0001189"/>
    <s v="131ak000001XjDtAAK"/>
    <b v="0"/>
    <b v="0"/>
    <s v="a0Aak00000GkVxs"/>
    <s v="16:30:00.000Z"/>
    <x v="2"/>
    <s v="a07ak00001rZMrMAAW"/>
    <s v="Declan Martinez"/>
    <s v="2026-10-01T15:56:45.000Z"/>
    <b v="1"/>
    <s v="a06ak00000amzCBAAY|2027-02-08|16:30:00.000Z"/>
    <n v="1"/>
    <s v="Red Bank"/>
    <x v="13"/>
    <x v="1"/>
  </r>
  <r>
    <s v="005ak00000icyWTAAY"/>
    <s v="2026-10-01T15:56:45.000Z"/>
    <n v="30"/>
    <s v="a0Aak00000GkVxtEAF"/>
    <s v="a06ak00000amzC1AAI"/>
    <s v="Valentina Nakamura"/>
    <m/>
    <x v="11"/>
    <b v="0"/>
    <m/>
    <s v="005ak00000icyWTAAY"/>
    <s v="2026-10-01T15:56:45.000Z"/>
    <m/>
    <m/>
    <d v="2027-02-08T00:00:00"/>
    <s v="LSN-01179"/>
    <s v="L-0001190"/>
    <s v="131ak000001XjDuAAK"/>
    <b v="0"/>
    <b v="0"/>
    <s v="a0Aak00000GkVxt"/>
    <s v="16:30:00.000Z"/>
    <x v="2"/>
    <s v="a07ak00001rZMrbAAG"/>
    <s v="Layla Ramirez"/>
    <s v="2026-10-01T15:56:45.000Z"/>
    <b v="1"/>
    <s v="a06ak00000amzC1AAI|2027-02-08|16:30:00.000Z"/>
    <n v="1"/>
    <s v="Brick"/>
    <x v="13"/>
    <x v="1"/>
  </r>
  <r>
    <s v="005ak00000icyWTAAY"/>
    <s v="2026-10-01T15:56:45.000Z"/>
    <n v="45"/>
    <s v="a0Aak00000GkVxuEAF"/>
    <s v="a06ak00000amzBiAAI"/>
    <s v="Zoey Torres"/>
    <m/>
    <x v="1"/>
    <b v="0"/>
    <m/>
    <s v="005ak00000icyWTAAY"/>
    <s v="2026-10-01T15:56:45.000Z"/>
    <m/>
    <m/>
    <d v="2027-02-08T00:00:00"/>
    <s v="LSN-01180"/>
    <s v="L-0001191"/>
    <s v="131ak000001XjDtAAK"/>
    <b v="0"/>
    <b v="0"/>
    <s v="a0Aak00000GkVxu"/>
    <s v="18:30:00.000Z"/>
    <x v="2"/>
    <s v="a07ak00001rZMpgAAG"/>
    <s v="Micah King"/>
    <s v="2026-10-01T15:56:45.000Z"/>
    <b v="1"/>
    <s v="a06ak00000amzBiAAI|2027-02-08|18:30:00.000Z"/>
    <n v="1"/>
    <s v="Red Bank"/>
    <x v="13"/>
    <x v="1"/>
  </r>
  <r>
    <s v="005ak00000icyWTAAY"/>
    <s v="2026-10-01T15:56:45.000Z"/>
    <n v="60"/>
    <s v="a0Aak00000GkVxvEAF"/>
    <s v="a06ak00000amzBgAAI"/>
    <s v="Noah Mitchell"/>
    <m/>
    <x v="0"/>
    <b v="0"/>
    <m/>
    <s v="005ak00000icyWTAAY"/>
    <s v="2026-10-01T15:56:45.000Z"/>
    <m/>
    <m/>
    <d v="2027-02-08T00:00:00"/>
    <s v="LSN-01181"/>
    <s v="L-0001192"/>
    <s v="131ak000001XjDuAAK"/>
    <b v="0"/>
    <b v="0"/>
    <s v="a0Aak00000GkVxv"/>
    <s v="18:30:00.000Z"/>
    <x v="2"/>
    <s v="a07ak00001rZMprAAG"/>
    <s v="Henry Brown"/>
    <s v="2026-10-01T15:56:45.000Z"/>
    <b v="1"/>
    <s v="a06ak00000amzBgAAI|2027-02-08|18:30:00.000Z"/>
    <n v="1"/>
    <s v="Brick"/>
    <x v="13"/>
    <x v="1"/>
  </r>
  <r>
    <s v="005ak00000icyWTAAY"/>
    <s v="2026-10-01T15:56:45.000Z"/>
    <n v="30"/>
    <s v="a0Aak00000GkVxwEAF"/>
    <s v="a06ak00000amzC1AAI"/>
    <s v="Valentina Nakamura"/>
    <m/>
    <x v="5"/>
    <b v="0"/>
    <m/>
    <s v="005ak00000icyWTAAY"/>
    <s v="2026-10-01T15:56:45.000Z"/>
    <m/>
    <m/>
    <d v="2027-02-08T00:00:00"/>
    <s v="LSN-01182"/>
    <s v="L-0001193"/>
    <s v="131ak000001XjDvAAK"/>
    <b v="0"/>
    <b v="0"/>
    <s v="a0Aak00000GkVxw"/>
    <s v="19:00:00.000Z"/>
    <x v="2"/>
    <s v="a07ak00001rZMpKAAW"/>
    <s v="Sofia Sullivan"/>
    <s v="2026-10-01T15:56:45.000Z"/>
    <b v="1"/>
    <s v="a06ak00000amzC1AAI|2027-02-08|19:00:00.000Z"/>
    <n v="1"/>
    <s v="Toms River"/>
    <x v="13"/>
    <x v="1"/>
  </r>
  <r>
    <s v="005ak00000icyWTAAY"/>
    <s v="2026-10-01T15:56:45.000Z"/>
    <n v="60"/>
    <s v="a0Aak00000GkVxxEAF"/>
    <s v="a06ak00000amzC1AAI"/>
    <s v="Valentina Nakamura"/>
    <m/>
    <x v="5"/>
    <b v="0"/>
    <m/>
    <s v="005ak00000icyWTAAY"/>
    <s v="2026-10-01T15:56:45.000Z"/>
    <m/>
    <m/>
    <d v="2027-02-09T00:00:00"/>
    <s v="LSN-01183"/>
    <s v="L-0001194"/>
    <s v="131ak000001XjDuAAK"/>
    <b v="0"/>
    <b v="0"/>
    <s v="a0Aak00000GkVxx"/>
    <s v="15:30:00.000Z"/>
    <x v="2"/>
    <s v="a07ak00001rZMq0AAG"/>
    <s v="Henry Ryan"/>
    <s v="2026-10-01T15:56:45.000Z"/>
    <b v="1"/>
    <s v="a06ak00000amzC1AAI|2027-02-09|15:30:00.000Z"/>
    <n v="1"/>
    <s v="Brick"/>
    <x v="13"/>
    <x v="1"/>
  </r>
  <r>
    <s v="005ak00000icyWTAAY"/>
    <s v="2026-10-01T15:56:45.000Z"/>
    <n v="45"/>
    <s v="a0Aak00000GkVxyEAF"/>
    <s v="a06ak00000amzC0AAI"/>
    <s v="James Moore"/>
    <m/>
    <x v="6"/>
    <b v="0"/>
    <m/>
    <s v="005ak00000icyWTAAY"/>
    <s v="2026-10-01T15:56:45.000Z"/>
    <m/>
    <m/>
    <d v="2027-02-09T00:00:00"/>
    <s v="LSN-01184"/>
    <s v="L-0001195"/>
    <s v="131ak000001XjDtAAK"/>
    <b v="0"/>
    <b v="0"/>
    <s v="a0Aak00000GkVxy"/>
    <s v="16:00:00.000Z"/>
    <x v="2"/>
    <s v="a07ak00001rZMpRAAW"/>
    <s v="Rowan Wilson"/>
    <s v="2026-10-01T15:56:45.000Z"/>
    <b v="1"/>
    <s v="a06ak00000amzC0AAI|2027-02-09|16:00:00.000Z"/>
    <n v="1"/>
    <s v="Red Bank"/>
    <x v="13"/>
    <x v="1"/>
  </r>
  <r>
    <s v="005ak00000icyWTAAY"/>
    <s v="2026-10-01T15:56:45.000Z"/>
    <n v="60"/>
    <s v="a0Aak00000GkVxzEAF"/>
    <s v="a06ak00000amzBiAAI"/>
    <s v="Zoey Torres"/>
    <m/>
    <x v="7"/>
    <b v="0"/>
    <m/>
    <s v="005ak00000icyWTAAY"/>
    <s v="2026-10-01T15:56:45.000Z"/>
    <m/>
    <m/>
    <d v="2027-02-10T00:00:00"/>
    <s v="LSN-01185"/>
    <s v="L-0001196"/>
    <s v="131ak000001XjDtAAK"/>
    <b v="0"/>
    <b v="0"/>
    <s v="a0Aak00000GkVxz"/>
    <s v="16:00:00.000Z"/>
    <x v="2"/>
    <s v="a07ak00001rZMpmAAG"/>
    <s v="Scarlett Jackson"/>
    <s v="2026-10-01T15:56:45.000Z"/>
    <b v="1"/>
    <s v="a06ak00000amzBiAAI|2027-02-10|16:00:00.000Z"/>
    <n v="1"/>
    <s v="Red Bank"/>
    <x v="13"/>
    <x v="1"/>
  </r>
  <r>
    <s v="005ak00000icyWTAAY"/>
    <s v="2026-10-01T15:56:45.000Z"/>
    <n v="30"/>
    <s v="a0Aak00000GkVy0EAF"/>
    <s v="a06ak00000amzBzAAI"/>
    <s v="Ezra Garcia"/>
    <m/>
    <x v="5"/>
    <b v="0"/>
    <m/>
    <s v="005ak00000icyWTAAY"/>
    <s v="2026-10-01T15:56:45.000Z"/>
    <m/>
    <m/>
    <d v="2027-02-11T00:00:00"/>
    <s v="LSN-01186"/>
    <s v="L-0001197"/>
    <s v="131ak000001XjDtAAK"/>
    <b v="0"/>
    <b v="0"/>
    <s v="a0Aak00000GkVy0"/>
    <s v="15:00:00.000Z"/>
    <x v="2"/>
    <s v="a07ak00001rZMr1AAG"/>
    <s v="Lincoln Scott"/>
    <s v="2026-10-01T15:56:45.000Z"/>
    <b v="1"/>
    <s v="a06ak00000amzBzAAI|2027-02-11|15:00:00.000Z"/>
    <n v="1"/>
    <s v="Red Bank"/>
    <x v="13"/>
    <x v="1"/>
  </r>
  <r>
    <s v="005ak00000icyWTAAY"/>
    <s v="2026-10-01T15:56:45.000Z"/>
    <n v="60"/>
    <s v="a0Aak00000GkVy1EAF"/>
    <s v="a06ak00000amzBzAAI"/>
    <s v="Ezra Garcia"/>
    <m/>
    <x v="5"/>
    <b v="0"/>
    <m/>
    <s v="005ak00000icyWTAAY"/>
    <s v="2026-10-01T15:56:45.000Z"/>
    <m/>
    <m/>
    <d v="2027-02-11T00:00:00"/>
    <s v="LSN-01187"/>
    <s v="L-0001198"/>
    <s v="131ak000001XjDvAAK"/>
    <b v="0"/>
    <b v="0"/>
    <s v="a0Aak00000GkVy1"/>
    <s v="17:30:00.000Z"/>
    <x v="2"/>
    <s v="a07ak00001rZMq3AAG"/>
    <s v="Anthony Nakamura"/>
    <s v="2026-10-01T15:56:45.000Z"/>
    <b v="1"/>
    <s v="a06ak00000amzBzAAI|2027-02-11|17:30:00.000Z"/>
    <n v="1"/>
    <s v="Toms River"/>
    <x v="13"/>
    <x v="1"/>
  </r>
  <r>
    <s v="005ak00000icyWTAAY"/>
    <s v="2026-10-01T15:56:45.000Z"/>
    <n v="30"/>
    <s v="a0Aak00000GkVy2EAF"/>
    <s v="a06ak00000amzBiAAI"/>
    <s v="Zoey Torres"/>
    <m/>
    <x v="8"/>
    <b v="0"/>
    <m/>
    <s v="005ak00000icyWTAAY"/>
    <s v="2026-10-01T15:56:45.000Z"/>
    <m/>
    <m/>
    <d v="2027-02-11T00:00:00"/>
    <s v="LSN-01188"/>
    <s v="L-0001199"/>
    <s v="131ak000001XjDtAAK"/>
    <b v="0"/>
    <b v="0"/>
    <s v="a0Aak00000GkVy2"/>
    <s v="18:30:00.000Z"/>
    <x v="2"/>
    <s v="a07ak00001rZMqFAAW"/>
    <s v="Nathan Novak"/>
    <s v="2026-10-01T15:56:45.000Z"/>
    <b v="1"/>
    <s v="a06ak00000amzBiAAI|2027-02-11|18:30:00.000Z"/>
    <n v="1"/>
    <s v="Red Bank"/>
    <x v="13"/>
    <x v="1"/>
  </r>
  <r>
    <s v="005ak00000icyWTAAY"/>
    <s v="2026-10-01T15:56:45.000Z"/>
    <n v="45"/>
    <s v="a0Aak00000GkVy3EAF"/>
    <s v="a06ak00000amzBzAAI"/>
    <s v="Ezra Garcia"/>
    <m/>
    <x v="5"/>
    <b v="0"/>
    <m/>
    <s v="005ak00000icyWTAAY"/>
    <s v="2026-10-01T15:56:45.000Z"/>
    <m/>
    <m/>
    <d v="2027-02-12T00:00:00"/>
    <s v="LSN-01189"/>
    <s v="L-0001200"/>
    <s v="131ak000001XjDvAAK"/>
    <b v="0"/>
    <b v="0"/>
    <s v="a0Aak00000GkVy3"/>
    <s v="16:30:00.000Z"/>
    <x v="2"/>
    <s v="a07ak00001rZMpQAAW"/>
    <s v="Priya Ramirez"/>
    <s v="2026-10-01T15:56:45.000Z"/>
    <b v="1"/>
    <s v="a06ak00000amzBzAAI|2027-02-12|16:30:00.000Z"/>
    <n v="1"/>
    <s v="Toms River"/>
    <x v="13"/>
    <x v="1"/>
  </r>
  <r>
    <s v="005ak00000icyWTAAY"/>
    <s v="2026-10-01T15:56:45.000Z"/>
    <n v="30"/>
    <s v="a0Aak00000GkVy4EAF"/>
    <s v="a06ak00000amzC8AAI"/>
    <s v="Adrian Byrne"/>
    <m/>
    <x v="9"/>
    <b v="0"/>
    <m/>
    <s v="005ak00000icyWTAAY"/>
    <s v="2026-10-01T15:56:45.000Z"/>
    <m/>
    <m/>
    <d v="2027-02-12T00:00:00"/>
    <s v="LSN-01190"/>
    <s v="L-0001201"/>
    <s v="131ak000001XjDuAAK"/>
    <b v="0"/>
    <b v="0"/>
    <s v="a0Aak00000GkVy4"/>
    <s v="16:30:00.000Z"/>
    <x v="2"/>
    <s v="a07ak00001rZMr4AAG"/>
    <s v="Olivia Baker"/>
    <s v="2026-10-01T15:56:45.000Z"/>
    <b v="1"/>
    <s v="a06ak00000amzC8AAI|2027-02-12|16:30:00.000Z"/>
    <n v="1"/>
    <s v="Brick"/>
    <x v="13"/>
    <x v="1"/>
  </r>
  <r>
    <s v="005ak00000icyWTAAY"/>
    <s v="2026-10-01T15:56:45.000Z"/>
    <n v="45"/>
    <s v="a0Aak00000GkVy5EAF"/>
    <s v="a06ak00000amzCCAAY"/>
    <s v="Rowan Jones"/>
    <m/>
    <x v="9"/>
    <b v="0"/>
    <m/>
    <s v="005ak00000icyWTAAY"/>
    <s v="2026-10-01T15:56:45.000Z"/>
    <m/>
    <m/>
    <d v="2027-02-12T00:00:00"/>
    <s v="LSN-01191"/>
    <s v="L-0001202"/>
    <s v="131ak000001XjDvAAK"/>
    <b v="0"/>
    <b v="0"/>
    <s v="a0Aak00000GkVy5"/>
    <s v="17:00:00.000Z"/>
    <x v="2"/>
    <s v="a07ak00001rZMriAAG"/>
    <s v="Paisley Davis"/>
    <s v="2026-10-01T15:56:45.000Z"/>
    <b v="1"/>
    <s v="a06ak00000amzCCAAY|2027-02-12|17:00:00.000Z"/>
    <n v="1"/>
    <s v="Toms River"/>
    <x v="13"/>
    <x v="1"/>
  </r>
  <r>
    <s v="005ak00000icyWTAAY"/>
    <s v="2026-10-01T15:56:45.000Z"/>
    <n v="30"/>
    <s v="a0Aak00000GkVy6EAF"/>
    <s v="a06ak00000amzBfAAI"/>
    <s v="Mia Smith"/>
    <m/>
    <x v="6"/>
    <b v="0"/>
    <m/>
    <s v="005ak00000icyWTAAY"/>
    <s v="2026-10-01T15:56:45.000Z"/>
    <m/>
    <m/>
    <d v="2027-02-12T00:00:00"/>
    <s v="LSN-01192"/>
    <s v="L-0001203"/>
    <s v="131ak000001XjDvAAK"/>
    <b v="0"/>
    <b v="0"/>
    <s v="a0Aak00000GkVy6"/>
    <s v="18:00:00.000Z"/>
    <x v="2"/>
    <s v="a07ak00001rZMrRAAW"/>
    <s v="Amelia Okafor"/>
    <s v="2026-10-01T15:56:45.000Z"/>
    <b v="1"/>
    <s v="a06ak00000amzBfAAI|2027-02-12|18:00:00.000Z"/>
    <n v="1"/>
    <s v="Toms River"/>
    <x v="13"/>
    <x v="1"/>
  </r>
  <r>
    <s v="005ak00000icyWTAAY"/>
    <s v="2026-10-01T15:56:45.000Z"/>
    <n v="30"/>
    <s v="a0Aak00000GkVy7EAF"/>
    <s v="a06ak00000amzBgAAI"/>
    <s v="Noah Mitchell"/>
    <m/>
    <x v="1"/>
    <b v="0"/>
    <m/>
    <s v="005ak00000icyWTAAY"/>
    <s v="2026-10-01T15:56:45.000Z"/>
    <m/>
    <m/>
    <d v="2027-02-12T00:00:00"/>
    <s v="LSN-01193"/>
    <s v="L-0001204"/>
    <s v="131ak000001XjDuAAK"/>
    <b v="0"/>
    <b v="0"/>
    <s v="a0Aak00000GkVy7"/>
    <s v="18:30:00.000Z"/>
    <x v="2"/>
    <s v="a07ak00001rZMs2AAG"/>
    <s v="Sofia Johnson"/>
    <s v="2026-10-01T15:56:45.000Z"/>
    <b v="1"/>
    <s v="a06ak00000amzBgAAI|2027-02-12|18:30:00.000Z"/>
    <n v="1"/>
    <s v="Brick"/>
    <x v="13"/>
    <x v="1"/>
  </r>
  <r>
    <s v="005ak00000icyWTAAY"/>
    <s v="2026-10-01T15:56:45.000Z"/>
    <n v="30"/>
    <s v="a0Aak00000GkVy8EAF"/>
    <s v="a06ak00000amzBiAAI"/>
    <s v="Zoey Torres"/>
    <m/>
    <x v="8"/>
    <b v="0"/>
    <m/>
    <s v="005ak00000icyWTAAY"/>
    <s v="2026-10-01T15:56:45.000Z"/>
    <m/>
    <m/>
    <d v="2027-02-13T00:00:00"/>
    <s v="LSN-01194"/>
    <s v="L-0001205"/>
    <s v="131ak000001XjDtAAK"/>
    <b v="0"/>
    <b v="0"/>
    <s v="a0Aak00000GkVy8"/>
    <s v="09:30:00.000Z"/>
    <x v="2"/>
    <s v="a07ak00001rZMrPAAW"/>
    <s v="Emily Campbell"/>
    <s v="2026-10-01T15:56:45.000Z"/>
    <b v="1"/>
    <s v="a06ak00000amzBiAAI|2027-02-13|09:30:00.000Z"/>
    <n v="1"/>
    <s v="Red Bank"/>
    <x v="13"/>
    <x v="1"/>
  </r>
  <r>
    <s v="005ak00000icyWTAAY"/>
    <s v="2026-10-01T15:56:45.000Z"/>
    <n v="30"/>
    <s v="a0Aak00000GkVy9EAF"/>
    <s v="a06ak00000amzBiAAI"/>
    <s v="Zoey Torres"/>
    <m/>
    <x v="1"/>
    <b v="0"/>
    <m/>
    <s v="005ak00000icyWTAAY"/>
    <s v="2026-10-01T15:56:45.000Z"/>
    <m/>
    <m/>
    <d v="2027-02-13T00:00:00"/>
    <s v="LSN-01195"/>
    <s v="L-0001206"/>
    <s v="131ak000001XjDtAAK"/>
    <b v="0"/>
    <b v="0"/>
    <s v="a0Aak00000GkVy9"/>
    <s v="10:00:00.000Z"/>
    <x v="2"/>
    <s v="a07ak00001rZMpTAAW"/>
    <s v="Henry Dubois"/>
    <s v="2026-10-01T15:56:45.000Z"/>
    <b v="1"/>
    <s v="a06ak00000amzBiAAI|2027-02-13|10:00:00.000Z"/>
    <n v="1"/>
    <s v="Red Bank"/>
    <x v="13"/>
    <x v="1"/>
  </r>
  <r>
    <s v="005ak00000icyWTAAY"/>
    <s v="2026-10-01T15:56:45.000Z"/>
    <n v="30"/>
    <s v="a0Aak00000GkVyAEAV"/>
    <s v="a06ak00000amzBxAAI"/>
    <s v="Miles Allen"/>
    <m/>
    <x v="7"/>
    <b v="0"/>
    <m/>
    <s v="005ak00000icyWTAAY"/>
    <s v="2026-10-01T15:56:45.000Z"/>
    <m/>
    <m/>
    <d v="2027-02-13T00:00:00"/>
    <s v="LSN-01196"/>
    <s v="L-0001207"/>
    <s v="131ak000001XjDuAAK"/>
    <b v="0"/>
    <b v="0"/>
    <s v="a0Aak00000GkVyA"/>
    <s v="11:00:00.000Z"/>
    <x v="2"/>
    <s v="a07ak00001rZMqKAAW"/>
    <s v="Kai Mitchell"/>
    <s v="2026-10-01T15:56:45.000Z"/>
    <b v="1"/>
    <s v="a06ak00000amzBxAAI|2027-02-13|11:00:00.000Z"/>
    <n v="1"/>
    <s v="Brick"/>
    <x v="13"/>
    <x v="1"/>
  </r>
  <r>
    <s v="005ak00000icyWTAAY"/>
    <s v="2026-10-01T15:56:45.000Z"/>
    <n v="45"/>
    <s v="a0Aak00000GkVyBEAV"/>
    <s v="a06ak00000amzBgAAI"/>
    <s v="Noah Mitchell"/>
    <m/>
    <x v="1"/>
    <b v="0"/>
    <m/>
    <s v="005ak00000icyWTAAY"/>
    <s v="2026-10-01T15:56:45.000Z"/>
    <m/>
    <m/>
    <d v="2027-02-15T00:00:00"/>
    <s v="LSN-01197"/>
    <s v="L-0001208"/>
    <s v="131ak000001XjDuAAK"/>
    <b v="0"/>
    <b v="0"/>
    <s v="a0Aak00000GkVyB"/>
    <s v="15:30:00.000Z"/>
    <x v="2"/>
    <s v="a07ak00001rZMqzAAG"/>
    <s v="Gabriel Green"/>
    <s v="2026-10-01T15:56:45.000Z"/>
    <b v="1"/>
    <s v="a06ak00000amzBgAAI|2027-02-15|15:30:00.000Z"/>
    <n v="1"/>
    <s v="Brick"/>
    <x v="13"/>
    <x v="1"/>
  </r>
  <r>
    <s v="005ak00000icyWTAAY"/>
    <s v="2026-10-01T15:56:45.000Z"/>
    <n v="45"/>
    <s v="a0Aak00000GkVyCEAV"/>
    <s v="a06ak00000amzC1AAI"/>
    <s v="Valentina Nakamura"/>
    <m/>
    <x v="5"/>
    <b v="0"/>
    <m/>
    <s v="005ak00000icyWTAAY"/>
    <s v="2026-10-01T15:56:45.000Z"/>
    <m/>
    <m/>
    <d v="2027-02-15T00:00:00"/>
    <s v="LSN-01198"/>
    <s v="L-0001209"/>
    <s v="131ak000001XjDuAAK"/>
    <b v="0"/>
    <b v="0"/>
    <s v="a0Aak00000GkVyC"/>
    <s v="17:00:00.000Z"/>
    <x v="2"/>
    <s v="a07ak00001rZMqWAAW"/>
    <s v="Jackson Ryan"/>
    <s v="2026-10-01T15:56:45.000Z"/>
    <b v="1"/>
    <s v="a06ak00000amzC1AAI|2027-02-15|17:00:00.000Z"/>
    <n v="1"/>
    <s v="Brick"/>
    <x v="13"/>
    <x v="1"/>
  </r>
  <r>
    <s v="005ak00000icyWTAAY"/>
    <s v="2026-10-01T15:56:45.000Z"/>
    <n v="30"/>
    <s v="a0Aak00000GkVyDEAV"/>
    <s v="a06ak00000amzBzAAI"/>
    <s v="Ezra Garcia"/>
    <m/>
    <x v="0"/>
    <b v="0"/>
    <m/>
    <s v="005ak00000icyWTAAY"/>
    <s v="2026-10-01T15:56:45.000Z"/>
    <m/>
    <m/>
    <d v="2027-02-15T00:00:00"/>
    <s v="LSN-01199"/>
    <s v="L-0001210"/>
    <s v="131ak000001XjDtAAK"/>
    <b v="0"/>
    <b v="0"/>
    <s v="a0Aak00000GkVyD"/>
    <s v="17:30:00.000Z"/>
    <x v="2"/>
    <s v="a07ak00001rZMqUAAW"/>
    <s v="Riley Silva"/>
    <s v="2026-10-01T15:56:45.000Z"/>
    <b v="1"/>
    <s v="a06ak00000amzBzAAI|2027-02-15|17:30:00.000Z"/>
    <n v="1"/>
    <s v="Red Bank"/>
    <x v="13"/>
    <x v="1"/>
  </r>
  <r>
    <s v="005ak00000icyWTAAY"/>
    <s v="2026-10-01T15:56:45.000Z"/>
    <n v="30"/>
    <s v="a0Aak00000GkVyEEAV"/>
    <s v="a06ak00000amzCCAAY"/>
    <s v="Rowan Jones"/>
    <m/>
    <x v="9"/>
    <b v="0"/>
    <m/>
    <s v="005ak00000icyWTAAY"/>
    <s v="2026-10-01T15:56:45.000Z"/>
    <m/>
    <m/>
    <d v="2027-02-16T00:00:00"/>
    <s v="LSN-01200"/>
    <s v="L-0001211"/>
    <s v="131ak000001XjDvAAK"/>
    <b v="0"/>
    <b v="0"/>
    <s v="a0Aak00000GkVyE"/>
    <s v="17:00:00.000Z"/>
    <x v="2"/>
    <s v="a07ak00001rZMreAAG"/>
    <s v="Josiah Rodriguez"/>
    <s v="2026-10-01T15:56:45.000Z"/>
    <b v="1"/>
    <s v="a06ak00000amzCCAAY|2027-02-16|17:00:00.000Z"/>
    <n v="1"/>
    <s v="Toms River"/>
    <x v="13"/>
    <x v="1"/>
  </r>
  <r>
    <s v="005ak00000icyWTAAY"/>
    <s v="2026-10-01T15:56:45.000Z"/>
    <n v="30"/>
    <s v="a0Aak00000GkVyFEAV"/>
    <s v="a06ak00000amzBtAAI"/>
    <s v="Jamal Torres"/>
    <m/>
    <x v="2"/>
    <b v="0"/>
    <m/>
    <s v="005ak00000icyWTAAY"/>
    <s v="2026-10-01T15:56:45.000Z"/>
    <m/>
    <m/>
    <d v="2027-02-16T00:00:00"/>
    <s v="LSN-01201"/>
    <s v="L-0001212"/>
    <s v="131ak000001XjDtAAK"/>
    <b v="0"/>
    <b v="0"/>
    <s v="a0Aak00000GkVyF"/>
    <s v="18:00:00.000Z"/>
    <x v="2"/>
    <s v="a07ak00001rZMrnAAG"/>
    <s v="Camila Jones"/>
    <s v="2026-10-01T15:56:45.000Z"/>
    <b v="1"/>
    <s v="a06ak00000amzBtAAI|2027-02-16|18:00:00.000Z"/>
    <n v="1"/>
    <s v="Red Bank"/>
    <x v="13"/>
    <x v="1"/>
  </r>
  <r>
    <s v="005ak00000icyWTAAY"/>
    <s v="2026-10-01T15:56:45.000Z"/>
    <n v="45"/>
    <s v="a0Aak00000GkVyGEAV"/>
    <s v="a06ak00000amzBtAAI"/>
    <s v="Jamal Torres"/>
    <m/>
    <x v="2"/>
    <b v="0"/>
    <m/>
    <s v="005ak00000icyWTAAY"/>
    <s v="2026-10-01T15:56:45.000Z"/>
    <m/>
    <m/>
    <d v="2027-02-16T00:00:00"/>
    <s v="LSN-01202"/>
    <s v="L-0001213"/>
    <s v="131ak000001XjDtAAK"/>
    <b v="0"/>
    <b v="0"/>
    <s v="a0Aak00000GkVyG"/>
    <s v="18:30:00.000Z"/>
    <x v="2"/>
    <s v="a07ak00001rZMqdAAG"/>
    <s v="Scarlett Scott"/>
    <s v="2026-10-01T15:56:45.000Z"/>
    <b v="1"/>
    <s v="a06ak00000amzBtAAI|2027-02-16|18:30:00.000Z"/>
    <n v="1"/>
    <s v="Red Bank"/>
    <x v="13"/>
    <x v="1"/>
  </r>
  <r>
    <s v="005ak00000icyWTAAY"/>
    <s v="2026-10-01T15:56:45.000Z"/>
    <n v="30"/>
    <s v="a0Aak00000GkVyHEAV"/>
    <s v="a06ak00000amzC0AAI"/>
    <s v="James Moore"/>
    <m/>
    <x v="10"/>
    <b v="0"/>
    <m/>
    <s v="005ak00000icyWTAAY"/>
    <s v="2026-10-01T15:56:45.000Z"/>
    <m/>
    <m/>
    <d v="2027-02-16T00:00:00"/>
    <s v="LSN-01203"/>
    <s v="L-0001214"/>
    <s v="131ak000001XjDtAAK"/>
    <b v="0"/>
    <b v="0"/>
    <s v="a0Aak00000GkVyH"/>
    <s v="19:00:00.000Z"/>
    <x v="2"/>
    <s v="a07ak00001rZMrfAAG"/>
    <s v="Marcus Nelson"/>
    <s v="2026-10-01T15:56:45.000Z"/>
    <b v="1"/>
    <s v="a06ak00000amzC0AAI|2027-02-16|19:00:00.000Z"/>
    <n v="1"/>
    <s v="Red Bank"/>
    <x v="13"/>
    <x v="1"/>
  </r>
  <r>
    <s v="005ak00000icyWTAAY"/>
    <s v="2026-10-01T15:56:45.000Z"/>
    <n v="30"/>
    <s v="a0Aak00000GkVyIEAV"/>
    <s v="a06ak00000amzC1AAI"/>
    <s v="Valentina Nakamura"/>
    <m/>
    <x v="11"/>
    <b v="0"/>
    <m/>
    <s v="005ak00000icyWTAAY"/>
    <s v="2026-10-01T15:56:45.000Z"/>
    <m/>
    <m/>
    <d v="2027-02-18T00:00:00"/>
    <s v="LSN-01204"/>
    <s v="L-0001215"/>
    <s v="131ak000001XjDuAAK"/>
    <b v="0"/>
    <b v="0"/>
    <s v="a0Aak00000GkVyI"/>
    <s v="15:00:00.000Z"/>
    <x v="2"/>
    <s v="a07ak00001rZMpkAAG"/>
    <s v="Fatima Jones"/>
    <s v="2026-10-01T15:56:45.000Z"/>
    <b v="1"/>
    <s v="a06ak00000amzC1AAI|2027-02-18|15:00:00.000Z"/>
    <n v="1"/>
    <s v="Brick"/>
    <x v="13"/>
    <x v="1"/>
  </r>
  <r>
    <s v="005ak00000icyWTAAY"/>
    <s v="2026-10-01T15:56:45.000Z"/>
    <n v="60"/>
    <s v="a0Aak00000GkVyJEAV"/>
    <s v="a06ak00000amzCBAAY"/>
    <s v="Aiden Hill"/>
    <m/>
    <x v="10"/>
    <b v="0"/>
    <m/>
    <s v="005ak00000icyWTAAY"/>
    <s v="2026-10-01T15:56:45.000Z"/>
    <m/>
    <m/>
    <d v="2027-02-18T00:00:00"/>
    <s v="LSN-01205"/>
    <s v="L-0001216"/>
    <s v="131ak000001XjDtAAK"/>
    <b v="0"/>
    <b v="0"/>
    <s v="a0Aak00000GkVyJ"/>
    <s v="15:00:00.000Z"/>
    <x v="2"/>
    <s v="a07ak00001rZMrHAAW"/>
    <s v="Lucas Young"/>
    <s v="2026-10-01T15:56:45.000Z"/>
    <b v="1"/>
    <s v="a06ak00000amzCBAAY|2027-02-18|15:00:00.000Z"/>
    <n v="1"/>
    <s v="Red Bank"/>
    <x v="13"/>
    <x v="1"/>
  </r>
  <r>
    <s v="005ak00000icyWTAAY"/>
    <s v="2026-10-01T15:56:45.000Z"/>
    <n v="45"/>
    <s v="a0Aak00000GkVyKEAV"/>
    <s v="a06ak00000amzCHAAY"/>
    <s v="Liam Flores"/>
    <m/>
    <x v="4"/>
    <b v="0"/>
    <m/>
    <s v="005ak00000icyWTAAY"/>
    <s v="2026-10-01T15:56:45.000Z"/>
    <m/>
    <m/>
    <d v="2027-02-18T00:00:00"/>
    <s v="LSN-01206"/>
    <s v="L-0001217"/>
    <s v="131ak000001XjDtAAK"/>
    <b v="0"/>
    <b v="0"/>
    <s v="a0Aak00000GkVyK"/>
    <s v="15:30:00.000Z"/>
    <x v="2"/>
    <s v="a07ak00001rZMrDAAW"/>
    <s v="Jackson Lopez"/>
    <s v="2026-10-01T15:56:45.000Z"/>
    <b v="1"/>
    <s v="a06ak00000amzCHAAY|2027-02-18|15:30:00.000Z"/>
    <n v="1"/>
    <s v="Red Bank"/>
    <x v="13"/>
    <x v="1"/>
  </r>
  <r>
    <s v="005ak00000icyWTAAY"/>
    <s v="2026-10-01T15:56:45.000Z"/>
    <n v="30"/>
    <s v="a0Aak00000GkVyLEAV"/>
    <s v="a06ak00000amzC0AAI"/>
    <s v="James Moore"/>
    <m/>
    <x v="9"/>
    <b v="0"/>
    <m/>
    <s v="005ak00000icyWTAAY"/>
    <s v="2026-10-01T15:56:45.000Z"/>
    <m/>
    <m/>
    <d v="2027-02-18T00:00:00"/>
    <s v="LSN-01207"/>
    <s v="L-0001218"/>
    <s v="131ak000001XjDtAAK"/>
    <b v="0"/>
    <b v="0"/>
    <s v="a0Aak00000GkVyL"/>
    <s v="16:00:00.000Z"/>
    <x v="2"/>
    <s v="a07ak00001rZMqZAAW"/>
    <s v="Nathan Perez"/>
    <s v="2026-10-01T15:56:45.000Z"/>
    <b v="1"/>
    <s v="a06ak00000amzC0AAI|2027-02-18|16:00:00.000Z"/>
    <n v="1"/>
    <s v="Red Bank"/>
    <x v="13"/>
    <x v="1"/>
  </r>
  <r>
    <s v="005ak00000icyWTAAY"/>
    <s v="2026-10-01T15:56:45.000Z"/>
    <n v="30"/>
    <s v="a0Aak00000GkVyMEAV"/>
    <s v="a06ak00000amzCBAAY"/>
    <s v="Aiden Hill"/>
    <m/>
    <x v="3"/>
    <b v="0"/>
    <m/>
    <s v="005ak00000icyWTAAY"/>
    <s v="2026-10-01T15:56:45.000Z"/>
    <m/>
    <m/>
    <d v="2027-02-18T00:00:00"/>
    <s v="LSN-01208"/>
    <s v="L-0001219"/>
    <s v="131ak000001XjDtAAK"/>
    <b v="0"/>
    <b v="0"/>
    <s v="a0Aak00000GkVyM"/>
    <s v="17:30:00.000Z"/>
    <x v="2"/>
    <s v="a07ak00001rZMqfAAG"/>
    <s v="Isaac Novak"/>
    <s v="2026-10-01T15:56:45.000Z"/>
    <b v="1"/>
    <s v="a06ak00000amzCBAAY|2027-02-18|17:30:00.000Z"/>
    <n v="1"/>
    <s v="Red Bank"/>
    <x v="13"/>
    <x v="1"/>
  </r>
  <r>
    <s v="005ak00000icyWTAAY"/>
    <s v="2026-10-01T15:56:45.000Z"/>
    <n v="30"/>
    <s v="a0Aak00000GkVyNEAV"/>
    <s v="a06ak00000amzBfAAI"/>
    <s v="Mia Smith"/>
    <m/>
    <x v="6"/>
    <b v="0"/>
    <m/>
    <s v="005ak00000icyWTAAY"/>
    <s v="2026-10-01T15:56:45.000Z"/>
    <m/>
    <m/>
    <d v="2027-02-18T00:00:00"/>
    <s v="LSN-01209"/>
    <s v="L-0001220"/>
    <s v="131ak000001XjDuAAK"/>
    <b v="0"/>
    <b v="0"/>
    <s v="a0Aak00000GkVyN"/>
    <s v="18:00:00.000Z"/>
    <x v="2"/>
    <s v="a07ak00001rZMs0AAG"/>
    <s v="Sofia Nelson"/>
    <s v="2026-10-01T15:56:45.000Z"/>
    <b v="1"/>
    <s v="a06ak00000amzBfAAI|2027-02-18|18:00:00.000Z"/>
    <n v="1"/>
    <s v="Brick"/>
    <x v="13"/>
    <x v="1"/>
  </r>
  <r>
    <s v="005ak00000icyWTAAY"/>
    <s v="2026-10-01T15:56:45.000Z"/>
    <n v="45"/>
    <s v="a0Aak00000GkVyOEAV"/>
    <s v="a06ak00000amzByAAI"/>
    <s v="Vincent Sullivan"/>
    <m/>
    <x v="10"/>
    <b v="0"/>
    <m/>
    <s v="005ak00000icyWTAAY"/>
    <s v="2026-10-01T15:56:45.000Z"/>
    <m/>
    <m/>
    <d v="2027-02-18T00:00:00"/>
    <s v="LSN-01210"/>
    <s v="L-0001221"/>
    <s v="131ak000001XjDvAAK"/>
    <b v="0"/>
    <b v="0"/>
    <s v="a0Aak00000GkVyO"/>
    <s v="19:00:00.000Z"/>
    <x v="2"/>
    <s v="a07ak00001rZMrSAAW"/>
    <s v="Leo Okafor"/>
    <s v="2026-10-01T15:56:45.000Z"/>
    <b v="1"/>
    <s v="a06ak00000amzByAAI|2027-02-18|19:00:00.000Z"/>
    <n v="1"/>
    <s v="Toms River"/>
    <x v="13"/>
    <x v="1"/>
  </r>
  <r>
    <s v="005ak00000icyWTAAY"/>
    <s v="2026-10-01T15:56:45.000Z"/>
    <n v="45"/>
    <s v="a0Aak00000GkVyPEAV"/>
    <s v="a06ak00000amzBiAAI"/>
    <s v="Zoey Torres"/>
    <m/>
    <x v="1"/>
    <b v="0"/>
    <m/>
    <s v="005ak00000icyWTAAY"/>
    <s v="2026-10-01T15:56:45.000Z"/>
    <m/>
    <m/>
    <d v="2027-02-19T00:00:00"/>
    <s v="LSN-01211"/>
    <s v="L-0001222"/>
    <s v="131ak000001XjDtAAK"/>
    <b v="0"/>
    <b v="0"/>
    <s v="a0Aak00000GkVyP"/>
    <s v="15:00:00.000Z"/>
    <x v="2"/>
    <s v="a07ak00001rZMpqAAG"/>
    <s v="Isaac Harris"/>
    <s v="2026-10-01T15:56:45.000Z"/>
    <b v="1"/>
    <s v="a06ak00000amzBiAAI|2027-02-19|15:00:00.000Z"/>
    <n v="1"/>
    <s v="Red Bank"/>
    <x v="13"/>
    <x v="1"/>
  </r>
  <r>
    <s v="005ak00000icyWTAAY"/>
    <s v="2026-10-01T15:56:45.000Z"/>
    <n v="45"/>
    <s v="a0Aak00000GkVyQEAV"/>
    <s v="a06ak00000amzCCAAY"/>
    <s v="Rowan Jones"/>
    <m/>
    <x v="9"/>
    <b v="0"/>
    <m/>
    <s v="005ak00000icyWTAAY"/>
    <s v="2026-10-01T15:56:45.000Z"/>
    <m/>
    <m/>
    <d v="2027-02-20T00:00:00"/>
    <s v="LSN-01212"/>
    <s v="L-0001223"/>
    <s v="131ak000001XjDvAAK"/>
    <b v="0"/>
    <b v="0"/>
    <s v="a0Aak00000GkVyQ"/>
    <s v="12:30:00.000Z"/>
    <x v="2"/>
    <s v="a07ak00001rZMpSAAW"/>
    <s v="Julian Flores"/>
    <s v="2026-10-01T15:56:45.000Z"/>
    <b v="1"/>
    <s v="a06ak00000amzCCAAY|2027-02-20|12:30:00.000Z"/>
    <n v="1"/>
    <s v="Toms River"/>
    <x v="13"/>
    <x v="1"/>
  </r>
  <r>
    <s v="005ak00000icyWTAAY"/>
    <s v="2026-10-01T15:56:45.000Z"/>
    <n v="45"/>
    <s v="a0Aak00000GkVyREAV"/>
    <s v="a06ak00000amzCHAAY"/>
    <s v="Liam Flores"/>
    <m/>
    <x v="4"/>
    <b v="0"/>
    <m/>
    <s v="005ak00000icyWTAAY"/>
    <s v="2026-10-01T15:56:45.000Z"/>
    <m/>
    <m/>
    <d v="2027-02-22T00:00:00"/>
    <s v="LSN-01213"/>
    <s v="L-0001224"/>
    <s v="131ak000001XjDvAAK"/>
    <b v="0"/>
    <b v="0"/>
    <s v="a0Aak00000GkVyR"/>
    <s v="16:30:00.000Z"/>
    <x v="2"/>
    <s v="a07ak00001rZMqDAAW"/>
    <s v="Ryan Lopez"/>
    <s v="2026-10-01T15:56:45.000Z"/>
    <b v="1"/>
    <s v="a06ak00000amzCHAAY|2027-02-22|16:30:00.000Z"/>
    <n v="1"/>
    <s v="Toms River"/>
    <x v="13"/>
    <x v="1"/>
  </r>
  <r>
    <s v="005ak00000icyWTAAY"/>
    <s v="2026-10-01T15:56:45.000Z"/>
    <n v="60"/>
    <s v="a0Aak00000GkVySEAV"/>
    <s v="a06ak00000amzBzAAI"/>
    <s v="Ezra Garcia"/>
    <m/>
    <x v="11"/>
    <b v="0"/>
    <m/>
    <s v="005ak00000icyWTAAY"/>
    <s v="2026-10-01T15:56:45.000Z"/>
    <m/>
    <m/>
    <d v="2027-02-22T00:00:00"/>
    <s v="LSN-01214"/>
    <s v="L-0001225"/>
    <s v="131ak000001XjDtAAK"/>
    <b v="0"/>
    <b v="0"/>
    <s v="a0Aak00000GkVyS"/>
    <s v="16:30:00.000Z"/>
    <x v="2"/>
    <s v="a07ak00001rZMqpAAG"/>
    <s v="Aiden Byrne"/>
    <s v="2026-10-01T15:56:45.000Z"/>
    <b v="1"/>
    <s v="a06ak00000amzBzAAI|2027-02-22|16:30:00.000Z"/>
    <n v="1"/>
    <s v="Red Bank"/>
    <x v="13"/>
    <x v="1"/>
  </r>
  <r>
    <s v="005ak00000icyWTAAY"/>
    <s v="2026-10-01T15:56:45.000Z"/>
    <n v="45"/>
    <s v="a0Aak00000GkVyTEAV"/>
    <s v="a06ak00000amzBiAAI"/>
    <s v="Zoey Torres"/>
    <m/>
    <x v="1"/>
    <b v="0"/>
    <m/>
    <s v="005ak00000icyWTAAY"/>
    <s v="2026-10-01T15:56:45.000Z"/>
    <m/>
    <m/>
    <d v="2027-02-22T00:00:00"/>
    <s v="LSN-01215"/>
    <s v="L-0001226"/>
    <s v="131ak000001XjDtAAK"/>
    <b v="0"/>
    <b v="0"/>
    <s v="a0Aak00000GkVyT"/>
    <s v="17:30:00.000Z"/>
    <x v="2"/>
    <s v="a07ak00001rZMq6AAG"/>
    <s v="Miles Jones"/>
    <s v="2026-10-01T15:56:45.000Z"/>
    <b v="1"/>
    <s v="a06ak00000amzBiAAI|2027-02-22|17:30:00.000Z"/>
    <n v="1"/>
    <s v="Red Bank"/>
    <x v="13"/>
    <x v="1"/>
  </r>
  <r>
    <s v="005ak00000icyWTAAY"/>
    <s v="2026-10-01T15:56:45.000Z"/>
    <n v="30"/>
    <s v="a0Aak00000GkVyUEAV"/>
    <s v="a06ak00000amzCBAAY"/>
    <s v="Aiden Hill"/>
    <m/>
    <x v="3"/>
    <b v="0"/>
    <m/>
    <s v="005ak00000icyWTAAY"/>
    <s v="2026-10-01T15:56:45.000Z"/>
    <m/>
    <m/>
    <d v="2027-02-23T00:00:00"/>
    <s v="LSN-01216"/>
    <s v="L-0001227"/>
    <s v="131ak000001XjDtAAK"/>
    <b v="0"/>
    <b v="0"/>
    <s v="a0Aak00000GkVyU"/>
    <s v="15:00:00.000Z"/>
    <x v="2"/>
    <s v="a07ak00001rZMrvAAG"/>
    <s v="Savannah Patel"/>
    <s v="2026-10-01T15:56:45.000Z"/>
    <b v="1"/>
    <s v="a06ak00000amzCBAAY|2027-02-23|15:00:00.000Z"/>
    <n v="1"/>
    <s v="Red Bank"/>
    <x v="13"/>
    <x v="1"/>
  </r>
  <r>
    <s v="005ak00000icyWTAAY"/>
    <s v="2026-10-01T15:56:45.000Z"/>
    <n v="30"/>
    <s v="a0Aak00000GkVyVEAV"/>
    <s v="a06ak00000amzCBAAY"/>
    <s v="Aiden Hill"/>
    <m/>
    <x v="3"/>
    <b v="0"/>
    <m/>
    <s v="005ak00000icyWTAAY"/>
    <s v="2026-10-01T15:56:45.000Z"/>
    <m/>
    <m/>
    <d v="2027-02-23T00:00:00"/>
    <s v="LSN-01217"/>
    <s v="L-0001228"/>
    <s v="131ak000001XjDtAAK"/>
    <b v="0"/>
    <b v="0"/>
    <s v="a0Aak00000GkVyV"/>
    <s v="15:30:00.000Z"/>
    <x v="2"/>
    <s v="a07ak00001rZMrmAAG"/>
    <s v="Nathan Young"/>
    <s v="2026-10-01T15:56:45.000Z"/>
    <b v="1"/>
    <s v="a06ak00000amzCBAAY|2027-02-23|15:30:00.000Z"/>
    <n v="1"/>
    <s v="Red Bank"/>
    <x v="13"/>
    <x v="1"/>
  </r>
  <r>
    <s v="005ak00000icyWTAAY"/>
    <s v="2026-10-01T15:56:45.000Z"/>
    <n v="30"/>
    <s v="a0Aak00000GkVyWEAV"/>
    <s v="a06ak00000amzCCAAY"/>
    <s v="Rowan Jones"/>
    <m/>
    <x v="9"/>
    <b v="0"/>
    <m/>
    <s v="005ak00000icyWTAAY"/>
    <s v="2026-10-01T15:56:45.000Z"/>
    <m/>
    <m/>
    <d v="2027-02-23T00:00:00"/>
    <s v="LSN-01218"/>
    <s v="L-0001229"/>
    <s v="131ak000001XjDvAAK"/>
    <b v="0"/>
    <b v="0"/>
    <s v="a0Aak00000GkVyW"/>
    <s v="17:00:00.000Z"/>
    <x v="2"/>
    <s v="a07ak00001rZMreAAG"/>
    <s v="Josiah Rodriguez"/>
    <s v="2026-10-01T15:56:45.000Z"/>
    <b v="1"/>
    <s v="a06ak00000amzCCAAY|2027-02-23|17:00:00.000Z"/>
    <n v="1"/>
    <s v="Toms River"/>
    <x v="13"/>
    <x v="1"/>
  </r>
  <r>
    <s v="005ak00000icyWTAAY"/>
    <s v="2026-10-01T15:56:45.000Z"/>
    <n v="30"/>
    <s v="a0Aak00000GkVyXEAV"/>
    <s v="a06ak00000amzCBAAY"/>
    <s v="Aiden Hill"/>
    <m/>
    <x v="3"/>
    <b v="0"/>
    <m/>
    <s v="005ak00000icyWTAAY"/>
    <s v="2026-10-01T15:56:45.000Z"/>
    <m/>
    <m/>
    <d v="2027-02-24T00:00:00"/>
    <s v="LSN-01219"/>
    <s v="L-0001230"/>
    <s v="131ak000001XjDtAAK"/>
    <b v="0"/>
    <b v="0"/>
    <s v="a0Aak00000GkVyX"/>
    <s v="15:00:00.000Z"/>
    <x v="2"/>
    <s v="a07ak00001rZMqrAAG"/>
    <s v="Ruby Moore"/>
    <s v="2026-10-01T15:56:45.000Z"/>
    <b v="1"/>
    <s v="a06ak00000amzCBAAY|2027-02-24|15:00:00.000Z"/>
    <n v="1"/>
    <s v="Red Bank"/>
    <x v="13"/>
    <x v="1"/>
  </r>
  <r>
    <s v="005ak00000icyWTAAY"/>
    <s v="2026-10-01T15:56:45.000Z"/>
    <n v="60"/>
    <s v="a0Aak00000GkVyYEAV"/>
    <s v="a06ak00000amzBiAAI"/>
    <s v="Zoey Torres"/>
    <m/>
    <x v="8"/>
    <b v="0"/>
    <m/>
    <s v="005ak00000icyWTAAY"/>
    <s v="2026-10-01T15:56:45.000Z"/>
    <m/>
    <m/>
    <d v="2027-02-24T00:00:00"/>
    <s v="LSN-01220"/>
    <s v="L-0001231"/>
    <s v="131ak000001XjDtAAK"/>
    <b v="0"/>
    <b v="0"/>
    <s v="a0Aak00000GkVyY"/>
    <s v="15:00:00.000Z"/>
    <x v="2"/>
    <s v="a07ak00001rZMrzAAG"/>
    <s v="Penelope Baker"/>
    <s v="2026-10-01T15:56:45.000Z"/>
    <b v="1"/>
    <s v="a06ak00000amzBiAAI|2027-02-24|15:00:00.000Z"/>
    <n v="1"/>
    <s v="Red Bank"/>
    <x v="13"/>
    <x v="1"/>
  </r>
  <r>
    <s v="005ak00000icyWTAAY"/>
    <s v="2026-10-01T15:56:45.000Z"/>
    <n v="45"/>
    <s v="a0Aak00000GkVyZEAV"/>
    <s v="a06ak00000amzBfAAI"/>
    <s v="Mia Smith"/>
    <m/>
    <x v="6"/>
    <b v="0"/>
    <m/>
    <s v="005ak00000icyWTAAY"/>
    <s v="2026-10-01T15:56:45.000Z"/>
    <m/>
    <m/>
    <d v="2027-02-24T00:00:00"/>
    <s v="LSN-01221"/>
    <s v="L-0001232"/>
    <s v="131ak000001XjDuAAK"/>
    <b v="0"/>
    <b v="0"/>
    <s v="a0Aak00000GkVyZ"/>
    <s v="16:30:00.000Z"/>
    <x v="2"/>
    <s v="a07ak00001rZMqaAAG"/>
    <s v="Theo Anderson"/>
    <s v="2026-10-01T15:56:45.000Z"/>
    <b v="1"/>
    <s v="a06ak00000amzBfAAI|2027-02-24|16:30:00.000Z"/>
    <n v="1"/>
    <s v="Brick"/>
    <x v="13"/>
    <x v="1"/>
  </r>
  <r>
    <s v="005ak00000icyWTAAY"/>
    <s v="2026-10-01T15:56:45.000Z"/>
    <n v="30"/>
    <s v="a0Aak00000GkVyaEAF"/>
    <s v="a06ak00000amzCIAAY"/>
    <s v="Omar Nelson"/>
    <m/>
    <x v="7"/>
    <b v="0"/>
    <m/>
    <s v="005ak00000icyWTAAY"/>
    <s v="2026-10-01T15:56:45.000Z"/>
    <m/>
    <m/>
    <d v="2027-02-24T00:00:00"/>
    <s v="LSN-01222"/>
    <s v="L-0001233"/>
    <s v="131ak000001XjDvAAK"/>
    <b v="0"/>
    <b v="0"/>
    <s v="a0Aak00000GkVya"/>
    <s v="17:00:00.000Z"/>
    <x v="2"/>
    <s v="a07ak00001rZMpcAAG"/>
    <s v="Adrian Sullivan"/>
    <s v="2026-10-01T15:56:45.000Z"/>
    <b v="1"/>
    <s v="a06ak00000amzCIAAY|2027-02-24|17:00:00.000Z"/>
    <n v="1"/>
    <s v="Toms River"/>
    <x v="13"/>
    <x v="1"/>
  </r>
  <r>
    <s v="005ak00000icyWTAAY"/>
    <s v="2026-10-01T15:56:45.000Z"/>
    <n v="45"/>
    <s v="a0Aak00000GkVybEAF"/>
    <s v="a06ak00000amzC0AAI"/>
    <s v="James Moore"/>
    <m/>
    <x v="6"/>
    <b v="0"/>
    <m/>
    <s v="005ak00000icyWTAAY"/>
    <s v="2026-10-01T15:56:45.000Z"/>
    <m/>
    <m/>
    <d v="2027-02-24T00:00:00"/>
    <s v="LSN-01223"/>
    <s v="L-0001234"/>
    <s v="131ak000001XjDtAAK"/>
    <b v="0"/>
    <b v="0"/>
    <s v="a0Aak00000GkVyb"/>
    <s v="17:00:00.000Z"/>
    <x v="2"/>
    <s v="a07ak00001rZMqCAAW"/>
    <s v="Omar Smith"/>
    <s v="2026-10-01T15:56:45.000Z"/>
    <b v="1"/>
    <s v="a06ak00000amzC0AAI|2027-02-24|17:00:00.000Z"/>
    <n v="1"/>
    <s v="Red Bank"/>
    <x v="13"/>
    <x v="1"/>
  </r>
  <r>
    <s v="005ak00000icyWTAAY"/>
    <s v="2026-10-01T15:56:45.000Z"/>
    <n v="30"/>
    <s v="a0Aak00000GkVycEAF"/>
    <s v="a06ak00000amzCCAAY"/>
    <s v="Rowan Jones"/>
    <m/>
    <x v="3"/>
    <b v="0"/>
    <m/>
    <s v="005ak00000icyWTAAY"/>
    <s v="2026-10-01T15:56:45.000Z"/>
    <m/>
    <m/>
    <d v="2027-02-24T00:00:00"/>
    <s v="LSN-01224"/>
    <s v="L-0001235"/>
    <s v="131ak000001XjDuAAK"/>
    <b v="0"/>
    <b v="0"/>
    <s v="a0Aak00000GkVyc"/>
    <s v="18:00:00.000Z"/>
    <x v="2"/>
    <s v="a07ak00001rZMr6AAG"/>
    <s v="Priya Roberts"/>
    <s v="2026-10-01T15:56:45.000Z"/>
    <b v="1"/>
    <s v="a06ak00000amzCCAAY|2027-02-24|18:00:00.000Z"/>
    <n v="1"/>
    <s v="Brick"/>
    <x v="13"/>
    <x v="1"/>
  </r>
  <r>
    <s v="005ak00000icyWTAAY"/>
    <s v="2026-10-01T15:56:45.000Z"/>
    <n v="60"/>
    <s v="a0Aak00000GkVydEAF"/>
    <s v="a06ak00000amzByAAI"/>
    <s v="Vincent Sullivan"/>
    <m/>
    <x v="8"/>
    <b v="0"/>
    <m/>
    <s v="005ak00000icyWTAAY"/>
    <s v="2026-10-01T15:56:45.000Z"/>
    <m/>
    <m/>
    <d v="2027-02-25T00:00:00"/>
    <s v="LSN-01225"/>
    <s v="L-0001236"/>
    <s v="131ak000001XjDuAAK"/>
    <b v="0"/>
    <b v="0"/>
    <s v="a0Aak00000GkVyd"/>
    <s v="15:30:00.000Z"/>
    <x v="2"/>
    <s v="a07ak00001rZMpVAAW"/>
    <s v="Tyler Rodriguez"/>
    <s v="2026-10-01T15:56:45.000Z"/>
    <b v="1"/>
    <s v="a06ak00000amzByAAI|2027-02-25|15:30:00.000Z"/>
    <n v="1"/>
    <s v="Brick"/>
    <x v="13"/>
    <x v="1"/>
  </r>
  <r>
    <s v="005ak00000icyWTAAY"/>
    <s v="2026-10-01T15:56:45.000Z"/>
    <n v="45"/>
    <s v="a0Aak00000GkVyeEAF"/>
    <s v="a06ak00000amzCHAAY"/>
    <s v="Liam Flores"/>
    <m/>
    <x v="4"/>
    <b v="0"/>
    <m/>
    <s v="005ak00000icyWTAAY"/>
    <s v="2026-10-01T15:56:45.000Z"/>
    <m/>
    <m/>
    <d v="2027-02-25T00:00:00"/>
    <s v="LSN-01226"/>
    <s v="L-0001237"/>
    <s v="131ak000001XjDtAAK"/>
    <b v="0"/>
    <b v="0"/>
    <s v="a0Aak00000GkVye"/>
    <s v="15:30:00.000Z"/>
    <x v="2"/>
    <s v="a07ak00001rZMrDAAW"/>
    <s v="Jackson Lopez"/>
    <s v="2026-10-01T15:56:45.000Z"/>
    <b v="1"/>
    <s v="a06ak00000amzCHAAY|2027-02-25|15:30:00.000Z"/>
    <n v="1"/>
    <s v="Red Bank"/>
    <x v="13"/>
    <x v="1"/>
  </r>
  <r>
    <s v="005ak00000icyWTAAY"/>
    <s v="2026-10-01T15:56:45.000Z"/>
    <n v="60"/>
    <s v="a0Aak00000GkVyfEAF"/>
    <s v="a06ak00000amzBzAAI"/>
    <s v="Ezra Garcia"/>
    <m/>
    <x v="5"/>
    <b v="0"/>
    <m/>
    <s v="005ak00000icyWTAAY"/>
    <s v="2026-10-01T15:56:45.000Z"/>
    <m/>
    <m/>
    <d v="2027-02-25T00:00:00"/>
    <s v="LSN-01227"/>
    <s v="L-0001238"/>
    <s v="131ak000001XjDtAAK"/>
    <b v="0"/>
    <b v="0"/>
    <s v="a0Aak00000GkVyf"/>
    <s v="15:30:00.000Z"/>
    <x v="2"/>
    <s v="a07ak00001rZMrIAAW"/>
    <s v="Sofia Perez"/>
    <s v="2026-10-01T15:56:45.000Z"/>
    <b v="1"/>
    <s v="a06ak00000amzBzAAI|2027-02-25|15:30:00.000Z"/>
    <n v="1"/>
    <s v="Red Bank"/>
    <x v="13"/>
    <x v="1"/>
  </r>
  <r>
    <s v="005ak00000icyWTAAY"/>
    <s v="2026-10-01T15:56:45.000Z"/>
    <n v="30"/>
    <s v="a0Aak00000GkVygEAF"/>
    <s v="a06ak00000amzC8AAI"/>
    <s v="Adrian Byrne"/>
    <m/>
    <x v="2"/>
    <b v="0"/>
    <m/>
    <s v="005ak00000icyWTAAY"/>
    <s v="2026-10-01T15:56:45.000Z"/>
    <m/>
    <m/>
    <d v="2027-02-25T00:00:00"/>
    <s v="LSN-01228"/>
    <s v="L-0001239"/>
    <s v="131ak000001XjDuAAK"/>
    <b v="0"/>
    <b v="0"/>
    <s v="a0Aak00000GkVyg"/>
    <s v="18:00:00.000Z"/>
    <x v="2"/>
    <s v="a07ak00001rZMqYAAW"/>
    <s v="Chen Mitchell"/>
    <s v="2026-10-01T15:56:45.000Z"/>
    <b v="1"/>
    <s v="a06ak00000amzC8AAI|2027-02-25|18:00:00.000Z"/>
    <n v="1"/>
    <s v="Brick"/>
    <x v="13"/>
    <x v="1"/>
  </r>
  <r>
    <s v="005ak00000icyWTAAY"/>
    <s v="2026-10-01T15:56:45.000Z"/>
    <n v="60"/>
    <s v="a0Aak00000GkVyhEAF"/>
    <s v="a06ak00000amzCIAAY"/>
    <s v="Omar Nelson"/>
    <m/>
    <x v="7"/>
    <b v="0"/>
    <m/>
    <s v="005ak00000icyWTAAY"/>
    <s v="2026-10-01T15:56:45.000Z"/>
    <m/>
    <m/>
    <d v="2027-02-25T00:00:00"/>
    <s v="LSN-01229"/>
    <s v="L-0001240"/>
    <s v="131ak000001XjDvAAK"/>
    <b v="0"/>
    <b v="0"/>
    <s v="a0Aak00000GkVyh"/>
    <s v="18:00:00.000Z"/>
    <x v="2"/>
    <s v="a07ak00001rZMr2AAG"/>
    <s v="Maria Rodriguez"/>
    <s v="2026-10-01T15:56:45.000Z"/>
    <b v="1"/>
    <s v="a06ak00000amzCIAAY|2027-02-25|18:00:00.000Z"/>
    <n v="1"/>
    <s v="Toms River"/>
    <x v="13"/>
    <x v="1"/>
  </r>
  <r>
    <s v="005ak00000icyWTAAY"/>
    <s v="2026-10-01T15:56:45.000Z"/>
    <n v="30"/>
    <s v="a0Aak00000GkVyiEAF"/>
    <s v="a06ak00000amzBfAAI"/>
    <s v="Mia Smith"/>
    <m/>
    <x v="6"/>
    <b v="0"/>
    <m/>
    <s v="005ak00000icyWTAAY"/>
    <s v="2026-10-01T15:56:45.000Z"/>
    <m/>
    <m/>
    <d v="2027-02-25T00:00:00"/>
    <s v="LSN-01230"/>
    <s v="L-0001241"/>
    <s v="131ak000001XjDuAAK"/>
    <b v="0"/>
    <b v="0"/>
    <s v="a0Aak00000GkVyi"/>
    <s v="18:00:00.000Z"/>
    <x v="2"/>
    <s v="a07ak00001rZMs0AAG"/>
    <s v="Sofia Nelson"/>
    <s v="2026-10-01T15:56:45.000Z"/>
    <b v="1"/>
    <s v="a06ak00000amzBfAAI|2027-02-25|18:00:00.000Z"/>
    <n v="1"/>
    <s v="Brick"/>
    <x v="13"/>
    <x v="1"/>
  </r>
  <r>
    <s v="005ak00000icyWTAAY"/>
    <s v="2026-10-01T15:56:45.000Z"/>
    <n v="30"/>
    <s v="a0Aak00000GkVyjEAF"/>
    <s v="a06ak00000amzBiAAI"/>
    <s v="Zoey Torres"/>
    <m/>
    <x v="8"/>
    <b v="0"/>
    <m/>
    <s v="005ak00000icyWTAAY"/>
    <s v="2026-10-01T15:56:45.000Z"/>
    <m/>
    <m/>
    <d v="2027-02-25T00:00:00"/>
    <s v="LSN-01231"/>
    <s v="L-0001242"/>
    <s v="131ak000001XjDtAAK"/>
    <b v="0"/>
    <b v="0"/>
    <s v="a0Aak00000GkVyj"/>
    <s v="19:00:00.000Z"/>
    <x v="2"/>
    <s v="a07ak00001rZMqIAAW"/>
    <s v="Gabriel Baker"/>
    <s v="2026-10-01T15:56:45.000Z"/>
    <b v="1"/>
    <s v="a06ak00000amzBiAAI|2027-02-25|19:00:00.000Z"/>
    <n v="1"/>
    <s v="Red Bank"/>
    <x v="13"/>
    <x v="1"/>
  </r>
  <r>
    <s v="005ak00000icyWTAAY"/>
    <s v="2026-10-01T15:56:45.000Z"/>
    <n v="45"/>
    <s v="a0Aak00000GkVykEAF"/>
    <s v="a06ak00000amzBiAAI"/>
    <s v="Zoey Torres"/>
    <m/>
    <x v="1"/>
    <b v="0"/>
    <m/>
    <s v="005ak00000icyWTAAY"/>
    <s v="2026-10-01T15:56:45.000Z"/>
    <m/>
    <m/>
    <d v="2027-02-26T00:00:00"/>
    <s v="LSN-01232"/>
    <s v="L-0001243"/>
    <s v="131ak000001XjDtAAK"/>
    <b v="0"/>
    <b v="0"/>
    <s v="a0Aak00000GkVyk"/>
    <s v="15:00:00.000Z"/>
    <x v="2"/>
    <s v="a07ak00001rZMpqAAG"/>
    <s v="Isaac Harris"/>
    <s v="2026-10-01T15:56:45.000Z"/>
    <b v="1"/>
    <s v="a06ak00000amzBiAAI|2027-02-26|15:00:00.000Z"/>
    <n v="1"/>
    <s v="Red Bank"/>
    <x v="13"/>
    <x v="1"/>
  </r>
  <r>
    <s v="005ak00000icyWTAAY"/>
    <s v="2026-10-01T15:56:45.000Z"/>
    <n v="45"/>
    <s v="a0Aak00000GkVylEAF"/>
    <s v="a06ak00000amzBzAAI"/>
    <s v="Ezra Garcia"/>
    <m/>
    <x v="5"/>
    <b v="0"/>
    <m/>
    <s v="005ak00000icyWTAAY"/>
    <s v="2026-10-01T15:56:45.000Z"/>
    <m/>
    <m/>
    <d v="2027-02-26T00:00:00"/>
    <s v="LSN-01233"/>
    <s v="L-0001244"/>
    <s v="131ak000001XjDvAAK"/>
    <b v="0"/>
    <b v="0"/>
    <s v="a0Aak00000GkVyl"/>
    <s v="16:30:00.000Z"/>
    <x v="2"/>
    <s v="a07ak00001rZMpQAAW"/>
    <s v="Priya Ramirez"/>
    <s v="2026-10-01T15:56:45.000Z"/>
    <b v="1"/>
    <s v="a06ak00000amzBzAAI|2027-02-26|16:30:00.000Z"/>
    <n v="1"/>
    <s v="Toms River"/>
    <x v="13"/>
    <x v="1"/>
  </r>
  <r>
    <s v="005ak00000icyWTAAY"/>
    <s v="2026-10-01T15:56:45.000Z"/>
    <n v="45"/>
    <s v="a0Aak00000GkVymEAF"/>
    <s v="a06ak00000amzC0AAI"/>
    <s v="James Moore"/>
    <m/>
    <x v="6"/>
    <b v="0"/>
    <m/>
    <s v="005ak00000icyWTAAY"/>
    <s v="2026-10-01T15:56:45.000Z"/>
    <m/>
    <m/>
    <d v="2027-02-26T00:00:00"/>
    <s v="LSN-01234"/>
    <s v="L-0001245"/>
    <s v="131ak000001XjDtAAK"/>
    <b v="0"/>
    <b v="0"/>
    <s v="a0Aak00000GkVym"/>
    <s v="17:30:00.000Z"/>
    <x v="2"/>
    <s v="a07ak00001rZMqsAAG"/>
    <s v="Zoey Kim"/>
    <s v="2026-10-01T15:56:45.000Z"/>
    <b v="1"/>
    <s v="a06ak00000amzC0AAI|2027-02-26|17:30:00.000Z"/>
    <n v="1"/>
    <s v="Red Bank"/>
    <x v="13"/>
    <x v="1"/>
  </r>
  <r>
    <s v="005ak00000icyWTAAY"/>
    <s v="2026-10-01T15:56:45.000Z"/>
    <n v="30"/>
    <s v="a0Aak00000GkVynEAF"/>
    <s v="a06ak00000amzBfAAI"/>
    <s v="Mia Smith"/>
    <m/>
    <x v="6"/>
    <b v="0"/>
    <m/>
    <s v="005ak00000icyWTAAY"/>
    <s v="2026-10-01T15:56:45.000Z"/>
    <m/>
    <m/>
    <d v="2027-02-26T00:00:00"/>
    <s v="LSN-01235"/>
    <s v="L-0001246"/>
    <s v="131ak000001XjDvAAK"/>
    <b v="0"/>
    <b v="0"/>
    <s v="a0Aak00000GkVyn"/>
    <s v="18:00:00.000Z"/>
    <x v="2"/>
    <s v="a07ak00001rZMrRAAW"/>
    <s v="Amelia Okafor"/>
    <s v="2026-10-01T15:56:45.000Z"/>
    <b v="1"/>
    <s v="a06ak00000amzBfAAI|2027-02-26|18:00:00.000Z"/>
    <n v="1"/>
    <s v="Toms River"/>
    <x v="13"/>
    <x v="1"/>
  </r>
  <r>
    <s v="005ak00000icyWTAAY"/>
    <s v="2026-10-01T15:56:45.000Z"/>
    <n v="45"/>
    <s v="a0Aak00000GkVyoEAF"/>
    <s v="a06ak00000amzBiAAI"/>
    <s v="Zoey Torres"/>
    <m/>
    <x v="7"/>
    <b v="0"/>
    <m/>
    <s v="005ak00000icyWTAAY"/>
    <s v="2026-10-01T15:56:45.000Z"/>
    <m/>
    <m/>
    <d v="2027-02-26T00:00:00"/>
    <s v="LSN-01236"/>
    <s v="L-0001247"/>
    <s v="131ak000001XjDtAAK"/>
    <b v="0"/>
    <b v="0"/>
    <s v="a0Aak00000GkVyo"/>
    <s v="18:30:00.000Z"/>
    <x v="2"/>
    <s v="a07ak00001rZMqTAAW"/>
    <s v="Naomi Kowalski"/>
    <s v="2026-10-01T15:56:45.000Z"/>
    <b v="1"/>
    <s v="a06ak00000amzBiAAI|2027-02-26|18:30:00.000Z"/>
    <n v="1"/>
    <s v="Red Bank"/>
    <x v="13"/>
    <x v="1"/>
  </r>
  <r>
    <s v="005ak00000icyWTAAY"/>
    <s v="2026-10-01T15:56:45.000Z"/>
    <n v="30"/>
    <s v="a0Aak00000GkVypEAF"/>
    <s v="a06ak00000amzBgAAI"/>
    <s v="Noah Mitchell"/>
    <m/>
    <x v="1"/>
    <b v="0"/>
    <m/>
    <s v="005ak00000icyWTAAY"/>
    <s v="2026-10-01T15:56:45.000Z"/>
    <m/>
    <m/>
    <d v="2027-02-26T00:00:00"/>
    <s v="LSN-01237"/>
    <s v="L-0001248"/>
    <s v="131ak000001XjDuAAK"/>
    <b v="0"/>
    <b v="0"/>
    <s v="a0Aak00000GkVyp"/>
    <s v="18:30:00.000Z"/>
    <x v="2"/>
    <s v="a07ak00001rZMs2AAG"/>
    <s v="Sofia Johnson"/>
    <s v="2026-10-01T15:56:45.000Z"/>
    <b v="1"/>
    <s v="a06ak00000amzBgAAI|2027-02-26|18:30:00.000Z"/>
    <n v="1"/>
    <s v="Brick"/>
    <x v="13"/>
    <x v="1"/>
  </r>
  <r>
    <s v="005ak00000icyWTAAY"/>
    <s v="2026-10-01T15:56:45.000Z"/>
    <n v="30"/>
    <s v="a0Aak00000GkVyqEAF"/>
    <s v="a06ak00000amzBiAAI"/>
    <s v="Zoey Torres"/>
    <m/>
    <x v="8"/>
    <b v="0"/>
    <m/>
    <s v="005ak00000icyWTAAY"/>
    <s v="2026-10-01T15:56:45.000Z"/>
    <m/>
    <m/>
    <d v="2027-02-27T00:00:00"/>
    <s v="LSN-01238"/>
    <s v="L-0001249"/>
    <s v="131ak000001XjDtAAK"/>
    <b v="0"/>
    <b v="0"/>
    <s v="a0Aak00000GkVyq"/>
    <s v="09:30:00.000Z"/>
    <x v="2"/>
    <s v="a07ak00001rZMrPAAW"/>
    <s v="Emily Campbell"/>
    <s v="2026-10-01T15:56:45.000Z"/>
    <b v="1"/>
    <s v="a06ak00000amzBiAAI|2027-02-27|09:30:00.000Z"/>
    <n v="1"/>
    <s v="Red Bank"/>
    <x v="13"/>
    <x v="1"/>
  </r>
  <r>
    <s v="005ak00000icyWTAAY"/>
    <s v="2026-10-01T15:56:45.000Z"/>
    <n v="30"/>
    <s v="a0Aak00000GkVyrEAF"/>
    <s v="a06ak00000amzBiAAI"/>
    <s v="Zoey Torres"/>
    <m/>
    <x v="1"/>
    <b v="0"/>
    <m/>
    <s v="005ak00000icyWTAAY"/>
    <s v="2026-10-01T15:56:45.000Z"/>
    <m/>
    <m/>
    <d v="2027-02-27T00:00:00"/>
    <s v="LSN-01239"/>
    <s v="L-0001250"/>
    <s v="131ak000001XjDtAAK"/>
    <b v="0"/>
    <b v="0"/>
    <s v="a0Aak00000GkVyr"/>
    <s v="10:00:00.000Z"/>
    <x v="2"/>
    <s v="a07ak00001rZMpTAAW"/>
    <s v="Henry Dubois"/>
    <s v="2026-10-01T15:56:45.000Z"/>
    <b v="1"/>
    <s v="a06ak00000amzBiAAI|2027-02-27|10:00:00.000Z"/>
    <n v="1"/>
    <s v="Red Bank"/>
    <x v="13"/>
    <x v="1"/>
  </r>
  <r>
    <s v="005ak00000icyWTAAY"/>
    <s v="2026-10-01T15:56:45.000Z"/>
    <n v="45"/>
    <s v="a0Aak00000GkVysEAF"/>
    <s v="a06ak00000amzC0AAI"/>
    <s v="James Moore"/>
    <m/>
    <x v="9"/>
    <b v="0"/>
    <m/>
    <s v="005ak00000icyWTAAY"/>
    <s v="2026-10-01T15:56:45.000Z"/>
    <m/>
    <m/>
    <d v="2027-02-27T00:00:00"/>
    <s v="LSN-01240"/>
    <s v="L-0001251"/>
    <s v="131ak000001XjDtAAK"/>
    <b v="0"/>
    <b v="0"/>
    <s v="a0Aak00000GkVys"/>
    <s v="10:00:00.000Z"/>
    <x v="2"/>
    <s v="a07ak00001rZMqgAAG"/>
    <s v="Adrian Lewis"/>
    <s v="2026-10-01T15:56:45.000Z"/>
    <b v="1"/>
    <s v="a06ak00000amzC0AAI|2027-02-27|10:00:00.000Z"/>
    <n v="1"/>
    <s v="Red Bank"/>
    <x v="13"/>
    <x v="1"/>
  </r>
  <r>
    <s v="005ak00000icyWTAAY"/>
    <s v="2026-10-01T15:56:46.000Z"/>
    <n v="30"/>
    <s v="a0Aak00000GkW0TEAV"/>
    <s v="a06ak00000amzC1AAI"/>
    <s v="Valentina Nakamura"/>
    <m/>
    <x v="11"/>
    <b v="0"/>
    <m/>
    <s v="005ak00000icyWTAAY"/>
    <s v="2026-10-01T15:56:46.000Z"/>
    <m/>
    <m/>
    <d v="2027-02-27T00:00:00"/>
    <s v="LSN-01241"/>
    <s v="L-0001252"/>
    <s v="131ak000001XjDvAAK"/>
    <b v="0"/>
    <b v="0"/>
    <s v="a0Aak00000GkW0T"/>
    <s v="11:30:00.000Z"/>
    <x v="2"/>
    <s v="a07ak00001rZMpwAAG"/>
    <s v="Brooklyn Young"/>
    <s v="2026-10-01T15:56:46.000Z"/>
    <b v="1"/>
    <s v="a06ak00000amzC1AAI|2027-02-27|11:30:00.000Z"/>
    <n v="1"/>
    <s v="Toms River"/>
    <x v="13"/>
    <x v="1"/>
  </r>
  <r>
    <s v="005ak00000icyWTAAY"/>
    <s v="2026-10-01T15:56:46.000Z"/>
    <n v="30"/>
    <s v="a0Aak00000GkW0UEAV"/>
    <s v="a06ak00000amzBxAAI"/>
    <s v="Miles Allen"/>
    <m/>
    <x v="7"/>
    <b v="0"/>
    <m/>
    <s v="005ak00000icyWTAAY"/>
    <s v="2026-10-01T15:56:46.000Z"/>
    <m/>
    <m/>
    <d v="2027-02-27T00:00:00"/>
    <s v="LSN-01242"/>
    <s v="L-0001253"/>
    <s v="131ak000001XjDuAAK"/>
    <b v="0"/>
    <b v="0"/>
    <s v="a0Aak00000GkW0U"/>
    <s v="11:30:00.000Z"/>
    <x v="2"/>
    <s v="a07ak00001rZMqAAAW"/>
    <s v="Elijah Jones"/>
    <s v="2026-10-01T15:56:46.000Z"/>
    <b v="1"/>
    <s v="a06ak00000amzBxAAI|2027-02-27|11:30:00.000Z"/>
    <n v="1"/>
    <s v="Brick"/>
    <x v="13"/>
    <x v="1"/>
  </r>
  <r>
    <s v="005ak00000icyWTAAY"/>
    <s v="2026-10-01T15:56:46.000Z"/>
    <n v="60"/>
    <s v="a0Aak00000GkW0VEAV"/>
    <s v="a06ak00000amzCBAAY"/>
    <s v="Aiden Hill"/>
    <m/>
    <x v="10"/>
    <b v="0"/>
    <m/>
    <s v="005ak00000icyWTAAY"/>
    <s v="2026-10-01T15:56:46.000Z"/>
    <m/>
    <m/>
    <d v="2027-02-27T00:00:00"/>
    <s v="LSN-01243"/>
    <s v="L-0001254"/>
    <s v="131ak000001XjDtAAK"/>
    <b v="0"/>
    <b v="0"/>
    <s v="a0Aak00000GkW0V"/>
    <s v="12:30:00.000Z"/>
    <x v="2"/>
    <s v="a07ak00001rZMrNAAW"/>
    <s v="Skylar Kim"/>
    <s v="2026-10-01T15:56:46.000Z"/>
    <b v="1"/>
    <s v="a06ak00000amzCBAAY|2027-02-27|12:30:00.000Z"/>
    <n v="1"/>
    <s v="Red Bank"/>
    <x v="13"/>
    <x v="1"/>
  </r>
  <r>
    <s v="005ak00000icyWTAAY"/>
    <s v="2026-10-01T15:56:46.000Z"/>
    <n v="60"/>
    <s v="a0Aak00000GkW0WEAV"/>
    <s v="a06ak00000amzBzAAI"/>
    <s v="Ezra Garcia"/>
    <m/>
    <x v="5"/>
    <b v="0"/>
    <m/>
    <s v="005ak00000icyWTAAY"/>
    <s v="2026-10-01T15:56:46.000Z"/>
    <m/>
    <m/>
    <d v="2027-03-01T00:00:00"/>
    <s v="LSN-01244"/>
    <s v="L-0001255"/>
    <s v="131ak000001XjDtAAK"/>
    <b v="0"/>
    <b v="0"/>
    <s v="a0Aak00000GkW0W"/>
    <s v="15:30:00.000Z"/>
    <x v="2"/>
    <s v="a07ak00001rZMqGAAW"/>
    <s v="Josiah Clark"/>
    <s v="2026-10-01T15:56:46.000Z"/>
    <b v="1"/>
    <s v="a06ak00000amzBzAAI|2027-03-01|15:30:00.000Z"/>
    <n v="1"/>
    <s v="Red Bank"/>
    <x v="14"/>
    <x v="1"/>
  </r>
  <r>
    <s v="005ak00000icyWTAAY"/>
    <s v="2026-10-01T15:56:46.000Z"/>
    <n v="45"/>
    <s v="a0Aak00000GkW0XEAV"/>
    <s v="a06ak00000amzBgAAI"/>
    <s v="Noah Mitchell"/>
    <m/>
    <x v="1"/>
    <b v="0"/>
    <m/>
    <s v="005ak00000icyWTAAY"/>
    <s v="2026-10-01T15:56:46.000Z"/>
    <m/>
    <m/>
    <d v="2027-03-01T00:00:00"/>
    <s v="LSN-01245"/>
    <s v="L-0001256"/>
    <s v="131ak000001XjDuAAK"/>
    <b v="0"/>
    <b v="0"/>
    <s v="a0Aak00000GkW0X"/>
    <s v="16:30:00.000Z"/>
    <x v="2"/>
    <s v="a07ak00001rZMpDAAW"/>
    <s v="Mei Thompson"/>
    <s v="2026-10-01T15:56:46.000Z"/>
    <b v="1"/>
    <s v="a06ak00000amzBgAAI|2027-03-01|16:30:00.000Z"/>
    <n v="1"/>
    <s v="Brick"/>
    <x v="14"/>
    <x v="1"/>
  </r>
  <r>
    <s v="005ak00000icyWTAAY"/>
    <s v="2026-10-01T15:56:46.000Z"/>
    <n v="45"/>
    <s v="a0Aak00000GkW0YEAV"/>
    <s v="a06ak00000amzCHAAY"/>
    <s v="Liam Flores"/>
    <m/>
    <x v="4"/>
    <b v="0"/>
    <m/>
    <s v="005ak00000icyWTAAY"/>
    <s v="2026-10-01T15:56:46.000Z"/>
    <m/>
    <m/>
    <d v="2027-03-01T00:00:00"/>
    <s v="LSN-01246"/>
    <s v="L-0001257"/>
    <s v="131ak000001XjDvAAK"/>
    <b v="0"/>
    <b v="0"/>
    <s v="a0Aak00000GkW0Y"/>
    <s v="16:30:00.000Z"/>
    <x v="2"/>
    <s v="a07ak00001rZMqDAAW"/>
    <s v="Ryan Lopez"/>
    <s v="2026-10-01T15:56:46.000Z"/>
    <b v="1"/>
    <s v="a06ak00000amzCHAAY|2027-03-01|16:30:00.000Z"/>
    <n v="1"/>
    <s v="Toms River"/>
    <x v="14"/>
    <x v="1"/>
  </r>
  <r>
    <s v="005ak00000icyWTAAY"/>
    <s v="2026-10-01T15:56:46.000Z"/>
    <n v="30"/>
    <s v="a0Aak00000GkW0ZEAV"/>
    <s v="a06ak00000amzBzAAI"/>
    <s v="Ezra Garcia"/>
    <m/>
    <x v="0"/>
    <b v="0"/>
    <m/>
    <s v="005ak00000icyWTAAY"/>
    <s v="2026-10-01T15:56:46.000Z"/>
    <m/>
    <m/>
    <d v="2027-03-01T00:00:00"/>
    <s v="LSN-01247"/>
    <s v="L-0001258"/>
    <s v="131ak000001XjDtAAK"/>
    <b v="0"/>
    <b v="0"/>
    <s v="a0Aak00000GkW0Z"/>
    <s v="17:30:00.000Z"/>
    <x v="2"/>
    <s v="a07ak00001rZMqUAAW"/>
    <s v="Riley Silva"/>
    <s v="2026-10-01T15:56:46.000Z"/>
    <b v="1"/>
    <s v="a06ak00000amzBzAAI|2027-03-01|17:30:00.000Z"/>
    <n v="1"/>
    <s v="Red Bank"/>
    <x v="14"/>
    <x v="1"/>
  </r>
  <r>
    <s v="005ak00000icyWTAAY"/>
    <s v="2026-10-01T15:56:46.000Z"/>
    <n v="45"/>
    <s v="a0Aak00000GkW0aEAF"/>
    <s v="a06ak00000amzBiAAI"/>
    <s v="Zoey Torres"/>
    <m/>
    <x v="1"/>
    <b v="0"/>
    <m/>
    <s v="005ak00000icyWTAAY"/>
    <s v="2026-10-01T15:56:46.000Z"/>
    <m/>
    <m/>
    <d v="2027-03-01T00:00:00"/>
    <s v="LSN-01248"/>
    <s v="L-0001259"/>
    <s v="131ak000001XjDtAAK"/>
    <b v="0"/>
    <b v="0"/>
    <s v="a0Aak00000GkW0a"/>
    <s v="18:30:00.000Z"/>
    <x v="2"/>
    <s v="a07ak00001rZMpgAAG"/>
    <s v="Micah King"/>
    <s v="2026-10-01T15:56:46.000Z"/>
    <b v="1"/>
    <s v="a06ak00000amzBiAAI|2027-03-01|18:30:00.000Z"/>
    <n v="1"/>
    <s v="Red Bank"/>
    <x v="14"/>
    <x v="1"/>
  </r>
  <r>
    <s v="005ak00000icyWTAAY"/>
    <s v="2026-10-01T15:56:46.000Z"/>
    <n v="45"/>
    <s v="a0Aak00000GkW0bEAF"/>
    <s v="a06ak00000amzBtAAI"/>
    <s v="Jamal Torres"/>
    <m/>
    <x v="8"/>
    <b v="0"/>
    <m/>
    <s v="005ak00000icyWTAAY"/>
    <s v="2026-10-01T15:56:46.000Z"/>
    <m/>
    <m/>
    <d v="2027-03-01T00:00:00"/>
    <s v="LSN-01249"/>
    <s v="L-0001260"/>
    <s v="131ak000001XjDvAAK"/>
    <b v="0"/>
    <b v="0"/>
    <s v="a0Aak00000GkW0b"/>
    <s v="18:30:00.000Z"/>
    <x v="2"/>
    <s v="a07ak00001rZMrWAAW"/>
    <s v="Mei Sullivan"/>
    <s v="2026-10-01T15:56:46.000Z"/>
    <b v="1"/>
    <s v="a06ak00000amzBtAAI|2027-03-01|18:30:00.000Z"/>
    <n v="1"/>
    <s v="Toms River"/>
    <x v="14"/>
    <x v="1"/>
  </r>
  <r>
    <s v="005ak00000icyWTAAY"/>
    <s v="2026-10-01T15:56:46.000Z"/>
    <n v="60"/>
    <s v="a0Aak00000GkW0cEAF"/>
    <s v="a06ak00000amzC1AAI"/>
    <s v="Valentina Nakamura"/>
    <m/>
    <x v="11"/>
    <b v="0"/>
    <m/>
    <s v="005ak00000icyWTAAY"/>
    <s v="2026-10-01T15:56:46.000Z"/>
    <m/>
    <m/>
    <d v="2027-03-02T00:00:00"/>
    <s v="LSN-01250"/>
    <s v="L-0001261"/>
    <s v="131ak000001XjDuAAK"/>
    <b v="0"/>
    <b v="0"/>
    <s v="a0Aak00000GkW0c"/>
    <s v="16:30:00.000Z"/>
    <x v="2"/>
    <s v="a07ak00001rZMrBAAW"/>
    <s v="Diego Moore"/>
    <s v="2026-10-01T15:56:46.000Z"/>
    <b v="1"/>
    <s v="a06ak00000amzC1AAI|2027-03-02|16:30:00.000Z"/>
    <n v="1"/>
    <s v="Brick"/>
    <x v="14"/>
    <x v="1"/>
  </r>
  <r>
    <s v="005ak00000icyWTAAY"/>
    <s v="2026-10-01T15:56:46.000Z"/>
    <n v="45"/>
    <s v="a0Aak00000GkW0dEAF"/>
    <s v="a06ak00000amzC1AAI"/>
    <s v="Valentina Nakamura"/>
    <m/>
    <x v="5"/>
    <b v="0"/>
    <m/>
    <s v="005ak00000icyWTAAY"/>
    <s v="2026-10-01T15:56:46.000Z"/>
    <m/>
    <m/>
    <d v="2027-03-02T00:00:00"/>
    <s v="LSN-01251"/>
    <s v="L-0001262"/>
    <s v="131ak000001XjDuAAK"/>
    <b v="0"/>
    <b v="0"/>
    <s v="a0Aak00000GkW0d"/>
    <s v="17:30:00.000Z"/>
    <x v="2"/>
    <s v="a07ak00001rZMrOAAW"/>
    <s v="Evelyn Lee"/>
    <s v="2026-10-01T15:56:46.000Z"/>
    <b v="1"/>
    <s v="a06ak00000amzC1AAI|2027-03-02|17:30:00.000Z"/>
    <n v="1"/>
    <s v="Brick"/>
    <x v="14"/>
    <x v="1"/>
  </r>
  <r>
    <s v="005ak00000icyWTAAY"/>
    <s v="2026-10-01T15:56:46.000Z"/>
    <n v="45"/>
    <s v="a0Aak00000GkW0eEAF"/>
    <s v="a06ak00000amzBtAAI"/>
    <s v="Jamal Torres"/>
    <m/>
    <x v="2"/>
    <b v="0"/>
    <m/>
    <s v="005ak00000icyWTAAY"/>
    <s v="2026-10-01T15:56:46.000Z"/>
    <m/>
    <m/>
    <d v="2027-03-02T00:00:00"/>
    <s v="LSN-01252"/>
    <s v="L-0001263"/>
    <s v="131ak000001XjDtAAK"/>
    <b v="0"/>
    <b v="0"/>
    <s v="a0Aak00000GkW0e"/>
    <s v="18:30:00.000Z"/>
    <x v="2"/>
    <s v="a07ak00001rZMqdAAG"/>
    <s v="Scarlett Scott"/>
    <s v="2026-10-01T15:56:46.000Z"/>
    <b v="1"/>
    <s v="a06ak00000amzBtAAI|2027-03-02|18:30:00.000Z"/>
    <n v="1"/>
    <s v="Red Bank"/>
    <x v="14"/>
    <x v="1"/>
  </r>
  <r>
    <s v="005ak00000icyWTAAY"/>
    <s v="2026-10-01T15:56:46.000Z"/>
    <n v="30"/>
    <s v="a0Aak00000GkW0fEAF"/>
    <s v="a06ak00000amzC0AAI"/>
    <s v="James Moore"/>
    <m/>
    <x v="10"/>
    <b v="0"/>
    <m/>
    <s v="005ak00000icyWTAAY"/>
    <s v="2026-10-01T15:56:46.000Z"/>
    <m/>
    <m/>
    <d v="2027-03-02T00:00:00"/>
    <s v="LSN-01253"/>
    <s v="L-0001264"/>
    <s v="131ak000001XjDtAAK"/>
    <b v="0"/>
    <b v="0"/>
    <s v="a0Aak00000GkW0f"/>
    <s v="19:00:00.000Z"/>
    <x v="2"/>
    <s v="a07ak00001rZMrfAAG"/>
    <s v="Marcus Nelson"/>
    <s v="2026-10-01T15:56:46.000Z"/>
    <b v="1"/>
    <s v="a06ak00000amzC0AAI|2027-03-02|19:00:00.000Z"/>
    <n v="1"/>
    <s v="Red Bank"/>
    <x v="14"/>
    <x v="1"/>
  </r>
  <r>
    <s v="005ak00000icyWTAAY"/>
    <s v="2026-10-01T15:56:46.000Z"/>
    <n v="30"/>
    <s v="a0Aak00000GkW0gEAF"/>
    <s v="a06ak00000amzC1AAI"/>
    <s v="Valentina Nakamura"/>
    <m/>
    <x v="5"/>
    <b v="0"/>
    <m/>
    <s v="005ak00000icyWTAAY"/>
    <s v="2026-10-01T15:56:46.000Z"/>
    <m/>
    <m/>
    <d v="2027-03-03T00:00:00"/>
    <s v="LSN-01254"/>
    <s v="L-0001265"/>
    <s v="131ak000001XjDuAAK"/>
    <b v="0"/>
    <b v="0"/>
    <s v="a0Aak00000GkW0g"/>
    <s v="16:00:00.000Z"/>
    <x v="2"/>
    <s v="a07ak00001rZMpGAAW"/>
    <s v="Noah Wright"/>
    <s v="2026-10-01T15:56:46.000Z"/>
    <b v="1"/>
    <s v="a06ak00000amzC1AAI|2027-03-03|16:00:00.000Z"/>
    <n v="1"/>
    <s v="Brick"/>
    <x v="14"/>
    <x v="1"/>
  </r>
  <r>
    <s v="005ak00000icyWTAAY"/>
    <s v="2026-10-01T15:56:46.000Z"/>
    <n v="45"/>
    <s v="a0Aak00000GkW0hEAF"/>
    <s v="a06ak00000amzBfAAI"/>
    <s v="Mia Smith"/>
    <m/>
    <x v="6"/>
    <b v="0"/>
    <m/>
    <s v="005ak00000icyWTAAY"/>
    <s v="2026-10-01T15:56:46.000Z"/>
    <m/>
    <m/>
    <d v="2027-03-03T00:00:00"/>
    <s v="LSN-01255"/>
    <s v="L-0001266"/>
    <s v="131ak000001XjDuAAK"/>
    <b v="0"/>
    <b v="0"/>
    <s v="a0Aak00000GkW0h"/>
    <s v="16:30:00.000Z"/>
    <x v="2"/>
    <s v="a07ak00001rZMqaAAG"/>
    <s v="Theo Anderson"/>
    <s v="2026-10-01T15:56:46.000Z"/>
    <b v="1"/>
    <s v="a06ak00000amzBfAAI|2027-03-03|16:30:00.000Z"/>
    <n v="1"/>
    <s v="Brick"/>
    <x v="14"/>
    <x v="1"/>
  </r>
  <r>
    <s v="005ak00000icyWTAAY"/>
    <s v="2026-10-01T15:56:46.000Z"/>
    <n v="60"/>
    <s v="a0Aak00000GkW0iEAF"/>
    <s v="a06ak00000amzBzAAI"/>
    <s v="Ezra Garcia"/>
    <m/>
    <x v="11"/>
    <b v="0"/>
    <m/>
    <s v="005ak00000icyWTAAY"/>
    <s v="2026-10-01T15:56:46.000Z"/>
    <m/>
    <m/>
    <d v="2027-03-03T00:00:00"/>
    <s v="LSN-01256"/>
    <s v="L-0001267"/>
    <s v="131ak000001XjDtAAK"/>
    <b v="0"/>
    <b v="0"/>
    <s v="a0Aak00000GkW0i"/>
    <s v="17:30:00.000Z"/>
    <x v="2"/>
    <s v="a07ak00001rZMpfAAG"/>
    <s v="Jonah Moore"/>
    <s v="2026-10-01T15:56:46.000Z"/>
    <b v="1"/>
    <s v="a06ak00000amzBzAAI|2027-03-03|17:30:00.000Z"/>
    <n v="1"/>
    <s v="Red Bank"/>
    <x v="14"/>
    <x v="1"/>
  </r>
  <r>
    <s v="005ak00000icyWTAAY"/>
    <s v="2026-10-01T15:56:46.000Z"/>
    <n v="60"/>
    <s v="a0Aak00000GkW0jEAF"/>
    <s v="a06ak00000amzBiAAI"/>
    <s v="Zoey Torres"/>
    <m/>
    <x v="8"/>
    <b v="0"/>
    <m/>
    <s v="005ak00000icyWTAAY"/>
    <s v="2026-10-01T15:56:46.000Z"/>
    <m/>
    <m/>
    <d v="2027-03-03T00:00:00"/>
    <s v="LSN-01257"/>
    <s v="L-0001268"/>
    <s v="131ak000001XjDtAAK"/>
    <b v="0"/>
    <b v="0"/>
    <s v="a0Aak00000GkW0j"/>
    <s v="19:00:00.000Z"/>
    <x v="2"/>
    <s v="a07ak00001rZMr9AAG"/>
    <s v="Owen Dubois"/>
    <s v="2026-10-01T15:56:46.000Z"/>
    <b v="1"/>
    <s v="a06ak00000amzBiAAI|2027-03-03|19:00:00.000Z"/>
    <n v="1"/>
    <s v="Red Bank"/>
    <x v="14"/>
    <x v="1"/>
  </r>
  <r>
    <s v="005ak00000icyWTAAY"/>
    <s v="2026-10-01T15:56:46.000Z"/>
    <n v="30"/>
    <s v="a0Aak00000GkW0kEAF"/>
    <s v="a06ak00000amzBiAAI"/>
    <s v="Zoey Torres"/>
    <m/>
    <x v="8"/>
    <b v="0"/>
    <m/>
    <s v="005ak00000icyWTAAY"/>
    <s v="2026-10-01T15:56:46.000Z"/>
    <m/>
    <m/>
    <d v="2027-03-04T00:00:00"/>
    <s v="LSN-01258"/>
    <s v="L-0001269"/>
    <s v="131ak000001XjDtAAK"/>
    <b v="0"/>
    <b v="0"/>
    <s v="a0Aak00000GkW0k"/>
    <s v="15:00:00.000Z"/>
    <x v="2"/>
    <s v="a07ak00001rZMqwAAG"/>
    <s v="Maria Martinez"/>
    <s v="2026-10-01T15:56:46.000Z"/>
    <b v="1"/>
    <s v="a06ak00000amzBiAAI|2027-03-04|15:00:00.000Z"/>
    <n v="1"/>
    <s v="Red Bank"/>
    <x v="14"/>
    <x v="1"/>
  </r>
  <r>
    <s v="005ak00000icyWTAAY"/>
    <s v="2026-10-01T15:56:46.000Z"/>
    <n v="30"/>
    <s v="a0Aak00000GkW0lEAF"/>
    <s v="a06ak00000amzC0AAI"/>
    <s v="James Moore"/>
    <m/>
    <x v="9"/>
    <b v="0"/>
    <m/>
    <s v="005ak00000icyWTAAY"/>
    <s v="2026-10-01T15:56:46.000Z"/>
    <m/>
    <m/>
    <d v="2027-03-04T00:00:00"/>
    <s v="LSN-01259"/>
    <s v="L-0001270"/>
    <s v="131ak000001XjDtAAK"/>
    <b v="0"/>
    <b v="0"/>
    <s v="a0Aak00000GkW0l"/>
    <s v="16:00:00.000Z"/>
    <x v="2"/>
    <s v="a07ak00001rZMqZAAW"/>
    <s v="Nathan Perez"/>
    <s v="2026-10-01T15:56:46.000Z"/>
    <b v="1"/>
    <s v="a06ak00000amzC0AAI|2027-03-04|16:00:00.000Z"/>
    <n v="1"/>
    <s v="Red Bank"/>
    <x v="14"/>
    <x v="1"/>
  </r>
  <r>
    <s v="005ak00000icyWTAAY"/>
    <s v="2026-10-01T15:56:46.000Z"/>
    <n v="45"/>
    <s v="a0Aak00000GkW0mEAF"/>
    <s v="a06ak00000amzByAAI"/>
    <s v="Vincent Sullivan"/>
    <m/>
    <x v="10"/>
    <b v="0"/>
    <m/>
    <s v="005ak00000icyWTAAY"/>
    <s v="2026-10-01T15:56:46.000Z"/>
    <m/>
    <m/>
    <d v="2027-03-04T00:00:00"/>
    <s v="LSN-01260"/>
    <s v="L-0001271"/>
    <s v="131ak000001XjDvAAK"/>
    <b v="0"/>
    <b v="0"/>
    <s v="a0Aak00000GkW0m"/>
    <s v="19:00:00.000Z"/>
    <x v="2"/>
    <s v="a07ak00001rZMrSAAW"/>
    <s v="Leo Okafor"/>
    <s v="2026-10-01T15:56:46.000Z"/>
    <b v="1"/>
    <s v="a06ak00000amzByAAI|2027-03-04|19:00:00.000Z"/>
    <n v="1"/>
    <s v="Toms River"/>
    <x v="14"/>
    <x v="1"/>
  </r>
  <r>
    <s v="005ak00000icyWTAAY"/>
    <s v="2026-10-01T15:56:46.000Z"/>
    <n v="30"/>
    <s v="a0Aak00000GkW0nEAF"/>
    <s v="a06ak00000amzCCAAY"/>
    <s v="Rowan Jones"/>
    <m/>
    <x v="9"/>
    <b v="0"/>
    <m/>
    <s v="005ak00000icyWTAAY"/>
    <s v="2026-10-01T15:56:46.000Z"/>
    <m/>
    <m/>
    <d v="2027-03-05T00:00:00"/>
    <s v="LSN-01261"/>
    <s v="L-0001272"/>
    <s v="131ak000001XjDuAAK"/>
    <b v="0"/>
    <b v="0"/>
    <s v="a0Aak00000GkW0n"/>
    <s v="15:30:00.000Z"/>
    <x v="2"/>
    <s v="a07ak00001rZMq5AAG"/>
    <s v="Omar Clark"/>
    <s v="2026-10-01T15:56:46.000Z"/>
    <b v="1"/>
    <s v="a06ak00000amzCCAAY|2027-03-05|15:30:00.000Z"/>
    <n v="1"/>
    <s v="Brick"/>
    <x v="14"/>
    <x v="1"/>
  </r>
  <r>
    <s v="005ak00000icyWTAAY"/>
    <s v="2026-10-01T15:56:46.000Z"/>
    <n v="30"/>
    <s v="a0Aak00000GkW0oEAF"/>
    <s v="a06ak00000amzCHAAY"/>
    <s v="Liam Flores"/>
    <m/>
    <x v="4"/>
    <b v="0"/>
    <m/>
    <s v="005ak00000icyWTAAY"/>
    <s v="2026-10-01T15:56:46.000Z"/>
    <m/>
    <m/>
    <d v="2027-03-05T00:00:00"/>
    <s v="LSN-01262"/>
    <s v="L-0001273"/>
    <s v="131ak000001XjDvAAK"/>
    <b v="0"/>
    <b v="0"/>
    <s v="a0Aak00000GkW0o"/>
    <s v="16:30:00.000Z"/>
    <x v="2"/>
    <s v="a07ak00001rZMpEAAW"/>
    <s v="Kennedy Sullivan"/>
    <s v="2026-10-01T15:56:46.000Z"/>
    <b v="1"/>
    <s v="a06ak00000amzCHAAY|2027-03-05|16:30:00.000Z"/>
    <n v="1"/>
    <s v="Toms River"/>
    <x v="14"/>
    <x v="1"/>
  </r>
  <r>
    <s v="005ak00000icyWTAAY"/>
    <s v="2026-10-01T15:56:46.000Z"/>
    <n v="45"/>
    <s v="a0Aak00000GkW0pEAF"/>
    <s v="a06ak00000amzBzAAI"/>
    <s v="Ezra Garcia"/>
    <m/>
    <x v="5"/>
    <b v="0"/>
    <m/>
    <s v="005ak00000icyWTAAY"/>
    <s v="2026-10-01T15:56:46.000Z"/>
    <m/>
    <m/>
    <d v="2027-03-05T00:00:00"/>
    <s v="LSN-01263"/>
    <s v="L-0001274"/>
    <s v="131ak000001XjDvAAK"/>
    <b v="0"/>
    <b v="0"/>
    <s v="a0Aak00000GkW0p"/>
    <s v="16:30:00.000Z"/>
    <x v="2"/>
    <s v="a07ak00001rZMpQAAW"/>
    <s v="Priya Ramirez"/>
    <s v="2026-10-01T15:56:46.000Z"/>
    <b v="1"/>
    <s v="a06ak00000amzBzAAI|2027-03-05|16:30:00.000Z"/>
    <n v="1"/>
    <s v="Toms River"/>
    <x v="14"/>
    <x v="1"/>
  </r>
  <r>
    <s v="005ak00000icyWTAAY"/>
    <s v="2026-10-01T15:56:46.000Z"/>
    <n v="30"/>
    <s v="a0Aak00000GkW0qEAF"/>
    <s v="a06ak00000amzC8AAI"/>
    <s v="Adrian Byrne"/>
    <m/>
    <x v="2"/>
    <b v="0"/>
    <m/>
    <s v="005ak00000icyWTAAY"/>
    <s v="2026-10-01T15:56:46.000Z"/>
    <m/>
    <m/>
    <d v="2027-03-05T00:00:00"/>
    <s v="LSN-01264"/>
    <s v="L-0001275"/>
    <s v="131ak000001XjDuAAK"/>
    <b v="0"/>
    <b v="0"/>
    <s v="a0Aak00000GkW0q"/>
    <s v="19:00:00.000Z"/>
    <x v="2"/>
    <s v="a07ak00001rZMpiAAG"/>
    <s v="Bella Adams"/>
    <s v="2026-10-01T15:56:46.000Z"/>
    <b v="1"/>
    <s v="a06ak00000amzC8AAI|2027-03-05|19:00:00.000Z"/>
    <n v="1"/>
    <s v="Brick"/>
    <x v="14"/>
    <x v="1"/>
  </r>
  <r>
    <s v="005ak00000icyWTAAY"/>
    <s v="2026-10-01T15:56:46.000Z"/>
    <n v="30"/>
    <s v="a0Aak00000GkW0rEAF"/>
    <s v="a06ak00000amzBiAAI"/>
    <s v="Zoey Torres"/>
    <m/>
    <x v="8"/>
    <b v="0"/>
    <m/>
    <s v="005ak00000icyWTAAY"/>
    <s v="2026-10-01T15:56:46.000Z"/>
    <m/>
    <m/>
    <d v="2027-03-06T00:00:00"/>
    <s v="LSN-01265"/>
    <s v="L-0001276"/>
    <s v="131ak000001XjDtAAK"/>
    <b v="0"/>
    <b v="0"/>
    <s v="a0Aak00000GkW0r"/>
    <s v="09:30:00.000Z"/>
    <x v="2"/>
    <s v="a07ak00001rZMrPAAW"/>
    <s v="Emily Campbell"/>
    <s v="2026-10-01T15:56:46.000Z"/>
    <b v="1"/>
    <s v="a06ak00000amzBiAAI|2027-03-06|09:30:00.000Z"/>
    <n v="1"/>
    <s v="Red Bank"/>
    <x v="14"/>
    <x v="1"/>
  </r>
  <r>
    <s v="005ak00000icyWTAAY"/>
    <s v="2026-10-01T15:56:46.000Z"/>
    <n v="45"/>
    <s v="a0Aak00000GkW0sEAF"/>
    <s v="a06ak00000amzCCAAY"/>
    <s v="Rowan Jones"/>
    <m/>
    <x v="9"/>
    <b v="0"/>
    <m/>
    <s v="005ak00000icyWTAAY"/>
    <s v="2026-10-01T15:56:46.000Z"/>
    <m/>
    <m/>
    <d v="2027-03-06T00:00:00"/>
    <s v="LSN-01266"/>
    <s v="L-0001277"/>
    <s v="131ak000001XjDuAAK"/>
    <b v="0"/>
    <b v="0"/>
    <s v="a0Aak00000GkW0s"/>
    <s v="10:00:00.000Z"/>
    <x v="2"/>
    <s v="a07ak00001rZMphAAG"/>
    <s v="Aiden Roberts"/>
    <s v="2026-10-01T15:56:46.000Z"/>
    <b v="1"/>
    <s v="a06ak00000amzCCAAY|2027-03-06|10:00:00.000Z"/>
    <n v="1"/>
    <s v="Brick"/>
    <x v="14"/>
    <x v="1"/>
  </r>
  <r>
    <s v="005ak00000icyWTAAY"/>
    <s v="2026-10-01T15:56:46.000Z"/>
    <n v="45"/>
    <s v="a0Aak00000GkW0tEAF"/>
    <s v="a06ak00000amzBzAAI"/>
    <s v="Ezra Garcia"/>
    <m/>
    <x v="5"/>
    <b v="0"/>
    <m/>
    <s v="005ak00000icyWTAAY"/>
    <s v="2026-10-01T15:56:46.000Z"/>
    <m/>
    <m/>
    <d v="2027-03-06T00:00:00"/>
    <s v="LSN-01267"/>
    <s v="L-0001278"/>
    <s v="131ak000001XjDtAAK"/>
    <b v="0"/>
    <b v="0"/>
    <s v="a0Aak00000GkW0t"/>
    <s v="11:00:00.000Z"/>
    <x v="2"/>
    <s v="a07ak00001rZMpvAAG"/>
    <s v="Anna Roberts"/>
    <s v="2026-10-01T15:56:46.000Z"/>
    <b v="1"/>
    <s v="a06ak00000amzBzAAI|2027-03-06|11:00:00.000Z"/>
    <n v="1"/>
    <s v="Red Bank"/>
    <x v="14"/>
    <x v="1"/>
  </r>
  <r>
    <s v="005ak00000icyWTAAY"/>
    <s v="2026-10-01T15:56:46.000Z"/>
    <n v="45"/>
    <s v="a0Aak00000GkW0uEAF"/>
    <s v="a06ak00000amzCCAAY"/>
    <s v="Rowan Jones"/>
    <m/>
    <x v="9"/>
    <b v="0"/>
    <m/>
    <s v="005ak00000icyWTAAY"/>
    <s v="2026-10-01T15:56:46.000Z"/>
    <m/>
    <m/>
    <d v="2027-03-06T00:00:00"/>
    <s v="LSN-01268"/>
    <s v="L-0001279"/>
    <s v="131ak000001XjDvAAK"/>
    <b v="0"/>
    <b v="0"/>
    <s v="a0Aak00000GkW0u"/>
    <s v="12:30:00.000Z"/>
    <x v="2"/>
    <s v="a07ak00001rZMpSAAW"/>
    <s v="Julian Flores"/>
    <s v="2026-10-01T15:56:46.000Z"/>
    <b v="1"/>
    <s v="a06ak00000amzCCAAY|2027-03-06|12:30:00.000Z"/>
    <n v="1"/>
    <s v="Toms River"/>
    <x v="14"/>
    <x v="1"/>
  </r>
  <r>
    <s v="005ak00000icyWTAAY"/>
    <s v="2026-10-01T15:56:46.000Z"/>
    <n v="60"/>
    <s v="a0Aak00000GkW0vEAF"/>
    <s v="a06ak00000amzByAAI"/>
    <s v="Vincent Sullivan"/>
    <m/>
    <x v="10"/>
    <b v="0"/>
    <m/>
    <s v="005ak00000icyWTAAY"/>
    <s v="2026-10-01T15:56:46.000Z"/>
    <m/>
    <m/>
    <d v="2027-03-06T00:00:00"/>
    <s v="LSN-01269"/>
    <s v="L-0001280"/>
    <s v="131ak000001XjDvAAK"/>
    <b v="0"/>
    <b v="0"/>
    <s v="a0Aak00000GkW0v"/>
    <s v="12:30:00.000Z"/>
    <x v="2"/>
    <s v="a07ak00001rZMpnAAG"/>
    <s v="Leo Mitchell"/>
    <s v="2026-10-01T15:56:46.000Z"/>
    <b v="1"/>
    <s v="a06ak00000amzByAAI|2027-03-06|12:30:00.000Z"/>
    <n v="1"/>
    <s v="Toms River"/>
    <x v="14"/>
    <x v="1"/>
  </r>
  <r>
    <s v="005ak00000icyWTAAY"/>
    <s v="2026-10-01T15:56:46.000Z"/>
    <n v="45"/>
    <s v="a0Aak00000GkW0wEAF"/>
    <s v="a06ak00000amzBgAAI"/>
    <s v="Noah Mitchell"/>
    <m/>
    <x v="1"/>
    <b v="0"/>
    <m/>
    <s v="005ak00000icyWTAAY"/>
    <s v="2026-10-01T15:56:46.000Z"/>
    <m/>
    <m/>
    <d v="2027-03-08T00:00:00"/>
    <s v="LSN-01270"/>
    <s v="L-0001281"/>
    <s v="131ak000001XjDuAAK"/>
    <b v="0"/>
    <b v="0"/>
    <s v="a0Aak00000GkW0w"/>
    <s v="16:30:00.000Z"/>
    <x v="2"/>
    <s v="a07ak00001rZMpDAAW"/>
    <s v="Mei Thompson"/>
    <s v="2026-10-01T15:56:46.000Z"/>
    <b v="1"/>
    <s v="a06ak00000amzBgAAI|2027-03-08|16:30:00.000Z"/>
    <n v="1"/>
    <s v="Brick"/>
    <x v="14"/>
    <x v="1"/>
  </r>
  <r>
    <s v="005ak00000icyWTAAY"/>
    <s v="2026-10-01T15:56:46.000Z"/>
    <n v="60"/>
    <s v="a0Aak00000GkW0xEAF"/>
    <s v="a06ak00000amzCBAAY"/>
    <s v="Aiden Hill"/>
    <m/>
    <x v="10"/>
    <b v="0"/>
    <m/>
    <s v="005ak00000icyWTAAY"/>
    <s v="2026-10-01T15:56:46.000Z"/>
    <m/>
    <m/>
    <d v="2027-03-08T00:00:00"/>
    <s v="LSN-01271"/>
    <s v="L-0001282"/>
    <s v="131ak000001XjDtAAK"/>
    <b v="0"/>
    <b v="0"/>
    <s v="a0Aak00000GkW0x"/>
    <s v="16:30:00.000Z"/>
    <x v="2"/>
    <s v="a07ak00001rZMrMAAW"/>
    <s v="Declan Martinez"/>
    <s v="2026-10-01T15:56:46.000Z"/>
    <b v="1"/>
    <s v="a06ak00000amzCBAAY|2027-03-08|16:30:00.000Z"/>
    <n v="1"/>
    <s v="Red Bank"/>
    <x v="14"/>
    <x v="1"/>
  </r>
  <r>
    <s v="005ak00000icyWTAAY"/>
    <s v="2026-10-01T15:56:46.000Z"/>
    <n v="60"/>
    <s v="a0Aak00000GkW0yEAF"/>
    <s v="a06ak00000amzBgAAI"/>
    <s v="Noah Mitchell"/>
    <m/>
    <x v="0"/>
    <b v="0"/>
    <m/>
    <s v="005ak00000icyWTAAY"/>
    <s v="2026-10-01T15:56:46.000Z"/>
    <m/>
    <m/>
    <d v="2027-03-08T00:00:00"/>
    <s v="LSN-01272"/>
    <s v="L-0001283"/>
    <s v="131ak000001XjDuAAK"/>
    <b v="0"/>
    <b v="0"/>
    <s v="a0Aak00000GkW0y"/>
    <s v="18:30:00.000Z"/>
    <x v="2"/>
    <s v="a07ak00001rZMprAAG"/>
    <s v="Henry Brown"/>
    <s v="2026-10-01T15:56:46.000Z"/>
    <b v="1"/>
    <s v="a06ak00000amzBgAAI|2027-03-08|18:30:00.000Z"/>
    <n v="1"/>
    <s v="Brick"/>
    <x v="14"/>
    <x v="1"/>
  </r>
  <r>
    <s v="005ak00000icyWTAAY"/>
    <s v="2026-10-01T15:56:46.000Z"/>
    <n v="30"/>
    <s v="a0Aak00000GkW0zEAF"/>
    <s v="a06ak00000amzC8AAI"/>
    <s v="Adrian Byrne"/>
    <m/>
    <x v="9"/>
    <b v="0"/>
    <m/>
    <s v="005ak00000icyWTAAY"/>
    <s v="2026-10-01T15:56:46.000Z"/>
    <m/>
    <m/>
    <d v="2027-03-09T00:00:00"/>
    <s v="LSN-01273"/>
    <s v="L-0001284"/>
    <s v="131ak000001XjDuAAK"/>
    <b v="0"/>
    <b v="0"/>
    <s v="a0Aak00000GkW0z"/>
    <s v="16:30:00.000Z"/>
    <x v="2"/>
    <s v="a07ak00001rZMrgAAG"/>
    <s v="Isaac Young"/>
    <s v="2026-10-01T15:56:46.000Z"/>
    <b v="1"/>
    <s v="a06ak00000amzC8AAI|2027-03-09|16:30:00.000Z"/>
    <n v="1"/>
    <s v="Brick"/>
    <x v="14"/>
    <x v="1"/>
  </r>
  <r>
    <s v="005ak00000icyWTAAY"/>
    <s v="2026-10-01T15:56:46.000Z"/>
    <n v="45"/>
    <s v="a0Aak00000GkW10EAF"/>
    <s v="a06ak00000amzC1AAI"/>
    <s v="Valentina Nakamura"/>
    <m/>
    <x v="5"/>
    <b v="0"/>
    <m/>
    <s v="005ak00000icyWTAAY"/>
    <s v="2026-10-01T15:56:46.000Z"/>
    <m/>
    <m/>
    <d v="2027-03-09T00:00:00"/>
    <s v="LSN-01274"/>
    <s v="L-0001285"/>
    <s v="131ak000001XjDuAAK"/>
    <b v="0"/>
    <b v="0"/>
    <s v="a0Aak00000GkW10"/>
    <s v="17:30:00.000Z"/>
    <x v="2"/>
    <s v="a07ak00001rZMrOAAW"/>
    <s v="Evelyn Lee"/>
    <s v="2026-10-01T15:56:46.000Z"/>
    <b v="1"/>
    <s v="a06ak00000amzC1AAI|2027-03-09|17:30:00.000Z"/>
    <n v="1"/>
    <s v="Brick"/>
    <x v="14"/>
    <x v="1"/>
  </r>
  <r>
    <s v="005ak00000icyWTAAY"/>
    <s v="2026-10-01T15:56:46.000Z"/>
    <n v="45"/>
    <s v="a0Aak00000GkW11EAF"/>
    <s v="a06ak00000amzBtAAI"/>
    <s v="Jamal Torres"/>
    <m/>
    <x v="2"/>
    <b v="0"/>
    <m/>
    <s v="005ak00000icyWTAAY"/>
    <s v="2026-10-01T15:56:46.000Z"/>
    <m/>
    <m/>
    <d v="2027-03-09T00:00:00"/>
    <s v="LSN-01275"/>
    <s v="L-0001286"/>
    <s v="131ak000001XjDtAAK"/>
    <b v="0"/>
    <b v="0"/>
    <s v="a0Aak00000GkW11"/>
    <s v="18:30:00.000Z"/>
    <x v="2"/>
    <s v="a07ak00001rZMqdAAG"/>
    <s v="Scarlett Scott"/>
    <s v="2026-10-01T15:56:46.000Z"/>
    <b v="1"/>
    <s v="a06ak00000amzBtAAI|2027-03-09|18:30:00.000Z"/>
    <n v="1"/>
    <s v="Red Bank"/>
    <x v="14"/>
    <x v="1"/>
  </r>
  <r>
    <s v="005ak00000icyWTAAY"/>
    <s v="2026-10-01T15:56:46.000Z"/>
    <n v="30"/>
    <s v="a0Aak00000GkW12EAF"/>
    <s v="a06ak00000amzCBAAY"/>
    <s v="Aiden Hill"/>
    <m/>
    <x v="3"/>
    <b v="0"/>
    <m/>
    <s v="005ak00000icyWTAAY"/>
    <s v="2026-10-01T15:56:46.000Z"/>
    <m/>
    <m/>
    <d v="2027-03-10T00:00:00"/>
    <s v="LSN-01276"/>
    <s v="L-0001287"/>
    <s v="131ak000001XjDtAAK"/>
    <b v="0"/>
    <b v="0"/>
    <s v="a0Aak00000GkW12"/>
    <s v="15:00:00.000Z"/>
    <x v="2"/>
    <s v="a07ak00001rZMqrAAG"/>
    <s v="Ruby Moore"/>
    <s v="2026-10-01T15:56:46.000Z"/>
    <b v="1"/>
    <s v="a06ak00000amzCBAAY|2027-03-10|15:00:00.000Z"/>
    <n v="1"/>
    <s v="Red Bank"/>
    <x v="14"/>
    <x v="1"/>
  </r>
  <r>
    <s v="005ak00000icyWTAAY"/>
    <s v="2026-10-01T15:56:46.000Z"/>
    <n v="30"/>
    <s v="a0Aak00000GkW13EAF"/>
    <s v="a06ak00000amzCIAAY"/>
    <s v="Omar Nelson"/>
    <m/>
    <x v="7"/>
    <b v="0"/>
    <m/>
    <s v="005ak00000icyWTAAY"/>
    <s v="2026-10-01T15:56:46.000Z"/>
    <m/>
    <m/>
    <d v="2027-03-10T00:00:00"/>
    <s v="LSN-01277"/>
    <s v="L-0001288"/>
    <s v="131ak000001XjDvAAK"/>
    <b v="0"/>
    <b v="0"/>
    <s v="a0Aak00000GkW13"/>
    <s v="17:00:00.000Z"/>
    <x v="2"/>
    <s v="a07ak00001rZMpcAAG"/>
    <s v="Adrian Sullivan"/>
    <s v="2026-10-01T15:56:46.000Z"/>
    <b v="1"/>
    <s v="a06ak00000amzCIAAY|2027-03-10|17:00:00.000Z"/>
    <n v="1"/>
    <s v="Toms River"/>
    <x v="14"/>
    <x v="1"/>
  </r>
  <r>
    <s v="005ak00000icyWTAAY"/>
    <s v="2026-10-01T15:56:46.000Z"/>
    <n v="45"/>
    <s v="a0Aak00000GkW14EAF"/>
    <s v="a06ak00000amzC0AAI"/>
    <s v="James Moore"/>
    <m/>
    <x v="6"/>
    <b v="0"/>
    <m/>
    <s v="005ak00000icyWTAAY"/>
    <s v="2026-10-01T15:56:46.000Z"/>
    <m/>
    <m/>
    <d v="2027-03-10T00:00:00"/>
    <s v="LSN-01278"/>
    <s v="L-0001289"/>
    <s v="131ak000001XjDtAAK"/>
    <b v="0"/>
    <b v="0"/>
    <s v="a0Aak00000GkW14"/>
    <s v="17:00:00.000Z"/>
    <x v="2"/>
    <s v="a07ak00001rZMqCAAW"/>
    <s v="Omar Smith"/>
    <s v="2026-10-01T15:56:46.000Z"/>
    <b v="1"/>
    <s v="a06ak00000amzC0AAI|2027-03-10|17:00:00.000Z"/>
    <n v="1"/>
    <s v="Red Bank"/>
    <x v="14"/>
    <x v="1"/>
  </r>
  <r>
    <s v="005ak00000icyWTAAY"/>
    <s v="2026-10-01T15:56:46.000Z"/>
    <n v="60"/>
    <s v="a0Aak00000GkW15EAF"/>
    <s v="a06ak00000amzBzAAI"/>
    <s v="Ezra Garcia"/>
    <m/>
    <x v="5"/>
    <b v="0"/>
    <m/>
    <s v="005ak00000icyWTAAY"/>
    <s v="2026-10-01T15:56:46.000Z"/>
    <m/>
    <m/>
    <d v="2027-03-11T00:00:00"/>
    <s v="LSN-01279"/>
    <s v="L-0001290"/>
    <s v="131ak000001XjDtAAK"/>
    <b v="0"/>
    <b v="0"/>
    <s v="a0Aak00000GkW15"/>
    <s v="15:30:00.000Z"/>
    <x v="2"/>
    <s v="a07ak00001rZMrIAAW"/>
    <s v="Sofia Perez"/>
    <s v="2026-10-01T15:56:46.000Z"/>
    <b v="1"/>
    <s v="a06ak00000amzBzAAI|2027-03-11|15:30:00.000Z"/>
    <n v="1"/>
    <s v="Red Bank"/>
    <x v="14"/>
    <x v="1"/>
  </r>
  <r>
    <s v="005ak00000icyWTAAY"/>
    <s v="2026-10-01T15:56:46.000Z"/>
    <n v="30"/>
    <s v="a0Aak00000GkW16EAF"/>
    <s v="a06ak00000amzC1AAI"/>
    <s v="Valentina Nakamura"/>
    <m/>
    <x v="11"/>
    <b v="0"/>
    <m/>
    <s v="005ak00000icyWTAAY"/>
    <s v="2026-10-01T15:56:46.000Z"/>
    <m/>
    <m/>
    <d v="2027-03-11T00:00:00"/>
    <s v="LSN-01280"/>
    <s v="L-0001291"/>
    <s v="131ak000001XjDtAAK"/>
    <b v="0"/>
    <b v="0"/>
    <s v="a0Aak00000GkW16"/>
    <s v="18:30:00.000Z"/>
    <x v="2"/>
    <s v="a07ak00001rZMrQAAW"/>
    <s v="Caroline Byrne"/>
    <s v="2026-10-01T15:56:46.000Z"/>
    <b v="1"/>
    <s v="a06ak00000amzC1AAI|2027-03-11|18:30:00.000Z"/>
    <n v="1"/>
    <s v="Red Bank"/>
    <x v="14"/>
    <x v="1"/>
  </r>
  <r>
    <s v="005ak00000icyWTAAY"/>
    <s v="2026-10-01T15:56:46.000Z"/>
    <n v="45"/>
    <s v="a0Aak00000GkW17EAF"/>
    <s v="a06ak00000amzByAAI"/>
    <s v="Vincent Sullivan"/>
    <m/>
    <x v="10"/>
    <b v="0"/>
    <m/>
    <s v="005ak00000icyWTAAY"/>
    <s v="2026-10-01T15:56:46.000Z"/>
    <m/>
    <m/>
    <d v="2027-03-11T00:00:00"/>
    <s v="LSN-01281"/>
    <s v="L-0001292"/>
    <s v="131ak000001XjDvAAK"/>
    <b v="0"/>
    <b v="0"/>
    <s v="a0Aak00000GkW17"/>
    <s v="19:00:00.000Z"/>
    <x v="2"/>
    <s v="a07ak00001rZMrSAAW"/>
    <s v="Leo Okafor"/>
    <s v="2026-10-01T15:56:46.000Z"/>
    <b v="1"/>
    <s v="a06ak00000amzByAAI|2027-03-11|19:00:00.000Z"/>
    <n v="1"/>
    <s v="Toms River"/>
    <x v="14"/>
    <x v="1"/>
  </r>
  <r>
    <s v="005ak00000icyWTAAY"/>
    <s v="2026-10-01T15:56:46.000Z"/>
    <n v="30"/>
    <s v="a0Aak00000GkW18EAF"/>
    <s v="a06ak00000amzBgAAI"/>
    <s v="Noah Mitchell"/>
    <m/>
    <x v="1"/>
    <b v="0"/>
    <m/>
    <s v="005ak00000icyWTAAY"/>
    <s v="2026-10-01T15:56:46.000Z"/>
    <m/>
    <m/>
    <d v="2027-03-12T00:00:00"/>
    <s v="LSN-01282"/>
    <s v="L-0001293"/>
    <s v="131ak000001XjDuAAK"/>
    <b v="0"/>
    <b v="0"/>
    <s v="a0Aak00000GkW18"/>
    <s v="18:30:00.000Z"/>
    <x v="2"/>
    <s v="a07ak00001rZMs2AAG"/>
    <s v="Sofia Johnson"/>
    <s v="2026-10-01T15:56:46.000Z"/>
    <b v="1"/>
    <s v="a06ak00000amzBgAAI|2027-03-12|18:30:00.000Z"/>
    <n v="1"/>
    <s v="Brick"/>
    <x v="14"/>
    <x v="1"/>
  </r>
  <r>
    <s v="005ak00000icyWTAAY"/>
    <s v="2026-10-01T15:56:46.000Z"/>
    <n v="30"/>
    <s v="a0Aak00000GkW19EAF"/>
    <s v="a06ak00000amzBiAAI"/>
    <s v="Zoey Torres"/>
    <m/>
    <x v="1"/>
    <b v="0"/>
    <m/>
    <s v="005ak00000icyWTAAY"/>
    <s v="2026-10-01T15:56:46.000Z"/>
    <m/>
    <m/>
    <d v="2027-03-13T00:00:00"/>
    <s v="LSN-01283"/>
    <s v="L-0001294"/>
    <s v="131ak000001XjDtAAK"/>
    <b v="0"/>
    <b v="0"/>
    <s v="a0Aak00000GkW19"/>
    <s v="10:00:00.000Z"/>
    <x v="2"/>
    <s v="a07ak00001rZMpTAAW"/>
    <s v="Henry Dubois"/>
    <s v="2026-10-01T15:56:46.000Z"/>
    <b v="1"/>
    <s v="a06ak00000amzBiAAI|2027-03-13|10:00:00.000Z"/>
    <n v="1"/>
    <s v="Red Bank"/>
    <x v="14"/>
    <x v="1"/>
  </r>
  <r>
    <s v="005ak00000icyWTAAY"/>
    <s v="2026-10-01T15:56:46.000Z"/>
    <n v="60"/>
    <s v="a0Aak00000GkW1AEAV"/>
    <s v="a06ak00000amzCBAAY"/>
    <s v="Aiden Hill"/>
    <m/>
    <x v="10"/>
    <b v="0"/>
    <m/>
    <s v="005ak00000icyWTAAY"/>
    <s v="2026-10-01T15:56:46.000Z"/>
    <m/>
    <m/>
    <d v="2027-03-13T00:00:00"/>
    <s v="LSN-01284"/>
    <s v="L-0001295"/>
    <s v="131ak000001XjDtAAK"/>
    <b v="0"/>
    <b v="0"/>
    <s v="a0Aak00000GkW1A"/>
    <s v="12:30:00.000Z"/>
    <x v="2"/>
    <s v="a07ak00001rZMrNAAW"/>
    <s v="Skylar Kim"/>
    <s v="2026-10-01T15:56:46.000Z"/>
    <b v="1"/>
    <s v="a06ak00000amzCBAAY|2027-03-13|12:30:00.000Z"/>
    <n v="1"/>
    <s v="Red Bank"/>
    <x v="14"/>
    <x v="1"/>
  </r>
  <r>
    <s v="005ak00000icyWTAAY"/>
    <s v="2026-10-01T15:56:46.000Z"/>
    <n v="60"/>
    <s v="a0Aak00000GkW1BEAV"/>
    <s v="a06ak00000amzC8AAI"/>
    <s v="Adrian Byrne"/>
    <m/>
    <x v="2"/>
    <b v="0"/>
    <m/>
    <s v="005ak00000icyWTAAY"/>
    <s v="2026-10-01T15:56:46.000Z"/>
    <m/>
    <m/>
    <d v="2027-03-13T00:00:00"/>
    <s v="LSN-01285"/>
    <s v="L-0001296"/>
    <s v="131ak000001XjDuAAK"/>
    <b v="0"/>
    <b v="0"/>
    <s v="a0Aak00000GkW1B"/>
    <s v="12:30:00.000Z"/>
    <x v="2"/>
    <s v="a07ak00001rZMrUAAW"/>
    <s v="Daniel Kim"/>
    <s v="2026-10-01T15:56:46.000Z"/>
    <b v="1"/>
    <s v="a06ak00000amzC8AAI|2027-03-13|12:30:00.000Z"/>
    <n v="1"/>
    <s v="Brick"/>
    <x v="14"/>
    <x v="1"/>
  </r>
  <r>
    <s v="005ak00000icyWTAAY"/>
    <s v="2026-10-01T15:56:46.000Z"/>
    <n v="60"/>
    <s v="a0Aak00000GkW1CEAV"/>
    <s v="a06ak00000amzBtAAI"/>
    <s v="Jamal Torres"/>
    <m/>
    <x v="8"/>
    <b v="0"/>
    <m/>
    <s v="005ak00000icyWTAAY"/>
    <s v="2026-10-01T15:56:46.000Z"/>
    <m/>
    <m/>
    <d v="2027-03-15T00:00:00"/>
    <s v="LSN-01286"/>
    <s v="L-0001297"/>
    <s v="131ak000001XjDvAAK"/>
    <b v="0"/>
    <b v="0"/>
    <s v="a0Aak00000GkW1C"/>
    <s v="15:00:00.000Z"/>
    <x v="2"/>
    <s v="a07ak00001rZMrGAAW"/>
    <s v="Ryan Kelly"/>
    <s v="2026-10-01T15:56:46.000Z"/>
    <b v="1"/>
    <s v="a06ak00000amzBtAAI|2027-03-15|15:00:00.000Z"/>
    <n v="1"/>
    <s v="Toms River"/>
    <x v="14"/>
    <x v="1"/>
  </r>
  <r>
    <s v="005ak00000icyWTAAY"/>
    <s v="2026-10-01T15:56:46.000Z"/>
    <n v="60"/>
    <s v="a0Aak00000GkW1DEAV"/>
    <s v="a06ak00000amzC1AAI"/>
    <s v="Valentina Nakamura"/>
    <m/>
    <x v="5"/>
    <b v="0"/>
    <m/>
    <s v="005ak00000icyWTAAY"/>
    <s v="2026-10-01T15:56:46.000Z"/>
    <m/>
    <m/>
    <d v="2027-03-16T00:00:00"/>
    <s v="LSN-01287"/>
    <s v="L-0001298"/>
    <s v="131ak000001XjDuAAK"/>
    <b v="0"/>
    <b v="0"/>
    <s v="a0Aak00000GkW1D"/>
    <s v="15:30:00.000Z"/>
    <x v="2"/>
    <s v="a07ak00001rZMq0AAG"/>
    <s v="Henry Ryan"/>
    <s v="2026-10-01T15:56:46.000Z"/>
    <b v="1"/>
    <s v="a06ak00000amzC1AAI|2027-03-16|15:30:00.000Z"/>
    <n v="1"/>
    <s v="Brick"/>
    <x v="14"/>
    <x v="1"/>
  </r>
  <r>
    <s v="005ak00000icyWTAAY"/>
    <s v="2026-10-01T15:56:46.000Z"/>
    <n v="30"/>
    <s v="a0Aak00000GkW1EEAV"/>
    <s v="a06ak00000amzBtAAI"/>
    <s v="Jamal Torres"/>
    <m/>
    <x v="2"/>
    <b v="0"/>
    <m/>
    <s v="005ak00000icyWTAAY"/>
    <s v="2026-10-01T15:56:46.000Z"/>
    <m/>
    <m/>
    <d v="2027-03-16T00:00:00"/>
    <s v="LSN-01288"/>
    <s v="L-0001299"/>
    <s v="131ak000001XjDtAAK"/>
    <b v="0"/>
    <b v="0"/>
    <s v="a0Aak00000GkW1E"/>
    <s v="18:00:00.000Z"/>
    <x v="2"/>
    <s v="a07ak00001rZMrnAAG"/>
    <s v="Camila Jones"/>
    <s v="2026-10-01T15:56:46.000Z"/>
    <b v="1"/>
    <s v="a06ak00000amzBtAAI|2027-03-16|18:00:00.000Z"/>
    <n v="1"/>
    <s v="Red Bank"/>
    <x v="14"/>
    <x v="1"/>
  </r>
  <r>
    <s v="005ak00000icyWTAAY"/>
    <s v="2026-10-01T15:56:46.000Z"/>
    <n v="30"/>
    <s v="a0Aak00000GkW1FEAV"/>
    <s v="a06ak00000amzCBAAY"/>
    <s v="Aiden Hill"/>
    <m/>
    <x v="3"/>
    <b v="0"/>
    <m/>
    <s v="005ak00000icyWTAAY"/>
    <s v="2026-10-01T15:56:46.000Z"/>
    <m/>
    <m/>
    <d v="2027-03-16T00:00:00"/>
    <s v="LSN-01289"/>
    <s v="L-0001300"/>
    <s v="131ak000001XjDtAAK"/>
    <b v="0"/>
    <b v="0"/>
    <s v="a0Aak00000GkW1F"/>
    <s v="19:00:00.000Z"/>
    <x v="2"/>
    <s v="a07ak00001rZMppAAG"/>
    <s v="Ruby Taylor"/>
    <s v="2026-10-01T15:56:46.000Z"/>
    <b v="1"/>
    <s v="a06ak00000amzCBAAY|2027-03-16|19:00:00.000Z"/>
    <n v="1"/>
    <s v="Red Bank"/>
    <x v="14"/>
    <x v="1"/>
  </r>
  <r>
    <s v="005ak00000icyWTAAY"/>
    <s v="2026-10-01T15:56:46.000Z"/>
    <n v="30"/>
    <s v="a0Aak00000GkW1GEAV"/>
    <s v="a06ak00000amzBgAAI"/>
    <s v="Noah Mitchell"/>
    <m/>
    <x v="1"/>
    <b v="0"/>
    <m/>
    <s v="005ak00000icyWTAAY"/>
    <s v="2026-10-01T15:56:46.000Z"/>
    <m/>
    <m/>
    <d v="2027-03-17T00:00:00"/>
    <s v="LSN-01290"/>
    <s v="L-0001301"/>
    <s v="131ak000001XjDuAAK"/>
    <b v="0"/>
    <b v="0"/>
    <s v="a0Aak00000GkW1G"/>
    <s v="15:30:00.000Z"/>
    <x v="2"/>
    <s v="a07ak00001rZMpFAAW"/>
    <s v="Vincent Jones"/>
    <s v="2026-10-01T15:56:46.000Z"/>
    <b v="1"/>
    <s v="a06ak00000amzBgAAI|2027-03-17|15:30:00.000Z"/>
    <n v="1"/>
    <s v="Brick"/>
    <x v="14"/>
    <x v="1"/>
  </r>
  <r>
    <s v="005ak00000icyWTAAY"/>
    <s v="2026-10-01T15:56:46.000Z"/>
    <n v="45"/>
    <s v="a0Aak00000GkW1HEAV"/>
    <s v="a06ak00000amzBfAAI"/>
    <s v="Mia Smith"/>
    <m/>
    <x v="6"/>
    <b v="0"/>
    <m/>
    <s v="005ak00000icyWTAAY"/>
    <s v="2026-10-01T15:56:46.000Z"/>
    <m/>
    <m/>
    <d v="2027-03-17T00:00:00"/>
    <s v="LSN-01291"/>
    <s v="L-0001302"/>
    <s v="131ak000001XjDuAAK"/>
    <b v="0"/>
    <b v="0"/>
    <s v="a0Aak00000GkW1H"/>
    <s v="16:30:00.000Z"/>
    <x v="2"/>
    <s v="a07ak00001rZMqaAAG"/>
    <s v="Theo Anderson"/>
    <s v="2026-10-01T15:56:46.000Z"/>
    <b v="1"/>
    <s v="a06ak00000amzBfAAI|2027-03-17|16:30:00.000Z"/>
    <n v="1"/>
    <s v="Brick"/>
    <x v="14"/>
    <x v="1"/>
  </r>
  <r>
    <s v="005ak00000icyWTAAY"/>
    <s v="2026-10-01T15:56:46.000Z"/>
    <n v="30"/>
    <s v="a0Aak00000GkW1IEAV"/>
    <s v="a06ak00000amzCBAAY"/>
    <s v="Aiden Hill"/>
    <m/>
    <x v="3"/>
    <b v="0"/>
    <m/>
    <s v="005ak00000icyWTAAY"/>
    <s v="2026-10-01T15:56:46.000Z"/>
    <m/>
    <m/>
    <d v="2027-03-17T00:00:00"/>
    <s v="LSN-01292"/>
    <s v="L-0001303"/>
    <s v="131ak000001XjDtAAK"/>
    <b v="0"/>
    <b v="0"/>
    <s v="a0Aak00000GkW1I"/>
    <s v="16:30:00.000Z"/>
    <x v="2"/>
    <s v="a07ak00001rZMrjAAG"/>
    <s v="Fatima Nakamura"/>
    <s v="2026-10-01T15:56:46.000Z"/>
    <b v="1"/>
    <s v="a06ak00000amzCBAAY|2027-03-17|16:30:00.000Z"/>
    <n v="1"/>
    <s v="Red Bank"/>
    <x v="14"/>
    <x v="1"/>
  </r>
  <r>
    <s v="005ak00000icyWTAAY"/>
    <s v="2026-10-01T15:56:46.000Z"/>
    <n v="60"/>
    <s v="a0Aak00000GkW1JEAV"/>
    <s v="a06ak00000amzBzAAI"/>
    <s v="Ezra Garcia"/>
    <m/>
    <x v="11"/>
    <b v="0"/>
    <m/>
    <s v="005ak00000icyWTAAY"/>
    <s v="2026-10-01T15:56:46.000Z"/>
    <m/>
    <m/>
    <d v="2027-03-17T00:00:00"/>
    <s v="LSN-01293"/>
    <s v="L-0001304"/>
    <s v="131ak000001XjDtAAK"/>
    <b v="0"/>
    <b v="0"/>
    <s v="a0Aak00000GkW1J"/>
    <s v="17:30:00.000Z"/>
    <x v="2"/>
    <s v="a07ak00001rZMpfAAG"/>
    <s v="Jonah Moore"/>
    <s v="2026-10-01T15:56:46.000Z"/>
    <b v="1"/>
    <s v="a06ak00000amzBzAAI|2027-03-17|17:30:00.000Z"/>
    <n v="1"/>
    <s v="Red Bank"/>
    <x v="14"/>
    <x v="1"/>
  </r>
  <r>
    <s v="005ak00000icyWTAAY"/>
    <s v="2026-10-01T15:56:46.000Z"/>
    <n v="60"/>
    <s v="a0Aak00000GkW1KEAV"/>
    <s v="a06ak00000amzByAAI"/>
    <s v="Vincent Sullivan"/>
    <m/>
    <x v="8"/>
    <b v="0"/>
    <m/>
    <s v="005ak00000icyWTAAY"/>
    <s v="2026-10-01T15:56:46.000Z"/>
    <m/>
    <m/>
    <d v="2027-03-18T00:00:00"/>
    <s v="LSN-01294"/>
    <s v="L-0001305"/>
    <s v="131ak000001XjDuAAK"/>
    <b v="0"/>
    <b v="0"/>
    <s v="a0Aak00000GkW1K"/>
    <s v="15:30:00.000Z"/>
    <x v="2"/>
    <s v="a07ak00001rZMpVAAW"/>
    <s v="Tyler Rodriguez"/>
    <s v="2026-10-01T15:56:46.000Z"/>
    <b v="1"/>
    <s v="a06ak00000amzByAAI|2027-03-18|15:30:00.000Z"/>
    <n v="1"/>
    <s v="Brick"/>
    <x v="14"/>
    <x v="1"/>
  </r>
  <r>
    <s v="005ak00000icyWTAAY"/>
    <s v="2026-10-01T15:56:46.000Z"/>
    <n v="60"/>
    <s v="a0Aak00000GkW1LEAV"/>
    <s v="a06ak00000amzBzAAI"/>
    <s v="Ezra Garcia"/>
    <m/>
    <x v="5"/>
    <b v="0"/>
    <m/>
    <s v="005ak00000icyWTAAY"/>
    <s v="2026-10-01T15:56:46.000Z"/>
    <m/>
    <m/>
    <d v="2027-03-18T00:00:00"/>
    <s v="LSN-01295"/>
    <s v="L-0001306"/>
    <s v="131ak000001XjDvAAK"/>
    <b v="0"/>
    <b v="0"/>
    <s v="a0Aak00000GkW1L"/>
    <s v="17:30:00.000Z"/>
    <x v="2"/>
    <s v="a07ak00001rZMq3AAG"/>
    <s v="Anthony Nakamura"/>
    <s v="2026-10-01T15:56:46.000Z"/>
    <b v="1"/>
    <s v="a06ak00000amzBzAAI|2027-03-18|17:30:00.000Z"/>
    <n v="1"/>
    <s v="Toms River"/>
    <x v="14"/>
    <x v="1"/>
  </r>
  <r>
    <s v="005ak00000icyWTAAY"/>
    <s v="2026-10-01T15:56:46.000Z"/>
    <n v="30"/>
    <s v="a0Aak00000GkW1MEAV"/>
    <s v="a06ak00000amzCBAAY"/>
    <s v="Aiden Hill"/>
    <m/>
    <x v="3"/>
    <b v="0"/>
    <m/>
    <s v="005ak00000icyWTAAY"/>
    <s v="2026-10-01T15:56:46.000Z"/>
    <m/>
    <m/>
    <d v="2027-03-18T00:00:00"/>
    <s v="LSN-01296"/>
    <s v="L-0001307"/>
    <s v="131ak000001XjDtAAK"/>
    <b v="0"/>
    <b v="0"/>
    <s v="a0Aak00000GkW1M"/>
    <s v="17:30:00.000Z"/>
    <x v="2"/>
    <s v="a07ak00001rZMqfAAG"/>
    <s v="Isaac Novak"/>
    <s v="2026-10-01T15:56:46.000Z"/>
    <b v="1"/>
    <s v="a06ak00000amzCBAAY|2027-03-18|17:30:00.000Z"/>
    <n v="1"/>
    <s v="Red Bank"/>
    <x v="14"/>
    <x v="1"/>
  </r>
  <r>
    <s v="005ak00000icyWTAAY"/>
    <s v="2026-10-01T15:56:46.000Z"/>
    <n v="30"/>
    <s v="a0Aak00000GkW1NEAV"/>
    <s v="a06ak00000amzBiAAI"/>
    <s v="Zoey Torres"/>
    <m/>
    <x v="8"/>
    <b v="0"/>
    <m/>
    <s v="005ak00000icyWTAAY"/>
    <s v="2026-10-01T15:56:46.000Z"/>
    <m/>
    <m/>
    <d v="2027-03-18T00:00:00"/>
    <s v="LSN-01297"/>
    <s v="L-0001308"/>
    <s v="131ak000001XjDtAAK"/>
    <b v="0"/>
    <b v="0"/>
    <s v="a0Aak00000GkW1N"/>
    <s v="19:00:00.000Z"/>
    <x v="2"/>
    <s v="a07ak00001rZMqIAAW"/>
    <s v="Gabriel Baker"/>
    <s v="2026-10-01T15:56:46.000Z"/>
    <b v="1"/>
    <s v="a06ak00000amzBiAAI|2027-03-18|19:00:00.000Z"/>
    <n v="1"/>
    <s v="Red Bank"/>
    <x v="14"/>
    <x v="1"/>
  </r>
  <r>
    <s v="005ak00000icyWTAAY"/>
    <s v="2026-10-01T15:56:46.000Z"/>
    <n v="30"/>
    <s v="a0Aak00000GkW1OEAV"/>
    <s v="a06ak00000amzBxAAI"/>
    <s v="Miles Allen"/>
    <m/>
    <x v="7"/>
    <b v="0"/>
    <m/>
    <s v="005ak00000icyWTAAY"/>
    <s v="2026-10-01T15:56:46.000Z"/>
    <m/>
    <m/>
    <d v="2027-03-19T00:00:00"/>
    <s v="LSN-01298"/>
    <s v="L-0001309"/>
    <s v="131ak000001XjDuAAK"/>
    <b v="0"/>
    <b v="0"/>
    <s v="a0Aak00000GkW1O"/>
    <s v="16:30:00.000Z"/>
    <x v="2"/>
    <s v="a07ak00001rZMpIAAW"/>
    <s v="Genesis Lopez"/>
    <s v="2026-10-01T15:56:46.000Z"/>
    <b v="1"/>
    <s v="a06ak00000amzBxAAI|2027-03-19|16:30:00.000Z"/>
    <n v="1"/>
    <s v="Brick"/>
    <x v="14"/>
    <x v="1"/>
  </r>
  <r>
    <s v="005ak00000icyWTAAY"/>
    <s v="2026-10-01T15:56:46.000Z"/>
    <n v="45"/>
    <s v="a0Aak00000GkW1PEAV"/>
    <s v="a06ak00000amzC0AAI"/>
    <s v="James Moore"/>
    <m/>
    <x v="6"/>
    <b v="0"/>
    <m/>
    <s v="005ak00000icyWTAAY"/>
    <s v="2026-10-01T15:56:46.000Z"/>
    <m/>
    <m/>
    <d v="2027-03-19T00:00:00"/>
    <s v="LSN-01299"/>
    <s v="L-0001310"/>
    <s v="131ak000001XjDtAAK"/>
    <b v="0"/>
    <b v="0"/>
    <s v="a0Aak00000GkW1P"/>
    <s v="17:30:00.000Z"/>
    <x v="2"/>
    <s v="a07ak00001rZMqsAAG"/>
    <s v="Zoey Kim"/>
    <s v="2026-10-01T15:56:46.000Z"/>
    <b v="1"/>
    <s v="a06ak00000amzC0AAI|2027-03-19|17:30:00.000Z"/>
    <n v="1"/>
    <s v="Red Bank"/>
    <x v="14"/>
    <x v="1"/>
  </r>
  <r>
    <s v="005ak00000icyWTAAY"/>
    <s v="2026-10-01T15:56:46.000Z"/>
    <n v="30"/>
    <s v="a0Aak00000GkW1QEAV"/>
    <s v="a06ak00000amzBiAAI"/>
    <s v="Zoey Torres"/>
    <m/>
    <x v="7"/>
    <b v="0"/>
    <m/>
    <s v="005ak00000icyWTAAY"/>
    <s v="2026-10-01T15:56:46.000Z"/>
    <m/>
    <m/>
    <d v="2027-03-19T00:00:00"/>
    <s v="LSN-01300"/>
    <s v="L-0001311"/>
    <s v="131ak000001XjDtAAK"/>
    <b v="0"/>
    <b v="0"/>
    <s v="a0Aak00000GkW1Q"/>
    <s v="18:00:00.000Z"/>
    <x v="2"/>
    <s v="a07ak00001rZMroAAG"/>
    <s v="Sebastian Wilson"/>
    <s v="2026-10-01T15:56:46.000Z"/>
    <b v="1"/>
    <s v="a06ak00000amzBiAAI|2027-03-19|18:00:00.000Z"/>
    <n v="1"/>
    <s v="Red Bank"/>
    <x v="14"/>
    <x v="1"/>
  </r>
  <r>
    <s v="005ak00000icyWTAAY"/>
    <s v="2026-10-01T15:56:46.000Z"/>
    <n v="45"/>
    <s v="a0Aak00000GkW1REAV"/>
    <s v="a06ak00000amzCCAAY"/>
    <s v="Rowan Jones"/>
    <m/>
    <x v="7"/>
    <b v="0"/>
    <m/>
    <s v="005ak00000icyWTAAY"/>
    <s v="2026-10-01T15:56:46.000Z"/>
    <m/>
    <m/>
    <d v="2027-03-20T00:00:00"/>
    <s v="LSN-01301"/>
    <s v="L-0001312"/>
    <s v="131ak000001XjDuAAK"/>
    <b v="0"/>
    <b v="0"/>
    <s v="a0Aak00000GkW1R"/>
    <s v="09:00:00.000Z"/>
    <x v="2"/>
    <s v="a07ak00001rZMqNAAW"/>
    <s v="Matthew Jackson"/>
    <s v="2026-10-01T15:56:46.000Z"/>
    <b v="1"/>
    <s v="a06ak00000amzCCAAY|2027-03-20|09:00:00.000Z"/>
    <n v="1"/>
    <s v="Brick"/>
    <x v="14"/>
    <x v="1"/>
  </r>
  <r>
    <s v="005ak00000icyWTAAY"/>
    <s v="2026-10-01T15:56:46.000Z"/>
    <n v="30"/>
    <s v="a0Aak00000GkW1SEAV"/>
    <s v="a06ak00000amzBzAAI"/>
    <s v="Ezra Garcia"/>
    <m/>
    <x v="5"/>
    <b v="0"/>
    <m/>
    <s v="005ak00000icyWTAAY"/>
    <s v="2026-10-01T15:56:46.000Z"/>
    <m/>
    <m/>
    <d v="2027-03-20T00:00:00"/>
    <s v="LSN-01302"/>
    <s v="L-0001313"/>
    <s v="131ak000001XjDtAAK"/>
    <b v="0"/>
    <b v="0"/>
    <s v="a0Aak00000GkW1S"/>
    <s v="09:00:00.000Z"/>
    <x v="2"/>
    <s v="a07ak00001rZMrwAAG"/>
    <s v="Jonah Clark"/>
    <s v="2026-10-01T15:56:46.000Z"/>
    <b v="1"/>
    <s v="a06ak00000amzBzAAI|2027-03-20|09:00:00.000Z"/>
    <n v="1"/>
    <s v="Red Bank"/>
    <x v="14"/>
    <x v="1"/>
  </r>
  <r>
    <s v="005ak00000icyWTAAY"/>
    <s v="2026-10-01T15:56:46.000Z"/>
    <n v="45"/>
    <s v="a0Aak00000GkW1TEAV"/>
    <s v="a06ak00000amzCCAAY"/>
    <s v="Rowan Jones"/>
    <m/>
    <x v="9"/>
    <b v="0"/>
    <m/>
    <s v="005ak00000icyWTAAY"/>
    <s v="2026-10-01T15:56:46.000Z"/>
    <m/>
    <m/>
    <d v="2027-03-20T00:00:00"/>
    <s v="LSN-01303"/>
    <s v="L-0001314"/>
    <s v="131ak000001XjDuAAK"/>
    <b v="0"/>
    <b v="0"/>
    <s v="a0Aak00000GkW1T"/>
    <s v="10:00:00.000Z"/>
    <x v="2"/>
    <s v="a07ak00001rZMphAAG"/>
    <s v="Aiden Roberts"/>
    <s v="2026-10-01T15:56:46.000Z"/>
    <b v="1"/>
    <s v="a06ak00000amzCCAAY|2027-03-20|10:00:00.000Z"/>
    <n v="1"/>
    <s v="Brick"/>
    <x v="14"/>
    <x v="1"/>
  </r>
  <r>
    <s v="005ak00000icyWTAAY"/>
    <s v="2026-10-01T15:56:46.000Z"/>
    <n v="30"/>
    <s v="a0Aak00000GkW1UEAV"/>
    <s v="a06ak00000amzCHAAY"/>
    <s v="Liam Flores"/>
    <m/>
    <x v="4"/>
    <b v="0"/>
    <m/>
    <s v="005ak00000icyWTAAY"/>
    <s v="2026-10-01T15:56:46.000Z"/>
    <m/>
    <m/>
    <d v="2027-03-20T00:00:00"/>
    <s v="LSN-01304"/>
    <s v="L-0001315"/>
    <s v="131ak000001XjDtAAK"/>
    <b v="0"/>
    <b v="0"/>
    <s v="a0Aak00000GkW1U"/>
    <s v="11:30:00.000Z"/>
    <x v="2"/>
    <s v="a07ak00001rZMqPAAW"/>
    <s v="Tyler Byrne"/>
    <s v="2026-10-01T15:56:46.000Z"/>
    <b v="1"/>
    <s v="a06ak00000amzCHAAY|2027-03-20|11:30:00.000Z"/>
    <n v="1"/>
    <s v="Red Bank"/>
    <x v="14"/>
    <x v="1"/>
  </r>
  <r>
    <s v="005ak00000icyWTAAY"/>
    <s v="2026-10-01T15:56:46.000Z"/>
    <n v="60"/>
    <s v="a0Aak00000GkW1VEAV"/>
    <s v="a06ak00000amzBzAAI"/>
    <s v="Ezra Garcia"/>
    <m/>
    <x v="5"/>
    <b v="0"/>
    <m/>
    <s v="005ak00000icyWTAAY"/>
    <s v="2026-10-01T15:56:46.000Z"/>
    <m/>
    <m/>
    <d v="2027-03-22T00:00:00"/>
    <s v="LSN-01305"/>
    <s v="L-0001316"/>
    <s v="131ak000001XjDtAAK"/>
    <b v="0"/>
    <b v="0"/>
    <s v="a0Aak00000GkW1V"/>
    <s v="15:30:00.000Z"/>
    <x v="2"/>
    <s v="a07ak00001rZMqGAAW"/>
    <s v="Josiah Clark"/>
    <s v="2026-10-01T15:56:46.000Z"/>
    <b v="1"/>
    <s v="a06ak00000amzBzAAI|2027-03-22|15:30:00.000Z"/>
    <n v="1"/>
    <s v="Red Bank"/>
    <x v="14"/>
    <x v="1"/>
  </r>
  <r>
    <s v="005ak00000icyWTAAY"/>
    <s v="2026-10-01T15:56:46.000Z"/>
    <n v="45"/>
    <s v="a0Aak00000GkW1WEAV"/>
    <s v="a06ak00000amzC1AAI"/>
    <s v="Valentina Nakamura"/>
    <m/>
    <x v="5"/>
    <b v="0"/>
    <m/>
    <s v="005ak00000icyWTAAY"/>
    <s v="2026-10-01T15:56:46.000Z"/>
    <m/>
    <m/>
    <d v="2027-03-22T00:00:00"/>
    <s v="LSN-01306"/>
    <s v="L-0001317"/>
    <s v="131ak000001XjDuAAK"/>
    <b v="0"/>
    <b v="0"/>
    <s v="a0Aak00000GkW1W"/>
    <s v="15:30:00.000Z"/>
    <x v="2"/>
    <s v="a07ak00001rZMrpAAG"/>
    <s v="Miles Silva"/>
    <s v="2026-10-01T15:56:46.000Z"/>
    <b v="1"/>
    <s v="a06ak00000amzC1AAI|2027-03-22|15:30:00.000Z"/>
    <n v="1"/>
    <s v="Brick"/>
    <x v="14"/>
    <x v="1"/>
  </r>
  <r>
    <s v="005ak00000icyWTAAY"/>
    <s v="2026-10-01T15:56:46.000Z"/>
    <n v="45"/>
    <s v="a0Aak00000GkW1XEAV"/>
    <s v="a06ak00000amzBgAAI"/>
    <s v="Noah Mitchell"/>
    <m/>
    <x v="1"/>
    <b v="0"/>
    <m/>
    <s v="005ak00000icyWTAAY"/>
    <s v="2026-10-01T15:56:46.000Z"/>
    <m/>
    <m/>
    <d v="2027-03-22T00:00:00"/>
    <s v="LSN-01307"/>
    <s v="L-0001318"/>
    <s v="131ak000001XjDuAAK"/>
    <b v="0"/>
    <b v="0"/>
    <s v="a0Aak00000GkW1X"/>
    <s v="16:30:00.000Z"/>
    <x v="2"/>
    <s v="a07ak00001rZMpDAAW"/>
    <s v="Mei Thompson"/>
    <s v="2026-10-01T15:56:46.000Z"/>
    <b v="1"/>
    <s v="a06ak00000amzBgAAI|2027-03-22|16:30:00.000Z"/>
    <n v="1"/>
    <s v="Brick"/>
    <x v="14"/>
    <x v="1"/>
  </r>
  <r>
    <s v="005ak00000icyWTAAY"/>
    <s v="2026-10-01T15:56:46.000Z"/>
    <n v="30"/>
    <s v="a0Aak00000GkW1YEAV"/>
    <s v="a06ak00000amzC1AAI"/>
    <s v="Valentina Nakamura"/>
    <m/>
    <x v="11"/>
    <b v="0"/>
    <m/>
    <s v="005ak00000icyWTAAY"/>
    <s v="2026-10-01T15:56:46.000Z"/>
    <m/>
    <m/>
    <d v="2027-03-22T00:00:00"/>
    <s v="LSN-01308"/>
    <s v="L-0001319"/>
    <s v="131ak000001XjDuAAK"/>
    <b v="0"/>
    <b v="0"/>
    <s v="a0Aak00000GkW1Y"/>
    <s v="16:30:00.000Z"/>
    <x v="2"/>
    <s v="a07ak00001rZMrbAAG"/>
    <s v="Layla Ramirez"/>
    <s v="2026-10-01T15:56:46.000Z"/>
    <b v="1"/>
    <s v="a06ak00000amzC1AAI|2027-03-22|16:30:00.000Z"/>
    <n v="1"/>
    <s v="Brick"/>
    <x v="14"/>
    <x v="1"/>
  </r>
  <r>
    <s v="005ak00000icyWTAAY"/>
    <s v="2026-10-01T15:56:46.000Z"/>
    <n v="45"/>
    <s v="a0Aak00000GkW1ZEAV"/>
    <s v="a06ak00000amzBiAAI"/>
    <s v="Zoey Torres"/>
    <m/>
    <x v="1"/>
    <b v="0"/>
    <m/>
    <s v="005ak00000icyWTAAY"/>
    <s v="2026-10-01T15:56:46.000Z"/>
    <m/>
    <m/>
    <d v="2027-03-22T00:00:00"/>
    <s v="LSN-01309"/>
    <s v="L-0001320"/>
    <s v="131ak000001XjDtAAK"/>
    <b v="0"/>
    <b v="0"/>
    <s v="a0Aak00000GkW1Z"/>
    <s v="18:30:00.000Z"/>
    <x v="2"/>
    <s v="a07ak00001rZMpgAAG"/>
    <s v="Micah King"/>
    <s v="2026-10-01T15:56:46.000Z"/>
    <b v="1"/>
    <s v="a06ak00000amzBiAAI|2027-03-22|18:30:00.000Z"/>
    <n v="1"/>
    <s v="Red Bank"/>
    <x v="14"/>
    <x v="1"/>
  </r>
  <r>
    <s v="005ak00000icyWTAAY"/>
    <s v="2026-10-01T15:56:46.000Z"/>
    <n v="30"/>
    <s v="a0Aak00000GkW1aEAF"/>
    <s v="a06ak00000amzC1AAI"/>
    <s v="Valentina Nakamura"/>
    <m/>
    <x v="5"/>
    <b v="0"/>
    <m/>
    <s v="005ak00000icyWTAAY"/>
    <s v="2026-10-01T15:56:46.000Z"/>
    <m/>
    <m/>
    <d v="2027-03-22T00:00:00"/>
    <s v="LSN-01310"/>
    <s v="L-0001321"/>
    <s v="131ak000001XjDvAAK"/>
    <b v="0"/>
    <b v="0"/>
    <s v="a0Aak00000GkW1a"/>
    <s v="19:00:00.000Z"/>
    <x v="2"/>
    <s v="a07ak00001rZMpKAAW"/>
    <s v="Sofia Sullivan"/>
    <s v="2026-10-01T15:56:46.000Z"/>
    <b v="1"/>
    <s v="a06ak00000amzC1AAI|2027-03-22|19:00:00.000Z"/>
    <n v="1"/>
    <s v="Toms River"/>
    <x v="14"/>
    <x v="1"/>
  </r>
  <r>
    <s v="005ak00000icyWTAAY"/>
    <s v="2026-10-01T15:56:46.000Z"/>
    <n v="45"/>
    <s v="a0Aak00000GkW1bEAF"/>
    <s v="a06ak00000amzCIAAY"/>
    <s v="Omar Nelson"/>
    <m/>
    <x v="7"/>
    <b v="0"/>
    <m/>
    <s v="005ak00000icyWTAAY"/>
    <s v="2026-10-01T15:56:46.000Z"/>
    <m/>
    <m/>
    <d v="2027-03-22T00:00:00"/>
    <s v="LSN-01311"/>
    <s v="L-0001322"/>
    <s v="131ak000001XjDvAAK"/>
    <b v="0"/>
    <b v="0"/>
    <s v="a0Aak00000GkW1b"/>
    <s v="19:00:00.000Z"/>
    <x v="2"/>
    <s v="a07ak00001rZMpLAAW"/>
    <s v="Nathan Ahmed"/>
    <s v="2026-10-01T15:56:46.000Z"/>
    <b v="1"/>
    <s v="a06ak00000amzCIAAY|2027-03-22|19:00:00.000Z"/>
    <n v="1"/>
    <s v="Toms River"/>
    <x v="14"/>
    <x v="1"/>
  </r>
  <r>
    <s v="005ak00000icyWTAAY"/>
    <s v="2026-10-01T15:56:46.000Z"/>
    <n v="30"/>
    <s v="a0Aak00000GkW1cEAF"/>
    <s v="a06ak00000amzCBAAY"/>
    <s v="Aiden Hill"/>
    <m/>
    <x v="3"/>
    <b v="0"/>
    <m/>
    <s v="005ak00000icyWTAAY"/>
    <s v="2026-10-01T15:56:46.000Z"/>
    <m/>
    <m/>
    <d v="2027-03-23T00:00:00"/>
    <s v="LSN-01312"/>
    <s v="L-0001323"/>
    <s v="131ak000001XjDtAAK"/>
    <b v="0"/>
    <b v="0"/>
    <s v="a0Aak00000GkW1c"/>
    <s v="15:30:00.000Z"/>
    <x v="2"/>
    <s v="a07ak00001rZMrmAAG"/>
    <s v="Nathan Young"/>
    <s v="2026-10-01T15:56:46.000Z"/>
    <b v="1"/>
    <s v="a06ak00000amzCBAAY|2027-03-23|15:30:00.000Z"/>
    <n v="1"/>
    <s v="Red Bank"/>
    <x v="14"/>
    <x v="1"/>
  </r>
  <r>
    <s v="005ak00000icyWTAAY"/>
    <s v="2026-10-01T15:56:46.000Z"/>
    <n v="45"/>
    <s v="a0Aak00000GkW1dEAF"/>
    <s v="a06ak00000amzCBAAY"/>
    <s v="Aiden Hill"/>
    <m/>
    <x v="10"/>
    <b v="0"/>
    <m/>
    <s v="005ak00000icyWTAAY"/>
    <s v="2026-10-01T15:56:46.000Z"/>
    <m/>
    <m/>
    <d v="2027-03-23T00:00:00"/>
    <s v="LSN-01313"/>
    <s v="L-0001324"/>
    <s v="131ak000001XjDtAAK"/>
    <b v="0"/>
    <b v="0"/>
    <s v="a0Aak00000GkW1d"/>
    <s v="16:30:00.000Z"/>
    <x v="2"/>
    <s v="a07ak00001rZMqLAAW"/>
    <s v="Everly Roberts"/>
    <s v="2026-10-01T15:56:46.000Z"/>
    <b v="1"/>
    <s v="a06ak00000amzCBAAY|2027-03-23|16:30:00.000Z"/>
    <n v="1"/>
    <s v="Red Bank"/>
    <x v="14"/>
    <x v="1"/>
  </r>
  <r>
    <s v="005ak00000icyWTAAY"/>
    <s v="2026-10-01T15:56:46.000Z"/>
    <n v="30"/>
    <s v="a0Aak00000GkW1eEAF"/>
    <s v="a06ak00000amzBtAAI"/>
    <s v="Jamal Torres"/>
    <m/>
    <x v="2"/>
    <b v="0"/>
    <m/>
    <s v="005ak00000icyWTAAY"/>
    <s v="2026-10-01T15:56:46.000Z"/>
    <m/>
    <m/>
    <d v="2027-03-23T00:00:00"/>
    <s v="LSN-01314"/>
    <s v="L-0001325"/>
    <s v="131ak000001XjDtAAK"/>
    <b v="0"/>
    <b v="0"/>
    <s v="a0Aak00000GkW1e"/>
    <s v="18:00:00.000Z"/>
    <x v="2"/>
    <s v="a07ak00001rZMrnAAG"/>
    <s v="Camila Jones"/>
    <s v="2026-10-01T15:56:46.000Z"/>
    <b v="1"/>
    <s v="a06ak00000amzBtAAI|2027-03-23|18:00:00.000Z"/>
    <n v="1"/>
    <s v="Red Bank"/>
    <x v="14"/>
    <x v="1"/>
  </r>
  <r>
    <s v="005ak00000icyWTAAY"/>
    <s v="2026-10-01T15:56:46.000Z"/>
    <n v="45"/>
    <s v="a0Aak00000GkW1fEAF"/>
    <s v="a06ak00000amzCHAAY"/>
    <s v="Liam Flores"/>
    <m/>
    <x v="4"/>
    <b v="0"/>
    <m/>
    <s v="005ak00000icyWTAAY"/>
    <s v="2026-10-01T15:56:46.000Z"/>
    <m/>
    <m/>
    <d v="2027-03-23T00:00:00"/>
    <s v="LSN-01315"/>
    <s v="L-0001326"/>
    <s v="131ak000001XjDuAAK"/>
    <b v="0"/>
    <b v="0"/>
    <s v="a0Aak00000GkW1f"/>
    <s v="18:30:00.000Z"/>
    <x v="2"/>
    <s v="a07ak00001rZMpZAAW"/>
    <s v="Harper Patel"/>
    <s v="2026-10-01T15:56:46.000Z"/>
    <b v="1"/>
    <s v="a06ak00000amzCHAAY|2027-03-23|18:30:00.000Z"/>
    <n v="1"/>
    <s v="Brick"/>
    <x v="14"/>
    <x v="1"/>
  </r>
  <r>
    <s v="005ak00000icyWTAAY"/>
    <s v="2026-10-01T15:56:46.000Z"/>
    <n v="60"/>
    <s v="a0Aak00000GkW1gEAF"/>
    <s v="a06ak00000amzC0AAI"/>
    <s v="James Moore"/>
    <m/>
    <x v="9"/>
    <b v="0"/>
    <m/>
    <s v="005ak00000icyWTAAY"/>
    <s v="2026-10-01T15:56:46.000Z"/>
    <m/>
    <m/>
    <d v="2027-03-24T00:00:00"/>
    <s v="LSN-01316"/>
    <s v="L-0001327"/>
    <s v="131ak000001XjDtAAK"/>
    <b v="0"/>
    <b v="0"/>
    <s v="a0Aak00000GkW1g"/>
    <s v="16:00:00.000Z"/>
    <x v="2"/>
    <s v="a07ak00001rZMpWAAW"/>
    <s v="Leo Thomas"/>
    <s v="2026-10-01T15:56:46.000Z"/>
    <b v="1"/>
    <s v="a06ak00000amzC0AAI|2027-03-24|16:00:00.000Z"/>
    <n v="1"/>
    <s v="Red Bank"/>
    <x v="14"/>
    <x v="1"/>
  </r>
  <r>
    <s v="005ak00000icyWTAAY"/>
    <s v="2026-10-01T15:56:46.000Z"/>
    <n v="45"/>
    <s v="a0Aak00000GkW1hEAF"/>
    <s v="a06ak00000amzC0AAI"/>
    <s v="James Moore"/>
    <m/>
    <x v="6"/>
    <b v="0"/>
    <m/>
    <s v="005ak00000icyWTAAY"/>
    <s v="2026-10-01T15:56:46.000Z"/>
    <s v="2026-10-01T15:59:34.000Z"/>
    <s v="2026-10-01T15:59:34.000Z"/>
    <d v="2027-03-24T00:00:00"/>
    <s v="LSN-01317"/>
    <s v="L-0001328"/>
    <s v="131ak000001XjDtAAK"/>
    <b v="0"/>
    <b v="0"/>
    <s v="a0Aak00000GkW1h"/>
    <s v="17:00:00.000Z"/>
    <x v="2"/>
    <s v="a07ak00001rZMqCAAW"/>
    <s v="Omar Smith"/>
    <s v="2026-10-01T15:56:46.000Z"/>
    <b v="1"/>
    <s v="a06ak00000amzC0AAI|2027-03-24|17:00:00.000Z"/>
    <n v="1"/>
    <s v="Red Bank"/>
    <x v="14"/>
    <x v="1"/>
  </r>
  <r>
    <s v="005ak00000icyWTAAY"/>
    <s v="2026-10-01T15:56:46.000Z"/>
    <n v="30"/>
    <s v="a0Aak00000GkW1iEAF"/>
    <s v="a06ak00000amzBiAAI"/>
    <s v="Zoey Torres"/>
    <m/>
    <x v="7"/>
    <b v="0"/>
    <m/>
    <s v="005ak00000icyWTAAY"/>
    <s v="2026-10-01T15:56:46.000Z"/>
    <m/>
    <m/>
    <d v="2027-03-25T00:00:00"/>
    <s v="LSN-01318"/>
    <s v="L-0001329"/>
    <s v="131ak000001XjDtAAK"/>
    <b v="0"/>
    <b v="0"/>
    <s v="a0Aak00000GkW1i"/>
    <s v="15:30:00.000Z"/>
    <x v="2"/>
    <s v="a07ak00001rZMpsAAG"/>
    <s v="Aubrey Clark"/>
    <s v="2026-10-01T15:56:46.000Z"/>
    <b v="1"/>
    <s v="a06ak00000amzBiAAI|2027-03-25|15:30:00.000Z"/>
    <n v="1"/>
    <s v="Red Bank"/>
    <x v="14"/>
    <x v="1"/>
  </r>
  <r>
    <s v="005ak00000icyWTAAY"/>
    <s v="2026-10-01T15:56:46.000Z"/>
    <n v="45"/>
    <s v="a0Aak00000GkW1jEAF"/>
    <s v="a06ak00000amzCHAAY"/>
    <s v="Liam Flores"/>
    <m/>
    <x v="4"/>
    <b v="0"/>
    <m/>
    <s v="005ak00000icyWTAAY"/>
    <s v="2026-10-01T15:56:46.000Z"/>
    <m/>
    <m/>
    <d v="2027-03-25T00:00:00"/>
    <s v="LSN-01319"/>
    <s v="L-0001330"/>
    <s v="131ak000001XjDtAAK"/>
    <b v="0"/>
    <b v="0"/>
    <s v="a0Aak00000GkW1j"/>
    <s v="15:30:00.000Z"/>
    <x v="2"/>
    <s v="a07ak00001rZMrDAAW"/>
    <s v="Jackson Lopez"/>
    <s v="2026-10-01T15:56:46.000Z"/>
    <b v="1"/>
    <s v="a06ak00000amzCHAAY|2027-03-25|15:30:00.000Z"/>
    <n v="1"/>
    <s v="Red Bank"/>
    <x v="14"/>
    <x v="1"/>
  </r>
  <r>
    <s v="005ak00000icyWTAAY"/>
    <s v="2026-10-01T15:56:46.000Z"/>
    <n v="30"/>
    <s v="a0Aak00000GkW1kEAF"/>
    <s v="a06ak00000amzCBAAY"/>
    <s v="Aiden Hill"/>
    <m/>
    <x v="3"/>
    <b v="0"/>
    <m/>
    <s v="005ak00000icyWTAAY"/>
    <s v="2026-10-01T15:56:46.000Z"/>
    <m/>
    <m/>
    <d v="2027-03-25T00:00:00"/>
    <s v="LSN-01320"/>
    <s v="L-0001331"/>
    <s v="131ak000001XjDtAAK"/>
    <b v="0"/>
    <b v="0"/>
    <s v="a0Aak00000GkW1k"/>
    <s v="17:30:00.000Z"/>
    <x v="2"/>
    <s v="a07ak00001rZMqfAAG"/>
    <s v="Isaac Novak"/>
    <s v="2026-10-01T15:56:46.000Z"/>
    <b v="1"/>
    <s v="a06ak00000amzCBAAY|2027-03-25|17:30:00.000Z"/>
    <n v="1"/>
    <s v="Red Bank"/>
    <x v="14"/>
    <x v="1"/>
  </r>
  <r>
    <s v="005ak00000icyWTAAY"/>
    <s v="2026-10-01T15:56:46.000Z"/>
    <n v="30"/>
    <s v="a0Aak00000GkW1lEAF"/>
    <s v="a06ak00000amzCHAAY"/>
    <s v="Liam Flores"/>
    <m/>
    <x v="4"/>
    <b v="0"/>
    <m/>
    <s v="005ak00000icyWTAAY"/>
    <s v="2026-10-01T15:56:46.000Z"/>
    <m/>
    <m/>
    <d v="2027-03-25T00:00:00"/>
    <s v="LSN-01321"/>
    <s v="L-0001332"/>
    <s v="131ak000001XjDvAAK"/>
    <b v="0"/>
    <b v="0"/>
    <s v="a0Aak00000GkW1l"/>
    <s v="18:00:00.000Z"/>
    <x v="2"/>
    <s v="a07ak00001rZMqqAAG"/>
    <s v="Julian Allen"/>
    <s v="2026-10-01T15:56:46.000Z"/>
    <b v="1"/>
    <s v="a06ak00000amzCHAAY|2027-03-25|18:00:00.000Z"/>
    <n v="1"/>
    <s v="Toms River"/>
    <x v="14"/>
    <x v="1"/>
  </r>
  <r>
    <s v="005ak00000icyWTAAY"/>
    <s v="2026-10-01T15:56:46.000Z"/>
    <n v="30"/>
    <s v="a0Aak00000GkW1mEAF"/>
    <s v="a06ak00000amzBfAAI"/>
    <s v="Mia Smith"/>
    <m/>
    <x v="6"/>
    <b v="0"/>
    <m/>
    <s v="005ak00000icyWTAAY"/>
    <s v="2026-10-01T15:56:46.000Z"/>
    <m/>
    <m/>
    <d v="2027-03-25T00:00:00"/>
    <s v="LSN-01322"/>
    <s v="L-0001333"/>
    <s v="131ak000001XjDuAAK"/>
    <b v="0"/>
    <b v="0"/>
    <s v="a0Aak00000GkW1m"/>
    <s v="18:00:00.000Z"/>
    <x v="2"/>
    <s v="a07ak00001rZMs0AAG"/>
    <s v="Sofia Nelson"/>
    <s v="2026-10-01T15:56:46.000Z"/>
    <b v="1"/>
    <s v="a06ak00000amzBfAAI|2027-03-25|18:00:00.000Z"/>
    <n v="1"/>
    <s v="Brick"/>
    <x v="14"/>
    <x v="1"/>
  </r>
  <r>
    <s v="005ak00000icyWTAAY"/>
    <s v="2026-10-01T15:56:46.000Z"/>
    <n v="30"/>
    <s v="a0Aak00000GkW1nEAF"/>
    <s v="a06ak00000amzBiAAI"/>
    <s v="Zoey Torres"/>
    <m/>
    <x v="8"/>
    <b v="0"/>
    <m/>
    <s v="005ak00000icyWTAAY"/>
    <s v="2026-10-01T15:56:46.000Z"/>
    <m/>
    <m/>
    <d v="2027-03-25T00:00:00"/>
    <s v="LSN-01323"/>
    <s v="L-0001334"/>
    <s v="131ak000001XjDtAAK"/>
    <b v="0"/>
    <b v="0"/>
    <s v="a0Aak00000GkW1n"/>
    <s v="18:30:00.000Z"/>
    <x v="2"/>
    <s v="a07ak00001rZMqFAAW"/>
    <s v="Nathan Novak"/>
    <s v="2026-10-01T15:56:46.000Z"/>
    <b v="1"/>
    <s v="a06ak00000amzBiAAI|2027-03-25|18:30:00.000Z"/>
    <n v="1"/>
    <s v="Red Bank"/>
    <x v="14"/>
    <x v="1"/>
  </r>
  <r>
    <s v="005ak00000icyWTAAY"/>
    <s v="2026-10-01T15:56:46.000Z"/>
    <n v="30"/>
    <s v="a0Aak00000GkW1oEAF"/>
    <s v="a06ak00000amzBiAAI"/>
    <s v="Zoey Torres"/>
    <m/>
    <x v="8"/>
    <b v="0"/>
    <m/>
    <s v="005ak00000icyWTAAY"/>
    <s v="2026-10-01T15:56:46.000Z"/>
    <m/>
    <m/>
    <d v="2027-03-25T00:00:00"/>
    <s v="LSN-01324"/>
    <s v="L-0001335"/>
    <s v="131ak000001XjDtAAK"/>
    <b v="0"/>
    <b v="0"/>
    <s v="a0Aak00000GkW1o"/>
    <s v="19:00:00.000Z"/>
    <x v="2"/>
    <s v="a07ak00001rZMqIAAW"/>
    <s v="Gabriel Baker"/>
    <s v="2026-10-01T15:56:46.000Z"/>
    <b v="1"/>
    <s v="a06ak00000amzBiAAI|2027-03-25|19:00:00.000Z"/>
    <n v="1"/>
    <s v="Red Bank"/>
    <x v="14"/>
    <x v="1"/>
  </r>
  <r>
    <s v="005ak00000icyWTAAY"/>
    <s v="2026-10-01T15:56:46.000Z"/>
    <n v="30"/>
    <s v="a0Aak00000GkW1pEAF"/>
    <s v="a06ak00000amzCIAAY"/>
    <s v="Omar Nelson"/>
    <m/>
    <x v="7"/>
    <b v="0"/>
    <m/>
    <s v="005ak00000icyWTAAY"/>
    <s v="2026-10-01T15:56:46.000Z"/>
    <m/>
    <m/>
    <d v="2027-03-25T00:00:00"/>
    <s v="LSN-01325"/>
    <s v="L-0001336"/>
    <s v="131ak000001XjDvAAK"/>
    <b v="0"/>
    <b v="0"/>
    <s v="a0Aak00000GkW1p"/>
    <s v="19:00:00.000Z"/>
    <x v="2"/>
    <s v="a07ak00001rZMqtAAG"/>
    <s v="Caroline Hall"/>
    <s v="2026-10-01T15:56:46.000Z"/>
    <b v="1"/>
    <s v="a06ak00000amzCIAAY|2027-03-25|19:00:00.000Z"/>
    <n v="1"/>
    <s v="Toms River"/>
    <x v="14"/>
    <x v="1"/>
  </r>
  <r>
    <s v="005ak00000icyWTAAY"/>
    <s v="2026-10-01T15:56:46.000Z"/>
    <n v="30"/>
    <s v="a0Aak00000GkW1qEAF"/>
    <s v="a06ak00000amzBxAAI"/>
    <s v="Miles Allen"/>
    <m/>
    <x v="7"/>
    <b v="0"/>
    <m/>
    <s v="005ak00000icyWTAAY"/>
    <s v="2026-10-01T15:56:46.000Z"/>
    <m/>
    <m/>
    <d v="2027-03-26T00:00:00"/>
    <s v="LSN-01326"/>
    <s v="L-0001337"/>
    <s v="131ak000001XjDuAAK"/>
    <b v="0"/>
    <b v="0"/>
    <s v="a0Aak00000GkW1q"/>
    <s v="16:30:00.000Z"/>
    <x v="2"/>
    <s v="a07ak00001rZMpIAAW"/>
    <s v="Genesis Lopez"/>
    <s v="2026-10-01T15:56:46.000Z"/>
    <b v="1"/>
    <s v="a06ak00000amzBxAAI|2027-03-26|16:30:00.000Z"/>
    <n v="1"/>
    <s v="Brick"/>
    <x v="14"/>
    <x v="1"/>
  </r>
  <r>
    <s v="005ak00000icyWTAAY"/>
    <s v="2026-10-01T15:56:46.000Z"/>
    <n v="30"/>
    <s v="a0Aak00000GkW1rEAF"/>
    <s v="a06ak00000amzByAAI"/>
    <s v="Vincent Sullivan"/>
    <m/>
    <x v="8"/>
    <b v="0"/>
    <m/>
    <s v="005ak00000icyWTAAY"/>
    <s v="2026-10-01T15:56:46.000Z"/>
    <m/>
    <m/>
    <d v="2027-03-26T00:00:00"/>
    <s v="LSN-01327"/>
    <s v="L-0001338"/>
    <s v="131ak000001XjDuAAK"/>
    <b v="0"/>
    <b v="0"/>
    <s v="a0Aak00000GkW1r"/>
    <s v="17:00:00.000Z"/>
    <x v="2"/>
    <s v="a07ak00001rZMpNAAW"/>
    <s v="Hazel Walker"/>
    <s v="2026-10-01T15:56:46.000Z"/>
    <b v="1"/>
    <s v="a06ak00000amzByAAI|2027-03-26|17:00:00.000Z"/>
    <n v="1"/>
    <s v="Brick"/>
    <x v="14"/>
    <x v="1"/>
  </r>
  <r>
    <s v="005ak00000icyWTAAY"/>
    <s v="2026-10-01T15:56:46.000Z"/>
    <n v="30"/>
    <s v="a0Aak00000GkW1sEAF"/>
    <s v="a06ak00000amzC1AAI"/>
    <s v="Valentina Nakamura"/>
    <m/>
    <x v="11"/>
    <b v="0"/>
    <m/>
    <s v="005ak00000icyWTAAY"/>
    <s v="2026-10-01T15:56:46.000Z"/>
    <m/>
    <m/>
    <d v="2027-03-27T00:00:00"/>
    <s v="LSN-01328"/>
    <s v="L-0001339"/>
    <s v="131ak000001XjDvAAK"/>
    <b v="0"/>
    <b v="0"/>
    <s v="a0Aak00000GkW1s"/>
    <s v="11:30:00.000Z"/>
    <x v="2"/>
    <s v="a07ak00001rZMpwAAG"/>
    <s v="Brooklyn Young"/>
    <s v="2026-10-01T15:56:46.000Z"/>
    <b v="1"/>
    <s v="a06ak00000amzC1AAI|2027-03-27|11:30:00.000Z"/>
    <n v="1"/>
    <s v="Toms River"/>
    <x v="14"/>
    <x v="1"/>
  </r>
  <r>
    <s v="005ak00000icyWTAAY"/>
    <s v="2026-10-01T15:56:46.000Z"/>
    <n v="45"/>
    <s v="a0Aak00000GkW1tEAF"/>
    <s v="a06ak00000amzCCAAY"/>
    <s v="Rowan Jones"/>
    <m/>
    <x v="9"/>
    <b v="0"/>
    <m/>
    <s v="005ak00000icyWTAAY"/>
    <s v="2026-10-01T15:56:46.000Z"/>
    <m/>
    <m/>
    <d v="2027-03-27T00:00:00"/>
    <s v="LSN-01329"/>
    <s v="L-0001340"/>
    <s v="131ak000001XjDvAAK"/>
    <b v="0"/>
    <b v="0"/>
    <s v="a0Aak00000GkW1t"/>
    <s v="12:30:00.000Z"/>
    <x v="2"/>
    <s v="a07ak00001rZMpSAAW"/>
    <s v="Julian Flores"/>
    <s v="2026-10-01T15:56:46.000Z"/>
    <b v="1"/>
    <s v="a06ak00000amzCCAAY|2027-03-27|12:30:00.000Z"/>
    <n v="1"/>
    <s v="Toms River"/>
    <x v="14"/>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m/>
    <s v="005ak00000icyWTAAY"/>
    <s v="2026-09-14T19:53:20.000Z"/>
    <s v="mcarter@yahoo.com"/>
    <s v="Malachi"/>
    <d v="2026-02-19T00:00:00"/>
    <s v="Malachi Carter"/>
    <s v="a09ak00002KAZXtAAP"/>
    <d v="2026-02-19T00:00:00"/>
    <s v="INQ-0001"/>
    <s v="Voice"/>
    <b v="0"/>
    <m/>
    <s v="005ak00000icyWTAAY"/>
    <s v="2026-09-29T16:18:43.000Z"/>
    <s v="2026-09-25T19:29:45.000Z"/>
    <s v="2026-09-25T19:29:45.000Z"/>
    <s v="Carter"/>
    <x v="0"/>
    <s v="Malachi Carter"/>
    <s v="Beginner, no experience."/>
    <s v="005ak00000icyWTAAY"/>
    <s v="(732) 555-1801"/>
    <s v="131ak000001XjDuAAK"/>
    <x v="0"/>
    <n v="10"/>
    <s v="2026-09-29T16:18:43.000Z"/>
    <s v="a06ak00000amzBfAAI"/>
    <s v="Malachi Carter|mcarter@yahoo.com"/>
    <n v="1"/>
    <n v="0"/>
    <x v="0"/>
    <s v="Brick"/>
  </r>
  <r>
    <m/>
    <s v="005ak00000icyWTAAY"/>
    <s v="2026-09-14T19:53:20.000Z"/>
    <s v="avascott@gmail.com"/>
    <s v="Ava"/>
    <d v="2026-03-14T00:00:00"/>
    <s v="Ava Scott"/>
    <s v="a09ak00002KAZXuAAP"/>
    <d v="2026-03-14T00:00:00"/>
    <s v="INQ-0002"/>
    <s v="Piano"/>
    <b v="0"/>
    <m/>
    <s v="005ak00000icyWTAAY"/>
    <s v="2026-09-29T16:18:43.000Z"/>
    <s v="2026-09-29T02:51:37.000Z"/>
    <s v="2026-09-29T02:51:37.000Z"/>
    <s v="Scott"/>
    <x v="1"/>
    <s v="Ava Scott"/>
    <s v="Asked about pricing."/>
    <s v="005ak00000icyWTAAY"/>
    <s v="(732) 555-7657"/>
    <s v="131ak000001XjDvAAK"/>
    <x v="1"/>
    <n v="44"/>
    <s v="2026-09-29T16:18:43.000Z"/>
    <s v="a06ak00000amzC4AAI"/>
    <s v="Ava Scott|avascott@gmail.com"/>
    <n v="1"/>
    <n v="0"/>
    <x v="1"/>
    <s v="Toms River"/>
  </r>
  <r>
    <m/>
    <s v="005ak00000icyWTAAY"/>
    <s v="2026-09-14T19:53:20.000Z"/>
    <s v="owenadams@gmail.com"/>
    <s v="Owen"/>
    <d v="2026-03-26T00:00:00"/>
    <s v="Owen Adams"/>
    <s v="a09ak00002KAZXvAAP"/>
    <d v="2026-03-21T00:00:00"/>
    <s v="INQ-0003"/>
    <s v="Flute"/>
    <b v="0"/>
    <m/>
    <s v="005ak00000icyWTAAY"/>
    <s v="2026-09-29T16:18:43.000Z"/>
    <m/>
    <m/>
    <s v="Adams"/>
    <x v="2"/>
    <s v="Owen Adams"/>
    <s v="Sibling already enrolled."/>
    <s v="005ak00000icyWTAAY"/>
    <s v="(732) 555-2734"/>
    <s v="131ak000001XjDuAAK"/>
    <x v="0"/>
    <n v="10"/>
    <s v="2026-09-29T16:18:43.000Z"/>
    <s v="a06ak00000amzBmAAI"/>
    <s v="Owen Adams|owenadams@gmail.com"/>
    <n v="1"/>
    <n v="5"/>
    <x v="1"/>
    <s v="Brick"/>
  </r>
  <r>
    <m/>
    <s v="005ak00000icyWTAAY"/>
    <s v="2026-09-14T19:53:20.000Z"/>
    <s v="isaacsilva88@gmail.com"/>
    <s v="Isaac"/>
    <d v="2026-08-26T00:00:00"/>
    <s v="Isaac Silva"/>
    <s v="a09ak00002KAZXwAAP"/>
    <d v="2026-08-26T00:00:00"/>
    <s v="INQ-0004"/>
    <s v="Cello"/>
    <b v="0"/>
    <m/>
    <s v="005ak00000icyWTAAY"/>
    <s v="2026-09-29T16:18:43.000Z"/>
    <m/>
    <m/>
    <s v="Silva"/>
    <x v="3"/>
    <s v="Isaac Silva"/>
    <s v="Asked about pricing."/>
    <s v="005ak00000icyWTAAY"/>
    <s v="(732) 555-3411"/>
    <s v="131ak000001XjDuAAK"/>
    <x v="2"/>
    <n v="55"/>
    <s v="2026-09-29T16:18:43.000Z"/>
    <s v="a06ak00000amzC0AAI"/>
    <s v="Isaac Silva|isaacsilva88@gmail.com"/>
    <n v="1"/>
    <n v="0"/>
    <x v="2"/>
    <s v="Brick"/>
  </r>
  <r>
    <m/>
    <s v="005ak00000icyWTAAY"/>
    <s v="2026-09-14T19:53:20.000Z"/>
    <s v="sofia.thompson@icloud.com"/>
    <s v="Sofia"/>
    <m/>
    <s v="Sofia Thompson"/>
    <s v="a09ak00002KAZXxAAP"/>
    <d v="2026-03-09T00:00:00"/>
    <s v="INQ-0005"/>
    <s v="Flute"/>
    <b v="0"/>
    <m/>
    <s v="005ak00000icyWTAAY"/>
    <s v="2026-09-29T16:18:43.000Z"/>
    <s v="2026-09-29T01:34:40.000Z"/>
    <s v="2026-09-29T01:34:40.000Z"/>
    <s v="Thompson"/>
    <x v="0"/>
    <s v="Sofia Thompson"/>
    <s v="Sibling already enrolled."/>
    <s v="005ak00000icyWTAAY"/>
    <s v="(732) 555-3825"/>
    <s v="131ak000001XjDtAAK"/>
    <x v="3"/>
    <n v="8"/>
    <s v="2026-09-29T16:18:43.000Z"/>
    <m/>
    <s v="Sofia Thompson|sofia.thompson@icloud.com"/>
    <n v="1"/>
    <s v=""/>
    <x v="1"/>
    <s v="Red Bank"/>
  </r>
  <r>
    <m/>
    <s v="005ak00000icyWTAAY"/>
    <s v="2026-09-14T19:53:20.000Z"/>
    <s v="jtorres@icloud.com"/>
    <s v="Julian"/>
    <d v="2026-02-13T00:00:00"/>
    <s v="Julian Torres"/>
    <s v="a09ak00002KAZXyAAP"/>
    <d v="2026-02-13T00:00:00"/>
    <s v="INQ-0006"/>
    <s v="Trumpet"/>
    <b v="0"/>
    <m/>
    <s v="005ak00000icyWTAAY"/>
    <s v="2026-09-29T16:18:43.000Z"/>
    <m/>
    <m/>
    <s v="Torres"/>
    <x v="2"/>
    <s v="Julian Torres"/>
    <s v="Sibling already enrolled."/>
    <s v="005ak00000icyWTAAY"/>
    <s v="(732) 555-3159"/>
    <s v="131ak000001XjDuAAK"/>
    <x v="1"/>
    <n v="10"/>
    <s v="2026-09-29T16:18:43.000Z"/>
    <s v="a06ak00000amzBjAAI"/>
    <s v="Julian Torres|jtorres@icloud.com"/>
    <n v="1"/>
    <n v="0"/>
    <x v="0"/>
    <s v="Brick"/>
  </r>
  <r>
    <m/>
    <s v="005ak00000icyWTAAY"/>
    <s v="2026-09-14T19:53:20.000Z"/>
    <m/>
    <s v="Caroline"/>
    <d v="2026-06-20T00:00:00"/>
    <s v="Caroline Martin"/>
    <s v="a09ak00002KAZXzAAP"/>
    <d v="2026-06-20T00:00:00"/>
    <s v="INQ-0007"/>
    <s v="Violin"/>
    <b v="0"/>
    <m/>
    <s v="005ak00000icyWTAAY"/>
    <s v="2026-09-29T16:18:43.000Z"/>
    <m/>
    <m/>
    <s v="Martin"/>
    <x v="0"/>
    <s v="Caroline Martin"/>
    <m/>
    <s v="005ak00000icyWTAAY"/>
    <m/>
    <s v="131ak000001XjDuAAK"/>
    <x v="1"/>
    <n v="8"/>
    <s v="2026-09-29T16:18:43.000Z"/>
    <s v="a06ak00000amzBxAAI"/>
    <s v="Caroline Martin|"/>
    <n v="1"/>
    <n v="0"/>
    <x v="3"/>
    <s v="Brick"/>
  </r>
  <r>
    <m/>
    <s v="005ak00000icyWTAAY"/>
    <s v="2026-09-14T19:53:20.000Z"/>
    <s v="paisleywalker37@gmail.com"/>
    <s v="Paisley"/>
    <d v="2026-05-20T00:00:00"/>
    <s v="Paisley Walker"/>
    <s v="a09ak00002KAZY0AAP"/>
    <d v="2026-05-20T00:00:00"/>
    <s v="INQ-0008"/>
    <s v="Piano"/>
    <b v="0"/>
    <m/>
    <s v="005ak00000icyWTAAY"/>
    <s v="2026-09-29T16:18:43.000Z"/>
    <m/>
    <m/>
    <s v="Walker"/>
    <x v="3"/>
    <s v="Paisley Walker"/>
    <s v="Transferring from another school."/>
    <s v="005ak00000icyWTAAY"/>
    <s v="(732) 555-1536"/>
    <s v="131ak000001XjDuAAK"/>
    <x v="0"/>
    <n v="12"/>
    <s v="2026-09-29T16:18:43.000Z"/>
    <s v="a06ak00000amzBzAAI"/>
    <s v="Paisley Walker|paisleywalker37@gmail.com"/>
    <n v="1"/>
    <n v="0"/>
    <x v="4"/>
    <s v="Brick"/>
  </r>
  <r>
    <m/>
    <s v="005ak00000icyWTAAY"/>
    <s v="2026-09-14T19:53:20.000Z"/>
    <s v="rubyanderson69@hotmail.com"/>
    <s v="Ruby"/>
    <d v="2026-07-18T00:00:00"/>
    <s v="Ruby Anderson"/>
    <s v="a09ak00002KAZY1AAP"/>
    <d v="2026-07-18T00:00:00"/>
    <s v="INQ-0009"/>
    <s v="Ukulele"/>
    <b v="0"/>
    <m/>
    <s v="005ak00000icyWTAAY"/>
    <s v="2026-09-29T16:18:43.000Z"/>
    <m/>
    <m/>
    <s v="Anderson"/>
    <x v="4"/>
    <s v="Ruby Anderson"/>
    <s v="Sibling already enrolled."/>
    <s v="005ak00000icyWTAAY"/>
    <s v="(732) 555-1697"/>
    <s v="131ak000001XjDuAAK"/>
    <x v="1"/>
    <n v="12"/>
    <s v="2026-09-29T16:18:43.000Z"/>
    <s v="a06ak00000amzBuAAI"/>
    <s v="Ruby Anderson|rubyanderson69@hotmail.com"/>
    <n v="1"/>
    <n v="0"/>
    <x v="5"/>
    <s v="Brick"/>
  </r>
  <r>
    <m/>
    <s v="005ak00000icyWTAAY"/>
    <s v="2026-09-14T19:53:20.000Z"/>
    <s v="smoore@icloud.com"/>
    <s v="Santiago"/>
    <d v="2026-03-21T00:00:00"/>
    <s v="Santiago Moore"/>
    <s v="a09ak00002KAZY2AAP"/>
    <d v="2026-03-20T00:00:00"/>
    <s v="INQ-0010"/>
    <s v="Guitar"/>
    <b v="0"/>
    <m/>
    <s v="005ak00000icyWTAAY"/>
    <s v="2026-09-29T16:18:43.000Z"/>
    <m/>
    <m/>
    <s v="Moore"/>
    <x v="5"/>
    <s v="Santiago Moore"/>
    <m/>
    <s v="005ak00000icyWTAAY"/>
    <s v="(732) 555-4380"/>
    <s v="131ak000001XjDtAAK"/>
    <x v="0"/>
    <n v="16"/>
    <s v="2026-09-29T16:18:43.000Z"/>
    <s v="a06ak00000amzCEAAY"/>
    <s v="Santiago Moore|smoore@icloud.com"/>
    <n v="1"/>
    <n v="1"/>
    <x v="1"/>
    <s v="Red Bank"/>
  </r>
  <r>
    <m/>
    <s v="005ak00000icyWTAAY"/>
    <s v="2026-09-14T19:53:20.000Z"/>
    <s v="sofiajones56@gmail.com"/>
    <s v="Sofia"/>
    <m/>
    <s v="Sofia Jones"/>
    <s v="a09ak00002KAZY3AAP"/>
    <d v="2026-06-26T00:00:00"/>
    <s v="INQ-0011"/>
    <s v="Guitar"/>
    <b v="0"/>
    <m/>
    <s v="005ak00000icyWTAAY"/>
    <s v="2026-09-29T16:18:43.000Z"/>
    <m/>
    <m/>
    <s v="Jones"/>
    <x v="4"/>
    <s v="Sofia Jones"/>
    <m/>
    <s v="005ak00000icyWTAAY"/>
    <s v="(732) 555-8023"/>
    <s v="131ak000001XjDvAAK"/>
    <x v="3"/>
    <n v="8"/>
    <s v="2026-09-29T16:18:43.000Z"/>
    <m/>
    <s v="Sofia Jones|sofiajones56@gmail.com"/>
    <n v="1"/>
    <s v=""/>
    <x v="3"/>
    <s v="Toms River"/>
  </r>
  <r>
    <m/>
    <s v="005ak00000icyWTAAY"/>
    <s v="2026-09-14T19:53:20.000Z"/>
    <s v="hazel.martin@hotmail.com"/>
    <s v="Hazel"/>
    <d v="2026-04-18T00:00:00"/>
    <s v="Hazel Martin"/>
    <s v="a09ak00002KAZY4AAP"/>
    <d v="2026-04-17T00:00:00"/>
    <s v="INQ-0012"/>
    <s v="Clarinet"/>
    <b v="0"/>
    <m/>
    <s v="005ak00000icyWTAAY"/>
    <s v="2026-09-29T16:18:43.000Z"/>
    <m/>
    <m/>
    <s v="Martin"/>
    <x v="3"/>
    <s v="Hazel Martin"/>
    <s v="Asked about pricing."/>
    <s v="005ak00000icyWTAAY"/>
    <s v="(732) 555-5461"/>
    <s v="131ak000001XjDuAAK"/>
    <x v="0"/>
    <n v="12"/>
    <s v="2026-09-29T16:18:43.000Z"/>
    <s v="a06ak00000amzCLAAY"/>
    <s v="Hazel Martin|hazel.martin@hotmail.com"/>
    <n v="1"/>
    <n v="1"/>
    <x v="6"/>
    <s v="Brick"/>
  </r>
  <r>
    <m/>
    <s v="005ak00000icyWTAAY"/>
    <s v="2026-09-14T19:53:20.000Z"/>
    <s v="rohannakamura@yahoo.com"/>
    <s v="Rohan"/>
    <m/>
    <s v="Rohan Nakamura"/>
    <s v="a09ak00002KAZY5AAP"/>
    <d v="2026-07-11T00:00:00"/>
    <s v="INQ-0013"/>
    <s v="Clarinet"/>
    <b v="0"/>
    <m/>
    <s v="005ak00000icyWTAAY"/>
    <s v="2026-09-29T16:18:43.000Z"/>
    <m/>
    <m/>
    <s v="Nakamura"/>
    <x v="1"/>
    <s v="Rohan Nakamura"/>
    <s v="Sibling already enrolled."/>
    <s v="005ak00000icyWTAAY"/>
    <s v="(732) 555-8612"/>
    <s v="131ak000001XjDuAAK"/>
    <x v="3"/>
    <n v="8"/>
    <s v="2026-09-29T16:18:43.000Z"/>
    <m/>
    <s v="Rohan Nakamura|rohannakamura@yahoo.com"/>
    <n v="1"/>
    <s v=""/>
    <x v="5"/>
    <s v="Brick"/>
  </r>
  <r>
    <m/>
    <s v="005ak00000icyWTAAY"/>
    <s v="2026-09-14T19:53:20.000Z"/>
    <s v="janderson@outlook.com"/>
    <s v="Jonah"/>
    <d v="2026-05-12T00:00:00"/>
    <s v="Jonah Anderson"/>
    <s v="a09ak00002KAZY6AAP"/>
    <d v="2026-05-12T00:00:00"/>
    <s v="INQ-0014"/>
    <s v="Saxophone"/>
    <b v="0"/>
    <m/>
    <s v="005ak00000icyWTAAY"/>
    <s v="2026-09-29T16:18:43.000Z"/>
    <m/>
    <m/>
    <s v="Anderson"/>
    <x v="1"/>
    <s v="Jonah Anderson"/>
    <m/>
    <s v="005ak00000icyWTAAY"/>
    <s v="(732) 555-5378"/>
    <s v="131ak000001XjDvAAK"/>
    <x v="1"/>
    <n v="8"/>
    <s v="2026-09-29T16:18:43.000Z"/>
    <s v="a06ak00000amzC2AAI"/>
    <s v="Jonah Anderson|janderson@outlook.com"/>
    <n v="1"/>
    <n v="0"/>
    <x v="4"/>
    <s v="Toms River"/>
  </r>
  <r>
    <m/>
    <s v="005ak00000icyWTAAY"/>
    <s v="2026-09-14T19:53:20.000Z"/>
    <s v="zoeyhill79@icloud.com"/>
    <s v="Zoey"/>
    <d v="2026-04-14T00:00:00"/>
    <s v="Zoey Hill"/>
    <s v="a09ak00002KAZY7AAP"/>
    <d v="2026-04-14T00:00:00"/>
    <s v="INQ-0015"/>
    <s v="Drums"/>
    <b v="0"/>
    <m/>
    <s v="005ak00000icyWTAAY"/>
    <s v="2026-09-29T16:18:43.000Z"/>
    <m/>
    <m/>
    <s v="Hill"/>
    <x v="0"/>
    <s v="Zoey Hill"/>
    <s v="Sibling already enrolled."/>
    <s v="005ak00000icyWTAAY"/>
    <s v="(732) 555-9753"/>
    <s v="131ak000001XjDtAAK"/>
    <x v="0"/>
    <n v="28"/>
    <s v="2026-09-29T16:18:43.000Z"/>
    <s v="a06ak00000amzCFAAY"/>
    <s v="Zoey Hill|zoeyhill79@icloud.com"/>
    <n v="1"/>
    <n v="0"/>
    <x v="6"/>
    <s v="Red Bank"/>
  </r>
  <r>
    <m/>
    <s v="005ak00000icyWTAAY"/>
    <s v="2026-09-14T19:53:20.000Z"/>
    <s v="naomiadams@gmail.com"/>
    <s v="Naomi"/>
    <d v="2026-03-21T00:00:00"/>
    <s v="Naomi Adams"/>
    <s v="a09ak00002KAZY8AAP"/>
    <d v="2026-03-16T00:00:00"/>
    <s v="INQ-0016"/>
    <s v="Ukulele"/>
    <b v="0"/>
    <m/>
    <s v="005ak00000icyWTAAY"/>
    <s v="2026-09-29T16:18:43.000Z"/>
    <m/>
    <m/>
    <s v="Adams"/>
    <x v="6"/>
    <s v="Naomi Adams"/>
    <s v="Asked about pricing."/>
    <s v="005ak00000icyWTAAY"/>
    <s v="(732) 555-6541"/>
    <s v="131ak000001XjDvAAK"/>
    <x v="2"/>
    <n v="12"/>
    <s v="2026-09-29T16:18:43.000Z"/>
    <s v="a06ak00000amzCDAAY"/>
    <s v="Naomi Adams|naomiadams@gmail.com"/>
    <n v="1"/>
    <n v="5"/>
    <x v="1"/>
    <s v="Toms River"/>
  </r>
  <r>
    <m/>
    <s v="005ak00000icyWTAAY"/>
    <s v="2026-09-14T19:53:20.000Z"/>
    <s v="owen.brown@icloud.com"/>
    <s v="Owen"/>
    <d v="2026-02-17T00:00:00"/>
    <s v="Owen Brown"/>
    <s v="a09ak00002KAZY9AAP"/>
    <d v="2026-02-14T00:00:00"/>
    <s v="INQ-0017"/>
    <s v="Voice"/>
    <b v="0"/>
    <m/>
    <s v="005ak00000icyWTAAY"/>
    <s v="2026-09-29T16:18:43.000Z"/>
    <m/>
    <m/>
    <s v="Brown"/>
    <x v="2"/>
    <s v="Owen Brown"/>
    <s v="Asked about pricing."/>
    <s v="005ak00000icyWTAAY"/>
    <s v="(732) 555-3881"/>
    <s v="131ak000001XjDvAAK"/>
    <x v="2"/>
    <n v="12"/>
    <s v="2026-09-29T16:18:43.000Z"/>
    <s v="a06ak00000amzC0AAI"/>
    <s v="Owen Brown|owen.brown@icloud.com"/>
    <n v="1"/>
    <n v="3"/>
    <x v="0"/>
    <s v="Toms River"/>
  </r>
  <r>
    <m/>
    <s v="005ak00000icyWTAAY"/>
    <s v="2026-09-14T19:53:20.000Z"/>
    <s v="ivyking@yahoo.com"/>
    <s v="Ivy"/>
    <d v="2026-09-01T00:00:00"/>
    <s v="Ivy King"/>
    <s v="a09ak00002KAZYAAA5"/>
    <d v="2026-08-29T00:00:00"/>
    <s v="INQ-0018"/>
    <s v="Bass Guitar"/>
    <b v="0"/>
    <m/>
    <s v="005ak00000icyWTAAY"/>
    <s v="2026-09-29T16:18:43.000Z"/>
    <m/>
    <m/>
    <s v="King"/>
    <x v="2"/>
    <s v="Ivy King"/>
    <s v="Wants evening slots only."/>
    <s v="005ak00000icyWTAAY"/>
    <s v="(732) 555-8969"/>
    <s v="131ak000001XjDtAAK"/>
    <x v="1"/>
    <n v="6"/>
    <s v="2026-09-29T16:18:43.000Z"/>
    <s v="a06ak00000amzBmAAI"/>
    <s v="Ivy King|ivyking@yahoo.com"/>
    <n v="1"/>
    <n v="3"/>
    <x v="2"/>
    <s v="Red Bank"/>
  </r>
  <r>
    <m/>
    <s v="005ak00000icyWTAAY"/>
    <s v="2026-09-14T19:53:20.000Z"/>
    <s v="nnakamura@icloud.com"/>
    <s v="Nathan"/>
    <d v="2026-04-01T00:00:00"/>
    <s v="Nathan Nakamura"/>
    <s v="a09ak00002KAZYBAA5"/>
    <d v="2026-03-31T00:00:00"/>
    <s v="INQ-0019"/>
    <s v="Violin"/>
    <b v="0"/>
    <m/>
    <s v="005ak00000icyWTAAY"/>
    <s v="2026-09-29T16:18:43.000Z"/>
    <m/>
    <m/>
    <s v="Nakamura"/>
    <x v="5"/>
    <s v="Nathan Nakamura"/>
    <s v="Sibling already enrolled."/>
    <s v="005ak00000icyWTAAY"/>
    <s v="(732) 555-8259"/>
    <s v="131ak000001XjDtAAK"/>
    <x v="2"/>
    <n v="55"/>
    <s v="2026-09-29T16:18:43.000Z"/>
    <s v="a06ak00000amzBxAAI"/>
    <s v="Nathan Nakamura|nnakamura@icloud.com"/>
    <n v="1"/>
    <n v="1"/>
    <x v="1"/>
    <s v="Red Bank"/>
  </r>
  <r>
    <m/>
    <s v="005ak00000icyWTAAY"/>
    <s v="2026-09-14T19:53:20.000Z"/>
    <s v="emily.thomas@hotmail.com"/>
    <s v="Emily"/>
    <d v="2026-07-30T00:00:00"/>
    <s v="Emily Thomas"/>
    <s v="a09ak00002KAZYCAA5"/>
    <d v="2026-07-29T00:00:00"/>
    <s v="INQ-0020"/>
    <s v="Trumpet"/>
    <b v="0"/>
    <m/>
    <s v="005ak00000icyWTAAY"/>
    <s v="2026-09-29T16:18:43.000Z"/>
    <m/>
    <m/>
    <s v="Thomas"/>
    <x v="1"/>
    <s v="Emily Thomas"/>
    <s v="Beginner, no experience."/>
    <s v="005ak00000icyWTAAY"/>
    <s v="(732) 555-8799"/>
    <s v="131ak000001XjDuAAK"/>
    <x v="1"/>
    <n v="12"/>
    <s v="2026-09-29T16:18:43.000Z"/>
    <s v="a06ak00000amzBzAAI"/>
    <s v="Emily Thomas|emily.thomas@hotmail.com"/>
    <n v="1"/>
    <n v="1"/>
    <x v="5"/>
    <s v="Brick"/>
  </r>
  <r>
    <m/>
    <s v="005ak00000icyWTAAY"/>
    <s v="2026-09-14T19:53:20.000Z"/>
    <s v="adriannakamura@icloud.com"/>
    <s v="Adrian"/>
    <d v="2026-03-13T00:00:00"/>
    <s v="Adrian Nakamura"/>
    <s v="a09ak00002KAZYDAA5"/>
    <d v="2026-03-11T00:00:00"/>
    <s v="INQ-0021"/>
    <s v="Piano"/>
    <b v="0"/>
    <m/>
    <s v="005ak00000icyWTAAY"/>
    <s v="2026-09-29T16:18:43.000Z"/>
    <s v="2026-10-01T17:19:13.000Z"/>
    <s v="2026-10-01T17:19:13.000Z"/>
    <s v="Nakamura"/>
    <x v="3"/>
    <s v="Adrian Nakamura"/>
    <m/>
    <s v="005ak00000icyWTAAY"/>
    <s v="(732) 555-3507"/>
    <s v="131ak000001XjDuAAK"/>
    <x v="1"/>
    <n v="35"/>
    <s v="2026-09-29T16:18:43.000Z"/>
    <s v="a06ak00000amzC9AAI"/>
    <s v="Adrian Nakamura|adriannakamura@icloud.com"/>
    <n v="1"/>
    <n v="2"/>
    <x v="1"/>
    <s v="Brick"/>
  </r>
  <r>
    <m/>
    <s v="005ak00000icyWTAAY"/>
    <s v="2026-09-14T19:53:20.000Z"/>
    <s v="ninaallen@gmail.com"/>
    <s v="Nina"/>
    <d v="2026-04-25T00:00:00"/>
    <s v="Nina Allen"/>
    <s v="a09ak00002KAZYEAA5"/>
    <d v="2026-04-22T00:00:00"/>
    <s v="INQ-0022"/>
    <s v="Piano"/>
    <b v="0"/>
    <m/>
    <s v="005ak00000icyWTAAY"/>
    <s v="2026-09-29T16:18:43.000Z"/>
    <m/>
    <m/>
    <s v="Allen"/>
    <x v="6"/>
    <s v="Nina Allen"/>
    <s v="Wants evening slots only."/>
    <s v="005ak00000icyWTAAY"/>
    <s v="(732) 555-4585"/>
    <s v="131ak000001XjDuAAK"/>
    <x v="2"/>
    <n v="12"/>
    <s v="2026-09-29T16:18:43.000Z"/>
    <s v="a06ak00000amzCBAAY"/>
    <s v="Nina Allen|ninaallen@gmail.com"/>
    <n v="1"/>
    <n v="3"/>
    <x v="6"/>
    <s v="Brick"/>
  </r>
  <r>
    <m/>
    <s v="005ak00000icyWTAAY"/>
    <s v="2026-09-14T19:53:20.000Z"/>
    <s v="carolinemiller54@icloud.com"/>
    <s v="Caroline"/>
    <d v="2026-08-15T00:00:00"/>
    <s v="Caroline Miller"/>
    <s v="a09ak00002KAZYFAA5"/>
    <d v="2026-08-12T00:00:00"/>
    <s v="INQ-0023"/>
    <s v="Piano"/>
    <b v="0"/>
    <m/>
    <s v="005ak00000icyWTAAY"/>
    <s v="2026-09-29T16:18:43.000Z"/>
    <s v="2026-10-01T17:19:23.000Z"/>
    <s v="2026-10-01T17:19:23.000Z"/>
    <s v="Miller"/>
    <x v="5"/>
    <s v="Caroline Miller"/>
    <s v="Transferring from another school."/>
    <s v="005ak00000icyWTAAY"/>
    <s v="(732) 555-8364"/>
    <s v="131ak000001XjDuAAK"/>
    <x v="0"/>
    <n v="12"/>
    <s v="2026-09-29T16:18:43.000Z"/>
    <s v="a06ak00000amzCEAAY"/>
    <s v="Caroline Miller|carolinemiller54@icloud.com"/>
    <n v="1"/>
    <n v="3"/>
    <x v="2"/>
    <s v="Brick"/>
  </r>
  <r>
    <m/>
    <s v="005ak00000icyWTAAY"/>
    <s v="2026-09-14T19:53:20.000Z"/>
    <s v="liamdavis@gmail.com"/>
    <s v="Liam"/>
    <d v="2026-01-02T00:00:00"/>
    <s v="Liam Davis"/>
    <s v="a09ak00002KAZYGAA5"/>
    <d v="2026-04-17T00:00:00"/>
    <s v="INQ-0024"/>
    <s v="Saxophone"/>
    <b v="0"/>
    <m/>
    <s v="005ak00000icyWTAAY"/>
    <s v="2026-09-29T16:18:43.000Z"/>
    <m/>
    <m/>
    <s v="Davis"/>
    <x v="7"/>
    <s v="Liam Davis"/>
    <s v="Beginner, no experience."/>
    <s v="005ak00000icyWTAAY"/>
    <s v="(732) 555-5472"/>
    <s v="131ak000001XjDvAAK"/>
    <x v="1"/>
    <n v="6"/>
    <s v="2026-09-29T16:18:43.000Z"/>
    <s v="a06ak00000amzC3AAI"/>
    <s v="Liam Davis|liamdavis@gmail.com"/>
    <n v="1"/>
    <n v="-105"/>
    <x v="6"/>
    <s v="Toms River"/>
  </r>
  <r>
    <m/>
    <s v="005ak00000icyWTAAY"/>
    <s v="2026-09-14T19:53:20.000Z"/>
    <s v="yusuf.rossi@hotmail.com"/>
    <s v="Yusuf"/>
    <d v="2026-09-08T00:00:00"/>
    <s v="Yusuf Rossi"/>
    <s v="a09ak00002KAZYHAA5"/>
    <d v="2026-09-08T00:00:00"/>
    <s v="INQ-0025"/>
    <s v="Piano"/>
    <b v="0"/>
    <m/>
    <s v="005ak00000icyWTAAY"/>
    <s v="2026-09-29T16:18:43.000Z"/>
    <m/>
    <m/>
    <s v="Rossi"/>
    <x v="7"/>
    <s v="Yusuf Rossi"/>
    <s v="Asked about pricing."/>
    <s v="005ak00000icyWTAAY"/>
    <s v="(732) 555-1188"/>
    <s v="131ak000001XjDtAAK"/>
    <x v="2"/>
    <n v="10"/>
    <s v="2026-09-29T16:18:43.000Z"/>
    <s v="a06ak00000amzCDAAY"/>
    <s v="Yusuf Rossi|yusuf.rossi@hotmail.com"/>
    <n v="1"/>
    <n v="0"/>
    <x v="7"/>
    <s v="Red Bank"/>
  </r>
  <r>
    <m/>
    <s v="005ak00000icyWTAAY"/>
    <s v="2026-09-14T19:53:20.000Z"/>
    <s v="lpatel@gmail.com"/>
    <s v="Levi"/>
    <d v="2026-06-17T00:00:00"/>
    <s v="Levi Patel"/>
    <s v="a09ak00002KAZYIAA5"/>
    <d v="2026-06-12T00:00:00"/>
    <s v="INQ-0026"/>
    <s v="Violin"/>
    <b v="0"/>
    <m/>
    <s v="005ak00000icyWTAAY"/>
    <s v="2026-09-29T16:18:43.000Z"/>
    <m/>
    <m/>
    <s v="Patel"/>
    <x v="5"/>
    <s v="Levi Patel"/>
    <s v="Beginner, no experience."/>
    <s v="005ak00000icyWTAAY"/>
    <s v="(732) 555-9978"/>
    <s v="131ak000001XjDuAAK"/>
    <x v="0"/>
    <n v="14"/>
    <s v="2026-09-29T16:18:43.000Z"/>
    <s v="a06ak00000amzBvAAI"/>
    <s v="Levi Patel|lpatel@gmail.com"/>
    <n v="1"/>
    <n v="5"/>
    <x v="3"/>
    <s v="Brick"/>
  </r>
  <r>
    <m/>
    <s v="005ak00000icyWTAAY"/>
    <s v="2026-09-14T19:53:20.000Z"/>
    <s v="gabrielgarcia@outlook.com"/>
    <s v="Gabriel"/>
    <d v="2026-05-19T00:00:00"/>
    <s v="Gabriel Garcia"/>
    <s v="a09ak00002KAZYJAA5"/>
    <d v="2026-05-18T00:00:00"/>
    <s v="INQ-0027"/>
    <s v="Piano"/>
    <b v="0"/>
    <m/>
    <s v="005ak00000icyWTAAY"/>
    <s v="2026-09-29T16:18:43.000Z"/>
    <m/>
    <m/>
    <s v="Garcia"/>
    <x v="1"/>
    <s v="Gabriel Garcia"/>
    <s v="Wants evening slots only."/>
    <s v="005ak00000icyWTAAY"/>
    <s v="(732) 555-2378"/>
    <s v="131ak000001XjDtAAK"/>
    <x v="1"/>
    <n v="16"/>
    <s v="2026-09-29T16:18:43.000Z"/>
    <s v="a06ak00000amzBuAAI"/>
    <s v="Gabriel Garcia|gabrielgarcia@outlook.com"/>
    <n v="1"/>
    <n v="1"/>
    <x v="4"/>
    <s v="Red Bank"/>
  </r>
  <r>
    <m/>
    <s v="005ak00000icyWTAAY"/>
    <s v="2026-09-14T19:53:20.000Z"/>
    <s v="evelynhernandez43@hotmail.com"/>
    <s v="Evelyn"/>
    <d v="2026-05-14T00:00:00"/>
    <s v="Evelyn Hernandez"/>
    <s v="a09ak00002KAZYKAA5"/>
    <d v="2026-05-12T00:00:00"/>
    <s v="INQ-0028"/>
    <s v="Violin"/>
    <b v="0"/>
    <m/>
    <s v="005ak00000icyWTAAY"/>
    <s v="2026-09-29T16:18:43.000Z"/>
    <m/>
    <m/>
    <s v="Hernandez"/>
    <x v="1"/>
    <s v="Evelyn Hernandez"/>
    <s v="Wants evening slots only."/>
    <s v="005ak00000icyWTAAY"/>
    <s v="(732) 555-2849"/>
    <s v="131ak000001XjDuAAK"/>
    <x v="2"/>
    <n v="8"/>
    <s v="2026-09-29T16:18:43.000Z"/>
    <s v="a06ak00000amzBnAAI"/>
    <s v="Evelyn Hernandez|evelynhernandez43@hotmail.com"/>
    <n v="1"/>
    <n v="2"/>
    <x v="4"/>
    <s v="Brick"/>
  </r>
  <r>
    <m/>
    <s v="005ak00000icyWTAAY"/>
    <s v="2026-09-14T19:53:20.000Z"/>
    <s v="jonahjohnson68@yahoo.com"/>
    <s v="Jonah"/>
    <d v="2026-04-16T00:00:00"/>
    <s v="Jonah Johnson"/>
    <s v="a09ak00002KAZYLAA5"/>
    <d v="2026-04-16T00:00:00"/>
    <s v="INQ-0029"/>
    <s v="Guitar"/>
    <b v="0"/>
    <m/>
    <s v="005ak00000icyWTAAY"/>
    <s v="2026-09-29T16:18:43.000Z"/>
    <m/>
    <m/>
    <s v="Johnson"/>
    <x v="7"/>
    <s v="Jonah Johnson"/>
    <s v="Sibling already enrolled."/>
    <s v="005ak00000icyWTAAY"/>
    <s v="(732) 555-3484"/>
    <s v="131ak000001XjDtAAK"/>
    <x v="1"/>
    <n v="16"/>
    <s v="2026-09-29T16:18:43.000Z"/>
    <s v="a06ak00000amzC5AAI"/>
    <s v="Jonah Johnson|jonahjohnson68@yahoo.com"/>
    <n v="1"/>
    <n v="0"/>
    <x v="6"/>
    <s v="Red Bank"/>
  </r>
  <r>
    <m/>
    <s v="005ak00000icyWTAAY"/>
    <s v="2026-09-14T19:53:20.000Z"/>
    <s v="ethanmiller12@hotmail.com"/>
    <s v="Ethan"/>
    <d v="2026-06-22T00:00:00"/>
    <s v="Ethan Miller"/>
    <s v="a09ak00002KAZYMAA5"/>
    <d v="2026-06-17T00:00:00"/>
    <s v="INQ-0030"/>
    <s v="Drums"/>
    <b v="0"/>
    <m/>
    <s v="005ak00000icyWTAAY"/>
    <s v="2026-09-29T16:18:43.000Z"/>
    <m/>
    <m/>
    <s v="Miller"/>
    <x v="6"/>
    <s v="Ethan Miller"/>
    <s v="Wants evening slots only."/>
    <s v="005ak00000icyWTAAY"/>
    <s v="(732) 555-2517"/>
    <s v="131ak000001XjDtAAK"/>
    <x v="2"/>
    <n v="35"/>
    <s v="2026-09-29T16:18:43.000Z"/>
    <s v="a06ak00000amzC8AAI"/>
    <s v="Ethan Miller|ethanmiller12@hotmail.com"/>
    <n v="1"/>
    <n v="5"/>
    <x v="3"/>
    <s v="Red Bank"/>
  </r>
  <r>
    <m/>
    <s v="005ak00000icyWTAAY"/>
    <s v="2026-09-14T19:53:20.000Z"/>
    <s v="ryankelly30@yahoo.com"/>
    <s v="Ryan"/>
    <d v="2026-06-12T00:00:00"/>
    <s v="Ryan Kelly"/>
    <s v="a09ak00002KAZYNAA5"/>
    <d v="2026-06-12T00:00:00"/>
    <s v="INQ-0031"/>
    <s v="Guitar"/>
    <b v="0"/>
    <m/>
    <s v="005ak00000icyWTAAY"/>
    <s v="2026-09-29T16:18:43.000Z"/>
    <m/>
    <m/>
    <s v="Kelly"/>
    <x v="1"/>
    <s v="Ryan Kelly"/>
    <s v="Beginner, no experience."/>
    <s v="005ak00000icyWTAAY"/>
    <s v="(732) 555-1277"/>
    <s v="131ak000001XjDvAAK"/>
    <x v="2"/>
    <n v="44"/>
    <s v="2026-09-29T16:18:43.000Z"/>
    <s v="a06ak00000amzBhAAI"/>
    <s v="Ryan Kelly|ryankelly30@yahoo.com"/>
    <n v="1"/>
    <n v="0"/>
    <x v="3"/>
    <s v="Toms River"/>
  </r>
  <r>
    <m/>
    <s v="005ak00000icyWTAAY"/>
    <s v="2026-09-14T19:53:20.000Z"/>
    <s v="oliviahall66@gmail.com"/>
    <s v="Olivia"/>
    <d v="2026-07-17T00:00:00"/>
    <s v="Olivia Hall"/>
    <s v="a09ak00002KAZYOAA5"/>
    <d v="2026-07-17T00:00:00"/>
    <s v="INQ-0032"/>
    <s v="Clarinet"/>
    <b v="0"/>
    <m/>
    <s v="005ak00000icyWTAAY"/>
    <s v="2026-09-29T16:18:43.000Z"/>
    <m/>
    <m/>
    <s v="Hall"/>
    <x v="3"/>
    <s v="Olivia Hall"/>
    <s v="Asked about pricing."/>
    <s v="005ak00000icyWTAAY"/>
    <s v="(732) 555-2394"/>
    <s v="131ak000001XjDvAAK"/>
    <x v="2"/>
    <n v="8"/>
    <s v="2026-09-29T16:18:43.000Z"/>
    <s v="a06ak00000amzBiAAI"/>
    <s v="Olivia Hall|oliviahall66@gmail.com"/>
    <n v="1"/>
    <n v="0"/>
    <x v="5"/>
    <s v="Toms River"/>
  </r>
  <r>
    <m/>
    <s v="005ak00000icyWTAAY"/>
    <s v="2026-09-14T19:53:20.000Z"/>
    <s v="noahcampbell12@hotmail.com"/>
    <s v="Noah"/>
    <d v="2026-08-29T00:00:00"/>
    <s v="Noah Campbell"/>
    <s v="a09ak00002KAZYPAA5"/>
    <d v="2026-08-29T00:00:00"/>
    <s v="INQ-0033"/>
    <s v="Clarinet"/>
    <b v="0"/>
    <m/>
    <s v="005ak00000icyWTAAY"/>
    <s v="2026-09-29T16:18:43.000Z"/>
    <m/>
    <m/>
    <s v="Campbell"/>
    <x v="5"/>
    <s v="Noah Campbell"/>
    <s v="Transferring from another school."/>
    <s v="005ak00000icyWTAAY"/>
    <s v="(732) 555-7623"/>
    <s v="131ak000001XjDvAAK"/>
    <x v="0"/>
    <n v="10"/>
    <s v="2026-09-29T16:18:43.000Z"/>
    <s v="a06ak00000amzBhAAI"/>
    <s v="Noah Campbell|noahcampbell12@hotmail.com"/>
    <n v="1"/>
    <n v="0"/>
    <x v="2"/>
    <s v="Toms River"/>
  </r>
  <r>
    <m/>
    <s v="005ak00000icyWTAAY"/>
    <s v="2026-09-14T19:53:20.000Z"/>
    <s v="sebastianahmed67@outlook.com"/>
    <s v="Sebastian"/>
    <d v="2026-05-31T00:00:00"/>
    <s v="Sebastian Ahmed"/>
    <s v="a09ak00002KAZYQAA5"/>
    <d v="2026-05-31T00:00:00"/>
    <s v="INQ-0034"/>
    <s v="Cello"/>
    <b v="0"/>
    <m/>
    <s v="005ak00000icyWTAAY"/>
    <s v="2026-09-29T16:18:43.000Z"/>
    <m/>
    <m/>
    <s v="Ahmed"/>
    <x v="6"/>
    <s v="Sebastian Ahmed"/>
    <m/>
    <s v="005ak00000icyWTAAY"/>
    <s v="(732) 555-5878"/>
    <s v="131ak000001XjDuAAK"/>
    <x v="1"/>
    <n v="44"/>
    <s v="2026-09-29T16:18:43.000Z"/>
    <s v="a06ak00000amzC7AAI"/>
    <s v="Sebastian Ahmed|sebastianahmed67@outlook.com"/>
    <n v="1"/>
    <n v="0"/>
    <x v="4"/>
    <s v="Brick"/>
  </r>
  <r>
    <m/>
    <s v="005ak00000icyWTAAY"/>
    <s v="2026-09-14T19:53:20.000Z"/>
    <s v="jdavis@yahoo.com"/>
    <s v="Jamal"/>
    <d v="2026-07-06T00:00:00"/>
    <s v="Jamal Davis"/>
    <s v="a09ak00002KAZYRAA5"/>
    <d v="2026-06-27T00:00:00"/>
    <s v="INQ-0035"/>
    <s v="Saxophone"/>
    <b v="0"/>
    <m/>
    <s v="005ak00000icyWTAAY"/>
    <s v="2026-09-29T16:18:43.000Z"/>
    <m/>
    <m/>
    <s v="Davis"/>
    <x v="2"/>
    <s v="Jamal Davis"/>
    <m/>
    <s v="005ak00000icyWTAAY"/>
    <s v="(732) 555-5749"/>
    <s v="131ak000001XjDtAAK"/>
    <x v="0"/>
    <n v="10"/>
    <s v="2026-09-29T16:18:43.000Z"/>
    <s v="a06ak00000amzBuAAI"/>
    <s v="Jamal Davis|jdavis@yahoo.com"/>
    <n v="1"/>
    <n v="9"/>
    <x v="3"/>
    <s v="Red Bank"/>
  </r>
  <r>
    <m/>
    <s v="005ak00000icyWTAAY"/>
    <s v="2026-09-14T19:53:20.000Z"/>
    <s v="ninascott@icloud.com"/>
    <s v="Nina"/>
    <d v="2026-02-27T00:00:00"/>
    <s v="Nina Scott"/>
    <s v="a09ak00002KAZYSAA5"/>
    <d v="2026-02-27T00:00:00"/>
    <s v="INQ-0036"/>
    <s v="Ukulele"/>
    <b v="0"/>
    <m/>
    <s v="005ak00000icyWTAAY"/>
    <s v="2026-09-29T16:18:43.000Z"/>
    <m/>
    <m/>
    <s v="Scott"/>
    <x v="4"/>
    <s v="Nina Scott"/>
    <m/>
    <s v="005ak00000icyWTAAY"/>
    <s v="(732) 555-3335"/>
    <s v="131ak000001XjDvAAK"/>
    <x v="0"/>
    <n v="6"/>
    <s v="2026-09-29T16:18:43.000Z"/>
    <s v="a06ak00000amzBtAAI"/>
    <s v="Nina Scott|ninascott@icloud.com"/>
    <n v="1"/>
    <n v="0"/>
    <x v="0"/>
    <s v="Toms River"/>
  </r>
  <r>
    <m/>
    <s v="005ak00000icyWTAAY"/>
    <s v="2026-09-14T19:53:20.000Z"/>
    <s v="carolineclark75@yahoo.com"/>
    <s v="Caroline"/>
    <d v="2026-05-28T00:00:00"/>
    <s v="Caroline Clark"/>
    <s v="a09ak00002KAZYTAA5"/>
    <d v="2026-05-19T00:00:00"/>
    <s v="INQ-0037"/>
    <s v="Violin"/>
    <b v="0"/>
    <m/>
    <s v="005ak00000icyWTAAY"/>
    <s v="2026-09-29T16:18:43.000Z"/>
    <m/>
    <m/>
    <s v="Clark"/>
    <x v="0"/>
    <s v="Caroline Clark"/>
    <s v="Asked about pricing."/>
    <s v="005ak00000icyWTAAY"/>
    <s v="(732) 555-2458"/>
    <s v="131ak000001XjDvAAK"/>
    <x v="2"/>
    <n v="12"/>
    <s v="2026-09-29T16:18:43.000Z"/>
    <s v="a06ak00000amzBpAAI"/>
    <s v="Caroline Clark|carolineclark75@yahoo.com"/>
    <n v="1"/>
    <n v="9"/>
    <x v="4"/>
    <s v="Toms River"/>
  </r>
  <r>
    <m/>
    <s v="005ak00000icyWTAAY"/>
    <s v="2026-09-14T19:53:20.000Z"/>
    <s v="lucassmith39@yahoo.com"/>
    <s v="Lucas"/>
    <m/>
    <s v="Lucas Smith"/>
    <s v="a09ak00002KAZYUAA5"/>
    <d v="2026-02-05T00:00:00"/>
    <s v="INQ-0038"/>
    <s v="Flute"/>
    <b v="0"/>
    <m/>
    <s v="005ak00000icyWTAAY"/>
    <s v="2026-09-29T16:18:43.000Z"/>
    <m/>
    <m/>
    <s v="Smith"/>
    <x v="7"/>
    <s v="Lucas Smith"/>
    <s v="Beginner, no experience."/>
    <s v="005ak00000icyWTAAY"/>
    <s v="(732) 555-2271"/>
    <s v="131ak000001XjDtAAK"/>
    <x v="3"/>
    <n v="28"/>
    <s v="2026-09-29T16:18:43.000Z"/>
    <m/>
    <s v="Lucas Smith|lucassmith39@yahoo.com"/>
    <n v="1"/>
    <s v=""/>
    <x v="0"/>
    <s v="Red Bank"/>
  </r>
  <r>
    <m/>
    <s v="005ak00000icyWTAAY"/>
    <s v="2026-09-14T19:53:20.000Z"/>
    <s v="lkowalski@hotmail.com"/>
    <s v="Lucy"/>
    <d v="2026-08-21T00:00:00"/>
    <s v="Lucy Kowalski"/>
    <s v="a09ak00002KAZYVAA5"/>
    <d v="2026-08-21T00:00:00"/>
    <s v="INQ-0040"/>
    <s v="Bass Guitar"/>
    <b v="0"/>
    <m/>
    <s v="005ak00000icyWTAAY"/>
    <s v="2026-09-29T16:18:43.000Z"/>
    <m/>
    <m/>
    <s v="Kowalski"/>
    <x v="5"/>
    <s v="Lucy Kowalski"/>
    <s v="Asked about pricing."/>
    <s v="005ak00000icyWTAAY"/>
    <s v="(732) 555-3113"/>
    <s v="131ak000001XjDtAAK"/>
    <x v="0"/>
    <n v="14"/>
    <s v="2026-09-29T16:18:43.000Z"/>
    <s v="a06ak00000amzCLAAY"/>
    <s v="Lucy Kowalski|lkowalski@hotmail.com"/>
    <n v="1"/>
    <n v="0"/>
    <x v="2"/>
    <s v="Red Bank"/>
  </r>
  <r>
    <m/>
    <s v="005ak00000icyWTAAY"/>
    <s v="2026-09-14T19:53:20.000Z"/>
    <s v="matthewhill32@icloud.com"/>
    <s v="Matthew"/>
    <d v="2026-09-18T00:00:00"/>
    <s v="Matthew Hill"/>
    <s v="a09ak00002KAZYWAA5"/>
    <d v="2026-09-09T00:00:00"/>
    <s v="INQ-0041"/>
    <s v="Guitar"/>
    <b v="0"/>
    <m/>
    <s v="005ak00000icyWTAAY"/>
    <s v="2026-09-29T16:18:43.000Z"/>
    <m/>
    <m/>
    <s v="Hill"/>
    <x v="3"/>
    <s v="Matthew Hill"/>
    <s v="Transferring from another school."/>
    <s v="005ak00000icyWTAAY"/>
    <s v="(732) 555-4883"/>
    <s v="131ak000001XjDvAAK"/>
    <x v="2"/>
    <n v="44"/>
    <s v="2026-09-29T16:18:43.000Z"/>
    <s v="a06ak00000amzBrAAI"/>
    <s v="Matthew Hill|matthewhill32@icloud.com"/>
    <n v="2"/>
    <n v="9"/>
    <x v="7"/>
    <s v="Toms River"/>
  </r>
  <r>
    <m/>
    <s v="005ak00000icyWTAAY"/>
    <s v="2026-09-14T19:53:20.000Z"/>
    <s v="owenflores@hotmail.com"/>
    <s v="Owen"/>
    <d v="2026-06-28T00:00:00"/>
    <s v="Owen Flores"/>
    <s v="a09ak00002KAZYXAA5"/>
    <d v="2026-06-25T00:00:00"/>
    <s v="INQ-0042"/>
    <s v="Ukulele"/>
    <b v="0"/>
    <m/>
    <s v="005ak00000icyWTAAY"/>
    <s v="2026-09-29T16:18:43.000Z"/>
    <m/>
    <m/>
    <s v="Flores"/>
    <x v="3"/>
    <s v="Owen Flores"/>
    <m/>
    <s v="005ak00000icyWTAAY"/>
    <s v="(732) 555-4255"/>
    <s v="131ak000001XjDuAAK"/>
    <x v="1"/>
    <n v="6"/>
    <s v="2026-09-29T16:18:43.000Z"/>
    <s v="a06ak00000amzBtAAI"/>
    <s v="Owen Flores|owenflores@hotmail.com"/>
    <n v="1"/>
    <n v="3"/>
    <x v="3"/>
    <s v="Brick"/>
  </r>
  <r>
    <m/>
    <s v="005ak00000icyWTAAY"/>
    <s v="2026-09-14T19:53:20.000Z"/>
    <s v="aubrey.anderson@outlook.com"/>
    <s v="Aubrey"/>
    <d v="2026-04-03T00:00:00"/>
    <s v="Aubrey Anderson"/>
    <s v="a09ak00002KAZYYAA5"/>
    <d v="2026-03-25T00:00:00"/>
    <s v="INQ-0043"/>
    <s v="Voice"/>
    <b v="0"/>
    <m/>
    <s v="005ak00000icyWTAAY"/>
    <s v="2026-09-29T16:18:43.000Z"/>
    <m/>
    <m/>
    <s v="Anderson"/>
    <x v="1"/>
    <s v="Aubrey Anderson"/>
    <s v="Transferring from another school."/>
    <s v="005ak00000icyWTAAY"/>
    <s v="(732) 555-8644"/>
    <s v="131ak000001XjDvAAK"/>
    <x v="2"/>
    <n v="8"/>
    <s v="2026-09-29T16:18:43.000Z"/>
    <s v="a06ak00000amzC1AAI"/>
    <s v="Aubrey Anderson|aubrey.anderson@outlook.com"/>
    <n v="1"/>
    <n v="9"/>
    <x v="1"/>
    <s v="Toms River"/>
  </r>
  <r>
    <m/>
    <s v="005ak00000icyWTAAY"/>
    <s v="2026-09-14T19:53:20.000Z"/>
    <s v="savannahryan@hotmail.com"/>
    <s v="Savannah"/>
    <d v="2026-03-31T00:00:00"/>
    <s v="Savannah Ryan"/>
    <s v="a09ak00002KAZYZAA5"/>
    <d v="2026-03-30T00:00:00"/>
    <s v="INQ-0044"/>
    <s v="Violin"/>
    <b v="0"/>
    <m/>
    <s v="005ak00000icyWTAAY"/>
    <s v="2026-09-29T16:18:43.000Z"/>
    <m/>
    <m/>
    <s v="Ryan"/>
    <x v="0"/>
    <s v="Savannah Ryan"/>
    <s v="Asked about pricing."/>
    <s v="005ak00000icyWTAAY"/>
    <s v="(732) 555-7841"/>
    <s v="131ak000001XjDtAAK"/>
    <x v="0"/>
    <n v="44"/>
    <s v="2026-09-29T16:18:43.000Z"/>
    <s v="a06ak00000amzCGAAY"/>
    <s v="Savannah Ryan|savannahryan@hotmail.com"/>
    <n v="1"/>
    <n v="1"/>
    <x v="1"/>
    <s v="Red Bank"/>
  </r>
  <r>
    <m/>
    <s v="005ak00000icyWTAAY"/>
    <s v="2026-09-14T19:53:20.000Z"/>
    <s v="harperokafor87@hotmail.com"/>
    <s v="Harper"/>
    <d v="2026-08-03T00:00:00"/>
    <s v="Harper Okafor"/>
    <s v="a09ak00002KAZYaAAP"/>
    <d v="2026-08-03T00:00:00"/>
    <s v="INQ-0045"/>
    <s v="Bass Guitar"/>
    <b v="0"/>
    <m/>
    <s v="005ak00000icyWTAAY"/>
    <s v="2026-09-29T16:18:43.000Z"/>
    <m/>
    <m/>
    <s v="Okafor"/>
    <x v="6"/>
    <s v="Harper Okafor"/>
    <s v="Wants evening slots only."/>
    <s v="005ak00000icyWTAAY"/>
    <s v="(732) 555-7401"/>
    <s v="131ak000001XjDtAAK"/>
    <x v="2"/>
    <n v="14"/>
    <s v="2026-09-29T16:18:43.000Z"/>
    <s v="a06ak00000amzBhAAI"/>
    <s v="Harper Okafor|harperokafor87@hotmail.com"/>
    <n v="1"/>
    <n v="0"/>
    <x v="2"/>
    <s v="Red Bank"/>
  </r>
  <r>
    <m/>
    <s v="005ak00000icyWTAAY"/>
    <s v="2026-09-14T19:53:20.000Z"/>
    <s v="fatima.kim@gmail.com"/>
    <s v="Fatima"/>
    <d v="2026-05-10T00:00:00"/>
    <s v="Fatima Kim"/>
    <s v="a09ak00002KAZYbAAP"/>
    <d v="2026-05-05T00:00:00"/>
    <s v="INQ-0046"/>
    <s v="Drums"/>
    <b v="0"/>
    <m/>
    <s v="005ak00000icyWTAAY"/>
    <s v="2026-09-29T16:18:43.000Z"/>
    <m/>
    <m/>
    <s v="Kim"/>
    <x v="2"/>
    <s v="Fatima Kim"/>
    <s v="Transferring from another school."/>
    <s v="005ak00000icyWTAAY"/>
    <s v="(732) 555-8541"/>
    <s v="131ak000001XjDvAAK"/>
    <x v="0"/>
    <n v="6"/>
    <s v="2026-09-29T16:18:43.000Z"/>
    <s v="a06ak00000amzByAAI"/>
    <s v="Fatima Kim|fatima.kim@gmail.com"/>
    <n v="1"/>
    <n v="5"/>
    <x v="4"/>
    <s v="Toms River"/>
  </r>
  <r>
    <m/>
    <s v="005ak00000icyWTAAY"/>
    <s v="2026-09-14T19:53:20.000Z"/>
    <s v="norajohnson@hotmail.com"/>
    <s v="Nora"/>
    <d v="2026-02-25T00:00:00"/>
    <s v="Nora Johnson"/>
    <s v="a09ak00002KAZYcAAP"/>
    <d v="2026-02-16T00:00:00"/>
    <s v="INQ-0047"/>
    <s v="Flute"/>
    <b v="0"/>
    <m/>
    <s v="005ak00000icyWTAAY"/>
    <s v="2026-09-29T16:18:43.000Z"/>
    <m/>
    <m/>
    <s v="Johnson"/>
    <x v="0"/>
    <s v="Nora Johnson"/>
    <s v="Wants evening slots only."/>
    <s v="005ak00000icyWTAAY"/>
    <s v="(732) 555-6226"/>
    <s v="131ak000001XjDvAAK"/>
    <x v="0"/>
    <n v="8"/>
    <s v="2026-09-29T16:18:43.000Z"/>
    <s v="a06ak00000amzBjAAI"/>
    <s v="Nora Johnson|norajohnson@hotmail.com"/>
    <n v="1"/>
    <n v="9"/>
    <x v="0"/>
    <s v="Toms River"/>
  </r>
  <r>
    <m/>
    <s v="005ak00000icyWTAAY"/>
    <s v="2026-09-14T19:53:20.000Z"/>
    <s v="declanallen@yahoo.com"/>
    <s v="Declan"/>
    <d v="2026-06-21T00:00:00"/>
    <s v="Declan Allen"/>
    <s v="a09ak00002KAZYdAAP"/>
    <d v="2026-06-21T00:00:00"/>
    <s v="INQ-0048"/>
    <s v="Drums"/>
    <b v="0"/>
    <m/>
    <s v="005ak00000icyWTAAY"/>
    <s v="2026-09-29T16:18:43.000Z"/>
    <m/>
    <m/>
    <s v="Allen"/>
    <x v="5"/>
    <s v="Declan Allen"/>
    <s v="Asked about pricing."/>
    <s v="005ak00000icyWTAAY"/>
    <s v="(732) 555-1356"/>
    <s v="131ak000001XjDtAAK"/>
    <x v="2"/>
    <n v="12"/>
    <s v="2026-09-29T16:18:43.000Z"/>
    <s v="a06ak00000amzBnAAI"/>
    <s v="Declan Allen|declanallen@yahoo.com"/>
    <n v="1"/>
    <n v="0"/>
    <x v="3"/>
    <s v="Red Bank"/>
  </r>
  <r>
    <m/>
    <s v="005ak00000icyWTAAY"/>
    <s v="2026-09-14T19:53:20.000Z"/>
    <s v="jamal.rivera@outlook.com"/>
    <s v="Jamal"/>
    <d v="2026-05-24T00:00:00"/>
    <s v="Jamal Rivera"/>
    <s v="a09ak00002KAZYeAAP"/>
    <d v="2026-05-22T00:00:00"/>
    <s v="INQ-0049"/>
    <s v="Clarinet"/>
    <b v="0"/>
    <m/>
    <s v="005ak00000icyWTAAY"/>
    <s v="2026-09-29T16:18:43.000Z"/>
    <m/>
    <m/>
    <s v="Rivera"/>
    <x v="3"/>
    <s v="Jamal Rivera"/>
    <s v="Transferring from another school."/>
    <s v="005ak00000icyWTAAY"/>
    <s v="(732) 555-2345"/>
    <s v="131ak000001XjDuAAK"/>
    <x v="0"/>
    <n v="8"/>
    <s v="2026-09-29T16:18:43.000Z"/>
    <s v="a06ak00000amzC0AAI"/>
    <s v="Jamal Rivera|jamal.rivera@outlook.com"/>
    <n v="1"/>
    <n v="2"/>
    <x v="4"/>
    <s v="Brick"/>
  </r>
  <r>
    <m/>
    <s v="005ak00000icyWTAAY"/>
    <s v="2026-09-14T19:53:20.000Z"/>
    <s v="jonah.silva@hotmail.com"/>
    <s v="Jonah"/>
    <d v="2026-03-20T00:00:00"/>
    <s v="Jonah Silva"/>
    <s v="a09ak00002KAZYfAAP"/>
    <d v="2026-03-20T00:00:00"/>
    <s v="INQ-0050"/>
    <s v="Cello"/>
    <b v="0"/>
    <m/>
    <s v="005ak00000icyWTAAY"/>
    <s v="2026-09-29T16:18:43.000Z"/>
    <m/>
    <m/>
    <s v="Silva"/>
    <x v="7"/>
    <s v="Jonah Silva"/>
    <s v="Asked about pricing."/>
    <s v="005ak00000icyWTAAY"/>
    <s v="(732) 555-2421"/>
    <s v="131ak000001XjDvAAK"/>
    <x v="0"/>
    <n v="12"/>
    <s v="2026-09-29T16:18:43.000Z"/>
    <s v="a06ak00000amzBxAAI"/>
    <s v="Jonah Silva|jonah.silva@hotmail.com"/>
    <n v="1"/>
    <n v="0"/>
    <x v="1"/>
    <s v="Toms River"/>
  </r>
  <r>
    <m/>
    <s v="005ak00000icyWTAAY"/>
    <s v="2026-09-14T19:53:20.000Z"/>
    <s v="nmurphy@outlook.com"/>
    <s v="Nathan"/>
    <d v="2026-06-13T00:00:00"/>
    <s v="Nathan Murphy"/>
    <s v="a09ak00002KAZYgAAP"/>
    <d v="2026-06-13T00:00:00"/>
    <s v="INQ-0051"/>
    <s v="Cello"/>
    <b v="0"/>
    <m/>
    <s v="005ak00000icyWTAAY"/>
    <s v="2026-09-29T16:18:43.000Z"/>
    <m/>
    <m/>
    <s v="Murphy"/>
    <x v="6"/>
    <s v="Nathan Murphy"/>
    <s v="Beginner, no experience."/>
    <s v="005ak00000icyWTAAY"/>
    <s v="(732) 555-4899"/>
    <s v="131ak000001XjDtAAK"/>
    <x v="2"/>
    <n v="16"/>
    <s v="2026-09-29T16:18:43.000Z"/>
    <s v="a06ak00000amzCBAAY"/>
    <s v="Nathan Murphy|nmurphy@outlook.com"/>
    <n v="1"/>
    <n v="0"/>
    <x v="3"/>
    <s v="Red Bank"/>
  </r>
  <r>
    <m/>
    <s v="005ak00000icyWTAAY"/>
    <s v="2026-09-14T19:53:20.000Z"/>
    <s v="rowancarter@hotmail.com"/>
    <s v="Rowan"/>
    <d v="2026-07-21T00:00:00"/>
    <s v="Rowan Carter"/>
    <s v="a09ak00002KAZYhAAP"/>
    <d v="2026-07-20T00:00:00"/>
    <s v="INQ-0052"/>
    <s v="Drums"/>
    <b v="0"/>
    <m/>
    <s v="005ak00000icyWTAAY"/>
    <s v="2026-09-29T16:18:43.000Z"/>
    <m/>
    <m/>
    <s v="Carter"/>
    <x v="6"/>
    <s v="Rowan Carter"/>
    <s v="Transferring from another school."/>
    <s v="005ak00000icyWTAAY"/>
    <s v="(732) 555-6522"/>
    <s v="131ak000001XjDuAAK"/>
    <x v="2"/>
    <n v="14"/>
    <s v="2026-09-29T16:18:43.000Z"/>
    <s v="a06ak00000amzC9AAI"/>
    <s v="Rowan Carter|rowancarter@hotmail.com"/>
    <n v="1"/>
    <n v="1"/>
    <x v="5"/>
    <s v="Brick"/>
  </r>
  <r>
    <m/>
    <s v="005ak00000icyWTAAY"/>
    <s v="2026-09-14T19:53:20.000Z"/>
    <s v="scarlettrobinson83@icloud.com"/>
    <s v="Scarlett"/>
    <d v="2026-05-23T00:00:00"/>
    <s v="Scarlett Robinson"/>
    <s v="a09ak00002KAZYiAAP"/>
    <d v="2026-03-02T00:00:00"/>
    <s v="INQ-0053"/>
    <s v="Clarinet"/>
    <b v="0"/>
    <m/>
    <s v="005ak00000icyWTAAY"/>
    <s v="2026-09-29T16:18:43.000Z"/>
    <m/>
    <m/>
    <s v="Robinson"/>
    <x v="0"/>
    <s v="Scarlett Robinson"/>
    <s v="Transferring from another school."/>
    <s v="005ak00000icyWTAAY"/>
    <s v="(732) 555-8790"/>
    <s v="131ak000001XjDtAAK"/>
    <x v="1"/>
    <n v="12"/>
    <s v="2026-09-29T16:18:43.000Z"/>
    <s v="a06ak00000amzCMAAY"/>
    <s v="Scarlett Robinson|scarlettrobinson83@icloud.com"/>
    <n v="1"/>
    <n v="82"/>
    <x v="1"/>
    <s v="Red Bank"/>
  </r>
  <r>
    <m/>
    <s v="005ak00000icyWTAAY"/>
    <s v="2026-09-14T19:53:20.000Z"/>
    <s v="liamperez99@gmail.com"/>
    <s v="Liam"/>
    <d v="2026-07-14T00:00:00"/>
    <s v="Liam Perez"/>
    <s v="a09ak00002KAZYjAAP"/>
    <d v="2026-07-13T00:00:00"/>
    <s v="INQ-0054"/>
    <s v="Flute"/>
    <b v="0"/>
    <m/>
    <s v="005ak00000icyWTAAY"/>
    <s v="2026-09-29T16:18:43.000Z"/>
    <m/>
    <m/>
    <s v="Perez"/>
    <x v="1"/>
    <s v="Liam Perez"/>
    <m/>
    <s v="005ak00000icyWTAAY"/>
    <s v="(732) 555-3092"/>
    <s v="131ak000001XjDtAAK"/>
    <x v="2"/>
    <n v="12"/>
    <s v="2026-09-29T16:18:43.000Z"/>
    <s v="a06ak00000amzCHAAY"/>
    <s v="Liam Perez|liamperez99@gmail.com"/>
    <n v="1"/>
    <n v="1"/>
    <x v="5"/>
    <s v="Red Bank"/>
  </r>
  <r>
    <m/>
    <s v="005ak00000icyWTAAY"/>
    <s v="2026-09-14T19:53:20.000Z"/>
    <s v="leoflores@hotmail.com"/>
    <s v="Leo"/>
    <d v="2026-02-25T00:00:00"/>
    <s v="Leo Flores"/>
    <s v="a09ak00002KAZYkAAP"/>
    <d v="2026-02-25T00:00:00"/>
    <s v="INQ-0055"/>
    <s v="Bass Guitar"/>
    <b v="0"/>
    <m/>
    <s v="005ak00000icyWTAAY"/>
    <s v="2026-09-29T16:18:43.000Z"/>
    <m/>
    <m/>
    <s v="Flores"/>
    <x v="3"/>
    <s v="Leo Flores"/>
    <s v="Sibling already enrolled."/>
    <s v="005ak00000icyWTAAY"/>
    <s v="(732) 555-1033"/>
    <s v="131ak000001XjDtAAK"/>
    <x v="1"/>
    <n v="14"/>
    <s v="2026-09-29T16:18:43.000Z"/>
    <s v="a06ak00000amzCJAAY"/>
    <s v="Leo Flores|leoflores@hotmail.com"/>
    <n v="1"/>
    <n v="0"/>
    <x v="0"/>
    <s v="Red Bank"/>
  </r>
  <r>
    <m/>
    <s v="005ak00000icyWTAAY"/>
    <s v="2026-09-14T19:53:20.000Z"/>
    <s v="aidenmitchell3@icloud.com"/>
    <s v="Aiden"/>
    <d v="2026-05-03T00:00:00"/>
    <s v="Aiden Mitchell"/>
    <s v="a09ak00002KAZYlAAP"/>
    <d v="2026-04-30T00:00:00"/>
    <s v="INQ-0056"/>
    <s v="Voice"/>
    <b v="0"/>
    <m/>
    <s v="005ak00000icyWTAAY"/>
    <s v="2026-09-29T16:18:43.000Z"/>
    <m/>
    <m/>
    <s v="Mitchell"/>
    <x v="2"/>
    <s v="Aiden Mitchell"/>
    <s v="Asked about pricing."/>
    <s v="005ak00000icyWTAAY"/>
    <s v="(732) 555-2293"/>
    <s v="131ak000001XjDvAAK"/>
    <x v="0"/>
    <n v="8"/>
    <s v="2026-09-29T16:18:43.000Z"/>
    <s v="a06ak00000amzCBAAY"/>
    <s v="Aiden Mitchell|aidenmitchell3@icloud.com"/>
    <n v="1"/>
    <n v="3"/>
    <x v="6"/>
    <s v="Toms River"/>
  </r>
  <r>
    <m/>
    <s v="005ak00000icyWTAAY"/>
    <s v="2026-09-14T19:53:20.000Z"/>
    <s v="anelson@icloud.com"/>
    <s v="Adrian"/>
    <d v="2026-05-10T00:00:00"/>
    <s v="Adrian Nelson"/>
    <s v="a09ak00002KAZYmAAP"/>
    <d v="2026-05-05T00:00:00"/>
    <s v="INQ-0057"/>
    <s v="Voice"/>
    <b v="0"/>
    <m/>
    <s v="005ak00000icyWTAAY"/>
    <s v="2026-09-29T16:18:43.000Z"/>
    <m/>
    <m/>
    <s v="Nelson"/>
    <x v="2"/>
    <s v="Adrian Nelson"/>
    <s v="Sibling already enrolled."/>
    <s v="005ak00000icyWTAAY"/>
    <s v="(732) 555-8618"/>
    <s v="131ak000001XjDtAAK"/>
    <x v="1"/>
    <n v="35"/>
    <s v="2026-09-29T16:18:43.000Z"/>
    <s v="a06ak00000amzBsAAI"/>
    <s v="Adrian Nelson|anelson@icloud.com"/>
    <n v="1"/>
    <n v="5"/>
    <x v="4"/>
    <s v="Red Bank"/>
  </r>
  <r>
    <m/>
    <s v="005ak00000icyWTAAY"/>
    <s v="2026-09-14T19:53:20.000Z"/>
    <s v="rdubois@gmail.com"/>
    <s v="Rowan"/>
    <d v="2026-07-18T00:00:00"/>
    <s v="Rowan Dubois"/>
    <s v="a09ak00002KAZYnAAP"/>
    <d v="2026-07-17T00:00:00"/>
    <s v="INQ-0058"/>
    <s v="Violin"/>
    <b v="0"/>
    <m/>
    <s v="005ak00000icyWTAAY"/>
    <s v="2026-09-29T16:18:43.000Z"/>
    <m/>
    <m/>
    <s v="Dubois"/>
    <x v="4"/>
    <s v="Rowan Dubois"/>
    <m/>
    <s v="005ak00000icyWTAAY"/>
    <s v="(732) 555-9272"/>
    <s v="131ak000001XjDtAAK"/>
    <x v="2"/>
    <n v="55"/>
    <s v="2026-09-29T16:18:43.000Z"/>
    <s v="a06ak00000amzCFAAY"/>
    <s v="Rowan Dubois|rdubois@gmail.com"/>
    <n v="1"/>
    <n v="1"/>
    <x v="5"/>
    <s v="Red Bank"/>
  </r>
  <r>
    <m/>
    <s v="005ak00000icyWTAAY"/>
    <s v="2026-09-14T19:53:20.000Z"/>
    <s v="theo.nakamura@gmail.com"/>
    <s v="Theo"/>
    <m/>
    <s v="Theo Nakamura"/>
    <s v="a09ak00002KAZYoAAP"/>
    <d v="2026-05-01T00:00:00"/>
    <s v="INQ-0059"/>
    <s v="Piano"/>
    <b v="0"/>
    <m/>
    <s v="005ak00000icyWTAAY"/>
    <s v="2026-09-29T16:18:43.000Z"/>
    <s v="2026-09-29T20:50:48.000Z"/>
    <s v="2026-09-29T20:50:48.000Z"/>
    <s v="Nakamura"/>
    <x v="3"/>
    <s v="Theo Nakamura"/>
    <s v="Transferring from another school."/>
    <s v="005ak00000icyWTAAY"/>
    <s v="(732) 555-6914"/>
    <s v="131ak000001XjDvAAK"/>
    <x v="3"/>
    <n v="6"/>
    <s v="2026-09-29T16:18:43.000Z"/>
    <m/>
    <s v="Theo Nakamura|theo.nakamura@gmail.com"/>
    <n v="1"/>
    <s v=""/>
    <x v="4"/>
    <s v="Toms River"/>
  </r>
  <r>
    <m/>
    <s v="005ak00000icyWTAAY"/>
    <s v="2026-09-14T19:53:20.000Z"/>
    <s v="rohanlee74@outlook.com"/>
    <s v="Rohan"/>
    <d v="2026-02-24T00:00:00"/>
    <s v="Rohan Lee"/>
    <s v="a09ak00002KAZYpAAP"/>
    <d v="2026-02-22T00:00:00"/>
    <s v="INQ-0061"/>
    <s v="Bass Guitar"/>
    <b v="0"/>
    <m/>
    <s v="005ak00000icyWTAAY"/>
    <s v="2026-09-29T16:18:43.000Z"/>
    <m/>
    <m/>
    <s v="Lee"/>
    <x v="7"/>
    <s v="Rohan Lee"/>
    <s v="Wants evening slots only."/>
    <s v="005ak00000icyWTAAY"/>
    <s v="(732) 555-4853"/>
    <s v="131ak000001XjDuAAK"/>
    <x v="2"/>
    <n v="28"/>
    <s v="2026-09-29T16:18:43.000Z"/>
    <s v="a06ak00000amzBmAAI"/>
    <s v="Rohan Lee|rohanlee74@outlook.com"/>
    <n v="1"/>
    <n v="2"/>
    <x v="0"/>
    <s v="Brick"/>
  </r>
  <r>
    <m/>
    <s v="005ak00000icyWTAAY"/>
    <s v="2026-09-14T19:53:20.000Z"/>
    <s v="genesisnakamura@yahoo.com"/>
    <s v="Genesis"/>
    <m/>
    <s v="Genesis Nakamura"/>
    <s v="a09ak00002KAZYqAAP"/>
    <d v="2026-05-23T00:00:00"/>
    <s v="INQ-0062"/>
    <s v="Piano"/>
    <b v="0"/>
    <m/>
    <s v="005ak00000icyWTAAY"/>
    <s v="2026-09-29T16:18:43.000Z"/>
    <m/>
    <m/>
    <s v="Nakamura"/>
    <x v="2"/>
    <s v="Genesis Nakamura"/>
    <s v="Asked about pricing."/>
    <s v="005ak00000icyWTAAY"/>
    <s v="(732) 555-6146"/>
    <s v="131ak000001XjDtAAK"/>
    <x v="3"/>
    <n v="44"/>
    <s v="2026-09-29T16:18:43.000Z"/>
    <m/>
    <s v="Genesis Nakamura|genesisnakamura@yahoo.com"/>
    <n v="1"/>
    <s v=""/>
    <x v="4"/>
    <s v="Red Bank"/>
  </r>
  <r>
    <m/>
    <s v="005ak00000icyWTAAY"/>
    <s v="2026-09-14T19:53:20.000Z"/>
    <s v="ethan.scott@hotmail.com"/>
    <s v="Ethan"/>
    <d v="2026-09-05T00:00:00"/>
    <s v="Ethan Scott"/>
    <s v="a09ak00002KAZYrAAP"/>
    <d v="2026-09-05T00:00:00"/>
    <s v="INQ-0063"/>
    <s v="Violin"/>
    <b v="0"/>
    <m/>
    <s v="005ak00000icyWTAAY"/>
    <s v="2026-09-29T16:18:43.000Z"/>
    <m/>
    <m/>
    <s v="Scott"/>
    <x v="4"/>
    <s v="Ethan Scott"/>
    <s v="Sibling already enrolled."/>
    <s v="005ak00000icyWTAAY"/>
    <s v="(732) 555-7903"/>
    <s v="131ak000001XjDtAAK"/>
    <x v="1"/>
    <n v="12"/>
    <s v="2026-09-29T16:18:43.000Z"/>
    <s v="a06ak00000amzC4AAI"/>
    <s v="Ethan Scott|ethan.scott@hotmail.com"/>
    <n v="1"/>
    <n v="0"/>
    <x v="7"/>
    <s v="Red Bank"/>
  </r>
  <r>
    <m/>
    <s v="005ak00000icyWTAAY"/>
    <s v="2026-09-14T19:53:20.000Z"/>
    <s v="jamalbrown@outlook.com"/>
    <s v="Jamal"/>
    <d v="2026-04-26T00:00:00"/>
    <s v="Jamal Brown"/>
    <s v="a09ak00002KAZYsAAP"/>
    <d v="2026-04-26T00:00:00"/>
    <s v="INQ-0064"/>
    <s v="Piano"/>
    <b v="0"/>
    <m/>
    <s v="005ak00000icyWTAAY"/>
    <s v="2026-09-29T16:18:43.000Z"/>
    <m/>
    <m/>
    <s v="Brown"/>
    <x v="6"/>
    <s v="Jamal Brown"/>
    <s v="Transferring from another school."/>
    <s v="005ak00000icyWTAAY"/>
    <s v="(732) 555-3796"/>
    <s v="131ak000001XjDtAAK"/>
    <x v="0"/>
    <n v="14"/>
    <s v="2026-09-29T16:18:43.000Z"/>
    <s v="a06ak00000amzByAAI"/>
    <s v="Jamal Brown|jamalbrown@outlook.com"/>
    <n v="1"/>
    <n v="0"/>
    <x v="6"/>
    <s v="Red Bank"/>
  </r>
  <r>
    <m/>
    <s v="005ak00000icyWTAAY"/>
    <s v="2026-09-14T19:53:20.000Z"/>
    <s v="ellanakamura45@gmail.com"/>
    <s v="Ella"/>
    <d v="2026-08-16T00:00:00"/>
    <s v="Ella Nakamura"/>
    <s v="a09ak00002KAZYtAAP"/>
    <d v="2026-08-16T00:00:00"/>
    <s v="INQ-0065"/>
    <s v="Guitar"/>
    <b v="0"/>
    <m/>
    <s v="005ak00000icyWTAAY"/>
    <s v="2026-09-29T16:18:43.000Z"/>
    <m/>
    <m/>
    <s v="Nakamura"/>
    <x v="3"/>
    <s v="Ella Nakamura"/>
    <s v="Asked about pricing."/>
    <s v="005ak00000icyWTAAY"/>
    <s v="(732) 555-4670"/>
    <s v="131ak000001XjDtAAK"/>
    <x v="1"/>
    <n v="16"/>
    <s v="2026-09-29T16:18:43.000Z"/>
    <s v="a06ak00000amzBfAAI"/>
    <s v="Ella Nakamura|ellanakamura45@gmail.com"/>
    <n v="1"/>
    <n v="0"/>
    <x v="2"/>
    <s v="Red Bank"/>
  </r>
  <r>
    <m/>
    <s v="005ak00000icyWTAAY"/>
    <s v="2026-09-14T19:53:20.000Z"/>
    <s v="jthomas@outlook.com"/>
    <s v="Jackson"/>
    <d v="2026-05-27T00:00:00"/>
    <s v="Jackson Thomas"/>
    <s v="a09ak00002KAZYuAAP"/>
    <d v="2026-05-25T00:00:00"/>
    <s v="INQ-0066"/>
    <s v="Guitar"/>
    <b v="0"/>
    <m/>
    <s v="005ak00000icyWTAAY"/>
    <s v="2026-09-29T16:18:43.000Z"/>
    <m/>
    <m/>
    <s v="Thomas"/>
    <x v="3"/>
    <s v="Jackson Thomas"/>
    <s v="Transferring from another school."/>
    <s v="005ak00000icyWTAAY"/>
    <s v="(732) 555-5865"/>
    <s v="131ak000001XjDtAAK"/>
    <x v="1"/>
    <n v="10"/>
    <s v="2026-09-29T16:18:43.000Z"/>
    <s v="a06ak00000amzC7AAI"/>
    <s v="Jackson Thomas|jthomas@outlook.com"/>
    <n v="1"/>
    <n v="2"/>
    <x v="4"/>
    <s v="Red Bank"/>
  </r>
  <r>
    <m/>
    <s v="005ak00000icyWTAAY"/>
    <s v="2026-09-14T19:53:20.000Z"/>
    <s v="iperez@outlook.com"/>
    <s v="Isaac"/>
    <d v="2026-04-23T00:00:00"/>
    <s v="Isaac Perez"/>
    <s v="a09ak00002KAZYvAAP"/>
    <d v="2026-04-23T00:00:00"/>
    <s v="INQ-0067"/>
    <s v="Violin"/>
    <b v="0"/>
    <m/>
    <s v="005ak00000icyWTAAY"/>
    <s v="2026-09-29T16:18:43.000Z"/>
    <m/>
    <m/>
    <s v="Perez"/>
    <x v="0"/>
    <s v="Isaac Perez"/>
    <s v="Beginner, no experience."/>
    <s v="005ak00000icyWTAAY"/>
    <s v="(732) 555-7530"/>
    <s v="131ak000001XjDvAAK"/>
    <x v="0"/>
    <n v="44"/>
    <s v="2026-09-29T16:18:43.000Z"/>
    <s v="a06ak00000amzBtAAI"/>
    <s v="Isaac Perez|iperez@outlook.com"/>
    <n v="1"/>
    <n v="0"/>
    <x v="6"/>
    <s v="Toms River"/>
  </r>
  <r>
    <m/>
    <s v="005ak00000icyWTAAY"/>
    <s v="2026-09-14T19:53:20.000Z"/>
    <s v="isabellamoore28@icloud.com"/>
    <s v="Isabella"/>
    <d v="2026-06-13T00:00:00"/>
    <s v="Isabella Moore"/>
    <s v="a09ak00002KAZYwAAP"/>
    <d v="2026-06-04T00:00:00"/>
    <s v="INQ-0068"/>
    <s v="Guitar"/>
    <b v="0"/>
    <m/>
    <s v="005ak00000icyWTAAY"/>
    <s v="2026-09-29T16:18:43.000Z"/>
    <m/>
    <m/>
    <s v="Moore"/>
    <x v="4"/>
    <s v="Isabella Moore"/>
    <m/>
    <s v="005ak00000icyWTAAY"/>
    <s v="(732) 555-9134"/>
    <s v="131ak000001XjDuAAK"/>
    <x v="0"/>
    <n v="28"/>
    <s v="2026-09-29T16:18:43.000Z"/>
    <s v="a06ak00000amzC1AAI"/>
    <s v="Isabella Moore|isabellamoore28@icloud.com"/>
    <n v="1"/>
    <n v="9"/>
    <x v="3"/>
    <s v="Brick"/>
  </r>
  <r>
    <m/>
    <s v="005ak00000icyWTAAY"/>
    <s v="2026-09-14T19:53:20.000Z"/>
    <s v="skylarahmed72@gmail.com"/>
    <s v="Skylar"/>
    <d v="2026-09-12T00:00:00"/>
    <s v="Skylar Ahmed"/>
    <s v="a09ak00002KAZYxAAP"/>
    <d v="2026-09-11T00:00:00"/>
    <s v="INQ-0069"/>
    <s v="Trumpet"/>
    <b v="0"/>
    <m/>
    <s v="005ak00000icyWTAAY"/>
    <s v="2026-09-29T16:18:43.000Z"/>
    <m/>
    <m/>
    <s v="Ahmed"/>
    <x v="3"/>
    <s v="Skylar Ahmed"/>
    <s v="Asked about pricing."/>
    <s v="005ak00000icyWTAAY"/>
    <s v="(732) 555-6433"/>
    <s v="131ak000001XjDuAAK"/>
    <x v="1"/>
    <n v="12"/>
    <s v="2026-09-29T16:18:43.000Z"/>
    <s v="a06ak00000amzBtAAI"/>
    <s v="Skylar Ahmed|skylarahmed72@gmail.com"/>
    <n v="1"/>
    <n v="1"/>
    <x v="7"/>
    <s v="Brick"/>
  </r>
  <r>
    <m/>
    <s v="005ak00000icyWTAAY"/>
    <s v="2026-09-14T19:53:20.000Z"/>
    <s v="julianmitchell65@outlook.com"/>
    <s v="Julian"/>
    <d v="2026-08-30T00:00:00"/>
    <s v="Julian Mitchell"/>
    <s v="a09ak00002KAZYyAAP"/>
    <d v="2026-08-30T00:00:00"/>
    <s v="INQ-0070"/>
    <s v="Saxophone"/>
    <b v="0"/>
    <m/>
    <s v="005ak00000icyWTAAY"/>
    <s v="2026-09-29T16:18:43.000Z"/>
    <m/>
    <m/>
    <s v="Mitchell"/>
    <x v="7"/>
    <s v="Julian Mitchell"/>
    <m/>
    <s v="005ak00000icyWTAAY"/>
    <s v="(732) 555-2785"/>
    <s v="131ak000001XjDuAAK"/>
    <x v="0"/>
    <n v="8"/>
    <s v="2026-09-29T16:18:43.000Z"/>
    <s v="a06ak00000amzBvAAI"/>
    <s v="Julian Mitchell|julianmitchell65@outlook.com"/>
    <n v="1"/>
    <n v="0"/>
    <x v="2"/>
    <s v="Brick"/>
  </r>
  <r>
    <m/>
    <s v="005ak00000icyWTAAY"/>
    <s v="2026-09-14T19:53:20.000Z"/>
    <s v="fatimahill@gmail.com"/>
    <s v="Fatima"/>
    <m/>
    <s v="Fatima Hill"/>
    <s v="a09ak00002KAZYzAAP"/>
    <d v="2026-09-14T00:00:00"/>
    <s v="INQ-0071"/>
    <s v="Ukulele"/>
    <b v="0"/>
    <m/>
    <s v="005ak00000icyWTAAY"/>
    <s v="2026-09-29T16:18:43.000Z"/>
    <m/>
    <m/>
    <s v="Hill"/>
    <x v="1"/>
    <s v="Fatima Hill"/>
    <m/>
    <s v="005ak00000icyWTAAY"/>
    <s v="(732) 555-7639"/>
    <s v="131ak000001XjDtAAK"/>
    <x v="3"/>
    <n v="8"/>
    <s v="2026-09-29T16:18:43.000Z"/>
    <m/>
    <s v="Fatima Hill|fatimahill@gmail.com"/>
    <n v="1"/>
    <s v=""/>
    <x v="7"/>
    <s v="Red Bank"/>
  </r>
  <r>
    <m/>
    <s v="005ak00000icyWTAAY"/>
    <s v="2026-09-14T19:53:20.000Z"/>
    <s v="james.miller@outlook.com"/>
    <s v="James"/>
    <d v="2026-02-01T00:00:00"/>
    <s v="James Miller"/>
    <s v="a09ak00002KAZZ0AAP"/>
    <d v="2026-02-19T00:00:00"/>
    <s v="INQ-0072"/>
    <s v="Guitar"/>
    <b v="0"/>
    <m/>
    <s v="005ak00000icyWTAAY"/>
    <s v="2026-09-29T16:18:43.000Z"/>
    <m/>
    <m/>
    <s v="Miller"/>
    <x v="5"/>
    <s v="James Miller"/>
    <m/>
    <s v="005ak00000icyWTAAY"/>
    <s v="(732) 555-8802"/>
    <s v="131ak000001XjDtAAK"/>
    <x v="2"/>
    <n v="35"/>
    <s v="2026-09-29T16:18:43.000Z"/>
    <s v="a06ak00000amzBsAAI"/>
    <s v="James Miller|james.miller@outlook.com"/>
    <n v="1"/>
    <n v="-18"/>
    <x v="0"/>
    <s v="Red Bank"/>
  </r>
  <r>
    <m/>
    <s v="005ak00000icyWTAAY"/>
    <s v="2026-09-14T19:53:20.000Z"/>
    <s v="anthonydavis35@icloud.com"/>
    <s v="Anthony"/>
    <d v="2026-02-02T00:00:00"/>
    <s v="Anthony Davis"/>
    <s v="a09ak00002KAZZ1AAP"/>
    <d v="2026-02-02T00:00:00"/>
    <s v="INQ-0073"/>
    <s v="Clarinet"/>
    <b v="0"/>
    <m/>
    <s v="005ak00000icyWTAAY"/>
    <s v="2026-09-29T16:18:43.000Z"/>
    <s v="2026-09-29T04:40:49.000Z"/>
    <s v="2026-09-29T04:40:49.000Z"/>
    <s v="Davis"/>
    <x v="4"/>
    <s v="Anthony Davis"/>
    <s v="Transferring from another school."/>
    <s v="005ak00000icyWTAAY"/>
    <s v="(732) 555-7305"/>
    <s v="131ak000001XjDuAAK"/>
    <x v="1"/>
    <n v="10"/>
    <s v="2026-09-29T16:18:43.000Z"/>
    <s v="a06ak00000amzC2AAI"/>
    <s v="Anthony Davis|anthonydavis35@icloud.com"/>
    <n v="1"/>
    <n v="0"/>
    <x v="0"/>
    <s v="Brick"/>
  </r>
  <r>
    <m/>
    <s v="005ak00000icyWTAAY"/>
    <s v="2026-09-14T19:53:20.000Z"/>
    <s v="chloe.scott@yahoo.com"/>
    <s v="Chloe"/>
    <m/>
    <s v="Chloe Scott"/>
    <s v="a09ak00002KAZZ2AAP"/>
    <d v="2026-02-26T00:00:00"/>
    <s v="INQ-0074"/>
    <s v="Trumpet"/>
    <b v="0"/>
    <m/>
    <s v="005ak00000icyWTAAY"/>
    <s v="2026-09-29T16:18:43.000Z"/>
    <m/>
    <m/>
    <s v="Scott"/>
    <x v="7"/>
    <s v="Chloe Scott"/>
    <s v="Wants evening slots only."/>
    <s v="005ak00000icyWTAAY"/>
    <s v="(732) 555-9781"/>
    <s v="131ak000001XjDvAAK"/>
    <x v="3"/>
    <n v="35"/>
    <s v="2026-09-29T16:18:43.000Z"/>
    <m/>
    <s v="Chloe Scott|chloe.scott@yahoo.com"/>
    <n v="1"/>
    <s v=""/>
    <x v="0"/>
    <s v="Toms River"/>
  </r>
  <r>
    <m/>
    <s v="005ak00000icyWTAAY"/>
    <s v="2026-09-14T19:53:20.000Z"/>
    <s v="nryan@icloud.com"/>
    <s v="Nathan"/>
    <d v="2026-06-15T00:00:00"/>
    <s v="Nathan Ryan"/>
    <s v="a09ak00002KAZZ3AAP"/>
    <d v="2026-06-14T00:00:00"/>
    <s v="INQ-0075"/>
    <s v="Clarinet"/>
    <b v="0"/>
    <m/>
    <s v="005ak00000icyWTAAY"/>
    <s v="2026-09-29T16:18:43.000Z"/>
    <m/>
    <m/>
    <s v="Ryan"/>
    <x v="3"/>
    <s v="Nathan Ryan"/>
    <s v="Sibling already enrolled."/>
    <s v="005ak00000icyWTAAY"/>
    <s v="(732) 555-1703"/>
    <s v="131ak000001XjDtAAK"/>
    <x v="0"/>
    <n v="10"/>
    <s v="2026-09-29T16:18:43.000Z"/>
    <s v="a06ak00000amzCBAAY"/>
    <s v="Nathan Ryan|nryan@icloud.com"/>
    <n v="1"/>
    <n v="1"/>
    <x v="3"/>
    <s v="Red Bank"/>
  </r>
  <r>
    <m/>
    <s v="005ak00000icyWTAAY"/>
    <s v="2026-09-14T19:53:20.000Z"/>
    <s v="theo.walker@icloud.com"/>
    <s v="Theo"/>
    <m/>
    <s v="Theo Walker"/>
    <s v="a09ak00002KAZZ4AAP"/>
    <d v="2026-07-05T00:00:00"/>
    <s v="INQ-0076"/>
    <s v="Voice"/>
    <b v="0"/>
    <m/>
    <s v="005ak00000icyWTAAY"/>
    <s v="2026-09-29T16:18:43.000Z"/>
    <m/>
    <m/>
    <s v="Walker"/>
    <x v="1"/>
    <s v="Theo Walker"/>
    <m/>
    <s v="005ak00000icyWTAAY"/>
    <s v="(732) 555-7199"/>
    <s v="131ak000001XjDuAAK"/>
    <x v="3"/>
    <n v="16"/>
    <s v="2026-09-29T16:18:43.000Z"/>
    <m/>
    <s v="Theo Walker|theo.walker@icloud.com"/>
    <n v="1"/>
    <s v=""/>
    <x v="5"/>
    <s v="Brick"/>
  </r>
  <r>
    <m/>
    <s v="005ak00000icyWTAAY"/>
    <s v="2026-09-14T19:53:20.000Z"/>
    <s v="chenwalker79@icloud.com"/>
    <s v="Chen"/>
    <d v="2026-08-03T00:00:00"/>
    <s v="Chen Walker"/>
    <s v="a09ak00002KAZZ5AAP"/>
    <d v="2026-07-31T00:00:00"/>
    <s v="INQ-0077"/>
    <s v="Flute"/>
    <b v="0"/>
    <m/>
    <s v="005ak00000icyWTAAY"/>
    <s v="2026-09-29T16:18:43.000Z"/>
    <m/>
    <m/>
    <s v="Walker"/>
    <x v="6"/>
    <s v="Chen Walker"/>
    <s v="Asked about pricing."/>
    <s v="005ak00000icyWTAAY"/>
    <s v="(732) 555-4270"/>
    <s v="131ak000001XjDvAAK"/>
    <x v="2"/>
    <n v="14"/>
    <s v="2026-09-29T16:18:43.000Z"/>
    <s v="a06ak00000amzBnAAI"/>
    <s v="Chen Walker|chenwalker79@icloud.com"/>
    <n v="1"/>
    <n v="3"/>
    <x v="5"/>
    <s v="Toms River"/>
  </r>
  <r>
    <m/>
    <s v="005ak00000icyWTAAY"/>
    <s v="2026-09-14T19:53:20.000Z"/>
    <s v="anthonyking11@outlook.com"/>
    <s v="Anthony"/>
    <m/>
    <s v="Anthony King"/>
    <s v="a09ak00002KAZZ6AAP"/>
    <d v="2026-05-20T00:00:00"/>
    <s v="INQ-0078"/>
    <s v="Piano"/>
    <b v="0"/>
    <m/>
    <s v="005ak00000icyWTAAY"/>
    <s v="2026-09-29T16:18:43.000Z"/>
    <m/>
    <m/>
    <s v="King"/>
    <x v="3"/>
    <s v="Anthony King"/>
    <s v="Sibling already enrolled."/>
    <s v="005ak00000icyWTAAY"/>
    <s v="(732) 555-7666"/>
    <s v="131ak000001XjDuAAK"/>
    <x v="3"/>
    <n v="14"/>
    <s v="2026-09-29T16:18:43.000Z"/>
    <m/>
    <s v="Anthony King|anthonyking11@outlook.com"/>
    <n v="1"/>
    <s v=""/>
    <x v="4"/>
    <s v="Brick"/>
  </r>
  <r>
    <m/>
    <s v="005ak00000icyWTAAY"/>
    <s v="2026-09-14T19:53:20.000Z"/>
    <s v="lmartin@yahoo.com"/>
    <s v="Layla"/>
    <d v="2026-08-17T00:00:00"/>
    <s v="Layla Martin"/>
    <s v="a09ak00002KAZZ7AAP"/>
    <d v="2026-08-12T00:00:00"/>
    <s v="INQ-0079"/>
    <s v="Cello"/>
    <b v="0"/>
    <m/>
    <s v="005ak00000icyWTAAY"/>
    <s v="2026-09-29T16:18:43.000Z"/>
    <m/>
    <m/>
    <s v="Martin"/>
    <x v="6"/>
    <s v="Layla Martin"/>
    <s v="Sibling already enrolled."/>
    <s v="005ak00000icyWTAAY"/>
    <s v="(732) 555-9476"/>
    <s v="131ak000001XjDuAAK"/>
    <x v="1"/>
    <n v="55"/>
    <s v="2026-09-29T16:18:43.000Z"/>
    <s v="a06ak00000amzC3AAI"/>
    <s v="Layla Martin|lmartin@yahoo.com"/>
    <n v="1"/>
    <n v="5"/>
    <x v="2"/>
    <s v="Brick"/>
  </r>
  <r>
    <m/>
    <s v="005ak00000icyWTAAY"/>
    <s v="2026-09-14T19:53:20.000Z"/>
    <s v="evelyn.silva@outlook.com"/>
    <s v="Evelyn"/>
    <d v="2026-05-03T00:00:00"/>
    <s v="Evelyn Silva"/>
    <s v="a09ak00002KAZZ8AAP"/>
    <d v="2026-05-03T00:00:00"/>
    <s v="INQ-0080"/>
    <s v="Cello"/>
    <b v="0"/>
    <m/>
    <s v="005ak00000icyWTAAY"/>
    <s v="2026-09-29T16:18:43.000Z"/>
    <m/>
    <m/>
    <s v="Silva"/>
    <x v="4"/>
    <s v="Evelyn Silva"/>
    <m/>
    <s v="005ak00000icyWTAAY"/>
    <s v="(732) 555-5415"/>
    <s v="131ak000001XjDuAAK"/>
    <x v="0"/>
    <n v="10"/>
    <s v="2026-09-29T16:18:43.000Z"/>
    <s v="a06ak00000amzBlAAI"/>
    <s v="Evelyn Silva|evelyn.silva@outlook.com"/>
    <n v="1"/>
    <n v="0"/>
    <x v="4"/>
    <s v="Brick"/>
  </r>
  <r>
    <m/>
    <s v="005ak00000icyWTAAY"/>
    <s v="2026-09-14T19:53:20.000Z"/>
    <s v="jordanwalker@icloud.com"/>
    <s v="Jordan"/>
    <d v="2026-08-06T00:00:00"/>
    <s v="Jordan Walker"/>
    <s v="a09ak00002KAZZ9AAP"/>
    <d v="2026-08-06T00:00:00"/>
    <s v="INQ-0081"/>
    <s v="Flute"/>
    <b v="0"/>
    <m/>
    <s v="005ak00000icyWTAAY"/>
    <s v="2026-09-29T16:18:43.000Z"/>
    <m/>
    <m/>
    <s v="Walker"/>
    <x v="6"/>
    <s v="Jordan Walker"/>
    <m/>
    <s v="005ak00000icyWTAAY"/>
    <s v="(732) 555-9087"/>
    <s v="131ak000001XjDuAAK"/>
    <x v="0"/>
    <n v="10"/>
    <s v="2026-09-29T16:18:43.000Z"/>
    <s v="a06ak00000amzBqAAI"/>
    <s v="Jordan Walker|jordanwalker@icloud.com"/>
    <n v="1"/>
    <n v="0"/>
    <x v="2"/>
    <s v="Brick"/>
  </r>
  <r>
    <m/>
    <s v="005ak00000icyWTAAY"/>
    <s v="2026-09-14T19:53:20.000Z"/>
    <s v="eroberts@gmail.com"/>
    <s v="Ella"/>
    <d v="2026-05-26T00:00:00"/>
    <s v="Ella Roberts"/>
    <s v="a09ak00002KAZZAAA5"/>
    <d v="2026-05-24T00:00:00"/>
    <s v="INQ-0082"/>
    <s v="Trumpet"/>
    <b v="0"/>
    <m/>
    <s v="005ak00000icyWTAAY"/>
    <s v="2026-09-29T16:18:43.000Z"/>
    <m/>
    <m/>
    <s v="Roberts"/>
    <x v="2"/>
    <s v="Ella Roberts"/>
    <s v="Wants evening slots only."/>
    <s v="005ak00000icyWTAAY"/>
    <s v="(732) 555-9328"/>
    <s v="131ak000001XjDtAAK"/>
    <x v="2"/>
    <n v="14"/>
    <s v="2026-09-29T16:18:43.000Z"/>
    <s v="a06ak00000amzBnAAI"/>
    <s v="Ella Roberts|eroberts@gmail.com"/>
    <n v="1"/>
    <n v="2"/>
    <x v="4"/>
    <s v="Red Bank"/>
  </r>
  <r>
    <m/>
    <s v="005ak00000icyWTAAY"/>
    <s v="2026-09-14T19:53:20.000Z"/>
    <s v="iyoung@yahoo.com"/>
    <s v="Isaac"/>
    <d v="2026-08-23T00:00:00"/>
    <s v="Isaac Young"/>
    <s v="a09ak00002KAZZBAA5"/>
    <d v="2026-08-18T00:00:00"/>
    <s v="INQ-0083"/>
    <s v="Voice"/>
    <b v="0"/>
    <m/>
    <s v="005ak00000icyWTAAY"/>
    <s v="2026-09-29T16:18:43.000Z"/>
    <m/>
    <m/>
    <s v="Young"/>
    <x v="2"/>
    <s v="Isaac Young"/>
    <s v="Asked about pricing."/>
    <s v="005ak00000icyWTAAY"/>
    <s v="(732) 555-4769"/>
    <s v="131ak000001XjDuAAK"/>
    <x v="0"/>
    <n v="8"/>
    <s v="2026-09-29T16:18:43.000Z"/>
    <s v="a06ak00000amzBhAAI"/>
    <s v="Isaac Young|iyoung@yahoo.com"/>
    <n v="1"/>
    <n v="5"/>
    <x v="2"/>
    <s v="Brick"/>
  </r>
  <r>
    <m/>
    <s v="005ak00000icyWTAAY"/>
    <s v="2026-09-14T19:53:20.000Z"/>
    <s v="riley.hernandez@hotmail.com"/>
    <s v="Riley"/>
    <d v="2026-04-08T00:00:00"/>
    <s v="Riley Hernandez"/>
    <s v="a09ak00002KAZZCAA5"/>
    <d v="2026-04-05T00:00:00"/>
    <s v="INQ-0084"/>
    <s v="Clarinet"/>
    <b v="0"/>
    <m/>
    <s v="005ak00000icyWTAAY"/>
    <s v="2026-09-29T16:18:43.000Z"/>
    <m/>
    <m/>
    <s v="Hernandez"/>
    <x v="5"/>
    <s v="Riley Hernandez"/>
    <s v="Beginner, no experience."/>
    <s v="005ak00000icyWTAAY"/>
    <s v="(732) 555-9460"/>
    <s v="131ak000001XjDvAAK"/>
    <x v="1"/>
    <n v="12"/>
    <s v="2026-09-29T16:18:43.000Z"/>
    <s v="a06ak00000amzC7AAI"/>
    <s v="Riley Hernandez|riley.hernandez@hotmail.com"/>
    <n v="1"/>
    <n v="3"/>
    <x v="6"/>
    <s v="Toms River"/>
  </r>
  <r>
    <m/>
    <s v="005ak00000icyWTAAY"/>
    <s v="2026-09-14T19:53:20.000Z"/>
    <s v="rohankim28@outlook.com"/>
    <s v="Rohan"/>
    <d v="2026-05-08T00:00:00"/>
    <s v="Rohan Kim"/>
    <s v="a09ak00002KAZZDAA5"/>
    <d v="2026-05-08T00:00:00"/>
    <s v="INQ-0085"/>
    <s v="Piano"/>
    <b v="0"/>
    <m/>
    <s v="005ak00000icyWTAAY"/>
    <s v="2026-09-29T16:18:43.000Z"/>
    <m/>
    <m/>
    <s v="Kim"/>
    <x v="2"/>
    <s v="Rohan Kim"/>
    <m/>
    <s v="005ak00000icyWTAAY"/>
    <s v="(732) 555-3156"/>
    <s v="131ak000001XjDvAAK"/>
    <x v="2"/>
    <n v="12"/>
    <s v="2026-09-29T16:18:43.000Z"/>
    <s v="a06ak00000amzBhAAI"/>
    <s v="Rohan Kim|rohankim28@outlook.com"/>
    <n v="1"/>
    <n v="0"/>
    <x v="4"/>
    <s v="Toms River"/>
  </r>
  <r>
    <m/>
    <s v="005ak00000icyWTAAY"/>
    <s v="2026-09-14T19:53:20.000Z"/>
    <s v="skylar.okafor@icloud.com"/>
    <s v="Skylar"/>
    <d v="2026-08-06T00:00:00"/>
    <s v="Skylar Okafor"/>
    <s v="a09ak00002KAZZEAA5"/>
    <d v="2026-08-04T00:00:00"/>
    <s v="INQ-0086"/>
    <s v="Violin"/>
    <b v="0"/>
    <m/>
    <s v="005ak00000icyWTAAY"/>
    <s v="2026-09-29T16:18:43.000Z"/>
    <m/>
    <m/>
    <s v="Okafor"/>
    <x v="4"/>
    <s v="Skylar Okafor"/>
    <s v="Beginner, no experience."/>
    <s v="005ak00000icyWTAAY"/>
    <s v="(732) 555-7444"/>
    <s v="131ak000001XjDuAAK"/>
    <x v="1"/>
    <n v="44"/>
    <s v="2026-09-29T16:18:43.000Z"/>
    <s v="a06ak00000amzBuAAI"/>
    <s v="Skylar Okafor|skylar.okafor@icloud.com"/>
    <n v="1"/>
    <n v="2"/>
    <x v="2"/>
    <s v="Brick"/>
  </r>
  <r>
    <m/>
    <s v="005ak00000icyWTAAY"/>
    <s v="2026-09-14T19:53:20.000Z"/>
    <s v="rileyroberts92@outlook.com"/>
    <s v="Riley"/>
    <d v="2026-06-01T00:00:00"/>
    <s v="Riley Roberts"/>
    <s v="a09ak00002KAZZFAA5"/>
    <d v="2026-06-01T00:00:00"/>
    <s v="INQ-0087"/>
    <s v="Piano"/>
    <b v="0"/>
    <m/>
    <s v="005ak00000icyWTAAY"/>
    <s v="2026-09-29T16:18:43.000Z"/>
    <m/>
    <m/>
    <s v="Roberts"/>
    <x v="7"/>
    <s v="Riley Roberts"/>
    <m/>
    <s v="005ak00000icyWTAAY"/>
    <s v="(732) 555-4588"/>
    <s v="131ak000001XjDtAAK"/>
    <x v="2"/>
    <n v="35"/>
    <s v="2026-09-29T16:18:43.000Z"/>
    <s v="a06ak00000amzBfAAI"/>
    <s v="Riley Roberts|rileyroberts92@outlook.com"/>
    <n v="1"/>
    <n v="0"/>
    <x v="3"/>
    <s v="Red Bank"/>
  </r>
  <r>
    <m/>
    <s v="005ak00000icyWTAAY"/>
    <s v="2026-09-14T19:53:20.000Z"/>
    <s v="levi.thomas@yahoo.com"/>
    <s v="Levi"/>
    <d v="2026-08-07T00:00:00"/>
    <s v="Levi Thomas"/>
    <s v="a09ak00002KAZZGAA5"/>
    <d v="2026-08-07T00:00:00"/>
    <s v="INQ-0088"/>
    <s v="Piano"/>
    <b v="0"/>
    <m/>
    <s v="005ak00000icyWTAAY"/>
    <s v="2026-09-29T16:18:43.000Z"/>
    <m/>
    <m/>
    <s v="Thomas"/>
    <x v="7"/>
    <s v="Levi Thomas"/>
    <m/>
    <s v="005ak00000icyWTAAY"/>
    <s v="(732) 555-7865"/>
    <s v="131ak000001XjDvAAK"/>
    <x v="2"/>
    <n v="16"/>
    <s v="2026-09-29T16:18:43.000Z"/>
    <s v="a06ak00000amzBrAAI"/>
    <s v="Levi Thomas|levi.thomas@yahoo.com"/>
    <n v="1"/>
    <n v="0"/>
    <x v="2"/>
    <s v="Toms River"/>
  </r>
  <r>
    <m/>
    <s v="005ak00000icyWTAAY"/>
    <s v="2026-09-14T19:53:20.000Z"/>
    <s v="jordananderson42@gmail.com"/>
    <s v="Jordan"/>
    <d v="2026-07-05T00:00:00"/>
    <s v="Jordan Anderson"/>
    <s v="a09ak00002KAZZHAA5"/>
    <d v="2026-07-05T00:00:00"/>
    <s v="INQ-0089"/>
    <s v="Bass Guitar"/>
    <b v="0"/>
    <m/>
    <s v="005ak00000icyWTAAY"/>
    <s v="2026-09-29T16:18:43.000Z"/>
    <m/>
    <m/>
    <s v="Anderson"/>
    <x v="6"/>
    <s v="Jordan Anderson"/>
    <s v="Transferring from another school."/>
    <s v="005ak00000icyWTAAY"/>
    <s v="(732) 555-8613"/>
    <s v="131ak000001XjDtAAK"/>
    <x v="1"/>
    <n v="44"/>
    <s v="2026-09-29T16:18:43.000Z"/>
    <s v="a06ak00000amzBpAAI"/>
    <s v="Jordan Anderson|jordananderson42@gmail.com"/>
    <n v="1"/>
    <n v="0"/>
    <x v="5"/>
    <s v="Red Bank"/>
  </r>
  <r>
    <m/>
    <s v="005ak00000icyWTAAY"/>
    <s v="2026-09-14T19:53:20.000Z"/>
    <s v="sebastianmiller47@hotmail.com"/>
    <s v="Sebastian"/>
    <m/>
    <s v="Sebastian Miller"/>
    <s v="a09ak00002KAZZIAA5"/>
    <d v="2026-06-26T00:00:00"/>
    <s v="INQ-0090"/>
    <s v="Drums"/>
    <b v="0"/>
    <m/>
    <s v="005ak00000icyWTAAY"/>
    <s v="2026-09-29T16:18:43.000Z"/>
    <m/>
    <m/>
    <s v="Miller"/>
    <x v="7"/>
    <s v="Sebastian Miller"/>
    <s v="Sibling already enrolled."/>
    <s v="005ak00000icyWTAAY"/>
    <s v="(732) 555-5773"/>
    <s v="131ak000001XjDtAAK"/>
    <x v="3"/>
    <n v="55"/>
    <s v="2026-09-29T16:18:43.000Z"/>
    <m/>
    <s v="Sebastian Miller|sebastianmiller47@hotmail.com"/>
    <n v="1"/>
    <s v=""/>
    <x v="3"/>
    <s v="Red Bank"/>
  </r>
  <r>
    <m/>
    <s v="005ak00000icyWTAAY"/>
    <s v="2026-09-14T19:53:20.000Z"/>
    <s v="brooklynperez@hotmail.com"/>
    <s v="Brooklyn"/>
    <d v="2026-05-05T00:00:00"/>
    <s v="Brooklyn Perez"/>
    <s v="a09ak00002KAZZJAA5"/>
    <d v="2026-05-04T00:00:00"/>
    <s v="INQ-0091"/>
    <s v="Piano"/>
    <b v="0"/>
    <m/>
    <s v="005ak00000icyWTAAY"/>
    <s v="2026-09-29T16:18:43.000Z"/>
    <m/>
    <m/>
    <s v="Perez"/>
    <x v="7"/>
    <s v="Brooklyn Perez"/>
    <s v="Asked about pricing."/>
    <s v="005ak00000icyWTAAY"/>
    <s v="(732) 555-4074"/>
    <s v="131ak000001XjDtAAK"/>
    <x v="0"/>
    <n v="16"/>
    <s v="2026-09-29T16:18:43.000Z"/>
    <s v="a06ak00000amzBfAAI"/>
    <s v="Brooklyn Perez|brooklynperez@hotmail.com"/>
    <n v="1"/>
    <n v="1"/>
    <x v="4"/>
    <s v="Red Bank"/>
  </r>
  <r>
    <m/>
    <s v="005ak00000icyWTAAY"/>
    <s v="2026-09-14T19:53:20.000Z"/>
    <s v="meiokafor@icloud.com"/>
    <s v="Mei"/>
    <d v="2026-05-16T00:00:00"/>
    <s v="Mei Okafor"/>
    <s v="a09ak00002KAZZKAA5"/>
    <d v="2026-05-15T00:00:00"/>
    <s v="INQ-0092"/>
    <s v="Ukulele"/>
    <b v="0"/>
    <m/>
    <s v="005ak00000icyWTAAY"/>
    <s v="2026-09-29T16:18:43.000Z"/>
    <m/>
    <m/>
    <s v="Okafor"/>
    <x v="3"/>
    <s v="Mei Okafor"/>
    <s v="Sibling already enrolled."/>
    <s v="005ak00000icyWTAAY"/>
    <s v="(732) 555-2431"/>
    <s v="131ak000001XjDtAAK"/>
    <x v="0"/>
    <n v="44"/>
    <s v="2026-09-29T16:18:43.000Z"/>
    <s v="a06ak00000amzBeAAI"/>
    <s v="Mei Okafor|meiokafor@icloud.com"/>
    <n v="1"/>
    <n v="1"/>
    <x v="4"/>
    <s v="Red Bank"/>
  </r>
  <r>
    <m/>
    <s v="005ak00000icyWTAAY"/>
    <s v="2026-09-14T19:53:20.000Z"/>
    <s v="santiagolee81@gmail.com"/>
    <s v="Santiago"/>
    <d v="2026-05-18T00:00:00"/>
    <s v="Santiago Lee"/>
    <s v="a09ak00002KAZZLAA5"/>
    <d v="2026-05-13T00:00:00"/>
    <s v="INQ-0093"/>
    <s v="Guitar"/>
    <b v="0"/>
    <m/>
    <s v="005ak00000icyWTAAY"/>
    <s v="2026-09-29T16:18:43.000Z"/>
    <m/>
    <m/>
    <s v="Lee"/>
    <x v="0"/>
    <s v="Santiago Lee"/>
    <s v="Sibling already enrolled."/>
    <s v="005ak00000icyWTAAY"/>
    <s v="(732) 555-4494"/>
    <s v="131ak000001XjDvAAK"/>
    <x v="1"/>
    <n v="8"/>
    <s v="2026-09-29T16:18:43.000Z"/>
    <s v="a06ak00000amzBoAAI"/>
    <s v="Santiago Lee|santiagolee81@gmail.com"/>
    <n v="1"/>
    <n v="5"/>
    <x v="4"/>
    <s v="Toms River"/>
  </r>
  <r>
    <m/>
    <s v="005ak00000icyWTAAY"/>
    <s v="2026-09-14T19:53:20.000Z"/>
    <s v="harperwilliams34@outlook.com"/>
    <s v="Harper"/>
    <d v="2026-03-03T00:00:00"/>
    <s v="Harper Williams"/>
    <s v="a09ak00002KAZZMAA5"/>
    <d v="2026-02-28T00:00:00"/>
    <s v="INQ-0094"/>
    <s v="Saxophone"/>
    <b v="0"/>
    <m/>
    <s v="005ak00000icyWTAAY"/>
    <s v="2026-09-29T16:18:43.000Z"/>
    <m/>
    <m/>
    <s v="Williams"/>
    <x v="4"/>
    <s v="Harper Williams"/>
    <s v="Asked about pricing."/>
    <s v="005ak00000icyWTAAY"/>
    <s v="(732) 555-8523"/>
    <s v="131ak000001XjDtAAK"/>
    <x v="0"/>
    <n v="8"/>
    <s v="2026-09-29T16:18:43.000Z"/>
    <s v="a06ak00000amzBpAAI"/>
    <s v="Harper Williams|harperwilliams34@outlook.com"/>
    <n v="1"/>
    <n v="3"/>
    <x v="0"/>
    <s v="Red Bank"/>
  </r>
  <r>
    <m/>
    <s v="005ak00000icyWTAAY"/>
    <s v="2026-09-14T19:53:20.000Z"/>
    <s v="sebastianjohnson74@icloud.com"/>
    <s v="Sebastian"/>
    <d v="2026-03-13T00:00:00"/>
    <s v="Sebastian Johnson"/>
    <s v="a09ak00002KAZZNAA5"/>
    <d v="2026-03-11T00:00:00"/>
    <s v="INQ-0095"/>
    <s v="Piano"/>
    <b v="0"/>
    <m/>
    <s v="005ak00000icyWTAAY"/>
    <s v="2026-09-29T16:18:43.000Z"/>
    <m/>
    <m/>
    <s v="Johnson"/>
    <x v="4"/>
    <s v="Sebastian Johnson"/>
    <s v="Transferring from another school."/>
    <s v="005ak00000icyWTAAY"/>
    <s v="(732) 555-9896"/>
    <s v="131ak000001XjDtAAK"/>
    <x v="1"/>
    <n v="44"/>
    <s v="2026-09-29T16:18:43.000Z"/>
    <s v="a06ak00000amzC5AAI"/>
    <s v="Sebastian Johnson|sebastianjohnson74@icloud.com"/>
    <n v="1"/>
    <n v="2"/>
    <x v="1"/>
    <s v="Red Bank"/>
  </r>
  <r>
    <m/>
    <s v="005ak00000icyWTAAY"/>
    <s v="2026-09-14T19:53:20.000Z"/>
    <s v="matthewhill32@icloud.com"/>
    <s v="Matthew"/>
    <d v="2026-04-21T00:00:00"/>
    <s v="Matthew Hill"/>
    <s v="a09ak00002KAZZOAA5"/>
    <d v="2026-04-18T00:00:00"/>
    <s v="INQ-0096"/>
    <s v="Violin"/>
    <b v="0"/>
    <m/>
    <s v="005ak00000icyWTAAY"/>
    <s v="2026-09-29T16:18:43.000Z"/>
    <m/>
    <m/>
    <s v="Hill"/>
    <x v="6"/>
    <s v="Matthew Hill"/>
    <s v="Asked about pricing."/>
    <s v="005ak00000icyWTAAY"/>
    <s v="(732) 555-7666"/>
    <s v="131ak000001XjDtAAK"/>
    <x v="1"/>
    <n v="55"/>
    <s v="2026-09-29T16:18:43.000Z"/>
    <s v="a06ak00000amzC0AAI"/>
    <s v="Matthew Hill|matthewhill32@icloud.com"/>
    <n v="2"/>
    <n v="3"/>
    <x v="6"/>
    <s v="Red Bank"/>
  </r>
  <r>
    <m/>
    <s v="005ak00000icyWTAAY"/>
    <s v="2026-09-14T19:53:20.000Z"/>
    <s v="nova.brown@icloud.com"/>
    <s v="Nova"/>
    <d v="2026-06-30T00:00:00"/>
    <s v="Nova Brown"/>
    <s v="a09ak00002KAZZPAA5"/>
    <d v="2026-06-29T00:00:00"/>
    <s v="INQ-0097"/>
    <s v="Bass Guitar"/>
    <b v="0"/>
    <m/>
    <s v="005ak00000icyWTAAY"/>
    <s v="2026-09-29T16:18:43.000Z"/>
    <m/>
    <m/>
    <s v="Brown"/>
    <x v="3"/>
    <s v="Nova Brown"/>
    <s v="Asked about pricing."/>
    <s v="005ak00000icyWTAAY"/>
    <s v="(732) 555-9962"/>
    <s v="131ak000001XjDtAAK"/>
    <x v="0"/>
    <n v="10"/>
    <s v="2026-09-29T16:18:43.000Z"/>
    <s v="a06ak00000amzC9AAI"/>
    <s v="Nova Brown|nova.brown@icloud.com"/>
    <n v="1"/>
    <n v="1"/>
    <x v="3"/>
    <s v="Red Bank"/>
  </r>
  <r>
    <m/>
    <s v="005ak00000icyWTAAY"/>
    <s v="2026-09-14T19:53:20.000Z"/>
    <s v="milesbyrne@gmail.com"/>
    <s v="Miles"/>
    <d v="2026-02-04T00:00:00"/>
    <s v="Miles Byrne"/>
    <s v="a09ak00002KAZZQAA5"/>
    <d v="2026-02-04T00:00:00"/>
    <s v="INQ-0098"/>
    <s v="Trumpet"/>
    <b v="0"/>
    <m/>
    <s v="005ak00000icyWTAAY"/>
    <s v="2026-09-29T16:18:43.000Z"/>
    <m/>
    <m/>
    <s v="Byrne"/>
    <x v="1"/>
    <s v="Miles Byrne"/>
    <s v="Transferring from another school."/>
    <s v="005ak00000icyWTAAY"/>
    <s v="(732) 555-7394"/>
    <s v="131ak000001XjDtAAK"/>
    <x v="0"/>
    <n v="35"/>
    <s v="2026-09-29T16:18:43.000Z"/>
    <s v="a06ak00000amzCMAAY"/>
    <s v="Miles Byrne|milesbyrne@gmail.com"/>
    <n v="1"/>
    <n v="0"/>
    <x v="0"/>
    <s v="Red Bank"/>
  </r>
  <r>
    <m/>
    <s v="005ak00000icyWTAAY"/>
    <s v="2026-09-14T19:53:20.000Z"/>
    <s v="tylerthomas@outlook.com"/>
    <s v="Tyler"/>
    <d v="2026-09-28T00:00:00"/>
    <s v="Tyler Thomas"/>
    <s v="a09ak00002KAgMPAA1"/>
    <d v="2026-03-13T00:00:00"/>
    <s v="INQ-0100"/>
    <s v="Ukulele"/>
    <b v="0"/>
    <d v="2026-09-28T00:00:00"/>
    <s v="005ak00000icyWTAAY"/>
    <s v="2026-09-29T16:18:43.000Z"/>
    <s v="2026-09-29T00:31:40.000Z"/>
    <s v="2026-09-29T00:31:40.000Z"/>
    <s v="Thomas"/>
    <x v="4"/>
    <s v="Tyler Thomas"/>
    <s v="Transferring from another school."/>
    <s v="005ak00000icyWTAAY"/>
    <s v="(732) 555-1232"/>
    <s v="131ak000001XjDuAAK"/>
    <x v="4"/>
    <n v="14"/>
    <s v="2026-09-29T16:18:43.000Z"/>
    <s v="a06ak00000amzBnAAI"/>
    <s v="Tyler Thomas|tylerthomas@outlook.com"/>
    <n v="1"/>
    <n v="199"/>
    <x v="1"/>
    <s v="Brick"/>
  </r>
  <r>
    <m/>
    <s v="005ak00000icyWTAAY"/>
    <s v="2026-09-14T19:53:20.000Z"/>
    <s v="declanmartin48@yahoo.com"/>
    <s v="Declan"/>
    <d v="2026-08-23T00:00:00"/>
    <s v="Declan Martin"/>
    <s v="a09ak00002KAgMQAA1"/>
    <d v="2026-08-23T00:00:00"/>
    <s v="INQ-0101"/>
    <s v="Guitar"/>
    <b v="0"/>
    <m/>
    <s v="005ak00000icyWTAAY"/>
    <s v="2026-09-29T16:18:43.000Z"/>
    <m/>
    <m/>
    <s v="Martin"/>
    <x v="5"/>
    <s v="Declan Martin"/>
    <m/>
    <s v="005ak00000icyWTAAY"/>
    <s v="(732) 555-7452"/>
    <s v="131ak000001XjDuAAK"/>
    <x v="0"/>
    <n v="14"/>
    <s v="2026-09-29T16:18:43.000Z"/>
    <s v="a06ak00000amzCJAAY"/>
    <s v="Declan Martin|declanmartin48@yahoo.com"/>
    <n v="1"/>
    <n v="0"/>
    <x v="2"/>
    <s v="Brick"/>
  </r>
  <r>
    <m/>
    <s v="005ak00000icyWTAAY"/>
    <s v="2026-09-14T19:53:20.000Z"/>
    <s v="ethanharris38@yahoo.com"/>
    <s v="Ethan"/>
    <d v="2026-06-18T00:00:00"/>
    <s v="Ethan Harris"/>
    <s v="a09ak00002KAgMRAA1"/>
    <d v="2026-06-09T00:00:00"/>
    <s v="INQ-0102"/>
    <s v="Saxophone"/>
    <b v="0"/>
    <m/>
    <s v="005ak00000icyWTAAY"/>
    <s v="2026-09-29T16:18:43.000Z"/>
    <m/>
    <m/>
    <s v="Harris"/>
    <x v="5"/>
    <s v="Ethan Harris"/>
    <s v="Sibling already enrolled."/>
    <s v="005ak00000icyWTAAY"/>
    <s v="(732) 555-5595"/>
    <s v="131ak000001XjDuAAK"/>
    <x v="2"/>
    <n v="10"/>
    <s v="2026-09-29T16:18:43.000Z"/>
    <s v="a06ak00000amzC2AAI"/>
    <s v="Ethan Harris|ethanharris38@yahoo.com"/>
    <n v="1"/>
    <n v="9"/>
    <x v="3"/>
    <s v="Brick"/>
  </r>
  <r>
    <m/>
    <s v="005ak00000icyWTAAY"/>
    <s v="2026-09-14T19:53:20.000Z"/>
    <s v="lrodriguez@icloud.com"/>
    <s v="Lucy"/>
    <d v="2026-02-21T00:00:00"/>
    <s v="Lucy Rodriguez"/>
    <s v="a09ak00002KAgMSAA1"/>
    <d v="2026-02-21T00:00:00"/>
    <s v="INQ-0103"/>
    <s v="Violin"/>
    <b v="0"/>
    <m/>
    <s v="005ak00000icyWTAAY"/>
    <s v="2026-09-29T16:18:43.000Z"/>
    <m/>
    <m/>
    <s v="Rodriguez"/>
    <x v="0"/>
    <s v="Lucy Rodriguez"/>
    <s v="Beginner, no experience."/>
    <s v="005ak00000icyWTAAY"/>
    <s v="(732) 555-7004"/>
    <s v="131ak000001XjDvAAK"/>
    <x v="1"/>
    <n v="35"/>
    <s v="2026-09-29T16:18:43.000Z"/>
    <s v="a06ak00000amzBhAAI"/>
    <s v="Lucy Rodriguez|lrodriguez@icloud.com"/>
    <n v="1"/>
    <n v="0"/>
    <x v="0"/>
    <s v="Toms River"/>
  </r>
  <r>
    <m/>
    <s v="005ak00000icyWTAAY"/>
    <s v="2026-09-14T19:53:20.000Z"/>
    <s v="miaflores@yahoo.com"/>
    <s v="Mia"/>
    <m/>
    <s v="Mia Flores"/>
    <s v="a09ak00002KAgMTAA1"/>
    <d v="2026-02-17T00:00:00"/>
    <s v="INQ-0104"/>
    <s v="Cello"/>
    <b v="0"/>
    <m/>
    <s v="005ak00000icyWTAAY"/>
    <s v="2026-09-29T16:18:43.000Z"/>
    <m/>
    <m/>
    <s v="Flores"/>
    <x v="6"/>
    <s v="Mia Flores"/>
    <s v="Transferring from another school."/>
    <s v="005ak00000icyWTAAY"/>
    <s v="(732) 555-4243"/>
    <s v="131ak000001XjDtAAK"/>
    <x v="3"/>
    <n v="8"/>
    <s v="2026-09-29T16:18:43.000Z"/>
    <m/>
    <s v="Mia Flores|miaflores@yahoo.com"/>
    <n v="1"/>
    <s v=""/>
    <x v="0"/>
    <s v="Red Bank"/>
  </r>
  <r>
    <m/>
    <s v="005ak00000icyWTAAY"/>
    <s v="2026-09-14T19:53:20.000Z"/>
    <s v="jameshill@gmail.com"/>
    <s v="James"/>
    <d v="2026-02-14T00:00:00"/>
    <s v="James Hill"/>
    <s v="a09ak00002KAgMUAA1"/>
    <d v="2026-02-11T00:00:00"/>
    <s v="INQ-0105"/>
    <s v="Flute"/>
    <b v="0"/>
    <m/>
    <s v="005ak00000icyWTAAY"/>
    <s v="2026-09-29T16:18:43.000Z"/>
    <m/>
    <m/>
    <s v="Hill"/>
    <x v="6"/>
    <s v="James Hill"/>
    <m/>
    <s v="005ak00000icyWTAAY"/>
    <s v="(732) 555-7296"/>
    <s v="131ak000001XjDvAAK"/>
    <x v="2"/>
    <n v="10"/>
    <s v="2026-09-29T16:18:43.000Z"/>
    <s v="a06ak00000amzBhAAI"/>
    <s v="James Hill|jameshill@gmail.com"/>
    <n v="1"/>
    <n v="3"/>
    <x v="0"/>
    <s v="Toms River"/>
  </r>
  <r>
    <m/>
    <s v="005ak00000icyWTAAY"/>
    <s v="2026-09-14T19:53:20.000Z"/>
    <s v="meijones41@outlook.com"/>
    <s v="Mei"/>
    <m/>
    <s v="Mei Jones"/>
    <s v="a09ak00002KAgMVAA1"/>
    <d v="2026-05-13T00:00:00"/>
    <s v="INQ-0106"/>
    <s v="Guitar"/>
    <b v="0"/>
    <m/>
    <s v="005ak00000icyWTAAY"/>
    <s v="2026-09-29T16:18:43.000Z"/>
    <s v="2026-09-29T06:02:38.000Z"/>
    <s v="2026-09-29T06:02:38.000Z"/>
    <s v="Jones"/>
    <x v="3"/>
    <s v="Mei Jones"/>
    <s v="Beginner, no experience."/>
    <s v="005ak00000icyWTAAY"/>
    <s v="(732) 555-5642"/>
    <s v="131ak000001XjDuAAK"/>
    <x v="3"/>
    <n v="35"/>
    <s v="2026-09-29T16:18:43.000Z"/>
    <m/>
    <s v="Mei Jones|meijones41@outlook.com"/>
    <n v="1"/>
    <s v=""/>
    <x v="4"/>
    <s v="Brick"/>
  </r>
  <r>
    <m/>
    <s v="005ak00000icyWTAAY"/>
    <s v="2026-09-14T19:53:20.000Z"/>
    <s v="declandavis31@outlook.com"/>
    <s v="Declan"/>
    <d v="2026-05-17T00:00:00"/>
    <s v="Declan Davis"/>
    <s v="a09ak00002KAgMWAA1"/>
    <d v="2026-05-17T00:00:00"/>
    <s v="INQ-0107"/>
    <s v="Ukulele"/>
    <b v="0"/>
    <m/>
    <s v="005ak00000icyWTAAY"/>
    <s v="2026-09-29T16:18:43.000Z"/>
    <m/>
    <m/>
    <s v="Davis"/>
    <x v="6"/>
    <s v="Declan Davis"/>
    <m/>
    <s v="005ak00000icyWTAAY"/>
    <s v="(732) 555-8076"/>
    <s v="131ak000001XjDtAAK"/>
    <x v="2"/>
    <n v="28"/>
    <s v="2026-09-29T16:18:43.000Z"/>
    <s v="a06ak00000amzCIAAY"/>
    <s v="Declan Davis|declandavis31@outlook.com"/>
    <n v="1"/>
    <n v="0"/>
    <x v="4"/>
    <s v="Red Bank"/>
  </r>
  <r>
    <m/>
    <s v="005ak00000icyWTAAY"/>
    <s v="2026-09-14T19:53:20.000Z"/>
    <s v="cgarcia@hotmail.com"/>
    <s v="Claire"/>
    <d v="2026-03-13T00:00:00"/>
    <s v="Claire Garcia"/>
    <s v="a09ak00002KAgMXAA1"/>
    <d v="2026-03-11T00:00:00"/>
    <s v="INQ-0108"/>
    <s v="Saxophone"/>
    <b v="0"/>
    <m/>
    <s v="005ak00000icyWTAAY"/>
    <s v="2026-09-29T16:18:43.000Z"/>
    <m/>
    <m/>
    <s v="Garcia"/>
    <x v="3"/>
    <s v="Claire Garcia"/>
    <m/>
    <s v="005ak00000icyWTAAY"/>
    <s v="(732) 555-1967"/>
    <s v="131ak000001XjDuAAK"/>
    <x v="2"/>
    <n v="8"/>
    <s v="2026-09-29T16:18:43.000Z"/>
    <s v="a06ak00000amzBqAAI"/>
    <s v="Claire Garcia|cgarcia@hotmail.com"/>
    <n v="1"/>
    <n v="2"/>
    <x v="1"/>
    <s v="Brick"/>
  </r>
  <r>
    <m/>
    <s v="005ak00000icyWTAAY"/>
    <s v="2026-09-14T19:53:20.000Z"/>
    <s v="lucas.baker@icloud.com"/>
    <s v="Lucas"/>
    <d v="2026-04-13T00:00:00"/>
    <s v="Lucas Baker"/>
    <s v="a09ak00002KAgMYAA1"/>
    <d v="2026-04-13T00:00:00"/>
    <s v="INQ-0110"/>
    <s v="Drums"/>
    <b v="0"/>
    <m/>
    <s v="005ak00000icyWTAAY"/>
    <s v="2026-09-29T16:18:43.000Z"/>
    <m/>
    <m/>
    <s v="Baker"/>
    <x v="4"/>
    <s v="Lucas Baker"/>
    <s v="Transferring from another school."/>
    <s v="005ak00000icyWTAAY"/>
    <s v="(732) 555-6397"/>
    <s v="131ak000001XjDuAAK"/>
    <x v="1"/>
    <n v="28"/>
    <s v="2026-09-29T16:18:43.000Z"/>
    <s v="a06ak00000amzByAAI"/>
    <s v="Lucas Baker|lucas.baker@icloud.com"/>
    <n v="1"/>
    <n v="0"/>
    <x v="6"/>
    <s v="Brick"/>
  </r>
  <r>
    <m/>
    <s v="005ak00000icyWTAAY"/>
    <s v="2026-09-14T19:53:20.000Z"/>
    <s v="theodubois49@hotmail.com"/>
    <s v="Theo"/>
    <d v="2026-07-20T00:00:00"/>
    <s v="Theo Dubois"/>
    <s v="a09ak00002KAgMZAA1"/>
    <d v="2026-07-20T00:00:00"/>
    <s v="INQ-0111"/>
    <s v="Voice"/>
    <b v="0"/>
    <m/>
    <s v="005ak00000icyWTAAY"/>
    <s v="2026-09-29T16:18:43.000Z"/>
    <m/>
    <m/>
    <s v="Dubois"/>
    <x v="1"/>
    <s v="Theo Dubois"/>
    <s v="Asked about pricing."/>
    <s v="005ak00000icyWTAAY"/>
    <s v="(732) 555-2637"/>
    <s v="131ak000001XjDuAAK"/>
    <x v="0"/>
    <m/>
    <s v="2026-09-29T16:18:43.000Z"/>
    <s v="a06ak00000amzBmAAI"/>
    <s v="Theo Dubois|theodubois49@hotmail.com"/>
    <n v="1"/>
    <n v="0"/>
    <x v="5"/>
    <s v="Brick"/>
  </r>
  <r>
    <m/>
    <s v="005ak00000icyWTAAY"/>
    <s v="2026-09-14T19:53:20.000Z"/>
    <s v="noahnovak75@yahoo.com"/>
    <s v="Noah"/>
    <d v="2026-05-17T00:00:00"/>
    <s v="Noah Novak"/>
    <s v="a09ak00002KAgMaAAL"/>
    <d v="2026-05-14T00:00:00"/>
    <s v="INQ-0112"/>
    <s v="Saxophone"/>
    <b v="0"/>
    <m/>
    <s v="005ak00000icyWTAAY"/>
    <s v="2026-09-29T16:18:43.000Z"/>
    <s v="2026-09-28T16:44:06.000Z"/>
    <s v="2026-09-28T16:44:06.000Z"/>
    <s v="Novak"/>
    <x v="4"/>
    <s v="Noah Novak"/>
    <s v="Sibling already enrolled."/>
    <s v="005ak00000icyWTAAY"/>
    <s v="(732) 555-7333"/>
    <s v="131ak000001XjDtAAK"/>
    <x v="0"/>
    <n v="28"/>
    <s v="2026-09-29T16:18:43.000Z"/>
    <s v="a06ak00000amzBsAAI"/>
    <s v="Noah Novak|noahnovak75@yahoo.com"/>
    <n v="1"/>
    <n v="3"/>
    <x v="4"/>
    <s v="Red Bank"/>
  </r>
  <r>
    <m/>
    <s v="005ak00000icyWTAAY"/>
    <s v="2026-09-14T19:53:20.000Z"/>
    <s v="kennedygarcia45@hotmail.com"/>
    <s v="Kennedy"/>
    <m/>
    <s v="Kennedy Garcia"/>
    <s v="a09ak00002KAgMbAAL"/>
    <d v="2026-04-07T00:00:00"/>
    <s v="INQ-0113"/>
    <s v="Voice"/>
    <b v="0"/>
    <m/>
    <s v="005ak00000icyWTAAY"/>
    <s v="2026-09-29T16:18:43.000Z"/>
    <s v="2026-09-29T06:19:11.000Z"/>
    <s v="2026-09-29T06:19:11.000Z"/>
    <s v="Garcia"/>
    <x v="5"/>
    <s v="Kennedy Garcia"/>
    <s v="Beginner, no experience."/>
    <s v="005ak00000icyWTAAY"/>
    <s v="(732) 555-5804"/>
    <s v="131ak000001XjDuAAK"/>
    <x v="3"/>
    <n v="44"/>
    <s v="2026-09-29T16:18:43.000Z"/>
    <m/>
    <s v="Kennedy Garcia|kennedygarcia45@hotmail.com"/>
    <n v="1"/>
    <s v=""/>
    <x v="6"/>
    <s v="Brick"/>
  </r>
  <r>
    <m/>
    <s v="005ak00000icyWTAAY"/>
    <s v="2026-09-14T19:53:20.000Z"/>
    <s v="vincentlee5@gmail.com"/>
    <s v="Vincent"/>
    <m/>
    <s v="Vincent Lee"/>
    <s v="a09ak00002KAgMcAAL"/>
    <d v="2026-08-19T00:00:00"/>
    <s v="INQ-0114"/>
    <s v="Piano"/>
    <b v="0"/>
    <m/>
    <s v="005ak00000icyWTAAY"/>
    <s v="2026-09-29T16:18:43.000Z"/>
    <s v="2026-09-29T06:02:33.000Z"/>
    <s v="2026-09-29T06:02:33.000Z"/>
    <s v="Lee"/>
    <x v="0"/>
    <s v="Vincent Lee"/>
    <m/>
    <s v="005ak00000icyWTAAY"/>
    <s v="(732) 555-3133"/>
    <s v="131ak000001XjDtAAK"/>
    <x v="3"/>
    <n v="10"/>
    <s v="2026-09-29T16:18:43.000Z"/>
    <m/>
    <s v="Vincent Lee|vincentlee5@gmail.com"/>
    <n v="1"/>
    <s v=""/>
    <x v="2"/>
    <s v="Red Bank"/>
  </r>
  <r>
    <m/>
    <s v="005ak00000icyWTAAY"/>
    <s v="2026-09-14T19:53:20.000Z"/>
    <s v="sofiarossi@hotmail.com"/>
    <s v="Sofia"/>
    <d v="2026-03-28T00:00:00"/>
    <s v="Sofia Rossi"/>
    <s v="a09ak00002KAgMdAAL"/>
    <d v="2026-03-28T00:00:00"/>
    <s v="INQ-0115"/>
    <s v="Trumpet"/>
    <b v="0"/>
    <m/>
    <s v="005ak00000icyWTAAY"/>
    <s v="2026-09-29T16:18:43.000Z"/>
    <m/>
    <m/>
    <s v="Rossi"/>
    <x v="6"/>
    <s v="Sofia Rossi"/>
    <s v="Transferring from another school."/>
    <s v="005ak00000icyWTAAY"/>
    <s v="(732) 555-2076"/>
    <s v="131ak000001XjDvAAK"/>
    <x v="0"/>
    <n v="16"/>
    <s v="2026-09-29T16:18:43.000Z"/>
    <s v="a06ak00000amzC9AAI"/>
    <s v="Sofia Rossi|sofiarossi@hotmail.com"/>
    <n v="1"/>
    <n v="0"/>
    <x v="1"/>
    <s v="Toms River"/>
  </r>
  <r>
    <m/>
    <s v="005ak00000icyWTAAY"/>
    <s v="2026-09-14T19:53:20.000Z"/>
    <s v="lilyokafor56@outlook.com"/>
    <s v="Lily"/>
    <d v="2026-02-26T00:00:00"/>
    <s v="Lily Okafor"/>
    <s v="a09ak00002KAgMeAAL"/>
    <d v="2026-02-26T00:00:00"/>
    <s v="INQ-0116"/>
    <s v="Violin"/>
    <b v="0"/>
    <m/>
    <s v="005ak00000icyWTAAY"/>
    <s v="2026-09-29T16:18:43.000Z"/>
    <m/>
    <m/>
    <s v="Okafor"/>
    <x v="1"/>
    <s v="Lily Okafor"/>
    <s v="Transferring from another school."/>
    <s v="005ak00000icyWTAAY"/>
    <s v="(732) 555-5980"/>
    <s v="131ak000001XjDtAAK"/>
    <x v="0"/>
    <n v="10"/>
    <s v="2026-09-29T16:18:43.000Z"/>
    <s v="a06ak00000amzBqAAI"/>
    <s v="Lily Okafor|lilyokafor56@outlook.com"/>
    <n v="1"/>
    <n v="0"/>
    <x v="0"/>
    <s v="Red Bank"/>
  </r>
  <r>
    <m/>
    <s v="005ak00000icyWTAAY"/>
    <s v="2026-09-14T19:53:20.000Z"/>
    <s v="henryrodriguez97@icloud.com"/>
    <s v="Henry"/>
    <d v="2026-06-11T00:00:00"/>
    <s v="Henry Rodriguez"/>
    <s v="a09ak00002KAgMfAAL"/>
    <d v="2026-06-08T00:00:00"/>
    <s v="INQ-0117"/>
    <s v="Ukulele"/>
    <b v="0"/>
    <m/>
    <s v="005ak00000icyWTAAY"/>
    <s v="2026-09-29T16:18:43.000Z"/>
    <m/>
    <m/>
    <s v="Rodriguez"/>
    <x v="2"/>
    <s v="Henry Rodriguez"/>
    <s v="Transferring from another school."/>
    <s v="005ak00000icyWTAAY"/>
    <s v="(732) 555-1059"/>
    <s v="131ak000001XjDuAAK"/>
    <x v="1"/>
    <n v="55"/>
    <s v="2026-09-29T16:18:43.000Z"/>
    <s v="a06ak00000amzCMAAY"/>
    <s v="Henry Rodriguez|henryrodriguez97@icloud.com"/>
    <n v="1"/>
    <n v="3"/>
    <x v="3"/>
    <s v="Brick"/>
  </r>
  <r>
    <m/>
    <s v="005ak00000icyWTAAY"/>
    <s v="2026-09-14T19:53:20.000Z"/>
    <s v="genesisrivera@gmail.com"/>
    <s v="Genesis"/>
    <d v="2026-09-28T00:00:00"/>
    <s v="Genesis Rivera"/>
    <s v="a09ak00002KAgMgAAL"/>
    <d v="2026-04-24T00:00:00"/>
    <s v="INQ-0118"/>
    <s v="Trumpet"/>
    <b v="0"/>
    <d v="2026-09-28T00:00:00"/>
    <s v="005ak00000icyWTAAY"/>
    <s v="2026-09-29T16:18:43.000Z"/>
    <s v="2026-09-28T16:40:58.000Z"/>
    <s v="2026-09-28T16:40:58.000Z"/>
    <s v="Rivera"/>
    <x v="4"/>
    <s v="Genesis Rivera"/>
    <s v="Transferring from another school."/>
    <s v="005ak00000icyWTAAY"/>
    <s v="(732) 555-8976"/>
    <s v="131ak000001XjDtAAK"/>
    <x v="5"/>
    <n v="14"/>
    <s v="2026-09-29T16:18:43.000Z"/>
    <m/>
    <s v="Genesis Rivera|genesisrivera@gmail.com"/>
    <n v="1"/>
    <n v="157"/>
    <x v="6"/>
    <s v="Red Bank"/>
  </r>
  <r>
    <m/>
    <s v="005ak00000icyWTAAY"/>
    <s v="2026-09-14T19:53:20.000Z"/>
    <s v="josiah.lopez@outlook.com"/>
    <s v="Josiah"/>
    <d v="2026-08-19T00:00:00"/>
    <s v="Josiah Lopez"/>
    <s v="a09ak00002KAgMhAAL"/>
    <d v="2026-08-19T00:00:00"/>
    <s v="INQ-0119"/>
    <s v="Piano"/>
    <b v="0"/>
    <m/>
    <s v="005ak00000icyWTAAY"/>
    <s v="2026-09-29T16:18:43.000Z"/>
    <m/>
    <m/>
    <s v="Lopez"/>
    <x v="2"/>
    <s v="Josiah Lopez"/>
    <m/>
    <s v="005ak00000icyWTAAY"/>
    <s v="(732) 555-6820"/>
    <s v="131ak000001XjDtAAK"/>
    <x v="1"/>
    <n v="10"/>
    <s v="2026-09-29T16:18:43.000Z"/>
    <s v="a06ak00000amzBxAAI"/>
    <s v="Josiah Lopez|josiah.lopez@outlook.com"/>
    <n v="1"/>
    <n v="0"/>
    <x v="2"/>
    <s v="Red Bank"/>
  </r>
  <r>
    <m/>
    <s v="005ak00000icyWTAAY"/>
    <s v="2026-09-14T19:53:20.000Z"/>
    <s v="sofia.nakamura@gmail.com"/>
    <s v="Sofia"/>
    <d v="2026-03-17T00:00:00"/>
    <s v="Sofia Nakamura"/>
    <s v="a09ak00002KAgMiAAL"/>
    <d v="2026-03-17T00:00:00"/>
    <s v="INQ-0120"/>
    <s v="Violin"/>
    <b v="0"/>
    <m/>
    <s v="005ak00000icyWTAAY"/>
    <s v="2026-09-29T16:18:43.000Z"/>
    <m/>
    <m/>
    <s v="Nakamura"/>
    <x v="0"/>
    <s v="Sofia Nakamura"/>
    <s v="Wants evening slots only."/>
    <s v="005ak00000icyWTAAY"/>
    <s v="(732) 555-5463"/>
    <s v="131ak000001XjDtAAK"/>
    <x v="2"/>
    <n v="12"/>
    <s v="2026-09-29T16:18:43.000Z"/>
    <s v="a06ak00000amzBqAAI"/>
    <s v="Sofia Nakamura|sofia.nakamura@gmail.com"/>
    <n v="1"/>
    <n v="0"/>
    <x v="1"/>
    <s v="Red Bank"/>
  </r>
  <r>
    <m/>
    <s v="005ak00000icyWTAAY"/>
    <s v="2026-09-14T19:53:20.000Z"/>
    <s v="rohanbrown@gmail.com"/>
    <s v="Rohan"/>
    <d v="2026-02-10T00:00:00"/>
    <s v="Rohan Brown"/>
    <s v="a09ak00002KAgMjAAL"/>
    <d v="2026-02-10T00:00:00"/>
    <s v="INQ-0121"/>
    <s v="Cello"/>
    <b v="0"/>
    <m/>
    <s v="005ak00000icyWTAAY"/>
    <s v="2026-09-29T16:18:43.000Z"/>
    <m/>
    <m/>
    <s v="Brown"/>
    <x v="3"/>
    <s v="Rohan Brown"/>
    <s v="Sibling already enrolled."/>
    <s v="005ak00000icyWTAAY"/>
    <s v="(732) 555-7069"/>
    <s v="131ak000001XjDtAAK"/>
    <x v="0"/>
    <n v="44"/>
    <s v="2026-09-29T16:18:43.000Z"/>
    <s v="a06ak00000amzCGAAY"/>
    <s v="Rohan Brown|rohanbrown@gmail.com"/>
    <n v="1"/>
    <n v="0"/>
    <x v="0"/>
    <s v="Red Bank"/>
  </r>
  <r>
    <m/>
    <s v="005ak00000icyWTAAY"/>
    <s v="2026-09-14T19:53:20.000Z"/>
    <s v="jnakamura@icloud.com"/>
    <s v="Jonah"/>
    <d v="2026-06-18T00:00:00"/>
    <s v="Jonah Nakamura"/>
    <s v="a09ak00002KAgMkAAL"/>
    <d v="2026-06-15T00:00:00"/>
    <s v="INQ-0122"/>
    <s v="Flute"/>
    <b v="0"/>
    <m/>
    <s v="005ak00000icyWTAAY"/>
    <s v="2026-09-29T16:18:43.000Z"/>
    <m/>
    <m/>
    <s v="Nakamura"/>
    <x v="6"/>
    <s v="Jonah Nakamura"/>
    <s v="Asked about pricing."/>
    <s v="005ak00000icyWTAAY"/>
    <s v="(732) 555-9366"/>
    <s v="131ak000001XjDuAAK"/>
    <x v="2"/>
    <n v="6"/>
    <s v="2026-09-29T16:18:43.000Z"/>
    <s v="a06ak00000amzBjAAI"/>
    <s v="Jonah Nakamura|jnakamura@icloud.com"/>
    <n v="1"/>
    <n v="3"/>
    <x v="3"/>
    <s v="Brick"/>
  </r>
  <r>
    <m/>
    <s v="005ak00000icyWTAAY"/>
    <s v="2026-09-14T19:53:20.000Z"/>
    <s v="gabrielahmed96@hotmail.com"/>
    <s v="Gabriel"/>
    <d v="2026-03-29T00:00:00"/>
    <s v="Gabriel Ahmed"/>
    <s v="a09ak00002KAgMlAAL"/>
    <d v="2026-03-20T00:00:00"/>
    <s v="INQ-0123"/>
    <s v="Ukulele"/>
    <b v="0"/>
    <m/>
    <s v="005ak00000icyWTAAY"/>
    <s v="2026-09-29T16:18:43.000Z"/>
    <m/>
    <m/>
    <s v="Ahmed"/>
    <x v="0"/>
    <s v="Gabriel Ahmed"/>
    <m/>
    <s v="005ak00000icyWTAAY"/>
    <s v="(732) 555-2643"/>
    <s v="131ak000001XjDtAAK"/>
    <x v="1"/>
    <n v="12"/>
    <s v="2026-09-29T16:18:43.000Z"/>
    <s v="a06ak00000amzCMAAY"/>
    <s v="Gabriel Ahmed|gabrielahmed96@hotmail.com"/>
    <n v="1"/>
    <n v="9"/>
    <x v="1"/>
    <s v="Red Bank"/>
  </r>
  <r>
    <m/>
    <s v="005ak00000icyWTAAY"/>
    <s v="2026-09-14T19:53:20.000Z"/>
    <s v="chloesilva@hotmail.com"/>
    <s v="Chloe"/>
    <d v="2026-06-05T00:00:00"/>
    <s v="Chloe Silva"/>
    <s v="a09ak00002KAgMmAAL"/>
    <d v="2026-06-05T00:00:00"/>
    <s v="INQ-0124"/>
    <s v="Voice"/>
    <b v="0"/>
    <m/>
    <s v="005ak00000icyWTAAY"/>
    <s v="2026-09-29T16:18:43.000Z"/>
    <m/>
    <m/>
    <s v="Silva"/>
    <x v="4"/>
    <s v="Chloe Silva"/>
    <m/>
    <s v="005ak00000icyWTAAY"/>
    <s v="(732) 555-4322"/>
    <s v="131ak000001XjDtAAK"/>
    <x v="2"/>
    <n v="12"/>
    <s v="2026-09-29T16:18:43.000Z"/>
    <s v="a06ak00000amzC4AAI"/>
    <s v="Chloe Silva|chloesilva@hotmail.com"/>
    <n v="1"/>
    <n v="0"/>
    <x v="3"/>
    <s v="Red Bank"/>
  </r>
  <r>
    <m/>
    <s v="005ak00000icyWTAAY"/>
    <s v="2026-09-14T19:53:20.000Z"/>
    <s v="micahchen59@outlook.com"/>
    <s v="Micah"/>
    <m/>
    <s v="Micah Chen"/>
    <s v="a09ak00002KAgMnAAL"/>
    <d v="2026-03-22T00:00:00"/>
    <s v="INQ-0125"/>
    <s v="Piano"/>
    <b v="0"/>
    <m/>
    <s v="005ak00000icyWTAAY"/>
    <s v="2026-09-29T16:18:43.000Z"/>
    <s v="2026-09-29T06:21:21.000Z"/>
    <s v="2026-09-29T06:21:21.000Z"/>
    <s v="Chen"/>
    <x v="3"/>
    <s v="Micah Chen"/>
    <s v="Sibling already enrolled."/>
    <s v="005ak00000icyWTAAY"/>
    <s v="(732) 555-5703"/>
    <s v="131ak000001XjDtAAK"/>
    <x v="3"/>
    <n v="12"/>
    <s v="2026-09-29T16:18:43.000Z"/>
    <m/>
    <s v="Micah Chen|micahchen59@outlook.com"/>
    <n v="1"/>
    <s v=""/>
    <x v="1"/>
    <s v="Red Bank"/>
  </r>
  <r>
    <m/>
    <s v="005ak00000icyWTAAY"/>
    <s v="2026-09-14T19:53:20.000Z"/>
    <s v="kaiwilson@icloud.com"/>
    <s v="Kai"/>
    <d v="2026-07-31T00:00:00"/>
    <s v="Kai Wilson"/>
    <s v="a09ak00002KAgMoAAL"/>
    <d v="2026-07-28T00:00:00"/>
    <s v="INQ-0126"/>
    <s v="Piano"/>
    <b v="0"/>
    <m/>
    <s v="005ak00000icyWTAAY"/>
    <s v="2026-09-29T16:18:43.000Z"/>
    <m/>
    <m/>
    <s v="Wilson"/>
    <x v="4"/>
    <s v="Kai Wilson"/>
    <m/>
    <s v="005ak00000icyWTAAY"/>
    <s v="(732) 555-3442"/>
    <s v="131ak000001XjDtAAK"/>
    <x v="0"/>
    <n v="44"/>
    <s v="2026-09-29T16:18:43.000Z"/>
    <s v="a06ak00000amzC3AAI"/>
    <s v="Kai Wilson|kaiwilson@icloud.com"/>
    <n v="1"/>
    <n v="3"/>
    <x v="5"/>
    <s v="Red Bank"/>
  </r>
  <r>
    <m/>
    <s v="005ak00000icyWTAAY"/>
    <s v="2026-09-14T19:53:20.000Z"/>
    <s v="hcampbell@icloud.com"/>
    <s v="Harper"/>
    <d v="2026-07-02T00:00:00"/>
    <s v="Harper Campbell"/>
    <s v="a09ak00002KAgMpAAL"/>
    <d v="2026-07-02T00:00:00"/>
    <s v="INQ-0127"/>
    <s v="Trumpet"/>
    <b v="0"/>
    <m/>
    <s v="005ak00000icyWTAAY"/>
    <s v="2026-09-29T16:18:43.000Z"/>
    <m/>
    <m/>
    <s v="Campbell"/>
    <x v="3"/>
    <s v="Harper Campbell"/>
    <s v="Wants evening slots only."/>
    <s v="005ak00000icyWTAAY"/>
    <s v="(732) 555-7047"/>
    <s v="131ak000001XjDtAAK"/>
    <x v="2"/>
    <n v="28"/>
    <s v="2026-09-29T16:18:43.000Z"/>
    <s v="a06ak00000amzBzAAI"/>
    <s v="Harper Campbell|hcampbell@icloud.com"/>
    <n v="1"/>
    <n v="0"/>
    <x v="5"/>
    <s v="Red Bank"/>
  </r>
  <r>
    <m/>
    <s v="005ak00000icyWTAAY"/>
    <s v="2026-09-14T19:53:20.000Z"/>
    <s v="penelope.ramirez@icloud.com"/>
    <s v="Penelope"/>
    <d v="2026-08-29T00:00:00"/>
    <s v="Penelope Ramirez"/>
    <s v="a09ak00002KAgMqAAL"/>
    <d v="2026-08-27T00:00:00"/>
    <s v="INQ-0128"/>
    <s v="Voice"/>
    <b v="0"/>
    <m/>
    <s v="005ak00000icyWTAAY"/>
    <s v="2026-09-29T16:18:43.000Z"/>
    <m/>
    <m/>
    <s v="Ramirez"/>
    <x v="5"/>
    <s v="Penelope Ramirez"/>
    <m/>
    <s v="005ak00000icyWTAAY"/>
    <s v="(732) 555-6029"/>
    <s v="131ak000001XjDtAAK"/>
    <x v="1"/>
    <n v="35"/>
    <s v="2026-09-29T16:18:43.000Z"/>
    <s v="a06ak00000amzCDAAY"/>
    <s v="Penelope Ramirez|penelope.ramirez@icloud.com"/>
    <n v="1"/>
    <n v="2"/>
    <x v="2"/>
    <s v="Red Bank"/>
  </r>
  <r>
    <m/>
    <s v="005ak00000icyWTAAY"/>
    <s v="2026-09-14T19:53:20.000Z"/>
    <s v="jonah.clark@hotmail.com"/>
    <s v="Jonah"/>
    <d v="2026-08-03T00:00:00"/>
    <s v="Jonah Clark"/>
    <s v="a09ak00002KAgMrAAL"/>
    <d v="2026-08-02T00:00:00"/>
    <s v="INQ-0129"/>
    <s v="Trumpet"/>
    <b v="0"/>
    <m/>
    <s v="005ak00000icyWTAAY"/>
    <s v="2026-09-29T16:18:43.000Z"/>
    <m/>
    <m/>
    <s v="Clark"/>
    <x v="8"/>
    <s v="Jonah Clark"/>
    <m/>
    <s v="005ak00000icyWTAAY"/>
    <s v="(732) 555-5852"/>
    <s v="131ak000001XjDuAAK"/>
    <x v="1"/>
    <n v="14"/>
    <s v="2026-09-29T16:18:43.000Z"/>
    <s v="a06ak00000amzC3AAI"/>
    <s v="Jonah Clark|jonah.clark@hotmail.com"/>
    <n v="1"/>
    <n v="1"/>
    <x v="2"/>
    <s v="Brick"/>
  </r>
  <r>
    <m/>
    <s v="005ak00000icyWTAAY"/>
    <s v="2026-09-14T19:53:20.000Z"/>
    <s v="violetryan66@icloud.com"/>
    <s v="Violet"/>
    <d v="2026-03-23T00:00:00"/>
    <s v="Violet Ryan"/>
    <s v="a09ak00002KAgMsAAL"/>
    <d v="2026-03-22T00:00:00"/>
    <s v="INQ-0130"/>
    <s v="Clarinet"/>
    <b v="0"/>
    <m/>
    <s v="005ak00000icyWTAAY"/>
    <s v="2026-09-29T16:18:43.000Z"/>
    <m/>
    <m/>
    <s v="Ryan"/>
    <x v="0"/>
    <s v="Violet Ryan"/>
    <s v="Sibling already enrolled."/>
    <s v="005ak00000icyWTAAY"/>
    <s v="(732) 555-4512"/>
    <s v="131ak000001XjDtAAK"/>
    <x v="2"/>
    <n v="12"/>
    <s v="2026-09-29T16:18:43.000Z"/>
    <s v="a06ak00000amzCFAAY"/>
    <s v="Violet Ryan|violetryan66@icloud.com"/>
    <n v="1"/>
    <n v="1"/>
    <x v="1"/>
    <s v="Red Bank"/>
  </r>
  <r>
    <m/>
    <s v="005ak00000icyWTAAY"/>
    <s v="2026-09-14T19:53:20.000Z"/>
    <s v="aubrey.garcia@yahoo.com"/>
    <s v="Aubrey"/>
    <m/>
    <s v="Aubrey Garcia"/>
    <s v="a09ak00002KAgMtAAL"/>
    <d v="2026-03-09T00:00:00"/>
    <s v="INQ-0131"/>
    <s v="Drums"/>
    <b v="0"/>
    <m/>
    <s v="005ak00000icyWTAAY"/>
    <s v="2026-09-29T16:18:43.000Z"/>
    <m/>
    <m/>
    <s v="Garcia"/>
    <x v="2"/>
    <s v="Aubrey Garcia"/>
    <s v="Asked about pricing."/>
    <s v="005ak00000icyWTAAY"/>
    <s v="(732) 555-6326"/>
    <s v="131ak000001XjDtAAK"/>
    <x v="3"/>
    <n v="55"/>
    <s v="2026-09-29T16:18:43.000Z"/>
    <m/>
    <s v="Aubrey Garcia|aubrey.garcia@yahoo.com"/>
    <n v="1"/>
    <s v=""/>
    <x v="1"/>
    <s v="Red Bank"/>
  </r>
  <r>
    <m/>
    <s v="005ak00000icyWTAAY"/>
    <s v="2026-09-14T19:53:20.000Z"/>
    <s v="kthompson@icloud.com"/>
    <s v="Kennedy"/>
    <d v="2026-06-12T00:00:00"/>
    <s v="Kennedy Thompson"/>
    <s v="a09ak00002KAgMuAAL"/>
    <d v="2026-06-12T00:00:00"/>
    <s v="INQ-0132"/>
    <s v="Guitar"/>
    <b v="0"/>
    <m/>
    <s v="005ak00000icyWTAAY"/>
    <s v="2026-09-29T16:18:43.000Z"/>
    <m/>
    <m/>
    <s v="Thompson"/>
    <x v="3"/>
    <s v="Kennedy Thompson"/>
    <s v="Wants evening slots only."/>
    <s v="005ak00000icyWTAAY"/>
    <s v="(732) 555-1656"/>
    <s v="131ak000001XjDuAAK"/>
    <x v="2"/>
    <n v="10"/>
    <s v="2026-09-29T16:18:43.000Z"/>
    <s v="a06ak00000amzBpAAI"/>
    <s v="Kennedy Thompson|kthompson@icloud.com"/>
    <n v="1"/>
    <n v="0"/>
    <x v="3"/>
    <s v="Brick"/>
  </r>
  <r>
    <m/>
    <s v="005ak00000icyWTAAY"/>
    <s v="2026-09-14T19:53:20.000Z"/>
    <s v="declan.jackson@yahoo.com"/>
    <s v="Declan"/>
    <d v="2026-04-28T00:00:00"/>
    <s v="Declan Jackson"/>
    <s v="a09ak00002KAgMvAAL"/>
    <d v="2026-04-28T00:00:00"/>
    <s v="INQ-0133"/>
    <s v="Bass Guitar"/>
    <b v="0"/>
    <m/>
    <s v="005ak00000icyWTAAY"/>
    <s v="2026-09-29T16:18:43.000Z"/>
    <m/>
    <m/>
    <s v="Jackson"/>
    <x v="1"/>
    <s v="Declan Jackson"/>
    <s v="Asked about pricing."/>
    <s v="005ak00000icyWTAAY"/>
    <s v="(732) 555-8082"/>
    <s v="131ak000001XjDuAAK"/>
    <x v="1"/>
    <n v="55"/>
    <s v="2026-09-29T16:18:43.000Z"/>
    <s v="a06ak00000amzBjAAI"/>
    <s v="Declan Jackson|declan.jackson@yahoo.com"/>
    <n v="1"/>
    <n v="0"/>
    <x v="6"/>
    <s v="Brick"/>
  </r>
  <r>
    <m/>
    <s v="005ak00000icyWTAAY"/>
    <s v="2026-09-14T19:53:20.000Z"/>
    <s v="novakim@yahoo.com"/>
    <s v="Nova"/>
    <d v="2026-02-12T00:00:00"/>
    <s v="Nova Kim"/>
    <s v="a09ak00002KAgMwAAL"/>
    <d v="2026-02-03T00:00:00"/>
    <s v="INQ-0134"/>
    <s v="Piano"/>
    <b v="0"/>
    <m/>
    <s v="005ak00000icyWTAAY"/>
    <s v="2026-09-29T16:18:43.000Z"/>
    <m/>
    <m/>
    <s v="Kim"/>
    <x v="1"/>
    <s v="Nova Kim"/>
    <m/>
    <s v="005ak00000icyWTAAY"/>
    <s v="(732) 555-6061"/>
    <s v="131ak000001XjDuAAK"/>
    <x v="2"/>
    <n v="16"/>
    <s v="2026-09-29T16:18:43.000Z"/>
    <s v="a06ak00000amzC8AAI"/>
    <s v="Nova Kim|novakim@yahoo.com"/>
    <n v="1"/>
    <n v="9"/>
    <x v="0"/>
    <s v="Brick"/>
  </r>
  <r>
    <m/>
    <s v="005ak00000icyWTAAY"/>
    <s v="2026-09-14T19:53:20.000Z"/>
    <s v="victoriadavis21@hotmail.com"/>
    <s v="Victoria"/>
    <d v="2026-02-21T00:00:00"/>
    <s v="Victoria Davis"/>
    <s v="a09ak00002KAgMxAAL"/>
    <d v="2026-02-21T00:00:00"/>
    <s v="INQ-0135"/>
    <s v="Flute"/>
    <b v="0"/>
    <m/>
    <s v="005ak00000icyWTAAY"/>
    <s v="2026-09-29T16:18:43.000Z"/>
    <m/>
    <m/>
    <s v="Davis"/>
    <x v="3"/>
    <s v="Victoria Davis"/>
    <s v="Wants evening slots only."/>
    <s v="005ak00000icyWTAAY"/>
    <s v="(732) 555-9924"/>
    <s v="131ak000001XjDuAAK"/>
    <x v="1"/>
    <n v="6"/>
    <s v="2026-09-29T16:18:43.000Z"/>
    <s v="a06ak00000amzC6AAI"/>
    <s v="Victoria Davis|victoriadavis21@hotmail.com"/>
    <n v="1"/>
    <n v="0"/>
    <x v="0"/>
    <s v="Brick"/>
  </r>
  <r>
    <m/>
    <s v="005ak00000icyWTAAY"/>
    <s v="2026-09-14T19:53:20.000Z"/>
    <s v="xwalker@yahoo.com"/>
    <s v="Xavier"/>
    <d v="2026-06-27T00:00:00"/>
    <s v="Xavier Walker"/>
    <s v="a09ak00002KAgMyAAL"/>
    <d v="2026-06-27T00:00:00"/>
    <s v="INQ-0136"/>
    <s v="Cello"/>
    <b v="0"/>
    <m/>
    <s v="005ak00000icyWTAAY"/>
    <s v="2026-09-29T16:18:43.000Z"/>
    <m/>
    <m/>
    <s v="Walker"/>
    <x v="4"/>
    <s v="Xavier Walker"/>
    <m/>
    <s v="005ak00000icyWTAAY"/>
    <s v="(732) 555-8530"/>
    <s v="131ak000001XjDtAAK"/>
    <x v="2"/>
    <n v="14"/>
    <s v="2026-09-29T16:18:43.000Z"/>
    <s v="a06ak00000amzBvAAI"/>
    <s v="Xavier Walker|xwalker@yahoo.com"/>
    <n v="1"/>
    <n v="0"/>
    <x v="3"/>
    <s v="Red Bank"/>
  </r>
  <r>
    <m/>
    <s v="005ak00000icyWTAAY"/>
    <s v="2026-09-14T19:53:20.000Z"/>
    <s v="ethanbyrne63@gmail.com"/>
    <s v="Ethan"/>
    <m/>
    <s v="Ethan Byrne"/>
    <s v="a09ak00002KAgMzAAL"/>
    <d v="2026-08-11T00:00:00"/>
    <s v="INQ-0137"/>
    <s v="Saxophone"/>
    <b v="0"/>
    <m/>
    <s v="005ak00000icyWTAAY"/>
    <s v="2026-09-29T16:18:43.000Z"/>
    <m/>
    <m/>
    <s v="Byrne"/>
    <x v="7"/>
    <s v="Ethan Byrne"/>
    <s v="Transferring from another school."/>
    <s v="005ak00000icyWTAAY"/>
    <s v="(732) 555-1825"/>
    <s v="131ak000001XjDvAAK"/>
    <x v="3"/>
    <n v="16"/>
    <s v="2026-09-29T16:18:43.000Z"/>
    <m/>
    <s v="Ethan Byrne|ethanbyrne63@gmail.com"/>
    <n v="1"/>
    <s v=""/>
    <x v="2"/>
    <s v="Toms River"/>
  </r>
  <r>
    <m/>
    <s v="005ak00000icyWTAAY"/>
    <s v="2026-09-14T19:53:20.000Z"/>
    <s v="tylerwilson@hotmail.com"/>
    <s v="Tyler"/>
    <m/>
    <s v="Tyler Wilson"/>
    <s v="a09ak00002KAgN0AAL"/>
    <d v="2026-02-17T00:00:00"/>
    <s v="INQ-0138"/>
    <s v="Drums"/>
    <b v="0"/>
    <m/>
    <s v="005ak00000icyWTAAY"/>
    <s v="2026-09-29T16:18:43.000Z"/>
    <s v="2026-10-01T17:46:14.000Z"/>
    <s v="2026-10-01T17:46:14.000Z"/>
    <s v="Wilson"/>
    <x v="7"/>
    <s v="Tyler Wilson"/>
    <s v="Wants evening slots only."/>
    <s v="005ak00000icyWTAAY"/>
    <s v="(732) 555-4735"/>
    <s v="131ak000001XjDtAAK"/>
    <x v="3"/>
    <n v="28"/>
    <s v="2026-09-29T16:18:43.000Z"/>
    <m/>
    <s v="Tyler Wilson|tylerwilson@hotmail.com"/>
    <n v="1"/>
    <s v=""/>
    <x v="0"/>
    <s v="Red Bank"/>
  </r>
  <r>
    <m/>
    <s v="005ak00000icyWTAAY"/>
    <s v="2026-09-14T19:53:20.000Z"/>
    <s v="violetsullivan@hotmail.com"/>
    <s v="Violet"/>
    <d v="2026-04-16T00:00:00"/>
    <s v="Violet Sullivan"/>
    <s v="a09ak00002KAgN1AAL"/>
    <d v="2026-04-15T00:00:00"/>
    <s v="INQ-0139"/>
    <s v="Guitar"/>
    <b v="0"/>
    <m/>
    <s v="005ak00000icyWTAAY"/>
    <s v="2026-09-29T16:18:43.000Z"/>
    <m/>
    <m/>
    <s v="Sullivan"/>
    <x v="2"/>
    <s v="Violet Sullivan"/>
    <s v="Beginner, no experience."/>
    <s v="005ak00000icyWTAAY"/>
    <s v="(732) 555-2124"/>
    <s v="131ak000001XjDtAAK"/>
    <x v="0"/>
    <n v="12"/>
    <s v="2026-09-29T16:18:43.000Z"/>
    <s v="a06ak00000amzBjAAI"/>
    <s v="Violet Sullivan|violetsullivan@hotmail.com"/>
    <n v="1"/>
    <n v="1"/>
    <x v="6"/>
    <s v="Red Bank"/>
  </r>
  <r>
    <m/>
    <s v="005ak00000icyWTAAY"/>
    <s v="2026-09-14T19:53:20.000Z"/>
    <s v="levi.robinson@icloud.com"/>
    <s v="Levi"/>
    <d v="2026-02-10T00:00:00"/>
    <s v="Levi Robinson"/>
    <s v="a09ak00002KAgN2AAL"/>
    <d v="2026-02-09T00:00:00"/>
    <s v="INQ-0140"/>
    <s v="Trumpet"/>
    <b v="0"/>
    <m/>
    <s v="005ak00000icyWTAAY"/>
    <s v="2026-09-29T16:18:43.000Z"/>
    <m/>
    <m/>
    <s v="Robinson"/>
    <x v="0"/>
    <s v="Levi Robinson"/>
    <s v="Asked about pricing."/>
    <s v="005ak00000icyWTAAY"/>
    <s v="(732) 555-9666"/>
    <s v="131ak000001XjDtAAK"/>
    <x v="0"/>
    <n v="10"/>
    <s v="2026-09-29T16:18:43.000Z"/>
    <s v="a06ak00000amzCEAAY"/>
    <s v="Levi Robinson|levi.robinson@icloud.com"/>
    <n v="1"/>
    <n v="1"/>
    <x v="0"/>
    <s v="Red Bank"/>
  </r>
  <r>
    <m/>
    <s v="005ak00000icyWTAAY"/>
    <s v="2026-09-14T20:01:57.000Z"/>
    <s v="jlewis@yahoo.com"/>
    <s v="Jonah"/>
    <d v="2026-03-18T00:00:00"/>
    <s v="Jonah Lewis"/>
    <s v="a09ak00002KAyPlAAL"/>
    <d v="2026-03-09T00:00:00"/>
    <s v="INQ-0060"/>
    <s v="Guitar"/>
    <b v="0"/>
    <m/>
    <s v="005ak00000icyWTAAY"/>
    <s v="2026-09-29T16:18:43.000Z"/>
    <m/>
    <m/>
    <s v="Lewis"/>
    <x v="1"/>
    <s v="Jonah Lewis"/>
    <m/>
    <s v="005ak00000icyWTAAY"/>
    <s v="(732) 555-3531"/>
    <s v="131ak000001XjDvAAK"/>
    <x v="2"/>
    <n v="14"/>
    <s v="2026-09-29T16:18:43.000Z"/>
    <m/>
    <s v="Jonah Lewis|jlewis@yahoo.com"/>
    <n v="1"/>
    <n v="9"/>
    <x v="1"/>
    <s v="Toms River"/>
  </r>
  <r>
    <m/>
    <s v="005ak00000icyWTAAY"/>
    <s v="2026-09-14T20:01:57.000Z"/>
    <s v="rowanahmed@icloud.com"/>
    <s v="Rowan"/>
    <d v="2026-08-27T00:00:00"/>
    <s v="Rowan Ahmed"/>
    <s v="a09ak00002KAyPmAAL"/>
    <d v="2026-08-26T00:00:00"/>
    <s v="INQ-0099"/>
    <s v="Piano"/>
    <b v="0"/>
    <m/>
    <s v="005ak00000icyWTAAY"/>
    <s v="2026-09-29T16:18:43.000Z"/>
    <m/>
    <m/>
    <s v="Ahmed"/>
    <x v="0"/>
    <s v="Rowan Ahmed"/>
    <m/>
    <s v="005ak00000icyWTAAY"/>
    <s v="(732) 555-7788"/>
    <s v="131ak000001XjDuAAK"/>
    <x v="1"/>
    <n v="28"/>
    <s v="2026-09-29T16:18:43.000Z"/>
    <m/>
    <s v="Rowan Ahmed|rowanahmed@icloud.com"/>
    <n v="1"/>
    <n v="1"/>
    <x v="2"/>
    <s v="Brick"/>
  </r>
  <r>
    <m/>
    <s v="005ak00000icyWTAAY"/>
    <s v="2026-09-14T20:01:57.000Z"/>
    <s v="jnovak@gmail.com"/>
    <s v="Jackson"/>
    <d v="2026-05-10T00:00:00"/>
    <s v="Jackson Novak"/>
    <s v="a09ak00002KAyPnAAL"/>
    <d v="2026-05-09T00:00:00"/>
    <s v="INQ-0109"/>
    <s v="Violin"/>
    <b v="0"/>
    <m/>
    <s v="005ak00000icyWTAAY"/>
    <s v="2026-09-29T16:18:43.000Z"/>
    <m/>
    <m/>
    <s v="Novak"/>
    <x v="0"/>
    <s v="Jackson Novak"/>
    <s v="Beginner, no experience."/>
    <s v="005ak00000icyWTAAY"/>
    <s v="(732) 555-6350"/>
    <s v="131ak000001XjDtAAK"/>
    <x v="1"/>
    <n v="8"/>
    <s v="2026-09-29T16:18:43.000Z"/>
    <m/>
    <s v="Jackson Novak|jnovak@gmail.com"/>
    <n v="1"/>
    <n v="1"/>
    <x v="4"/>
    <s v="Red Bank"/>
  </r>
  <r>
    <s v="a07ak00001wmPyGAAU"/>
    <s v="005ak00000icyWTAAY"/>
    <s v="2026-10-01T17:45:20.000Z"/>
    <s v="danaortiz@gmail.com"/>
    <s v="Leo"/>
    <d v="2026-10-01T00:00:00"/>
    <s v="Leo Ortiz"/>
    <s v="a09ak00002Y0orRAAR"/>
    <d v="2026-10-01T00:00:00"/>
    <m/>
    <s v="Drums"/>
    <b v="0"/>
    <d v="2026-10-01T00:00:00"/>
    <s v="005ak00000icyWTAAY"/>
    <s v="2026-10-01T17:47:53.000Z"/>
    <s v="2026-10-02T04:23:21.000Z"/>
    <s v="2026-10-02T04:23:21.000Z"/>
    <s v="Ortiz"/>
    <x v="5"/>
    <s v="Leo Ortiz"/>
    <m/>
    <s v="00Gak00000ngg5qEAA"/>
    <n v="7897897890"/>
    <s v="131ak000001XjDuAAK"/>
    <x v="0"/>
    <n v="9"/>
    <s v="2026-10-01T17:47:53.000Z"/>
    <m/>
    <s v="Leo Ortiz|danaortiz@gmail.com"/>
    <n v="1"/>
    <n v="0"/>
    <x v="8"/>
    <s v="Brick"/>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
  <r>
    <n v="16"/>
    <d v="2010-08-10T00:00:00"/>
    <n v="0"/>
    <s v="005ak00000icyWTAAY"/>
    <s v="2026-09-14T19:09:41.000Z"/>
    <d v="2026-07-23T00:00:00"/>
    <s v="Aurora"/>
    <s v="Aurora White"/>
    <s v="awhite@outlook.com"/>
    <s v="Josiah"/>
    <s v="White"/>
    <s v="(732) 555-7685"/>
    <s v="131ak000001XjDtAAK"/>
    <s v="Red Bank"/>
    <s v="a07ak00001rZMp9AAG"/>
    <b v="0"/>
    <m/>
    <s v="005ak00000icyWTAAY"/>
    <s v="2026-09-17T15:39:12.000Z"/>
    <s v="2026-09-24T17:50:25.000Z"/>
    <s v="2026-09-24T17:50:25.000Z"/>
    <m/>
    <s v="White"/>
    <s v="Weekly"/>
    <s v="aurorawhite51@gmail.com"/>
    <n v="220"/>
    <s v="Aurora White"/>
    <s v="005ak00000icyWTAAY"/>
    <b v="0"/>
    <s v="Thursday"/>
    <x v="0"/>
    <s v="Intermediate"/>
    <x v="0"/>
    <m/>
    <s v="STU-0001"/>
    <m/>
    <s v="2026-09-24T19:18:48.000Z"/>
    <n v="1"/>
    <m/>
    <s v="Aurora White|awhite@outlook.com"/>
    <n v="1"/>
  </r>
  <r>
    <n v="38"/>
    <d v="1987-11-13T00:00:00"/>
    <n v="0"/>
    <s v="005ak00000icyWTAAY"/>
    <s v="2026-09-14T19:09:41.000Z"/>
    <d v="2024-02-02T00:00:00"/>
    <s v="Mason"/>
    <s v="Mason Wilson"/>
    <m/>
    <m/>
    <m/>
    <m/>
    <s v="131ak000001XjDuAAK"/>
    <s v="Brick"/>
    <s v="a07ak00001rZMpAAAW"/>
    <b v="0"/>
    <m/>
    <s v="005ak00000icyWTAAY"/>
    <s v="2026-09-17T15:39:12.000Z"/>
    <s v="2026-09-17T15:31:00.000Z"/>
    <s v="2026-09-17T15:31:00.000Z"/>
    <m/>
    <s v="Wilson"/>
    <s v="Weekly"/>
    <m/>
    <n v="220"/>
    <s v="Mason Wilson"/>
    <s v="005ak00000icyWTAAY"/>
    <b v="0"/>
    <s v="Thursday"/>
    <x v="1"/>
    <s v="Beginner"/>
    <x v="0"/>
    <s v="masonwilson@gmail.com"/>
    <s v="STU-0002"/>
    <s v="(732) 555-5266"/>
    <s v="2026-09-24T19:18:48.000Z"/>
    <n v="1"/>
    <m/>
    <s v=" "/>
    <n v="1"/>
  </r>
  <r>
    <n v="11"/>
    <d v="2015-09-29T00:00:00"/>
    <n v="3"/>
    <s v="005ak00000icyWTAAY"/>
    <s v="2026-09-14T19:09:41.000Z"/>
    <d v="2023-06-18T00:00:00"/>
    <s v="Delilah"/>
    <s v="Delilah Adams"/>
    <s v="cadams@yahoo.com"/>
    <s v="Owen"/>
    <s v="Adams"/>
    <s v="(732) 555-3893"/>
    <s v="131ak000001XjDtAAK"/>
    <s v="Red Bank"/>
    <s v="a07ak00001rZMpBAAW"/>
    <b v="0"/>
    <m/>
    <s v="005ak00000icyWTAAY"/>
    <s v="2026-09-17T15:39:12.000Z"/>
    <s v="2026-09-17T15:38:02.000Z"/>
    <s v="2026-09-17T15:38:02.000Z"/>
    <d v="2026-08-24T00:00:00"/>
    <s v="Adams"/>
    <s v="Weekly"/>
    <m/>
    <n v="200"/>
    <s v="Delilah Adams"/>
    <s v="005ak00000icyWTAAY"/>
    <b v="0"/>
    <s v="Friday"/>
    <x v="2"/>
    <s v="Intermediate"/>
    <x v="1"/>
    <m/>
    <s v="STU-0003"/>
    <m/>
    <s v="2026-09-24T19:18:48.000Z"/>
    <n v="1"/>
    <m/>
    <s v="Delilah Adams|cadams@yahoo.com"/>
    <n v="1"/>
  </r>
  <r>
    <n v="38"/>
    <d v="1988-02-04T00:00:00"/>
    <n v="2"/>
    <s v="005ak00000icyWTAAY"/>
    <s v="2026-09-14T19:09:41.000Z"/>
    <d v="2025-03-11T00:00:00"/>
    <s v="Logan"/>
    <s v="Logan Jackson"/>
    <m/>
    <m/>
    <m/>
    <m/>
    <s v="131ak000001XjDvAAK"/>
    <s v="Toms River"/>
    <s v="a07ak00001rZMpCAAW"/>
    <b v="0"/>
    <m/>
    <s v="005ak00000icyWTAAY"/>
    <s v="2026-09-17T15:39:12.000Z"/>
    <s v="2026-09-17T15:37:52.000Z"/>
    <s v="2026-09-17T15:37:52.000Z"/>
    <d v="2026-03-08T00:00:00"/>
    <s v="Jackson"/>
    <s v="Weekly"/>
    <m/>
    <n v="220"/>
    <s v="Logan Jackson"/>
    <s v="005ak00000icyWTAAY"/>
    <b v="0"/>
    <s v="Wednesday"/>
    <x v="3"/>
    <s v="Beginner"/>
    <x v="1"/>
    <s v="ljackson@icloud.com"/>
    <s v="STU-0004"/>
    <s v="(732) 555-4374"/>
    <s v="2026-09-24T19:18:48.000Z"/>
    <n v="1"/>
    <m/>
    <s v="Logan Jackson|"/>
    <n v="1"/>
  </r>
  <r>
    <n v="31"/>
    <d v="1995-01-20T00:00:00"/>
    <n v="0"/>
    <s v="005ak00000icyWTAAY"/>
    <s v="2026-09-14T19:09:41.000Z"/>
    <d v="2026-02-19T00:00:00"/>
    <s v="Mei"/>
    <s v="Mei Thompson"/>
    <m/>
    <m/>
    <m/>
    <m/>
    <s v="131ak000001XjDuAAK"/>
    <s v="Brick"/>
    <s v="a07ak00001rZMpDAAW"/>
    <b v="0"/>
    <m/>
    <s v="005ak00000icyWTAAY"/>
    <s v="2026-09-17T15:39:12.000Z"/>
    <s v="2026-09-15T17:15:54.000Z"/>
    <s v="2026-09-15T17:15:54.000Z"/>
    <m/>
    <s v="Thompson"/>
    <s v="Weekly"/>
    <m/>
    <n v="180"/>
    <s v="Mei Thompson"/>
    <s v="005ak00000icyWTAAY"/>
    <b v="0"/>
    <s v="Monday"/>
    <x v="1"/>
    <s v="Beginner"/>
    <x v="1"/>
    <s v="meithompson25@gmail.com"/>
    <s v="STU-0005"/>
    <s v="(732) 555-8682"/>
    <s v="2026-09-24T19:18:48.000Z"/>
    <n v="1"/>
    <m/>
    <s v="Mei Thompson|"/>
    <n v="1"/>
  </r>
  <r>
    <n v="14"/>
    <d v="2012-01-09T00:00:00"/>
    <n v="1"/>
    <s v="005ak00000icyWTAAY"/>
    <s v="2026-09-14T19:09:41.000Z"/>
    <d v="2025-04-10T00:00:00"/>
    <s v="Kennedy"/>
    <s v="Kennedy Sullivan"/>
    <s v="lsullivan@gmail.com"/>
    <s v="Kai"/>
    <s v="Sullivan"/>
    <s v="(732) 555-7381"/>
    <s v="131ak000001XjDvAAK"/>
    <s v="Toms River"/>
    <s v="a07ak00001rZMpEAAW"/>
    <b v="0"/>
    <m/>
    <s v="005ak00000icyWTAAY"/>
    <s v="2026-09-17T15:39:12.000Z"/>
    <s v="2026-09-15T17:15:54.000Z"/>
    <s v="2026-09-15T17:15:54.000Z"/>
    <d v="2026-05-15T00:00:00"/>
    <s v="Sullivan"/>
    <s v="Weekly"/>
    <s v="ksullivan@icloud.com"/>
    <n v="200"/>
    <s v="Kennedy Sullivan"/>
    <s v="005ak00000icyWTAAY"/>
    <b v="0"/>
    <s v="Friday"/>
    <x v="4"/>
    <s v="Intermediate"/>
    <x v="1"/>
    <m/>
    <s v="STU-0006"/>
    <m/>
    <s v="2026-09-24T19:18:48.000Z"/>
    <n v="1"/>
    <m/>
    <s v="Kennedy Sullivan|lsullivan@gmail.com"/>
    <n v="1"/>
  </r>
  <r>
    <n v="9"/>
    <d v="2016-11-27T00:00:00"/>
    <n v="0"/>
    <s v="005ak00000icyWTAAY"/>
    <s v="2026-09-14T19:09:41.000Z"/>
    <d v="2025-06-29T00:00:00"/>
    <s v="Vincent"/>
    <s v="Vincent Jones"/>
    <s v="sebastianjones@outlook.com"/>
    <s v="Lily"/>
    <s v="Jones"/>
    <s v="(732) 555-2871"/>
    <s v="131ak000001XjDuAAK"/>
    <s v="Brick"/>
    <s v="a07ak00001rZMpFAAW"/>
    <b v="0"/>
    <m/>
    <s v="005ak00000icyWTAAY"/>
    <s v="2026-09-17T15:39:12.000Z"/>
    <s v="2026-09-17T17:45:19.000Z"/>
    <s v="2026-09-17T17:45:19.000Z"/>
    <m/>
    <s v="Jones"/>
    <s v="Weekly"/>
    <m/>
    <n v="180"/>
    <s v="Vincent Jones"/>
    <s v="005ak00000icyWTAAY"/>
    <b v="0"/>
    <s v="Wednesday"/>
    <x v="1"/>
    <s v="Intermediate"/>
    <x v="1"/>
    <m/>
    <s v="STU-0007"/>
    <m/>
    <s v="2026-09-24T19:18:48.000Z"/>
    <n v="1"/>
    <m/>
    <s v="Vincent Jones|sebastianjones@outlook.com"/>
    <n v="1"/>
  </r>
  <r>
    <n v="9"/>
    <d v="2016-11-08T00:00:00"/>
    <n v="2"/>
    <s v="005ak00000icyWTAAY"/>
    <s v="2026-09-14T19:09:41.000Z"/>
    <d v="2025-09-03T00:00:00"/>
    <s v="Noah"/>
    <s v="Noah Wright"/>
    <s v="ezra.wright@icloud.com"/>
    <s v="Brooklyn"/>
    <s v="Wright"/>
    <s v="(732) 555-2268"/>
    <s v="131ak000001XjDuAAK"/>
    <s v="Brick"/>
    <s v="a07ak00001rZMpGAAW"/>
    <b v="0"/>
    <m/>
    <s v="005ak00000icyWTAAY"/>
    <s v="2026-09-17T15:39:12.000Z"/>
    <s v="2026-09-15T17:15:54.000Z"/>
    <s v="2026-09-15T17:15:54.000Z"/>
    <d v="2026-05-22T00:00:00"/>
    <s v="Wright"/>
    <s v="Biweekly"/>
    <m/>
    <n v="180"/>
    <s v="Noah Wright"/>
    <s v="005ak00000icyWTAAY"/>
    <b v="0"/>
    <s v="Wednesday"/>
    <x v="5"/>
    <s v="Beginner"/>
    <x v="1"/>
    <m/>
    <s v="STU-0008"/>
    <m/>
    <s v="2026-09-24T19:18:48.000Z"/>
    <n v="0.5"/>
    <m/>
    <s v="Noah Wright|ezra.wright@icloud.com"/>
    <n v="1"/>
  </r>
  <r>
    <m/>
    <m/>
    <n v="1"/>
    <s v="005ak00000icyWTAAY"/>
    <s v="2026-09-14T19:09:41.000Z"/>
    <d v="2025-08-17T00:00:00"/>
    <s v="Ryan"/>
    <s v="Ryan Harris"/>
    <m/>
    <s v="Jonah"/>
    <s v="Harris"/>
    <m/>
    <s v="131ak000001XjDtAAK"/>
    <s v="Red Bank"/>
    <s v="a07ak00001rZMpHAAW"/>
    <b v="0"/>
    <m/>
    <s v="005ak00000icyWTAAY"/>
    <s v="2026-09-17T15:55:56.000Z"/>
    <s v="2026-09-17T16:06:50.000Z"/>
    <s v="2026-09-17T16:06:50.000Z"/>
    <d v="2026-07-13T00:00:00"/>
    <s v="Harris"/>
    <s v="Biweekly"/>
    <m/>
    <n v="160"/>
    <s v="Ryan Harris"/>
    <s v="005ak00000icyWTAAY"/>
    <b v="0"/>
    <s v="Tuesday"/>
    <x v="6"/>
    <s v="Intermediate"/>
    <x v="1"/>
    <s v="ryan.harris@gmail.com"/>
    <s v="STU-0009"/>
    <m/>
    <s v="2026-09-24T19:18:48.000Z"/>
    <n v="0.5"/>
    <m/>
    <s v="Ryan Harris|"/>
    <n v="1"/>
  </r>
  <r>
    <n v="15"/>
    <d v="2011-06-23T00:00:00"/>
    <n v="1"/>
    <s v="005ak00000icyWTAAY"/>
    <s v="2026-09-14T19:09:41.000Z"/>
    <d v="2023-12-08T00:00:00"/>
    <s v="Genesis"/>
    <s v="Genesis Lopez"/>
    <s v="olopez@hotmail.com"/>
    <s v="Audrey"/>
    <s v="Lopez"/>
    <s v="(732) 555-4586"/>
    <s v="131ak000001XjDuAAK"/>
    <s v="Brick"/>
    <s v="a07ak00001rZMpIAAW"/>
    <b v="0"/>
    <m/>
    <s v="005ak00000icyWTAAY"/>
    <s v="2026-09-17T15:39:12.000Z"/>
    <s v="2026-09-15T17:15:54.000Z"/>
    <s v="2026-09-15T17:15:54.000Z"/>
    <d v="2026-04-24T00:00:00"/>
    <s v="Lopez"/>
    <s v="Weekly"/>
    <s v="genesis.lopez@gmail.com"/>
    <n v="240"/>
    <s v="Genesis Lopez"/>
    <s v="005ak00000icyWTAAY"/>
    <b v="0"/>
    <s v="Friday"/>
    <x v="7"/>
    <s v="Advanced"/>
    <x v="1"/>
    <m/>
    <s v="STU-0010"/>
    <m/>
    <s v="2026-09-24T19:18:48.000Z"/>
    <n v="1"/>
    <m/>
    <s v="Genesis Lopez|olopez@hotmail.com"/>
    <n v="1"/>
  </r>
  <r>
    <n v="60"/>
    <d v="1965-10-31T00:00:00"/>
    <n v="1"/>
    <s v="005ak00000icyWTAAY"/>
    <s v="2026-09-14T19:09:41.000Z"/>
    <d v="2024-12-02T00:00:00"/>
    <s v="Josiah"/>
    <s v="Josiah Torres"/>
    <m/>
    <m/>
    <m/>
    <m/>
    <s v="131ak000001XjDtAAK"/>
    <s v="Red Bank"/>
    <s v="a07ak00001rZMpJAAW"/>
    <b v="0"/>
    <m/>
    <s v="005ak00000icyWTAAY"/>
    <s v="2026-09-17T15:39:12.000Z"/>
    <s v="2026-09-15T17:15:54.000Z"/>
    <s v="2026-09-15T17:15:54.000Z"/>
    <d v="2026-09-09T00:00:00"/>
    <s v="Torres"/>
    <s v="Weekly"/>
    <m/>
    <n v="160"/>
    <s v="Josiah Torres"/>
    <s v="005ak00000icyWTAAY"/>
    <b v="0"/>
    <s v="Tuesday"/>
    <x v="0"/>
    <s v="Beginner"/>
    <x v="1"/>
    <s v="jtorres@icloud.com"/>
    <s v="STU-0011"/>
    <s v="(732) 555-4436"/>
    <s v="2026-09-24T19:18:48.000Z"/>
    <n v="1"/>
    <m/>
    <s v="Josiah Torres|"/>
    <n v="1"/>
  </r>
  <r>
    <n v="13"/>
    <d v="2013-07-16T00:00:00"/>
    <n v="1"/>
    <s v="005ak00000icyWTAAY"/>
    <s v="2026-09-14T19:09:41.000Z"/>
    <d v="2026-08-01T00:00:00"/>
    <s v="Sofia"/>
    <s v="Sofia Sullivan"/>
    <s v="asullivan@icloud.com"/>
    <s v="Riley"/>
    <s v="Sullivan"/>
    <s v="(732) 555-4253"/>
    <s v="131ak000001XjDvAAK"/>
    <s v="Toms River"/>
    <s v="a07ak00001rZMpKAAW"/>
    <b v="0"/>
    <m/>
    <s v="005ak00000icyWTAAY"/>
    <s v="2026-09-17T15:39:12.000Z"/>
    <s v="2026-09-15T17:15:54.000Z"/>
    <s v="2026-09-15T17:15:54.000Z"/>
    <d v="2026-08-27T00:00:00"/>
    <s v="Sullivan"/>
    <s v="Biweekly"/>
    <s v="ssullivan@outlook.com"/>
    <n v="160"/>
    <s v="Sofia Sullivan"/>
    <s v="005ak00000icyWTAAY"/>
    <b v="0"/>
    <s v="Monday"/>
    <x v="5"/>
    <s v="Beginner"/>
    <x v="1"/>
    <m/>
    <s v="STU-0012"/>
    <m/>
    <s v="2026-09-24T19:18:48.000Z"/>
    <n v="0.5"/>
    <m/>
    <s v="Sofia Sullivan|asullivan@icloud.com"/>
    <n v="1"/>
  </r>
  <r>
    <n v="10"/>
    <d v="2016-04-20T00:00:00"/>
    <n v="1"/>
    <s v="005ak00000icyWTAAY"/>
    <s v="2026-09-14T19:09:41.000Z"/>
    <d v="2024-07-19T00:00:00"/>
    <s v="Nathan"/>
    <s v="Nathan Ahmed"/>
    <s v="yahmed@outlook.com"/>
    <s v="Nova"/>
    <s v="Ahmed"/>
    <s v="(732) 555-9066"/>
    <s v="131ak000001XjDvAAK"/>
    <s v="Toms River"/>
    <s v="a07ak00001rZMpLAAW"/>
    <b v="0"/>
    <m/>
    <s v="005ak00000icyWTAAY"/>
    <s v="2026-09-17T15:39:12.000Z"/>
    <s v="2026-09-15T17:15:54.000Z"/>
    <s v="2026-09-15T17:15:54.000Z"/>
    <d v="2026-09-01T00:00:00"/>
    <s v="Ahmed"/>
    <s v="Biweekly"/>
    <m/>
    <n v="200"/>
    <s v="Nathan Ahmed"/>
    <s v="005ak00000icyWTAAY"/>
    <b v="0"/>
    <s v="Monday"/>
    <x v="7"/>
    <s v="Beginner"/>
    <x v="1"/>
    <m/>
    <s v="STU-0013"/>
    <m/>
    <s v="2026-09-24T19:18:48.000Z"/>
    <n v="0.5"/>
    <m/>
    <s v="Nathan Ahmed|yahmed@outlook.com"/>
    <n v="2"/>
  </r>
  <r>
    <n v="9"/>
    <d v="2017-10-03T00:00:00"/>
    <n v="0"/>
    <s v="005ak00000icyWTAAY"/>
    <s v="2026-09-14T19:09:41.000Z"/>
    <d v="2023-08-30T00:00:00"/>
    <s v="Rowan"/>
    <s v="Rowan Carter"/>
    <s v="noahcarter28@gmail.com"/>
    <s v="Scarlett"/>
    <s v="Carter"/>
    <s v="(732) 555-6062"/>
    <s v="131ak000001XjDtAAK"/>
    <s v="Red Bank"/>
    <s v="a07ak00001rZMpMAAW"/>
    <b v="0"/>
    <m/>
    <s v="005ak00000icyWTAAY"/>
    <s v="2026-09-17T15:39:12.000Z"/>
    <s v="2026-09-18T05:19:45.000Z"/>
    <s v="2026-09-18T05:19:45.000Z"/>
    <m/>
    <s v="Carter"/>
    <s v="Weekly"/>
    <m/>
    <n v="240"/>
    <s v="Rowan Carter"/>
    <s v="005ak00000icyWTAAY"/>
    <b v="0"/>
    <s v="Wednesday"/>
    <x v="1"/>
    <s v="Beginner"/>
    <x v="1"/>
    <m/>
    <s v="STU-0014"/>
    <m/>
    <s v="2026-09-24T19:18:48.000Z"/>
    <n v="1"/>
    <m/>
    <s v="Rowan Carter|noahcarter28@gmail.com"/>
    <n v="1"/>
  </r>
  <r>
    <n v="18"/>
    <d v="2008-10-02T00:00:00"/>
    <n v="1"/>
    <s v="005ak00000icyWTAAY"/>
    <s v="2026-09-14T19:09:41.000Z"/>
    <d v="2022-04-28T00:00:00"/>
    <s v="Hazel"/>
    <s v="Hazel Walker"/>
    <s v="mileswalker@gmail.com"/>
    <s v="Jackson"/>
    <s v="Walker"/>
    <s v="(732) 555-7592"/>
    <s v="131ak000001XjDuAAK"/>
    <s v="Brick"/>
    <s v="a07ak00001rZMpNAAW"/>
    <b v="0"/>
    <m/>
    <s v="005ak00000i3ftJAAQ"/>
    <s v="2026-10-02T07:12:46.000Z"/>
    <s v="2026-09-15T17:15:54.000Z"/>
    <s v="2026-09-15T17:15:54.000Z"/>
    <d v="2026-07-22T00:00:00"/>
    <s v="Walker"/>
    <s v="Weekly"/>
    <m/>
    <n v="220"/>
    <s v="Hazel Walker"/>
    <s v="005ak00000icyWTAAY"/>
    <b v="0"/>
    <s v="Friday"/>
    <x v="8"/>
    <s v="Beginner"/>
    <x v="1"/>
    <s v="hazelwalker52@icloud.com"/>
    <s v="STU-0015"/>
    <m/>
    <s v="2026-10-02T07:12:46.000Z"/>
    <n v="1"/>
    <m/>
    <s v="Hazel Walker|mileswalker@gmail.com"/>
    <n v="1"/>
  </r>
  <r>
    <n v="52"/>
    <d v="1973-11-03T00:00:00"/>
    <n v="0"/>
    <s v="005ak00000icyWTAAY"/>
    <s v="2026-09-14T19:09:41.000Z"/>
    <d v="2022-12-06T00:00:00"/>
    <s v="Skylar"/>
    <s v="Skylar Kelly"/>
    <m/>
    <m/>
    <m/>
    <m/>
    <s v="131ak000001XjDvAAK"/>
    <s v="Toms River"/>
    <s v="a07ak00001rZMpOAAW"/>
    <b v="0"/>
    <m/>
    <s v="005ak00000icyWTAAY"/>
    <s v="2026-09-24T16:51:20.000Z"/>
    <s v="2026-09-15T17:15:54.000Z"/>
    <s v="2026-09-15T17:15:54.000Z"/>
    <m/>
    <s v="Kelly"/>
    <s v="Weekly"/>
    <m/>
    <n v="200"/>
    <s v="Skylar Kelly"/>
    <s v="005ak00000icyWTAAY"/>
    <b v="0"/>
    <s v="Thursday"/>
    <x v="4"/>
    <s v="Advanced"/>
    <x v="2"/>
    <s v="skylarkelly@outlook.com"/>
    <s v="STU-0016"/>
    <s v="(732) 555-6218"/>
    <s v="2026-09-24T19:18:48.000Z"/>
    <n v="1"/>
    <d v="2025-10-16T00:00:00"/>
    <s v="Skylar Kelly|"/>
    <n v="1"/>
  </r>
  <r>
    <n v="52"/>
    <d v="1974-01-06T00:00:00"/>
    <n v="0"/>
    <s v="005ak00000icyWTAAY"/>
    <s v="2026-09-14T19:09:41.000Z"/>
    <d v="2026-04-17T00:00:00"/>
    <s v="Aubrey"/>
    <s v="Aubrey Anderson"/>
    <m/>
    <m/>
    <m/>
    <m/>
    <s v="131ak000001XjDvAAK"/>
    <s v="Toms River"/>
    <s v="a07ak00001rZMpPAAW"/>
    <b v="0"/>
    <m/>
    <s v="005ak00000icyWTAAY"/>
    <s v="2026-09-17T15:39:12.000Z"/>
    <s v="2026-09-17T03:05:00.000Z"/>
    <s v="2026-09-17T03:05:00.000Z"/>
    <m/>
    <s v="Anderson"/>
    <s v="Weekly"/>
    <m/>
    <n v="240"/>
    <s v="Aubrey Anderson"/>
    <s v="005ak00000icyWTAAY"/>
    <b v="0"/>
    <s v="Wednesday"/>
    <x v="6"/>
    <s v="Advanced"/>
    <x v="1"/>
    <s v="aubrey.anderson@yahoo.com"/>
    <s v="STU-0017"/>
    <s v="(732) 555-5006"/>
    <s v="2026-09-24T19:18:48.000Z"/>
    <n v="1"/>
    <m/>
    <s v="Aubrey Anderson|"/>
    <n v="1"/>
  </r>
  <r>
    <n v="7"/>
    <d v="2019-01-14T00:00:00"/>
    <n v="1"/>
    <s v="005ak00000icyWTAAY"/>
    <s v="2026-09-14T19:09:41.000Z"/>
    <d v="2025-07-16T00:00:00"/>
    <s v="Priya"/>
    <s v="Priya Ramirez"/>
    <s v="hudsonramirez@gmail.com"/>
    <s v="Daniel"/>
    <s v="Ramirez"/>
    <s v="(732) 555-5554"/>
    <s v="131ak000001XjDvAAK"/>
    <s v="Toms River"/>
    <s v="a07ak00001rZMpQAAW"/>
    <b v="0"/>
    <m/>
    <s v="005ak00000icyWTAAY"/>
    <s v="2026-09-17T15:39:12.000Z"/>
    <s v="2026-09-15T17:15:54.000Z"/>
    <s v="2026-09-15T17:15:54.000Z"/>
    <d v="2026-02-12T00:00:00"/>
    <s v="Ramirez"/>
    <s v="Weekly"/>
    <m/>
    <n v="240"/>
    <s v="Priya Ramirez"/>
    <s v="005ak00000icyWTAAY"/>
    <b v="0"/>
    <s v="Friday"/>
    <x v="5"/>
    <s v="Beginner"/>
    <x v="1"/>
    <m/>
    <s v="STU-0018"/>
    <m/>
    <s v="2026-09-24T19:18:48.000Z"/>
    <n v="1"/>
    <m/>
    <s v="Priya Ramirez|hudsonramirez@gmail.com"/>
    <n v="1"/>
  </r>
  <r>
    <n v="10"/>
    <d v="2016-06-01T00:00:00"/>
    <n v="0"/>
    <s v="005ak00000icyWTAAY"/>
    <s v="2026-09-14T19:09:41.000Z"/>
    <d v="2026-07-11T00:00:00"/>
    <s v="Rowan"/>
    <s v="Rowan Wilson"/>
    <s v="anthonywilson26@icloud.com"/>
    <s v="Victoria"/>
    <s v="Wilson"/>
    <s v="(732) 555-2616"/>
    <s v="131ak000001XjDtAAK"/>
    <s v="Red Bank"/>
    <s v="a07ak00001rZMpRAAW"/>
    <b v="0"/>
    <m/>
    <s v="005ak00000icyWTAAY"/>
    <s v="2026-09-17T15:39:12.000Z"/>
    <s v="2026-09-15T17:15:54.000Z"/>
    <s v="2026-09-15T17:15:54.000Z"/>
    <m/>
    <s v="Wilson"/>
    <s v="Weekly"/>
    <m/>
    <n v="240"/>
    <s v="Rowan Wilson"/>
    <s v="005ak00000icyWTAAY"/>
    <b v="0"/>
    <s v="Tuesday"/>
    <x v="6"/>
    <s v="Beginner"/>
    <x v="1"/>
    <m/>
    <s v="STU-0019"/>
    <m/>
    <s v="2026-09-24T19:18:48.000Z"/>
    <n v="1"/>
    <m/>
    <s v="Rowan Wilson|anthonywilson26@icloud.com"/>
    <n v="1"/>
  </r>
  <r>
    <n v="31"/>
    <d v="1995-07-22T00:00:00"/>
    <n v="0"/>
    <s v="005ak00000icyWTAAY"/>
    <s v="2026-09-14T19:09:41.000Z"/>
    <d v="2023-04-18T00:00:00"/>
    <s v="Julian"/>
    <s v="Julian Flores"/>
    <m/>
    <m/>
    <m/>
    <m/>
    <s v="131ak000001XjDvAAK"/>
    <s v="Toms River"/>
    <s v="a07ak00001rZMpSAAW"/>
    <b v="0"/>
    <m/>
    <s v="005ak00000icyWTAAY"/>
    <s v="2026-09-17T15:39:12.000Z"/>
    <s v="2026-09-15T17:15:54.000Z"/>
    <s v="2026-09-15T17:15:54.000Z"/>
    <m/>
    <s v="Flores"/>
    <s v="Weekly"/>
    <m/>
    <n v="220"/>
    <s v="Julian Flores"/>
    <s v="005ak00000icyWTAAY"/>
    <b v="0"/>
    <s v="Saturday"/>
    <x v="9"/>
    <s v="Beginner"/>
    <x v="1"/>
    <s v="jflores@yahoo.com"/>
    <s v="STU-0020"/>
    <s v="(732) 555-1416"/>
    <s v="2026-09-24T19:18:48.000Z"/>
    <n v="1"/>
    <m/>
    <s v="Julian Flores|"/>
    <n v="1"/>
  </r>
  <r>
    <n v="10"/>
    <d v="2016-09-30T00:00:00"/>
    <n v="0"/>
    <s v="005ak00000icyWTAAY"/>
    <s v="2026-09-14T19:09:41.000Z"/>
    <d v="2025-08-04T00:00:00"/>
    <s v="Henry"/>
    <s v="Henry Dubois"/>
    <s v="matthew.dubois@yahoo.com"/>
    <s v="Santiago"/>
    <s v="Dubois"/>
    <s v="(732) 555-3889"/>
    <s v="131ak000001XjDtAAK"/>
    <s v="Red Bank"/>
    <s v="a07ak00001rZMpTAAW"/>
    <b v="0"/>
    <m/>
    <s v="005ak00000icyWTAAY"/>
    <s v="2026-09-17T15:39:12.000Z"/>
    <s v="2026-09-15T17:15:54.000Z"/>
    <s v="2026-09-15T17:15:54.000Z"/>
    <m/>
    <s v="Dubois"/>
    <s v="Weekly"/>
    <m/>
    <n v="200"/>
    <s v="Henry Dubois"/>
    <s v="005ak00000icyWTAAY"/>
    <b v="0"/>
    <s v="Saturday"/>
    <x v="1"/>
    <s v="Advanced"/>
    <x v="1"/>
    <m/>
    <s v="STU-0021"/>
    <m/>
    <s v="2026-09-24T19:18:48.000Z"/>
    <n v="1"/>
    <m/>
    <s v="Henry Dubois|matthew.dubois@yahoo.com"/>
    <n v="1"/>
  </r>
  <r>
    <n v="13"/>
    <d v="2013-07-01T00:00:00"/>
    <n v="0"/>
    <s v="005ak00000icyWTAAY"/>
    <s v="2026-09-14T19:09:41.000Z"/>
    <d v="2022-04-09T00:00:00"/>
    <s v="Declan"/>
    <s v="Declan Lopez"/>
    <s v="julianlopez38@yahoo.com"/>
    <s v="Nina"/>
    <s v="Lopez"/>
    <s v="(732) 555-6014"/>
    <s v="131ak000001XjDtAAK"/>
    <s v="Red Bank"/>
    <s v="a07ak00001rZMpUAAW"/>
    <b v="0"/>
    <m/>
    <s v="005ak00000icyWTAAY"/>
    <s v="2026-09-24T16:51:20.000Z"/>
    <s v="2026-09-17T17:45:28.000Z"/>
    <s v="2026-09-17T17:45:28.000Z"/>
    <m/>
    <s v="Lopez"/>
    <s v="Weekly"/>
    <s v="dlopez@hotmail.com"/>
    <n v="160"/>
    <s v="Declan Lopez"/>
    <s v="005ak00000icyWTAAY"/>
    <b v="0"/>
    <s v="Wednesday"/>
    <x v="7"/>
    <s v="Intermediate"/>
    <x v="2"/>
    <m/>
    <s v="STU-0022"/>
    <m/>
    <s v="2026-09-24T19:18:48.000Z"/>
    <n v="1"/>
    <d v="2025-12-26T00:00:00"/>
    <s v="Declan Lopez|julianlopez38@yahoo.com"/>
    <n v="1"/>
  </r>
  <r>
    <n v="13"/>
    <d v="2012-12-27T00:00:00"/>
    <n v="0"/>
    <s v="005ak00000icyWTAAY"/>
    <s v="2026-09-14T19:09:41.000Z"/>
    <d v="2024-04-07T00:00:00"/>
    <s v="Tyler"/>
    <s v="Tyler Rodriguez"/>
    <s v="tylerrodriguez@icloud.com"/>
    <s v="Ezra"/>
    <s v="Rodriguez"/>
    <s v="(732) 555-7300"/>
    <s v="131ak000001XjDuAAK"/>
    <s v="Brick"/>
    <s v="a07ak00001rZMpVAAW"/>
    <b v="0"/>
    <m/>
    <s v="005ak00000icyWTAAY"/>
    <s v="2026-09-17T15:39:12.000Z"/>
    <s v="2026-09-15T17:15:54.000Z"/>
    <s v="2026-09-15T17:15:54.000Z"/>
    <m/>
    <s v="Rodriguez"/>
    <s v="Weekly"/>
    <s v="tylerrodriguez72@hotmail.com"/>
    <n v="200"/>
    <s v="Tyler Rodriguez"/>
    <s v="005ak00000icyWTAAY"/>
    <b v="0"/>
    <s v="Thursday"/>
    <x v="8"/>
    <s v="Beginner"/>
    <x v="1"/>
    <m/>
    <s v="STU-0023"/>
    <m/>
    <s v="2026-09-24T19:18:48.000Z"/>
    <n v="1"/>
    <m/>
    <s v="Tyler Rodriguez|tylerrodriguez@icloud.com"/>
    <n v="1"/>
  </r>
  <r>
    <n v="7"/>
    <d v="2019-08-15T00:00:00"/>
    <n v="1"/>
    <s v="005ak00000icyWTAAY"/>
    <s v="2026-09-14T19:09:41.000Z"/>
    <d v="2022-10-24T00:00:00"/>
    <s v="Leo"/>
    <s v="Leo Thomas"/>
    <s v="levi.thomas@outlook.com"/>
    <s v="Julian"/>
    <s v="Thomas"/>
    <s v="(732) 555-1057"/>
    <s v="131ak000001XjDtAAK"/>
    <s v="Red Bank"/>
    <s v="a07ak00001rZMpWAAW"/>
    <b v="0"/>
    <m/>
    <s v="005ak00000icyWTAAY"/>
    <s v="2026-09-17T15:39:12.000Z"/>
    <s v="2026-09-15T17:15:54.000Z"/>
    <s v="2026-09-15T17:15:54.000Z"/>
    <d v="2026-03-26T00:00:00"/>
    <s v="Thomas"/>
    <s v="Weekly"/>
    <m/>
    <n v="160"/>
    <s v="Leo Thomas"/>
    <s v="005ak00000icyWTAAY"/>
    <b v="0"/>
    <s v="Wednesday"/>
    <x v="9"/>
    <s v="Intermediate"/>
    <x v="1"/>
    <m/>
    <s v="STU-0024"/>
    <m/>
    <s v="2026-09-24T19:18:48.000Z"/>
    <n v="1"/>
    <m/>
    <s v="Leo Thomas|levi.thomas@outlook.com"/>
    <n v="1"/>
  </r>
  <r>
    <n v="10"/>
    <d v="2016-09-10T00:00:00"/>
    <n v="2"/>
    <s v="005ak00000icyWTAAY"/>
    <s v="2026-09-14T19:09:41.000Z"/>
    <d v="2025-06-13T00:00:00"/>
    <s v="Jordan"/>
    <s v="Jordan Miller"/>
    <s v="vmiller@yahoo.com"/>
    <s v="Brooklyn"/>
    <s v="Miller"/>
    <s v="(732) 555-5274"/>
    <s v="131ak000001XjDtAAK"/>
    <s v="Red Bank"/>
    <s v="a07ak00001rZMpXAAW"/>
    <b v="0"/>
    <m/>
    <s v="005ak00000icyWTAAY"/>
    <s v="2026-09-17T15:39:12.000Z"/>
    <s v="2026-09-15T17:15:54.000Z"/>
    <s v="2026-09-15T17:15:54.000Z"/>
    <d v="2026-08-15T00:00:00"/>
    <s v="Miller"/>
    <s v="Biweekly"/>
    <m/>
    <n v="160"/>
    <s v="Jordan Miller"/>
    <s v="005ak00000icyWTAAY"/>
    <b v="0"/>
    <s v="Tuesday"/>
    <x v="10"/>
    <s v="Intermediate"/>
    <x v="1"/>
    <m/>
    <s v="STU-0025"/>
    <m/>
    <s v="2026-09-24T19:18:48.000Z"/>
    <n v="0.5"/>
    <m/>
    <s v="Jordan Miller|vmiller@yahoo.com"/>
    <n v="1"/>
  </r>
  <r>
    <n v="15"/>
    <d v="2011-06-23T00:00:00"/>
    <n v="0"/>
    <s v="005ak00000icyWTAAY"/>
    <s v="2026-09-14T19:09:41.000Z"/>
    <d v="2023-08-08T00:00:00"/>
    <s v="Claire"/>
    <s v="Claire Flores"/>
    <s v="victoriaflores@yahoo.com"/>
    <s v="Emily"/>
    <s v="Flores"/>
    <s v="(732) 555-9651"/>
    <s v="131ak000001XjDtAAK"/>
    <s v="Red Bank"/>
    <s v="a07ak00001rZMpYAAW"/>
    <b v="0"/>
    <m/>
    <s v="005ak00000icyWTAAY"/>
    <s v="2026-09-24T16:51:20.000Z"/>
    <s v="2026-09-17T03:05:00.000Z"/>
    <s v="2026-09-17T03:05:00.000Z"/>
    <m/>
    <s v="Flores"/>
    <s v="Weekly"/>
    <s v="claireflores@outlook.com"/>
    <n v="200"/>
    <s v="Claire Flores"/>
    <s v="005ak00000icyWTAAY"/>
    <b v="0"/>
    <s v="Saturday"/>
    <x v="2"/>
    <s v="Beginner"/>
    <x v="2"/>
    <m/>
    <s v="STU-0026"/>
    <m/>
    <s v="2026-09-24T19:18:48.000Z"/>
    <n v="1"/>
    <d v="2026-08-10T00:00:00"/>
    <s v="Claire Flores|victoriaflores@yahoo.com"/>
    <n v="1"/>
  </r>
  <r>
    <n v="16"/>
    <d v="2010-04-19T00:00:00"/>
    <n v="3"/>
    <s v="005ak00000icyWTAAY"/>
    <s v="2026-09-14T19:09:41.000Z"/>
    <d v="2023-04-09T00:00:00"/>
    <s v="Harper"/>
    <s v="Harper Patel"/>
    <s v="micahpatel19@outlook.com"/>
    <s v="Isabella"/>
    <s v="Patel"/>
    <s v="(732) 555-5752"/>
    <s v="131ak000001XjDuAAK"/>
    <s v="Brick"/>
    <s v="a07ak00001rZMpZAAW"/>
    <b v="0"/>
    <m/>
    <s v="005ak00000icyWTAAY"/>
    <s v="2026-09-17T15:39:12.000Z"/>
    <s v="2026-09-17T04:05:29.000Z"/>
    <s v="2026-09-17T04:05:29.000Z"/>
    <d v="2026-06-16T00:00:00"/>
    <s v="Patel"/>
    <s v="Weekly"/>
    <s v="harper.patel@icloud.com"/>
    <n v="220"/>
    <s v="Harper Patel"/>
    <s v="005ak00000icyWTAAY"/>
    <b v="0"/>
    <s v="Tuesday"/>
    <x v="4"/>
    <s v="Beginner"/>
    <x v="1"/>
    <m/>
    <s v="STU-0027"/>
    <m/>
    <s v="2026-09-24T19:18:48.000Z"/>
    <n v="1"/>
    <m/>
    <s v="Harper Patel|micahpatel19@outlook.com"/>
    <n v="1"/>
  </r>
  <r>
    <n v="17"/>
    <d v="2009-01-07T00:00:00"/>
    <n v="0"/>
    <s v="005ak00000icyWTAAY"/>
    <s v="2026-09-14T19:09:41.000Z"/>
    <d v="2022-02-03T00:00:00"/>
    <s v="Layla"/>
    <s v="Layla Hill"/>
    <s v="ihill@icloud.com"/>
    <s v="Hazel"/>
    <s v="Hill"/>
    <s v="(732) 555-2584"/>
    <s v="131ak000001XjDuAAK"/>
    <s v="Brick"/>
    <s v="a07ak00001rZMpaAAG"/>
    <b v="0"/>
    <m/>
    <s v="005ak00000icyWTAAY"/>
    <s v="2026-09-17T15:39:12.000Z"/>
    <s v="2026-09-15T17:15:54.000Z"/>
    <s v="2026-09-15T17:15:54.000Z"/>
    <m/>
    <s v="Hill"/>
    <s v="Weekly"/>
    <s v="laylahill@yahoo.com"/>
    <n v="180"/>
    <s v="Layla Hill"/>
    <s v="005ak00000icyWTAAY"/>
    <b v="0"/>
    <s v="Monday"/>
    <x v="3"/>
    <s v="Advanced"/>
    <x v="1"/>
    <m/>
    <s v="STU-0028"/>
    <m/>
    <s v="2026-09-24T19:18:48.000Z"/>
    <n v="1"/>
    <m/>
    <s v="Layla Hill|ihill@icloud.com"/>
    <n v="1"/>
  </r>
  <r>
    <n v="17"/>
    <d v="2009-05-04T00:00:00"/>
    <n v="0"/>
    <s v="005ak00000icyWTAAY"/>
    <s v="2026-09-14T19:09:41.000Z"/>
    <d v="2024-01-31T00:00:00"/>
    <s v="Sofia"/>
    <s v="Sofia Green"/>
    <s v="jamalgreen@hotmail.com"/>
    <s v="Penelope"/>
    <s v="Green"/>
    <s v="(732) 555-4305"/>
    <s v="131ak000001XjDtAAK"/>
    <s v="Red Bank"/>
    <s v="a07ak00001rZMpbAAG"/>
    <b v="0"/>
    <m/>
    <s v="005ak00000icyWTAAY"/>
    <s v="2026-09-17T15:39:12.000Z"/>
    <s v="2026-09-17T17:48:46.000Z"/>
    <s v="2026-09-17T17:48:46.000Z"/>
    <m/>
    <s v="Green"/>
    <s v="Weekly"/>
    <s v="sofiagreen@gmail.com"/>
    <n v="160"/>
    <s v="Sofia Green"/>
    <s v="005ak00000icyWTAAY"/>
    <b v="0"/>
    <s v="Thursday"/>
    <x v="9"/>
    <s v="Advanced"/>
    <x v="1"/>
    <m/>
    <s v="STU-0029"/>
    <m/>
    <s v="2026-09-24T19:18:48.000Z"/>
    <n v="1"/>
    <m/>
    <s v="Sofia Green|jamalgreen@hotmail.com"/>
    <n v="1"/>
  </r>
  <r>
    <n v="9"/>
    <d v="2017-07-15T00:00:00"/>
    <n v="0"/>
    <s v="005ak00000icyWTAAY"/>
    <s v="2026-09-14T19:09:41.000Z"/>
    <d v="2024-10-10T00:00:00"/>
    <s v="Adrian"/>
    <s v="Adrian Sullivan"/>
    <s v="brooklyn.sullivan@icloud.com"/>
    <s v="James"/>
    <s v="Sullivan"/>
    <s v="(732) 555-4925"/>
    <s v="131ak000001XjDvAAK"/>
    <s v="Toms River"/>
    <s v="a07ak00001rZMpcAAG"/>
    <b v="0"/>
    <m/>
    <s v="005ak00000iur57AAA"/>
    <s v="2026-09-17T17:12:29.000Z"/>
    <s v="2026-09-17T03:05:00.000Z"/>
    <s v="2026-09-17T03:05:00.000Z"/>
    <m/>
    <s v="Sullivan"/>
    <s v="Weekly"/>
    <m/>
    <n v="240"/>
    <s v="Adrian Sullivan"/>
    <s v="005ak00000icyWTAAY"/>
    <b v="0"/>
    <s v="Wednesday"/>
    <x v="7"/>
    <s v="Advanced"/>
    <x v="1"/>
    <m/>
    <s v="STU-0030"/>
    <m/>
    <s v="2026-09-24T19:18:48.000Z"/>
    <n v="1"/>
    <m/>
    <s v="Adrian Sullivan|brooklyn.sullivan@icloud.com"/>
    <n v="1"/>
  </r>
  <r>
    <n v="14"/>
    <d v="2012-02-06T00:00:00"/>
    <n v="1"/>
    <s v="005ak00000icyWTAAY"/>
    <s v="2026-09-14T19:09:41.000Z"/>
    <d v="2023-04-10T00:00:00"/>
    <s v="Ruby"/>
    <s v="Ruby Byrne"/>
    <s v="everlybyrne57@hotmail.com"/>
    <s v="Chen"/>
    <s v="Byrne"/>
    <s v="(732) 555-9048"/>
    <s v="131ak000001XjDtAAK"/>
    <s v="Red Bank"/>
    <s v="a07ak00001rZMpdAAG"/>
    <b v="0"/>
    <m/>
    <s v="005ak00000icyWTAAY"/>
    <s v="2026-09-17T15:39:12.000Z"/>
    <s v="2026-09-15T17:15:54.000Z"/>
    <s v="2026-09-15T17:15:54.000Z"/>
    <d v="2026-05-05T00:00:00"/>
    <s v="Byrne"/>
    <s v="Weekly"/>
    <s v="rubybyrne70@yahoo.com"/>
    <n v="240"/>
    <s v="Ruby Byrne"/>
    <s v="005ak00000icyWTAAY"/>
    <b v="0"/>
    <s v="Saturday"/>
    <x v="9"/>
    <s v="Intermediate"/>
    <x v="1"/>
    <m/>
    <s v="STU-0031"/>
    <m/>
    <s v="2026-09-24T19:18:48.000Z"/>
    <n v="1"/>
    <m/>
    <s v="Ruby Byrne|everlybyrne57@hotmail.com"/>
    <n v="1"/>
  </r>
  <r>
    <n v="18"/>
    <d v="2008-09-20T00:00:00"/>
    <n v="3"/>
    <s v="005ak00000icyWTAAY"/>
    <s v="2026-09-14T19:09:41.000Z"/>
    <d v="2024-01-21T00:00:00"/>
    <s v="Aubrey"/>
    <s v="Aubrey Wilson"/>
    <s v="aiden.wilson@icloud.com"/>
    <s v="Chloe"/>
    <s v="Wilson"/>
    <s v="(732) 555-3505"/>
    <s v="131ak000001XjDuAAK"/>
    <s v="Brick"/>
    <s v="a07ak00001rZMpeAAG"/>
    <b v="0"/>
    <m/>
    <s v="005ak00000icyWTAAY"/>
    <s v="2026-09-21T18:15:14.000Z"/>
    <s v="2026-09-24T16:49:09.000Z"/>
    <s v="2026-09-24T16:49:09.000Z"/>
    <d v="2026-05-07T00:00:00"/>
    <s v="Wilson"/>
    <s v="Weekly"/>
    <m/>
    <m/>
    <s v="Aubrey Wilson"/>
    <s v="005ak00000icyWTAAY"/>
    <b v="0"/>
    <s v="Friday"/>
    <x v="1"/>
    <s v="Intermediate"/>
    <x v="0"/>
    <s v="awilson@yahoo.com"/>
    <s v="STU-0032"/>
    <m/>
    <s v="2026-09-24T19:18:48.000Z"/>
    <n v="1"/>
    <m/>
    <s v="Aubrey Wilson|aiden.wilson@icloud.com"/>
    <n v="1"/>
  </r>
  <r>
    <n v="10"/>
    <d v="2015-12-07T00:00:00"/>
    <n v="1"/>
    <s v="005ak00000icyWTAAY"/>
    <s v="2026-09-14T19:09:41.000Z"/>
    <d v="2022-10-12T00:00:00"/>
    <s v="Jonah"/>
    <s v="Jonah Moore"/>
    <s v="lmoore@icloud.com"/>
    <s v="Ivy"/>
    <s v="Moore"/>
    <s v="(732) 555-3860"/>
    <s v="131ak000001XjDtAAK"/>
    <s v="Red Bank"/>
    <s v="a07ak00001rZMpfAAG"/>
    <b v="0"/>
    <m/>
    <s v="005ak00000icyWTAAY"/>
    <s v="2026-09-17T15:39:12.000Z"/>
    <s v="2026-09-15T17:15:54.000Z"/>
    <s v="2026-09-15T17:15:54.000Z"/>
    <d v="2026-03-01T00:00:00"/>
    <s v="Moore"/>
    <s v="Weekly"/>
    <m/>
    <n v="220"/>
    <s v="Jonah Moore"/>
    <s v="005ak00000icyWTAAY"/>
    <b v="0"/>
    <s v="Wednesday"/>
    <x v="11"/>
    <s v="Beginner"/>
    <x v="1"/>
    <m/>
    <s v="STU-0033"/>
    <m/>
    <s v="2026-09-24T19:18:48.000Z"/>
    <n v="1"/>
    <m/>
    <s v="Jonah Moore|lmoore@icloud.com"/>
    <n v="1"/>
  </r>
  <r>
    <n v="9"/>
    <d v="2017-09-09T00:00:00"/>
    <n v="1"/>
    <s v="005ak00000icyWTAAY"/>
    <s v="2026-09-14T19:09:41.000Z"/>
    <d v="2026-04-22T00:00:00"/>
    <s v="Micah"/>
    <s v="Micah King"/>
    <s v="isaacking60@yahoo.com"/>
    <s v="Victoria"/>
    <s v="King"/>
    <s v="(732) 555-9740"/>
    <s v="131ak000001XjDtAAK"/>
    <s v="Red Bank"/>
    <s v="a07ak00001rZMpgAAG"/>
    <b v="0"/>
    <m/>
    <s v="005ak00000icyWTAAY"/>
    <s v="2026-09-17T15:39:12.000Z"/>
    <s v="2026-09-15T17:15:54.000Z"/>
    <s v="2026-09-15T17:15:54.000Z"/>
    <d v="2026-05-06T00:00:00"/>
    <s v="King"/>
    <s v="Weekly"/>
    <m/>
    <n v="160"/>
    <s v="Micah King"/>
    <s v="005ak00000icyWTAAY"/>
    <b v="0"/>
    <s v="Monday"/>
    <x v="1"/>
    <s v="Beginner"/>
    <x v="1"/>
    <m/>
    <s v="STU-0034"/>
    <m/>
    <s v="2026-09-24T19:18:48.000Z"/>
    <n v="1"/>
    <m/>
    <s v="Micah King|isaacking60@yahoo.com"/>
    <n v="1"/>
  </r>
  <r>
    <n v="14"/>
    <d v="2012-04-20T00:00:00"/>
    <n v="0"/>
    <s v="005ak00000icyWTAAY"/>
    <s v="2026-09-14T19:09:41.000Z"/>
    <d v="2025-09-16T00:00:00"/>
    <s v="Aiden"/>
    <s v="Aiden Roberts"/>
    <s v="oliviaroberts@icloud.com"/>
    <s v="Daniel"/>
    <s v="Roberts"/>
    <s v="(732) 555-7024"/>
    <s v="131ak000001XjDuAAK"/>
    <s v="Brick"/>
    <s v="a07ak00001rZMphAAG"/>
    <b v="0"/>
    <m/>
    <s v="005ak00000icyWTAAY"/>
    <s v="2026-09-17T16:07:20.000Z"/>
    <s v="2026-09-17T16:55:33.000Z"/>
    <s v="2026-09-17T16:55:33.000Z"/>
    <m/>
    <s v="Roberts"/>
    <s v="Biweekly"/>
    <s v="aidenroberts31@hotmail.com"/>
    <n v="180"/>
    <s v="Aiden Roberts"/>
    <s v="005ak00000icyWTAAY"/>
    <b v="0"/>
    <s v="Saturday"/>
    <x v="9"/>
    <s v="Beginner"/>
    <x v="1"/>
    <m/>
    <s v="STU-0035"/>
    <m/>
    <s v="2026-09-24T19:18:48.000Z"/>
    <n v="0.5"/>
    <m/>
    <s v="Aiden Roberts|oliviaroberts@icloud.com"/>
    <n v="1"/>
  </r>
  <r>
    <n v="15"/>
    <d v="2011-03-10T00:00:00"/>
    <n v="0"/>
    <s v="005ak00000icyWTAAY"/>
    <s v="2026-09-14T19:09:41.000Z"/>
    <d v="2024-03-15T00:00:00"/>
    <s v="Bella"/>
    <s v="Bella Adams"/>
    <s v="emily.adams@icloud.com"/>
    <s v="Evelyn"/>
    <s v="Adams"/>
    <s v="(732) 555-3814"/>
    <s v="131ak000001XjDuAAK"/>
    <s v="Brick"/>
    <s v="a07ak00001rZMpiAAG"/>
    <b v="0"/>
    <m/>
    <s v="005ak00000icyWTAAY"/>
    <s v="2026-09-17T15:39:12.000Z"/>
    <s v="2026-09-17T03:05:00.000Z"/>
    <s v="2026-09-17T03:05:00.000Z"/>
    <m/>
    <s v="Adams"/>
    <s v="Weekly"/>
    <s v="bellaadams@icloud.com"/>
    <n v="220"/>
    <s v="Bella Adams"/>
    <s v="005ak00000icyWTAAY"/>
    <b v="0"/>
    <s v="Friday"/>
    <x v="2"/>
    <s v="Beginner"/>
    <x v="1"/>
    <m/>
    <s v="STU-0036"/>
    <m/>
    <s v="2026-09-24T19:18:48.000Z"/>
    <n v="1"/>
    <m/>
    <s v="Bella Adams|emily.adams@icloud.com"/>
    <n v="1"/>
  </r>
  <r>
    <n v="6"/>
    <d v="2020-02-06T00:00:00"/>
    <n v="1"/>
    <s v="005ak00000icyWTAAY"/>
    <s v="2026-09-14T19:09:41.000Z"/>
    <d v="2025-11-16T00:00:00"/>
    <s v="Genesis"/>
    <s v="Genesis Novak"/>
    <s v="lucy.novak@icloud.com"/>
    <s v="Nora"/>
    <s v="Novak"/>
    <s v="(732) 555-1528"/>
    <s v="131ak000001XjDuAAK"/>
    <s v="Brick"/>
    <s v="a07ak00001rZMpjAAG"/>
    <b v="0"/>
    <m/>
    <s v="005ak00000icyWTAAY"/>
    <s v="2026-09-17T15:39:12.000Z"/>
    <s v="2026-09-15T17:15:54.000Z"/>
    <s v="2026-09-15T17:15:54.000Z"/>
    <d v="2026-06-04T00:00:00"/>
    <s v="Novak"/>
    <s v="Weekly"/>
    <m/>
    <n v="180"/>
    <s v="Genesis Novak"/>
    <s v="005ak00000icyWTAAY"/>
    <b v="0"/>
    <s v="Thursday"/>
    <x v="6"/>
    <s v="Beginner"/>
    <x v="1"/>
    <m/>
    <s v="STU-0037"/>
    <m/>
    <s v="2026-09-24T19:18:48.000Z"/>
    <n v="1"/>
    <m/>
    <s v="Genesis Novak|lucy.novak@icloud.com"/>
    <n v="1"/>
  </r>
  <r>
    <n v="31"/>
    <d v="1994-12-05T00:00:00"/>
    <n v="0"/>
    <s v="005ak00000icyWTAAY"/>
    <s v="2026-09-14T19:09:41.000Z"/>
    <d v="2025-01-06T00:00:00"/>
    <s v="Fatima"/>
    <s v="Fatima Jones"/>
    <s v="guardian@email.com"/>
    <s v="First"/>
    <s v="Last"/>
    <s v="732-732-1000"/>
    <s v="131ak000001XjDuAAK"/>
    <s v="Brick"/>
    <s v="a07ak00001rZMpkAAG"/>
    <b v="0"/>
    <m/>
    <s v="005ak00000icyWTAAY"/>
    <s v="2026-09-17T16:07:11.000Z"/>
    <s v="2026-09-29T02:53:03.000Z"/>
    <s v="2026-09-29T02:53:03.000Z"/>
    <m/>
    <s v="Jones"/>
    <s v="Weekly"/>
    <m/>
    <n v="160"/>
    <s v="Fatima Jones"/>
    <s v="005ak00000icyWTAAY"/>
    <b v="0"/>
    <s v="Thursday"/>
    <x v="11"/>
    <s v="Beginner"/>
    <x v="1"/>
    <s v="fjones@hotmail.com"/>
    <s v="STU-0038"/>
    <s v="(732) 555-5558"/>
    <s v="2026-09-24T19:18:48.000Z"/>
    <n v="1"/>
    <m/>
    <s v="Fatima Jones|guardian@email.com"/>
    <n v="1"/>
  </r>
  <r>
    <n v="9"/>
    <d v="2017-01-05T00:00:00"/>
    <n v="0"/>
    <s v="005ak00000icyWTAAY"/>
    <s v="2026-09-14T19:09:41.000Z"/>
    <d v="2024-07-11T00:00:00"/>
    <s v="Victoria"/>
    <s v="Victoria Silva"/>
    <s v="savannahsilva7@gmail.com"/>
    <s v="Chloe"/>
    <s v="Silva"/>
    <s v="(732) 555-7040"/>
    <s v="131ak000001XjDvAAK"/>
    <s v="Toms River"/>
    <s v="a07ak00001rZMplAAG"/>
    <b v="0"/>
    <m/>
    <s v="005ak00000icyWTAAY"/>
    <s v="2026-09-24T16:51:20.000Z"/>
    <s v="2026-09-15T17:15:54.000Z"/>
    <s v="2026-09-15T17:15:54.000Z"/>
    <m/>
    <s v="Silva"/>
    <s v="Weekly"/>
    <m/>
    <n v="180"/>
    <s v="Victoria Silva"/>
    <s v="005ak00000icyWTAAY"/>
    <b v="0"/>
    <s v="Wednesday"/>
    <x v="9"/>
    <s v="Beginner"/>
    <x v="2"/>
    <m/>
    <s v="STU-0039"/>
    <m/>
    <s v="2026-09-24T19:18:48.000Z"/>
    <n v="1"/>
    <d v="2025-10-25T00:00:00"/>
    <s v="Victoria Silva|savannahsilva7@gmail.com"/>
    <n v="1"/>
  </r>
  <r>
    <n v="15"/>
    <d v="2011-03-08T00:00:00"/>
    <n v="0"/>
    <s v="005ak00000icyWTAAY"/>
    <s v="2026-09-14T19:09:41.000Z"/>
    <d v="2024-11-27T00:00:00"/>
    <s v="Scarlett"/>
    <s v="Scarlett Jackson"/>
    <s v="chenjackson13@yahoo.com"/>
    <s v="Anna"/>
    <s v="Jackson"/>
    <s v="(732) 555-9853"/>
    <s v="131ak000001XjDtAAK"/>
    <s v="Red Bank"/>
    <s v="a07ak00001rZMpmAAG"/>
    <b v="0"/>
    <m/>
    <s v="005ak00000icyWTAAY"/>
    <s v="2026-09-17T15:39:12.000Z"/>
    <s v="2026-09-15T17:15:54.000Z"/>
    <s v="2026-09-15T17:15:54.000Z"/>
    <m/>
    <s v="Jackson"/>
    <s v="Weekly"/>
    <s v="scarlettjackson@icloud.com"/>
    <n v="180"/>
    <s v="Scarlett Jackson"/>
    <s v="005ak00000icyWTAAY"/>
    <b v="0"/>
    <s v="Wednesday"/>
    <x v="7"/>
    <s v="Beginner"/>
    <x v="1"/>
    <m/>
    <s v="STU-0040"/>
    <m/>
    <s v="2026-09-24T19:18:48.000Z"/>
    <n v="1"/>
    <m/>
    <s v="Scarlett Jackson|chenjackson13@yahoo.com"/>
    <n v="1"/>
  </r>
  <r>
    <n v="45"/>
    <d v="1980-11-08T00:00:00"/>
    <n v="0"/>
    <s v="005ak00000icyWTAAY"/>
    <s v="2026-09-14T19:09:41.000Z"/>
    <d v="2022-10-30T00:00:00"/>
    <s v="Leo"/>
    <s v="Leo Mitchell"/>
    <m/>
    <m/>
    <m/>
    <m/>
    <s v="131ak000001XjDvAAK"/>
    <s v="Toms River"/>
    <s v="a07ak00001rZMpnAAG"/>
    <b v="0"/>
    <m/>
    <s v="005ak00000icyWTAAY"/>
    <s v="2026-09-17T15:39:12.000Z"/>
    <s v="2026-09-15T17:15:54.000Z"/>
    <s v="2026-09-15T17:15:54.000Z"/>
    <m/>
    <s v="Mitchell"/>
    <s v="Biweekly"/>
    <m/>
    <n v="180"/>
    <s v="Leo Mitchell"/>
    <s v="005ak00000icyWTAAY"/>
    <b v="0"/>
    <s v="Saturday"/>
    <x v="10"/>
    <s v="Beginner"/>
    <x v="1"/>
    <s v="leomitchell@icloud.com"/>
    <s v="STU-0041"/>
    <s v="(732) 555-7145"/>
    <s v="2026-09-24T19:18:48.000Z"/>
    <n v="0.5"/>
    <m/>
    <s v="Leo Mitchell|"/>
    <n v="1"/>
  </r>
  <r>
    <n v="16"/>
    <d v="2009-11-03T00:00:00"/>
    <n v="0"/>
    <s v="005ak00000icyWTAAY"/>
    <s v="2026-09-14T19:09:41.000Z"/>
    <d v="2022-08-09T00:00:00"/>
    <s v="Naomi"/>
    <s v="Naomi Rodriguez"/>
    <s v="abigail.rodriguez@gmail.com"/>
    <s v="Ella"/>
    <s v="Rodriguez"/>
    <s v="(732) 555-1469"/>
    <s v="131ak000001XjDtAAK"/>
    <s v="Red Bank"/>
    <s v="a07ak00001rZMpoAAG"/>
    <b v="0"/>
    <m/>
    <s v="005ak00000icyWTAAY"/>
    <s v="2026-09-17T15:39:12.000Z"/>
    <s v="2026-09-15T17:15:54.000Z"/>
    <s v="2026-09-15T17:15:54.000Z"/>
    <m/>
    <s v="Rodriguez"/>
    <s v="Weekly"/>
    <s v="naomirodriguez72@gmail.com"/>
    <n v="180"/>
    <s v="Naomi Rodriguez"/>
    <s v="005ak00000icyWTAAY"/>
    <b v="0"/>
    <s v="Saturday"/>
    <x v="11"/>
    <s v="Beginner"/>
    <x v="0"/>
    <m/>
    <s v="STU-0042"/>
    <m/>
    <s v="2026-09-24T19:18:48.000Z"/>
    <n v="1"/>
    <m/>
    <s v="Naomi Rodriguez|abigail.rodriguez@gmail.com"/>
    <n v="1"/>
  </r>
  <r>
    <n v="7"/>
    <d v="2019-03-30T00:00:00"/>
    <n v="0"/>
    <s v="005ak00000icyWTAAY"/>
    <s v="2026-09-14T19:09:41.000Z"/>
    <d v="2022-10-21T00:00:00"/>
    <s v="Ruby"/>
    <s v="Ruby Taylor"/>
    <s v="avataylor32@icloud.com"/>
    <s v="Yusuf"/>
    <s v="Taylor"/>
    <s v="(732) 555-1478"/>
    <s v="131ak000001XjDtAAK"/>
    <s v="Red Bank"/>
    <s v="a07ak00001rZMppAAG"/>
    <b v="0"/>
    <m/>
    <s v="005ak00000icyWTAAY"/>
    <s v="2026-09-17T15:39:12.000Z"/>
    <s v="2026-09-15T17:15:54.000Z"/>
    <s v="2026-09-15T17:15:54.000Z"/>
    <m/>
    <s v="Taylor"/>
    <s v="Weekly"/>
    <m/>
    <n v="200"/>
    <s v="Ruby Taylor"/>
    <s v="005ak00000icyWTAAY"/>
    <b v="0"/>
    <s v="Tuesday"/>
    <x v="3"/>
    <s v="Beginner"/>
    <x v="1"/>
    <m/>
    <s v="STU-0043"/>
    <m/>
    <s v="2026-09-24T19:18:48.000Z"/>
    <n v="1"/>
    <m/>
    <s v="Ruby Taylor|avataylor32@icloud.com"/>
    <n v="1"/>
  </r>
  <r>
    <n v="8"/>
    <d v="2017-11-05T00:00:00"/>
    <n v="0"/>
    <s v="005ak00000icyWTAAY"/>
    <s v="2026-09-14T19:09:41.000Z"/>
    <d v="2022-04-11T00:00:00"/>
    <s v="Isaac"/>
    <s v="Isaac Harris"/>
    <s v="vharris@gmail.com"/>
    <s v="Aria"/>
    <s v="Harris"/>
    <s v="(732) 555-6042"/>
    <s v="131ak000001XjDtAAK"/>
    <s v="Red Bank"/>
    <s v="a07ak00001rZMpqAAG"/>
    <b v="0"/>
    <m/>
    <s v="005ak00000icyWTAAY"/>
    <s v="2026-09-17T15:39:12.000Z"/>
    <s v="2026-09-15T17:15:54.000Z"/>
    <s v="2026-09-15T17:15:54.000Z"/>
    <m/>
    <s v="Harris"/>
    <s v="Weekly"/>
    <m/>
    <n v="180"/>
    <s v="Isaac Harris"/>
    <s v="005ak00000icyWTAAY"/>
    <b v="0"/>
    <s v="Friday"/>
    <x v="1"/>
    <s v="Intermediate"/>
    <x v="1"/>
    <m/>
    <s v="STU-0044"/>
    <m/>
    <s v="2026-09-24T19:18:48.000Z"/>
    <n v="1"/>
    <m/>
    <s v="Isaac Harris|vharris@gmail.com"/>
    <n v="1"/>
  </r>
  <r>
    <m/>
    <m/>
    <n v="1"/>
    <s v="005ak00000icyWTAAY"/>
    <s v="2026-09-14T19:09:41.000Z"/>
    <d v="2026-06-16T00:00:00"/>
    <s v="Henry"/>
    <s v="Henry Brown"/>
    <s v="james.brown@outlook.com"/>
    <s v="Hazel"/>
    <s v="Brown"/>
    <s v="(732) 555-8867"/>
    <s v="131ak000001XjDuAAK"/>
    <s v="Brick"/>
    <s v="a07ak00001rZMprAAG"/>
    <b v="0"/>
    <m/>
    <s v="005ak00000icyWTAAY"/>
    <s v="2026-09-17T16:06:58.000Z"/>
    <s v="2026-09-17T16:06:58.000Z"/>
    <s v="2026-09-17T16:06:58.000Z"/>
    <d v="2026-08-01T00:00:00"/>
    <s v="Brown"/>
    <s v="Weekly"/>
    <m/>
    <n v="240"/>
    <s v="Henry Brown"/>
    <s v="005ak00000icyWTAAY"/>
    <b v="0"/>
    <s v="Monday"/>
    <x v="0"/>
    <s v="Advanced"/>
    <x v="1"/>
    <m/>
    <s v="STU-0045"/>
    <m/>
    <s v="2026-09-24T19:18:48.000Z"/>
    <n v="1"/>
    <m/>
    <s v="Henry Brown|james.brown@outlook.com"/>
    <n v="1"/>
  </r>
  <r>
    <n v="8"/>
    <d v="2018-03-19T00:00:00"/>
    <n v="0"/>
    <s v="005ak00000icyWTAAY"/>
    <s v="2026-09-14T19:09:41.000Z"/>
    <d v="2025-11-29T00:00:00"/>
    <s v="Aubrey"/>
    <s v="Aubrey Clark"/>
    <s v="malachiclark@outlook.com"/>
    <s v="Aurora"/>
    <s v="Clark"/>
    <s v="(732) 555-7203"/>
    <s v="131ak000001XjDtAAK"/>
    <s v="Red Bank"/>
    <s v="a07ak00001rZMpsAAG"/>
    <b v="0"/>
    <m/>
    <s v="005ak00000icyWTAAY"/>
    <s v="2026-09-17T15:39:12.000Z"/>
    <s v="2026-09-17T03:05:00.000Z"/>
    <s v="2026-09-17T03:05:00.000Z"/>
    <m/>
    <s v="Clark"/>
    <s v="Weekly"/>
    <m/>
    <n v="180"/>
    <s v="Aubrey Clark"/>
    <s v="005ak00000icyWTAAY"/>
    <b v="0"/>
    <s v="Thursday"/>
    <x v="7"/>
    <s v="Advanced"/>
    <x v="1"/>
    <m/>
    <s v="STU-0046"/>
    <m/>
    <s v="2026-09-24T19:18:48.000Z"/>
    <n v="1"/>
    <m/>
    <s v="Aubrey Clark|malachiclark@outlook.com"/>
    <n v="1"/>
  </r>
  <r>
    <n v="10"/>
    <d v="2016-03-11T00:00:00"/>
    <n v="0"/>
    <s v="005ak00000icyWTAAY"/>
    <s v="2026-09-14T19:09:41.000Z"/>
    <d v="2022-03-23T00:00:00"/>
    <s v="Paisley"/>
    <s v="Paisley Chen"/>
    <s v="loganchen@hotmail.com"/>
    <s v="Julian"/>
    <s v="Chen"/>
    <s v="(732) 555-2104"/>
    <s v="131ak000001XjDtAAK"/>
    <s v="Red Bank"/>
    <s v="a07ak00001rZMptAAG"/>
    <b v="0"/>
    <m/>
    <s v="005ak00000icyWTAAY"/>
    <s v="2026-09-24T16:51:20.000Z"/>
    <s v="2026-09-15T17:15:54.000Z"/>
    <s v="2026-09-15T17:15:54.000Z"/>
    <m/>
    <s v="Chen"/>
    <s v="Weekly"/>
    <m/>
    <n v="160"/>
    <s v="Paisley Chen"/>
    <s v="005ak00000icyWTAAY"/>
    <b v="0"/>
    <s v="Saturday"/>
    <x v="2"/>
    <s v="Beginner"/>
    <x v="2"/>
    <m/>
    <s v="STU-0047"/>
    <m/>
    <s v="2026-09-24T19:18:48.000Z"/>
    <n v="1"/>
    <d v="2025-11-22T00:00:00"/>
    <s v="Paisley Chen|loganchen@hotmail.com"/>
    <n v="1"/>
  </r>
  <r>
    <n v="7"/>
    <d v="2019-07-23T00:00:00"/>
    <n v="2"/>
    <s v="005ak00000icyWTAAY"/>
    <s v="2026-09-14T19:09:41.000Z"/>
    <d v="2025-03-22T00:00:00"/>
    <s v="Everly"/>
    <s v="Everly Nelson"/>
    <s v="hudson.nelson@outlook.com"/>
    <s v="Nina"/>
    <s v="Nelson"/>
    <s v="(732) 555-7104"/>
    <s v="131ak000001XjDtAAK"/>
    <s v="Red Bank"/>
    <s v="a07ak00001rZMpuAAG"/>
    <b v="0"/>
    <m/>
    <s v="005ak00000icyWTAAY"/>
    <s v="2026-09-17T15:39:12.000Z"/>
    <s v="2026-09-17T03:05:00.000Z"/>
    <s v="2026-09-17T03:05:00.000Z"/>
    <d v="2026-08-24T00:00:00"/>
    <s v="Nelson"/>
    <s v="Biweekly"/>
    <m/>
    <n v="200"/>
    <s v="Everly Nelson"/>
    <s v="005ak00000icyWTAAY"/>
    <b v="0"/>
    <s v="Saturday"/>
    <x v="11"/>
    <s v="Advanced"/>
    <x v="1"/>
    <m/>
    <s v="STU-0048"/>
    <m/>
    <s v="2026-09-24T19:18:48.000Z"/>
    <n v="0.5"/>
    <m/>
    <s v="Everly Nelson|hudson.nelson@outlook.com"/>
    <n v="1"/>
  </r>
  <r>
    <n v="8"/>
    <d v="2018-01-30T00:00:00"/>
    <n v="0"/>
    <s v="005ak00000icyWTAAY"/>
    <s v="2026-09-14T19:09:41.000Z"/>
    <d v="2023-09-06T00:00:00"/>
    <s v="Anna"/>
    <s v="Anna Roberts"/>
    <s v="graceroberts@gmail.com"/>
    <s v="Jordan"/>
    <s v="Roberts"/>
    <s v="(732) 555-5340"/>
    <s v="131ak000001XjDtAAK"/>
    <s v="Red Bank"/>
    <s v="a07ak00001rZMpvAAG"/>
    <b v="0"/>
    <m/>
    <s v="005ak00000icyWTAAY"/>
    <s v="2026-09-17T15:39:12.000Z"/>
    <s v="2026-09-17T03:05:00.000Z"/>
    <s v="2026-09-17T03:05:00.000Z"/>
    <m/>
    <s v="Roberts"/>
    <s v="Weekly"/>
    <m/>
    <n v="220"/>
    <s v="Anna Roberts"/>
    <s v="005ak00000icyWTAAY"/>
    <b v="0"/>
    <s v="Saturday"/>
    <x v="5"/>
    <s v="Beginner"/>
    <x v="1"/>
    <m/>
    <s v="STU-0049"/>
    <m/>
    <s v="2026-09-24T19:18:48.000Z"/>
    <n v="1"/>
    <m/>
    <s v="Anna Roberts|graceroberts@gmail.com"/>
    <n v="1"/>
  </r>
  <r>
    <n v="15"/>
    <d v="2011-10-09T00:00:00"/>
    <n v="0"/>
    <s v="005ak00000icyWTAAY"/>
    <s v="2026-09-14T19:09:41.000Z"/>
    <d v="2022-05-05T00:00:00"/>
    <s v="Brooklyn"/>
    <s v="Brooklyn Young"/>
    <s v="byoung@outlook.com"/>
    <s v="Malachi"/>
    <s v="Young"/>
    <s v="(732) 555-4484"/>
    <s v="131ak000001XjDvAAK"/>
    <s v="Toms River"/>
    <s v="a07ak00001rZMpwAAG"/>
    <b v="0"/>
    <m/>
    <s v="005ak00000icyWTAAY"/>
    <s v="2026-09-17T15:39:12.000Z"/>
    <s v="2026-09-17T03:05:00.000Z"/>
    <s v="2026-09-17T03:05:00.000Z"/>
    <m/>
    <s v="Young"/>
    <s v="Weekly"/>
    <s v="brooklynyoung18@gmail.com"/>
    <n v="240"/>
    <s v="Brooklyn Young"/>
    <s v="005ak00000icyWTAAY"/>
    <b v="0"/>
    <s v="Saturday"/>
    <x v="11"/>
    <s v="Beginner"/>
    <x v="1"/>
    <m/>
    <s v="STU-0050"/>
    <m/>
    <s v="2026-09-24T19:18:48.000Z"/>
    <n v="1"/>
    <m/>
    <s v="Brooklyn Young|byoung@outlook.com"/>
    <n v="1"/>
  </r>
  <r>
    <n v="10"/>
    <d v="2016-05-09T00:00:00"/>
    <n v="1"/>
    <s v="005ak00000icyWTAAY"/>
    <s v="2026-09-14T19:09:41.000Z"/>
    <d v="2024-03-21T00:00:00"/>
    <s v="Mei"/>
    <s v="Mei White"/>
    <s v="theowhite@icloud.com"/>
    <s v="Marcus"/>
    <s v="White"/>
    <s v="(732) 555-9198"/>
    <s v="131ak000001XjDuAAK"/>
    <s v="Brick"/>
    <s v="a07ak00001rZMpxAAG"/>
    <b v="0"/>
    <m/>
    <s v="005ak00000icyWTAAY"/>
    <s v="2026-09-17T15:39:12.000Z"/>
    <s v="2026-09-15T17:15:54.000Z"/>
    <s v="2026-09-15T17:15:54.000Z"/>
    <d v="2026-02-27T00:00:00"/>
    <s v="White"/>
    <s v="Weekly"/>
    <m/>
    <n v="220"/>
    <s v="Mei White"/>
    <s v="005ak00000icyWTAAY"/>
    <b v="0"/>
    <s v="Saturday"/>
    <x v="10"/>
    <s v="Intermediate"/>
    <x v="1"/>
    <m/>
    <s v="STU-0051"/>
    <m/>
    <s v="2026-09-24T19:18:48.000Z"/>
    <n v="1"/>
    <m/>
    <s v="Mei White|theowhite@icloud.com"/>
    <n v="1"/>
  </r>
  <r>
    <n v="9"/>
    <d v="2017-06-18T00:00:00"/>
    <n v="0"/>
    <s v="005ak00000icyWTAAY"/>
    <s v="2026-09-14T19:09:41.000Z"/>
    <d v="2023-08-09T00:00:00"/>
    <s v="Paisley"/>
    <s v="Paisley Mitchell"/>
    <s v="jmitchell@yahoo.com"/>
    <s v="Aubrey"/>
    <s v="Mitchell"/>
    <s v="(732) 555-7609"/>
    <s v="131ak000001XjDtAAK"/>
    <s v="Red Bank"/>
    <s v="a07ak00001rZMpyAAG"/>
    <b v="0"/>
    <m/>
    <s v="005ak00000icyWTAAY"/>
    <s v="2026-09-24T16:51:20.000Z"/>
    <s v="2026-09-15T17:15:54.000Z"/>
    <s v="2026-09-15T17:15:54.000Z"/>
    <m/>
    <s v="Mitchell"/>
    <s v="Weekly"/>
    <m/>
    <n v="180"/>
    <s v="Paisley Mitchell"/>
    <s v="005ak00000icyWTAAY"/>
    <b v="0"/>
    <s v="Thursday"/>
    <x v="5"/>
    <s v="Intermediate"/>
    <x v="2"/>
    <m/>
    <s v="STU-0052"/>
    <m/>
    <s v="2026-09-24T19:18:48.000Z"/>
    <n v="1"/>
    <d v="2026-01-13T00:00:00"/>
    <s v="Paisley Mitchell|jmitchell@yahoo.com"/>
    <n v="1"/>
  </r>
  <r>
    <n v="7"/>
    <d v="2018-11-19T00:00:00"/>
    <n v="0"/>
    <s v="005ak00000icyWTAAY"/>
    <s v="2026-09-14T19:09:41.000Z"/>
    <d v="2022-07-12T00:00:00"/>
    <s v="Skylar"/>
    <s v="Skylar Rivera"/>
    <s v="harperrivera@yahoo.com"/>
    <s v="Santiago"/>
    <s v="Rivera"/>
    <s v="(732) 555-9262"/>
    <s v="131ak000001XjDvAAK"/>
    <s v="Toms River"/>
    <s v="a07ak00001rZMpzAAG"/>
    <b v="0"/>
    <m/>
    <s v="005ak00000icyWTAAY"/>
    <s v="2026-09-17T15:39:12.000Z"/>
    <s v="2026-09-15T17:15:54.000Z"/>
    <s v="2026-09-15T17:15:54.000Z"/>
    <m/>
    <s v="Rivera"/>
    <s v="Weekly"/>
    <m/>
    <n v="220"/>
    <s v="Skylar Rivera"/>
    <s v="005ak00000icyWTAAY"/>
    <b v="0"/>
    <s v="Wednesday"/>
    <x v="2"/>
    <s v="Beginner"/>
    <x v="1"/>
    <m/>
    <s v="STU-0053"/>
    <m/>
    <s v="2026-09-24T19:18:48.000Z"/>
    <n v="1"/>
    <m/>
    <s v="Skylar Rivera|harperrivera@yahoo.com"/>
    <n v="1"/>
  </r>
  <r>
    <n v="12"/>
    <d v="2014-03-29T00:00:00"/>
    <n v="1"/>
    <s v="005ak00000icyWTAAY"/>
    <s v="2026-09-14T19:09:41.000Z"/>
    <d v="2025-07-19T00:00:00"/>
    <s v="Henry"/>
    <s v="Henry Ryan"/>
    <s v="lucyryan25@gmail.com"/>
    <s v="Liam"/>
    <s v="Ryan"/>
    <s v="(732) 555-6294"/>
    <s v="131ak000001XjDuAAK"/>
    <s v="Brick"/>
    <s v="a07ak00001rZMq0AAG"/>
    <b v="0"/>
    <m/>
    <s v="005ak00000icyWTAAY"/>
    <s v="2026-09-17T15:39:12.000Z"/>
    <s v="2026-10-01T15:55:28.000Z"/>
    <s v="2026-10-01T15:55:28.000Z"/>
    <d v="2026-03-23T00:00:00"/>
    <s v="Ryan"/>
    <s v="Weekly"/>
    <m/>
    <n v="160"/>
    <s v="Henry Ryan"/>
    <s v="005ak00000icyWTAAY"/>
    <b v="0"/>
    <s v="Tuesday"/>
    <x v="5"/>
    <s v="Advanced"/>
    <x v="1"/>
    <m/>
    <s v="STU-0054"/>
    <m/>
    <s v="2026-09-24T19:18:48.000Z"/>
    <n v="1"/>
    <m/>
    <s v="Henry Ryan|lucyryan25@gmail.com"/>
    <n v="1"/>
  </r>
  <r>
    <n v="11"/>
    <d v="2014-10-27T00:00:00"/>
    <n v="2"/>
    <s v="005ak00000icyWTAAY"/>
    <s v="2026-09-14T19:09:41.000Z"/>
    <d v="2025-04-30T00:00:00"/>
    <s v="Grace"/>
    <s v="Grace Sanchez"/>
    <s v="hazel.sanchez@yahoo.com"/>
    <s v="Santiago"/>
    <s v="Sanchez"/>
    <s v="(732) 555-7492"/>
    <s v="131ak000001XjDtAAK"/>
    <s v="Red Bank"/>
    <s v="a07ak00001rZMq1AAG"/>
    <b v="0"/>
    <m/>
    <s v="005ak00000icyWTAAY"/>
    <s v="2026-09-17T15:39:12.000Z"/>
    <s v="2026-09-15T17:15:54.000Z"/>
    <s v="2026-09-15T17:15:54.000Z"/>
    <d v="2026-03-22T00:00:00"/>
    <s v="Sanchez"/>
    <s v="Weekly"/>
    <m/>
    <n v="240"/>
    <s v="Grace Sanchez"/>
    <s v="005ak00000icyWTAAY"/>
    <b v="0"/>
    <s v="Friday"/>
    <x v="5"/>
    <s v="Beginner"/>
    <x v="0"/>
    <m/>
    <s v="STU-0055"/>
    <m/>
    <s v="2026-09-24T19:18:48.000Z"/>
    <n v="1"/>
    <m/>
    <s v="Grace Sanchez|hazel.sanchez@yahoo.com"/>
    <n v="1"/>
  </r>
  <r>
    <n v="17"/>
    <d v="2009-06-26T00:00:00"/>
    <n v="0"/>
    <s v="005ak00000icyWTAAY"/>
    <s v="2026-09-14T19:09:41.000Z"/>
    <d v="2025-08-24T00:00:00"/>
    <s v="Lincoln"/>
    <s v="Lincoln Jackson"/>
    <s v="matthew.jackson@outlook.com"/>
    <s v="Nova"/>
    <s v="Jackson"/>
    <s v="(732) 555-4013"/>
    <s v="131ak000001XjDuAAK"/>
    <s v="Brick"/>
    <s v="a07ak00001rZMq2AAG"/>
    <b v="0"/>
    <m/>
    <s v="005ak00000icyWTAAY"/>
    <s v="2026-09-24T16:51:20.000Z"/>
    <s v="2026-09-15T17:15:54.000Z"/>
    <s v="2026-09-15T17:15:54.000Z"/>
    <m/>
    <s v="Jackson"/>
    <s v="Weekly"/>
    <s v="lincoln.jackson@icloud.com"/>
    <n v="200"/>
    <s v="Lincoln Jackson"/>
    <s v="005ak00000icyWTAAY"/>
    <b v="0"/>
    <s v="Saturday"/>
    <x v="5"/>
    <s v="Beginner"/>
    <x v="2"/>
    <m/>
    <s v="STU-0056"/>
    <m/>
    <s v="2026-09-24T19:18:48.000Z"/>
    <n v="1"/>
    <d v="2026-01-17T00:00:00"/>
    <s v="Lincoln Jackson|matthew.jackson@outlook.com"/>
    <n v="1"/>
  </r>
  <r>
    <n v="17"/>
    <d v="2009-02-14T00:00:00"/>
    <n v="2"/>
    <s v="005ak00000icyWTAAY"/>
    <s v="2026-09-14T19:09:41.000Z"/>
    <d v="2026-03-11T00:00:00"/>
    <s v="Anthony"/>
    <s v="Anthony Nakamura"/>
    <s v="danielnakamura@icloud.com"/>
    <s v="Omar"/>
    <s v="Nakamura"/>
    <s v="(732) 555-8269"/>
    <s v="131ak000001XjDvAAK"/>
    <s v="Toms River"/>
    <s v="a07ak00001rZMq3AAG"/>
    <b v="0"/>
    <m/>
    <s v="005ak00000icyWTAAY"/>
    <s v="2026-09-17T15:39:12.000Z"/>
    <s v="2026-09-17T03:05:00.000Z"/>
    <s v="2026-09-17T03:05:00.000Z"/>
    <d v="2026-02-19T00:00:00"/>
    <s v="Nakamura"/>
    <s v="Weekly"/>
    <s v="anthony.nakamura@yahoo.com"/>
    <n v="200"/>
    <s v="Anthony Nakamura"/>
    <s v="005ak00000icyWTAAY"/>
    <b v="0"/>
    <s v="Thursday"/>
    <x v="5"/>
    <s v="Advanced"/>
    <x v="1"/>
    <m/>
    <s v="STU-0057"/>
    <m/>
    <s v="2026-09-24T19:18:48.000Z"/>
    <n v="1"/>
    <m/>
    <s v="Anthony Nakamura|danielnakamura@icloud.com"/>
    <n v="1"/>
  </r>
  <r>
    <n v="10"/>
    <d v="2016-08-03T00:00:00"/>
    <n v="0"/>
    <s v="005ak00000icyWTAAY"/>
    <s v="2026-09-14T19:09:41.000Z"/>
    <d v="2023-03-03T00:00:00"/>
    <s v="Sofia"/>
    <s v="Sofia Johnson"/>
    <s v="tylerjohnson79@yahoo.com"/>
    <s v="Micah"/>
    <s v="Johnson"/>
    <s v="(732) 555-6013"/>
    <s v="131ak000001XjDuAAK"/>
    <s v="Brick"/>
    <s v="a07ak00001rZMq4AAG"/>
    <b v="0"/>
    <m/>
    <s v="005ak00000icyWTAAY"/>
    <s v="2026-09-17T15:39:12.000Z"/>
    <s v="2026-09-15T17:15:54.000Z"/>
    <s v="2026-09-15T17:15:54.000Z"/>
    <m/>
    <s v="Johnson"/>
    <s v="Weekly"/>
    <m/>
    <n v="180"/>
    <s v="Sofia Johnson"/>
    <s v="005ak00000icyWTAAY"/>
    <b v="0"/>
    <s v="Friday"/>
    <x v="1"/>
    <s v="Beginner"/>
    <x v="1"/>
    <m/>
    <s v="STU-0058"/>
    <m/>
    <s v="2026-09-24T19:18:48.000Z"/>
    <n v="1"/>
    <m/>
    <s v="Sofia Johnson|tylerjohnson79@yahoo.com"/>
    <n v="2"/>
  </r>
  <r>
    <n v="24"/>
    <d v="2002-07-30T00:00:00"/>
    <n v="1"/>
    <s v="005ak00000icyWTAAY"/>
    <s v="2026-09-14T19:09:41.000Z"/>
    <d v="2024-07-07T00:00:00"/>
    <s v="Omar"/>
    <s v="Omar Clark"/>
    <m/>
    <m/>
    <m/>
    <m/>
    <s v="131ak000001XjDuAAK"/>
    <s v="Brick"/>
    <s v="a07ak00001rZMq5AAG"/>
    <b v="0"/>
    <m/>
    <s v="005ak00000icyWTAAY"/>
    <s v="2026-09-17T15:39:12.000Z"/>
    <s v="2026-09-15T17:15:54.000Z"/>
    <s v="2026-09-15T17:15:54.000Z"/>
    <d v="2026-09-14T00:00:00"/>
    <s v="Clark"/>
    <s v="Weekly"/>
    <m/>
    <n v="160"/>
    <s v="Omar Clark"/>
    <s v="005ak00000icyWTAAY"/>
    <b v="0"/>
    <s v="Friday"/>
    <x v="9"/>
    <s v="Beginner"/>
    <x v="1"/>
    <s v="oclark@gmail.com"/>
    <s v="STU-0059"/>
    <s v="(732) 555-2568"/>
    <s v="2026-09-24T19:18:48.000Z"/>
    <n v="1"/>
    <m/>
    <s v="Omar Clark|"/>
    <n v="1"/>
  </r>
  <r>
    <n v="10"/>
    <d v="2016-03-20T00:00:00"/>
    <n v="0"/>
    <s v="005ak00000icyWTAAY"/>
    <s v="2026-09-14T19:09:41.000Z"/>
    <d v="2023-06-17T00:00:00"/>
    <s v="Miles"/>
    <s v="Miles Jones"/>
    <s v="wyattjones@yahoo.com"/>
    <s v="Maria"/>
    <s v="Jones"/>
    <s v="(732) 555-6674"/>
    <s v="131ak000001XjDtAAK"/>
    <s v="Red Bank"/>
    <s v="a07ak00001rZMq6AAG"/>
    <b v="0"/>
    <m/>
    <s v="005ak00000icyWTAAY"/>
    <s v="2026-09-17T15:39:12.000Z"/>
    <s v="2026-09-15T17:15:54.000Z"/>
    <s v="2026-09-15T17:15:54.000Z"/>
    <m/>
    <s v="Jones"/>
    <s v="Biweekly"/>
    <m/>
    <n v="160"/>
    <s v="Miles Jones"/>
    <s v="005ak00000icyWTAAY"/>
    <b v="0"/>
    <s v="Monday"/>
    <x v="1"/>
    <s v="Beginner"/>
    <x v="1"/>
    <m/>
    <s v="STU-0060"/>
    <m/>
    <s v="2026-09-24T19:18:48.000Z"/>
    <n v="0.5"/>
    <m/>
    <s v="Miles Jones|wyattjones@yahoo.com"/>
    <n v="1"/>
  </r>
  <r>
    <n v="10"/>
    <d v="2016-07-08T00:00:00"/>
    <n v="1"/>
    <s v="005ak00000icyWTAAY"/>
    <s v="2026-09-14T19:09:41.000Z"/>
    <d v="2024-05-17T00:00:00"/>
    <s v="Jackson"/>
    <s v="Jackson Sullivan"/>
    <s v="everly.sullivan@hotmail.com"/>
    <s v="Savannah"/>
    <s v="Sullivan"/>
    <s v="(732) 555-9126"/>
    <s v="131ak000001XjDuAAK"/>
    <s v="Brick"/>
    <s v="a07ak00001rZMq7AAG"/>
    <b v="0"/>
    <m/>
    <s v="005ak00000icyWTAAY"/>
    <s v="2026-09-17T15:39:12.000Z"/>
    <s v="2026-09-15T17:15:54.000Z"/>
    <s v="2026-09-15T17:15:54.000Z"/>
    <d v="2026-01-18T00:00:00"/>
    <s v="Sullivan"/>
    <s v="Weekly"/>
    <m/>
    <n v="220"/>
    <s v="Jackson Sullivan"/>
    <s v="005ak00000icyWTAAY"/>
    <b v="0"/>
    <s v="Wednesday"/>
    <x v="0"/>
    <s v="Advanced"/>
    <x v="1"/>
    <m/>
    <s v="STU-0061"/>
    <m/>
    <s v="2026-09-24T19:18:48.000Z"/>
    <n v="1"/>
    <m/>
    <s v="Jackson Sullivan|everly.sullivan@hotmail.com"/>
    <n v="1"/>
  </r>
  <r>
    <n v="15"/>
    <d v="2010-12-24T00:00:00"/>
    <n v="1"/>
    <s v="005ak00000icyWTAAY"/>
    <s v="2026-09-14T19:09:41.000Z"/>
    <d v="2026-05-18T00:00:00"/>
    <s v="Evelyn"/>
    <s v="Evelyn Robinson"/>
    <s v="yusufrobinson@yahoo.com"/>
    <s v="Anthony"/>
    <s v="Robinson"/>
    <s v="(732) 555-5032"/>
    <s v="131ak000001XjDuAAK"/>
    <s v="Brick"/>
    <s v="a07ak00001rZMq8AAG"/>
    <b v="0"/>
    <m/>
    <s v="005ak00000icyWTAAY"/>
    <s v="2026-09-17T15:39:12.000Z"/>
    <s v="2026-09-17T03:05:00.000Z"/>
    <s v="2026-09-17T03:05:00.000Z"/>
    <d v="2026-05-23T00:00:00"/>
    <s v="Robinson"/>
    <s v="Biweekly"/>
    <s v="evelynrobinson12@hotmail.com"/>
    <n v="200"/>
    <s v="Evelyn Robinson"/>
    <s v="005ak00000icyWTAAY"/>
    <b v="0"/>
    <s v="Monday"/>
    <x v="0"/>
    <s v="Beginner"/>
    <x v="1"/>
    <m/>
    <s v="STU-0062"/>
    <m/>
    <s v="2026-09-24T19:18:48.000Z"/>
    <n v="0.5"/>
    <m/>
    <s v="Evelyn Robinson|yusufrobinson@yahoo.com"/>
    <n v="1"/>
  </r>
  <r>
    <n v="12"/>
    <d v="2014-09-12T00:00:00"/>
    <n v="0"/>
    <s v="005ak00000icyWTAAY"/>
    <s v="2026-09-14T19:09:41.000Z"/>
    <d v="2025-04-25T00:00:00"/>
    <s v="Grace"/>
    <s v="Grace Harris"/>
    <s v="aharris@icloud.com"/>
    <s v="Liam"/>
    <s v="Harris"/>
    <s v="(732) 555-7468"/>
    <s v="131ak000001XjDtAAK"/>
    <s v="Red Bank"/>
    <s v="a07ak00001rZMq9AAG"/>
    <b v="0"/>
    <m/>
    <s v="005ak00000icyWTAAY"/>
    <s v="2026-09-17T15:39:12.000Z"/>
    <s v="2026-09-15T17:15:54.000Z"/>
    <s v="2026-09-15T17:15:54.000Z"/>
    <m/>
    <s v="Harris"/>
    <s v="Weekly"/>
    <m/>
    <n v="240"/>
    <s v="Grace Harris"/>
    <s v="005ak00000icyWTAAY"/>
    <b v="0"/>
    <s v="Saturday"/>
    <x v="8"/>
    <s v="Intermediate"/>
    <x v="0"/>
    <m/>
    <s v="STU-0063"/>
    <m/>
    <s v="2026-09-24T19:18:48.000Z"/>
    <n v="1"/>
    <m/>
    <s v="Grace Harris|aharris@icloud.com"/>
    <n v="1"/>
  </r>
  <r>
    <n v="15"/>
    <d v="2010-10-22T00:00:00"/>
    <n v="0"/>
    <s v="005ak00000icyWTAAY"/>
    <s v="2026-09-14T19:09:41.000Z"/>
    <d v="2023-01-23T00:00:00"/>
    <s v="Elijah"/>
    <s v="Elijah Jones"/>
    <s v="ezra.jones@gmail.com"/>
    <s v="Levi"/>
    <s v="Jones"/>
    <s v="(732) 555-5360"/>
    <s v="131ak000001XjDuAAK"/>
    <s v="Brick"/>
    <s v="a07ak00001rZMqAAAW"/>
    <b v="0"/>
    <m/>
    <s v="005ak00000icyWTAAY"/>
    <s v="2026-09-17T15:39:12.000Z"/>
    <s v="2026-09-17T03:05:00.000Z"/>
    <s v="2026-09-17T03:05:00.000Z"/>
    <m/>
    <s v="Jones"/>
    <s v="Weekly"/>
    <s v="ejones@hotmail.com"/>
    <n v="180"/>
    <s v="Elijah Jones"/>
    <s v="005ak00000icyWTAAY"/>
    <b v="0"/>
    <s v="Saturday"/>
    <x v="7"/>
    <s v="Intermediate"/>
    <x v="1"/>
    <m/>
    <s v="STU-0064"/>
    <m/>
    <s v="2026-09-24T19:18:48.000Z"/>
    <n v="1"/>
    <m/>
    <s v="Elijah Jones|ezra.jones@gmail.com"/>
    <n v="1"/>
  </r>
  <r>
    <n v="13"/>
    <d v="2013-10-10T00:00:00"/>
    <n v="0"/>
    <s v="005ak00000icyWTAAY"/>
    <s v="2026-09-14T19:09:41.000Z"/>
    <d v="2025-06-16T00:00:00"/>
    <s v="Brooklyn"/>
    <s v="Brooklyn Taylor"/>
    <s v="ataylor@icloud.com"/>
    <s v="Gabriel"/>
    <s v="Taylor"/>
    <s v="(732) 555-1757"/>
    <s v="131ak000001XjDuAAK"/>
    <s v="Brick"/>
    <s v="a07ak00001rZMqBAAW"/>
    <b v="0"/>
    <m/>
    <s v="005ak00000icyWTAAY"/>
    <s v="2026-09-24T16:51:20.000Z"/>
    <s v="2026-09-17T03:05:00.000Z"/>
    <s v="2026-09-17T03:05:00.000Z"/>
    <m/>
    <s v="Taylor"/>
    <s v="Biweekly"/>
    <m/>
    <n v="240"/>
    <s v="Brooklyn Taylor"/>
    <s v="005ak00000icyWTAAY"/>
    <b v="0"/>
    <s v="Friday"/>
    <x v="0"/>
    <s v="Advanced"/>
    <x v="2"/>
    <m/>
    <s v="STU-0065"/>
    <m/>
    <s v="2026-09-24T19:18:48.000Z"/>
    <n v="0.5"/>
    <d v="2026-04-09T00:00:00"/>
    <s v="Brooklyn Taylor|ataylor@icloud.com"/>
    <n v="1"/>
  </r>
  <r>
    <n v="9"/>
    <d v="2017-08-21T00:00:00"/>
    <n v="2"/>
    <s v="005ak00000icyWTAAY"/>
    <s v="2026-09-14T19:09:41.000Z"/>
    <d v="2024-09-19T00:00:00"/>
    <s v="Omar"/>
    <s v="Omar Smith"/>
    <s v="danielsmith26@hotmail.com"/>
    <s v="Tyler"/>
    <s v="Smith"/>
    <s v="(732) 555-7307"/>
    <s v="131ak000001XjDtAAK"/>
    <s v="Red Bank"/>
    <s v="a07ak00001rZMqCAAW"/>
    <b v="0"/>
    <m/>
    <s v="005ak00000icyWTAAY"/>
    <s v="2026-09-17T15:39:12.000Z"/>
    <s v="2026-09-15T17:15:54.000Z"/>
    <s v="2026-09-15T17:15:54.000Z"/>
    <d v="2026-07-17T00:00:00"/>
    <s v="Smith"/>
    <s v="Weekly"/>
    <m/>
    <n v="220"/>
    <s v="Omar Smith"/>
    <s v="005ak00000icyWTAAY"/>
    <b v="0"/>
    <s v="Wednesday"/>
    <x v="6"/>
    <s v="Advanced"/>
    <x v="1"/>
    <m/>
    <s v="STU-0066"/>
    <m/>
    <s v="2026-09-24T19:18:48.000Z"/>
    <n v="1"/>
    <m/>
    <s v="Omar Smith|danielsmith26@hotmail.com"/>
    <n v="1"/>
  </r>
  <r>
    <n v="13"/>
    <d v="2013-02-12T00:00:00"/>
    <n v="1"/>
    <s v="005ak00000icyWTAAY"/>
    <s v="2026-09-14T19:09:41.000Z"/>
    <d v="2025-07-04T00:00:00"/>
    <s v="Ryan"/>
    <s v="Ryan Lopez"/>
    <s v="ellalopez99@yahoo.com"/>
    <s v="Mason"/>
    <s v="Lopez"/>
    <s v="(732) 555-9837"/>
    <s v="131ak000001XjDvAAK"/>
    <s v="Toms River"/>
    <s v="a07ak00001rZMqDAAW"/>
    <b v="0"/>
    <m/>
    <s v="005ak00000icyWTAAY"/>
    <s v="2026-09-17T15:39:12.000Z"/>
    <s v="2026-09-15T17:15:54.000Z"/>
    <s v="2026-09-15T17:15:54.000Z"/>
    <d v="2026-04-23T00:00:00"/>
    <s v="Lopez"/>
    <s v="Weekly"/>
    <s v="ryanlopez9@gmail.com"/>
    <n v="220"/>
    <s v="Ryan Lopez"/>
    <s v="005ak00000icyWTAAY"/>
    <b v="0"/>
    <s v="Monday"/>
    <x v="4"/>
    <s v="Beginner"/>
    <x v="1"/>
    <m/>
    <s v="STU-0068"/>
    <m/>
    <s v="2026-09-24T19:18:48.000Z"/>
    <n v="1"/>
    <m/>
    <s v="Ryan Lopez|ellalopez99@yahoo.com"/>
    <n v="1"/>
  </r>
  <r>
    <n v="31"/>
    <d v="1994-10-27T00:00:00"/>
    <n v="0"/>
    <s v="005ak00000icyWTAAY"/>
    <s v="2026-09-14T19:09:41.000Z"/>
    <d v="2026-07-31T00:00:00"/>
    <s v="Lucas"/>
    <s v="Lucas Rodriguez"/>
    <m/>
    <m/>
    <m/>
    <m/>
    <s v="131ak000001XjDuAAK"/>
    <s v="Brick"/>
    <s v="a07ak00001rZMqEAAW"/>
    <b v="0"/>
    <m/>
    <s v="005ak00000icyWTAAY"/>
    <s v="2026-09-17T15:39:12.000Z"/>
    <s v="2026-09-15T17:15:54.000Z"/>
    <s v="2026-09-15T17:15:54.000Z"/>
    <m/>
    <s v="Rodriguez"/>
    <s v="Weekly"/>
    <m/>
    <n v="180"/>
    <s v="Lucas Rodriguez"/>
    <s v="005ak00000icyWTAAY"/>
    <b v="0"/>
    <s v="Friday"/>
    <x v="4"/>
    <s v="Beginner"/>
    <x v="1"/>
    <s v="lucas.rodriguez@yahoo.com"/>
    <s v="STU-0069"/>
    <s v="(732) 555-2088"/>
    <s v="2026-09-24T19:18:48.000Z"/>
    <n v="1"/>
    <m/>
    <s v="Lucas Rodriguez|"/>
    <n v="1"/>
  </r>
  <r>
    <n v="12"/>
    <d v="2014-01-14T00:00:00"/>
    <n v="1"/>
    <s v="005ak00000icyWTAAY"/>
    <s v="2026-09-14T19:09:41.000Z"/>
    <d v="2026-07-01T00:00:00"/>
    <s v="Nathan"/>
    <s v="Nathan Novak"/>
    <s v="kennedy.novak@outlook.com"/>
    <s v="Lucy"/>
    <s v="Novak"/>
    <s v="(732) 555-1874"/>
    <s v="131ak000001XjDtAAK"/>
    <s v="Red Bank"/>
    <s v="a07ak00001rZMqFAAW"/>
    <b v="0"/>
    <m/>
    <s v="005ak00000icyWTAAY"/>
    <s v="2026-09-17T15:39:12.000Z"/>
    <s v="2026-09-15T17:15:54.000Z"/>
    <s v="2026-09-15T17:15:54.000Z"/>
    <d v="2026-01-14T00:00:00"/>
    <s v="Novak"/>
    <s v="Biweekly"/>
    <m/>
    <n v="180"/>
    <s v="Nathan Novak"/>
    <s v="005ak00000icyWTAAY"/>
    <b v="0"/>
    <s v="Thursday"/>
    <x v="8"/>
    <s v="Advanced"/>
    <x v="1"/>
    <m/>
    <s v="STU-0070"/>
    <m/>
    <s v="2026-09-24T19:18:48.000Z"/>
    <n v="0.5"/>
    <m/>
    <s v="Nathan Novak|kennedy.novak@outlook.com"/>
    <n v="1"/>
  </r>
  <r>
    <n v="8"/>
    <d v="2017-11-07T00:00:00"/>
    <n v="0"/>
    <s v="005ak00000icyWTAAY"/>
    <s v="2026-09-14T19:09:41.000Z"/>
    <d v="2024-11-21T00:00:00"/>
    <s v="Josiah"/>
    <s v="Josiah Clark"/>
    <s v="anthonyclark@icloud.com"/>
    <s v="Yusuf"/>
    <s v="Clark"/>
    <s v="(732) 555-7349"/>
    <s v="131ak000001XjDtAAK"/>
    <s v="Red Bank"/>
    <s v="a07ak00001rZMqGAAW"/>
    <b v="0"/>
    <m/>
    <s v="005ak00000icyWTAAY"/>
    <s v="2026-09-17T15:39:12.000Z"/>
    <s v="2026-09-15T17:15:54.000Z"/>
    <s v="2026-09-15T17:15:54.000Z"/>
    <m/>
    <s v="Clark"/>
    <s v="Weekly"/>
    <m/>
    <n v="240"/>
    <s v="Josiah Clark"/>
    <s v="005ak00000icyWTAAY"/>
    <b v="0"/>
    <s v="Monday"/>
    <x v="5"/>
    <s v="Intermediate"/>
    <x v="1"/>
    <m/>
    <s v="STU-0071"/>
    <m/>
    <s v="2026-09-24T19:18:48.000Z"/>
    <n v="1"/>
    <m/>
    <s v="Josiah Clark|anthonyclark@icloud.com"/>
    <n v="1"/>
  </r>
  <r>
    <n v="14"/>
    <d v="2012-03-29T00:00:00"/>
    <n v="1"/>
    <s v="005ak00000icyWTAAY"/>
    <s v="2026-09-14T19:09:41.000Z"/>
    <d v="2022-06-28T00:00:00"/>
    <s v="Skylar"/>
    <s v="Skylar Harris"/>
    <s v="bellaharris@hotmail.com"/>
    <s v="Wyatt"/>
    <s v="Harris"/>
    <s v="(732) 555-1076"/>
    <s v="131ak000001XjDtAAK"/>
    <s v="Red Bank"/>
    <s v="a07ak00001rZMqHAAW"/>
    <b v="0"/>
    <m/>
    <s v="005ak00000icyWTAAY"/>
    <s v="2026-09-17T15:39:12.000Z"/>
    <s v="2026-09-15T17:15:54.000Z"/>
    <s v="2026-09-15T17:15:54.000Z"/>
    <d v="2026-06-08T00:00:00"/>
    <s v="Harris"/>
    <s v="Weekly"/>
    <s v="skylar.harris@icloud.com"/>
    <n v="220"/>
    <s v="Skylar Harris"/>
    <s v="005ak00000icyWTAAY"/>
    <b v="0"/>
    <s v="Saturday"/>
    <x v="8"/>
    <s v="Beginner"/>
    <x v="0"/>
    <m/>
    <s v="STU-0072"/>
    <m/>
    <s v="2026-09-24T19:18:48.000Z"/>
    <n v="1"/>
    <m/>
    <s v="Skylar Harris|bellaharris@hotmail.com"/>
    <n v="1"/>
  </r>
  <r>
    <n v="12"/>
    <d v="2014-02-06T00:00:00"/>
    <n v="0"/>
    <s v="005ak00000icyWTAAY"/>
    <s v="2026-09-14T19:09:41.000Z"/>
    <d v="2024-04-08T00:00:00"/>
    <s v="Gabriel"/>
    <s v="Gabriel Baker"/>
    <s v="brooklyn.baker@outlook.com"/>
    <s v="Gabriel"/>
    <s v="Baker"/>
    <s v="(732) 555-6065"/>
    <s v="131ak000001XjDtAAK"/>
    <s v="Red Bank"/>
    <s v="a07ak00001rZMqIAAW"/>
    <b v="0"/>
    <m/>
    <s v="005ak00000icyWTAAY"/>
    <s v="2026-09-17T15:39:12.000Z"/>
    <s v="2026-09-17T03:05:00.000Z"/>
    <s v="2026-09-17T03:05:00.000Z"/>
    <m/>
    <s v="Baker"/>
    <s v="Weekly"/>
    <m/>
    <n v="180"/>
    <s v="Gabriel Baker"/>
    <s v="005ak00000icyWTAAY"/>
    <b v="0"/>
    <s v="Thursday"/>
    <x v="8"/>
    <s v="Intermediate"/>
    <x v="1"/>
    <m/>
    <s v="STU-0073"/>
    <m/>
    <s v="2026-09-24T19:18:48.000Z"/>
    <n v="1"/>
    <m/>
    <s v="Gabriel Baker|brooklyn.baker@outlook.com"/>
    <n v="1"/>
  </r>
  <r>
    <n v="12"/>
    <d v="2014-05-07T00:00:00"/>
    <n v="0"/>
    <s v="005ak00000icyWTAAY"/>
    <s v="2026-09-14T19:09:41.000Z"/>
    <d v="2024-10-16T00:00:00"/>
    <s v="Emma"/>
    <s v="Emma Smith"/>
    <s v="leosmith@gmail.com"/>
    <s v="Gabriel"/>
    <s v="Smith"/>
    <s v="(732) 555-7983"/>
    <s v="131ak000001XjDtAAK"/>
    <s v="Red Bank"/>
    <s v="a07ak00001rZMqJAAW"/>
    <b v="0"/>
    <m/>
    <s v="005ak00000icyWTAAY"/>
    <s v="2026-09-17T15:39:12.000Z"/>
    <s v="2026-09-17T03:05:00.000Z"/>
    <s v="2026-09-17T03:05:00.000Z"/>
    <m/>
    <s v="Smith"/>
    <s v="Weekly"/>
    <m/>
    <n v="200"/>
    <s v="Emma Smith"/>
    <s v="005ak00000icyWTAAY"/>
    <b v="0"/>
    <s v="Tuesday"/>
    <x v="3"/>
    <s v="Beginner"/>
    <x v="1"/>
    <m/>
    <s v="STU-0074"/>
    <m/>
    <s v="2026-09-24T19:18:48.000Z"/>
    <n v="1"/>
    <m/>
    <s v="Emma Smith|leosmith@gmail.com"/>
    <n v="1"/>
  </r>
  <r>
    <n v="9"/>
    <d v="2017-08-08T00:00:00"/>
    <n v="1"/>
    <s v="005ak00000icyWTAAY"/>
    <s v="2026-09-14T19:09:41.000Z"/>
    <d v="2023-10-18T00:00:00"/>
    <s v="Kai"/>
    <s v="Kai Mitchell"/>
    <s v="omitchell@icloud.com"/>
    <s v="Abigail"/>
    <s v="Mitchell"/>
    <s v="(732) 555-3674"/>
    <s v="131ak000001XjDuAAK"/>
    <s v="Brick"/>
    <s v="a07ak00001rZMqKAAW"/>
    <b v="0"/>
    <m/>
    <s v="005ak00000icyWTAAY"/>
    <s v="2026-09-17T15:39:12.000Z"/>
    <s v="2026-09-15T17:15:54.000Z"/>
    <s v="2026-09-15T17:15:54.000Z"/>
    <d v="2026-07-25T00:00:00"/>
    <s v="Mitchell"/>
    <s v="Biweekly"/>
    <m/>
    <n v="200"/>
    <s v="Kai Mitchell"/>
    <s v="005ak00000icyWTAAY"/>
    <b v="0"/>
    <s v="Saturday"/>
    <x v="7"/>
    <s v="Beginner"/>
    <x v="1"/>
    <m/>
    <s v="STU-0075"/>
    <m/>
    <s v="2026-09-24T19:18:48.000Z"/>
    <n v="0.5"/>
    <m/>
    <s v="Kai Mitchell|omitchell@icloud.com"/>
    <n v="1"/>
  </r>
  <r>
    <n v="11"/>
    <d v="2015-03-22T00:00:00"/>
    <n v="1"/>
    <s v="005ak00000icyWTAAY"/>
    <s v="2026-09-14T19:09:41.000Z"/>
    <d v="2022-09-08T00:00:00"/>
    <s v="Everly"/>
    <s v="Everly Roberts"/>
    <s v="laylaroberts22@gmail.com"/>
    <s v="Sofia"/>
    <s v="Roberts"/>
    <s v="(732) 555-4272"/>
    <s v="131ak000001XjDtAAK"/>
    <s v="Red Bank"/>
    <s v="a07ak00001rZMqLAAW"/>
    <b v="0"/>
    <m/>
    <s v="005ak00000icyWTAAY"/>
    <s v="2026-09-17T15:39:12.000Z"/>
    <s v="2026-09-17T03:05:00.000Z"/>
    <s v="2026-09-17T03:05:00.000Z"/>
    <d v="2026-06-25T00:00:00"/>
    <s v="Roberts"/>
    <s v="Weekly"/>
    <m/>
    <n v="160"/>
    <s v="Everly Roberts"/>
    <s v="005ak00000icyWTAAY"/>
    <b v="0"/>
    <s v="Tuesday"/>
    <x v="10"/>
    <s v="Beginner"/>
    <x v="1"/>
    <m/>
    <s v="STU-0076"/>
    <m/>
    <s v="2026-09-24T19:18:48.000Z"/>
    <n v="1"/>
    <m/>
    <s v="Everly Roberts|laylaroberts22@gmail.com"/>
    <n v="1"/>
  </r>
  <r>
    <n v="9"/>
    <d v="2016-12-09T00:00:00"/>
    <n v="1"/>
    <s v="005ak00000icyWTAAY"/>
    <s v="2026-09-14T19:09:41.000Z"/>
    <d v="2023-02-21T00:00:00"/>
    <s v="Adrian"/>
    <s v="Adrian Chen"/>
    <s v="camilachen@outlook.com"/>
    <s v="Caleb"/>
    <s v="Chen"/>
    <s v="(732) 555-8362"/>
    <s v="131ak000001XjDuAAK"/>
    <s v="Brick"/>
    <s v="a07ak00001rZMqMAAW"/>
    <b v="0"/>
    <m/>
    <s v="005ak00000iupxlAAA"/>
    <s v="2026-10-01T17:39:12.000Z"/>
    <s v="2026-09-29T05:11:32.000Z"/>
    <s v="2026-09-29T05:11:32.000Z"/>
    <d v="2026-07-14T00:00:00"/>
    <s v="Chen"/>
    <s v="Biweekly"/>
    <m/>
    <n v="240"/>
    <s v="Adrian Chen"/>
    <s v="005ak00000icyWTAAY"/>
    <b v="0"/>
    <s v="Wednesday"/>
    <x v="11"/>
    <s v="Advanced"/>
    <x v="0"/>
    <m/>
    <s v="STU-0077"/>
    <m/>
    <s v="2026-10-01T17:39:12.000Z"/>
    <n v="0.5"/>
    <m/>
    <s v="Adrian Chen|camilachen@outlook.com"/>
    <n v="1"/>
  </r>
  <r>
    <n v="12"/>
    <d v="2014-03-25T00:00:00"/>
    <n v="1"/>
    <s v="005ak00000icyWTAAY"/>
    <s v="2026-09-14T19:09:41.000Z"/>
    <d v="2027-01-05T00:00:00"/>
    <s v="Matthew"/>
    <s v="Matthew Jackson"/>
    <s v="kennedyjackson@icloud.com"/>
    <s v="Amelia"/>
    <s v="Jackson"/>
    <s v="(732) 555-9955"/>
    <s v="131ak000001XjDuAAK"/>
    <s v="Brick"/>
    <s v="a07ak00001rZMqNAAW"/>
    <b v="0"/>
    <m/>
    <s v="005ak00000icyWTAAY"/>
    <s v="2026-09-17T15:39:12.000Z"/>
    <s v="2026-09-15T17:15:54.000Z"/>
    <s v="2026-09-15T17:15:54.000Z"/>
    <d v="2026-08-05T00:00:00"/>
    <s v="Jackson"/>
    <s v="Biweekly"/>
    <m/>
    <n v="180"/>
    <s v="Matthew Jackson"/>
    <s v="005ak00000icyWTAAY"/>
    <b v="0"/>
    <s v="Saturday"/>
    <x v="7"/>
    <s v="Intermediate"/>
    <x v="1"/>
    <m/>
    <s v="STU-0078"/>
    <m/>
    <s v="2026-09-24T19:18:48.000Z"/>
    <n v="0.5"/>
    <m/>
    <s v="Matthew Jackson|kennedyjackson@icloud.com"/>
    <n v="1"/>
  </r>
  <r>
    <n v="7"/>
    <d v="2019-03-17T00:00:00"/>
    <n v="0"/>
    <s v="005ak00000icyWTAAY"/>
    <s v="2026-09-14T19:09:41.000Z"/>
    <d v="2024-06-21T00:00:00"/>
    <s v="Brandon"/>
    <s v="Brandon Byrne"/>
    <s v="sbyrne@icloud.com"/>
    <s v="Jonah"/>
    <s v="Byrne"/>
    <s v="(732) 555-1653"/>
    <s v="131ak000001XjDtAAK"/>
    <s v="Red Bank"/>
    <s v="a07ak00001rZMqOAAW"/>
    <b v="0"/>
    <m/>
    <s v="005ak00000icyWTAAY"/>
    <s v="2026-09-17T15:39:12.000Z"/>
    <s v="2026-09-17T03:05:00.000Z"/>
    <s v="2026-09-17T03:05:00.000Z"/>
    <m/>
    <s v="Byrne"/>
    <s v="Biweekly"/>
    <m/>
    <n v="220"/>
    <s v="Brandon Byrne"/>
    <s v="005ak00000icyWTAAY"/>
    <b v="0"/>
    <s v="Friday"/>
    <x v="3"/>
    <s v="Advanced"/>
    <x v="1"/>
    <m/>
    <s v="STU-0079"/>
    <m/>
    <s v="2026-09-24T19:18:48.000Z"/>
    <n v="0.5"/>
    <m/>
    <s v="Brandon Byrne|sbyrne@icloud.com"/>
    <n v="1"/>
  </r>
  <r>
    <n v="12"/>
    <d v="2014-01-02T00:00:00"/>
    <n v="0"/>
    <s v="005ak00000icyWTAAY"/>
    <s v="2026-09-14T19:09:41.000Z"/>
    <d v="2023-04-26T00:00:00"/>
    <s v="Tyler"/>
    <s v="Tyler Byrne"/>
    <s v="cbyrne@hotmail.com"/>
    <s v="Adrian"/>
    <s v="Byrne"/>
    <s v="(732) 555-2833"/>
    <s v="131ak000001XjDtAAK"/>
    <s v="Red Bank"/>
    <s v="a07ak00001rZMqPAAW"/>
    <b v="0"/>
    <m/>
    <s v="005ak00000icyWTAAY"/>
    <s v="2026-09-17T15:39:12.000Z"/>
    <s v="2026-09-15T17:15:54.000Z"/>
    <s v="2026-09-15T17:15:54.000Z"/>
    <m/>
    <s v="Byrne"/>
    <s v="Biweekly"/>
    <m/>
    <n v="160"/>
    <s v="Tyler Byrne"/>
    <s v="005ak00000icyWTAAY"/>
    <b v="0"/>
    <s v="Saturday"/>
    <x v="4"/>
    <s v="Beginner"/>
    <x v="1"/>
    <m/>
    <s v="STU-0080"/>
    <m/>
    <s v="2026-09-24T19:18:48.000Z"/>
    <n v="0.5"/>
    <m/>
    <s v="Tyler Byrne|cbyrne@hotmail.com"/>
    <n v="1"/>
  </r>
  <r>
    <n v="9"/>
    <d v="2017-08-26T00:00:00"/>
    <n v="0"/>
    <s v="005ak00000icyWTAAY"/>
    <s v="2026-09-14T19:09:41.000Z"/>
    <d v="2025-06-10T00:00:00"/>
    <s v="Harper"/>
    <s v="Harper Rodriguez"/>
    <s v="gabriel.rodriguez@hotmail.com"/>
    <s v="Zoey"/>
    <s v="Rodriguez"/>
    <s v="(732) 555-8053"/>
    <s v="131ak000001XjDvAAK"/>
    <s v="Toms River"/>
    <s v="a07ak00001rZMqQAAW"/>
    <b v="0"/>
    <m/>
    <s v="005ak00000icyWTAAY"/>
    <s v="2026-09-24T16:51:20.000Z"/>
    <s v="2026-09-15T17:15:54.000Z"/>
    <s v="2026-09-15T17:15:54.000Z"/>
    <m/>
    <s v="Rodriguez"/>
    <s v="Weekly"/>
    <m/>
    <n v="160"/>
    <s v="Harper Rodriguez"/>
    <s v="005ak00000icyWTAAY"/>
    <b v="0"/>
    <s v="Monday"/>
    <x v="9"/>
    <s v="Beginner"/>
    <x v="2"/>
    <m/>
    <s v="STU-0081"/>
    <m/>
    <s v="2026-09-24T19:18:48.000Z"/>
    <n v="1"/>
    <d v="2026-05-19T00:00:00"/>
    <s v="Harper Rodriguez|gabriel.rodriguez@hotmail.com"/>
    <n v="1"/>
  </r>
  <r>
    <n v="31"/>
    <d v="1995-01-31T00:00:00"/>
    <n v="3"/>
    <s v="005ak00000icyWTAAY"/>
    <s v="2026-09-14T19:09:41.000Z"/>
    <d v="2025-01-31T00:00:00"/>
    <s v="Anna"/>
    <s v="Anna Thomas"/>
    <m/>
    <m/>
    <m/>
    <m/>
    <s v="131ak000001XjDtAAK"/>
    <s v="Red Bank"/>
    <s v="a07ak00001rZMqRAAW"/>
    <b v="0"/>
    <m/>
    <s v="005ak00000icyWTAAY"/>
    <s v="2026-09-17T15:39:12.000Z"/>
    <s v="2026-09-27T01:48:12.000Z"/>
    <s v="2026-09-27T01:48:12.000Z"/>
    <d v="2026-08-29T00:00:00"/>
    <s v="Thomas"/>
    <s v="Biweekly"/>
    <m/>
    <n v="160"/>
    <s v="Anna Thomas"/>
    <s v="005ak00000icyWTAAY"/>
    <b v="0"/>
    <s v="Monday"/>
    <x v="5"/>
    <s v="Intermediate"/>
    <x v="0"/>
    <s v="annathomas@gmail.com"/>
    <s v="STU-0082"/>
    <s v="(732) 555-9888"/>
    <s v="2026-09-24T19:18:48.000Z"/>
    <n v="0.5"/>
    <m/>
    <s v="Anna Thomas|"/>
    <n v="1"/>
  </r>
  <r>
    <n v="12"/>
    <d v="2014-09-11T00:00:00"/>
    <n v="0"/>
    <s v="005ak00000icyWTAAY"/>
    <s v="2026-09-14T19:09:41.000Z"/>
    <d v="2026-05-14T00:00:00"/>
    <s v="Xavier"/>
    <s v="Xavier King"/>
    <s v="yusuf.king@icloud.com"/>
    <s v="Ella"/>
    <s v="King"/>
    <s v="(732) 555-4578"/>
    <s v="131ak000001XjDvAAK"/>
    <s v="Toms River"/>
    <s v="a07ak00001rZMqSAAW"/>
    <b v="0"/>
    <m/>
    <s v="005ak00000icyWTAAY"/>
    <s v="2026-09-24T16:51:20.000Z"/>
    <s v="2026-09-15T17:15:54.000Z"/>
    <s v="2026-09-15T17:15:54.000Z"/>
    <m/>
    <s v="King"/>
    <s v="Weekly"/>
    <m/>
    <n v="220"/>
    <s v="Xavier King"/>
    <s v="005ak00000icyWTAAY"/>
    <b v="0"/>
    <s v="Monday"/>
    <x v="0"/>
    <s v="Advanced"/>
    <x v="2"/>
    <m/>
    <s v="STU-0083"/>
    <m/>
    <s v="2026-09-24T19:18:48.000Z"/>
    <n v="1"/>
    <d v="2026-09-11T00:00:00"/>
    <s v="Xavier King|yusuf.king@icloud.com"/>
    <n v="1"/>
  </r>
  <r>
    <n v="11"/>
    <d v="2015-09-01T00:00:00"/>
    <n v="2"/>
    <s v="005ak00000icyWTAAY"/>
    <s v="2026-09-14T19:09:41.000Z"/>
    <d v="2024-10-28T00:00:00"/>
    <s v="Naomi"/>
    <s v="Naomi Kowalski"/>
    <s v="lkowalski@yahoo.com"/>
    <s v="Charlotte"/>
    <s v="Kowalski"/>
    <s v="(732) 555-7573"/>
    <s v="131ak000001XjDtAAK"/>
    <s v="Red Bank"/>
    <s v="a07ak00001rZMqTAAW"/>
    <b v="0"/>
    <m/>
    <s v="005ak00000icyWTAAY"/>
    <s v="2026-09-17T15:39:12.000Z"/>
    <s v="2026-09-15T17:16:27.000Z"/>
    <s v="2026-09-15T17:16:27.000Z"/>
    <d v="2026-07-30T00:00:00"/>
    <s v="Kowalski"/>
    <s v="Biweekly"/>
    <m/>
    <n v="180"/>
    <s v="Naomi Kowalski"/>
    <s v="005ak00000icyWTAAY"/>
    <b v="0"/>
    <s v="Friday"/>
    <x v="7"/>
    <s v="Advanced"/>
    <x v="1"/>
    <m/>
    <s v="STU-0084"/>
    <m/>
    <s v="2026-09-24T19:18:48.000Z"/>
    <n v="0.5"/>
    <m/>
    <s v="Naomi Kowalski|lkowalski@yahoo.com"/>
    <n v="1"/>
  </r>
  <r>
    <n v="12"/>
    <d v="2014-08-14T00:00:00"/>
    <n v="0"/>
    <s v="005ak00000icyWTAAY"/>
    <s v="2026-09-14T19:09:41.000Z"/>
    <d v="2024-03-09T00:00:00"/>
    <s v="Riley"/>
    <s v="Riley Silva"/>
    <s v="milessilva@yahoo.com"/>
    <s v="Violet"/>
    <s v="Silva"/>
    <s v="(732) 555-6396"/>
    <s v="131ak000001XjDtAAK"/>
    <s v="Red Bank"/>
    <s v="a07ak00001rZMqUAAW"/>
    <b v="0"/>
    <m/>
    <s v="005ak00000icyWTAAY"/>
    <s v="2026-09-17T15:39:12.000Z"/>
    <s v="2026-09-15T17:16:27.000Z"/>
    <s v="2026-09-15T17:16:27.000Z"/>
    <m/>
    <s v="Silva"/>
    <s v="Weekly"/>
    <m/>
    <n v="200"/>
    <s v="Riley Silva"/>
    <s v="005ak00000icyWTAAY"/>
    <b v="0"/>
    <s v="Monday"/>
    <x v="0"/>
    <s v="Intermediate"/>
    <x v="1"/>
    <m/>
    <s v="STU-0085"/>
    <m/>
    <s v="2026-09-24T19:18:48.000Z"/>
    <n v="1"/>
    <m/>
    <s v="Riley Silva|milessilva@yahoo.com"/>
    <n v="1"/>
  </r>
  <r>
    <n v="10"/>
    <d v="2015-10-23T00:00:00"/>
    <n v="0"/>
    <s v="005ak00000icyWTAAY"/>
    <s v="2026-09-14T19:09:41.000Z"/>
    <d v="2024-09-26T00:00:00"/>
    <s v="Valentina"/>
    <s v="Valentina Hernandez"/>
    <s v="ehernandez@icloud.com"/>
    <s v="James"/>
    <s v="Hernandez"/>
    <s v="(732) 555-7509"/>
    <s v="131ak000001XjDuAAK"/>
    <s v="Brick"/>
    <s v="a07ak00001rZMqVAAW"/>
    <b v="0"/>
    <m/>
    <s v="005ak00000icyWTAAY"/>
    <s v="2026-09-24T16:51:20.000Z"/>
    <s v="2026-09-15T17:16:27.000Z"/>
    <s v="2026-09-15T17:16:27.000Z"/>
    <m/>
    <s v="Hernandez"/>
    <s v="Weekly"/>
    <m/>
    <n v="200"/>
    <s v="Valentina Hernandez"/>
    <s v="005ak00000icyWTAAY"/>
    <b v="0"/>
    <s v="Monday"/>
    <x v="4"/>
    <s v="Beginner"/>
    <x v="2"/>
    <m/>
    <s v="STU-0086"/>
    <m/>
    <s v="2026-09-24T19:18:48.000Z"/>
    <n v="1"/>
    <d v="2025-03-05T00:00:00"/>
    <s v="Valentina Hernandez|ehernandez@icloud.com"/>
    <n v="1"/>
  </r>
  <r>
    <n v="10"/>
    <d v="2016-07-24T00:00:00"/>
    <n v="1"/>
    <s v="005ak00000icyWTAAY"/>
    <s v="2026-09-14T19:09:41.000Z"/>
    <d v="2024-12-14T00:00:00"/>
    <s v="Jackson"/>
    <s v="Jackson Ryan"/>
    <s v="loganryan47@hotmail.com"/>
    <s v="Henry"/>
    <s v="Ryan"/>
    <s v="(732) 555-7861"/>
    <s v="131ak000001XjDuAAK"/>
    <s v="Brick"/>
    <s v="a07ak00001rZMqWAAW"/>
    <b v="0"/>
    <m/>
    <s v="005ak00000icyWTAAY"/>
    <s v="2026-09-17T15:39:12.000Z"/>
    <s v="2026-09-15T17:16:27.000Z"/>
    <s v="2026-09-15T17:16:27.000Z"/>
    <d v="2026-03-28T00:00:00"/>
    <s v="Ryan"/>
    <s v="Weekly"/>
    <m/>
    <n v="240"/>
    <s v="Jackson Ryan"/>
    <s v="005ak00000icyWTAAY"/>
    <b v="0"/>
    <s v="Monday"/>
    <x v="5"/>
    <s v="Intermediate"/>
    <x v="1"/>
    <m/>
    <s v="STU-0087"/>
    <m/>
    <s v="2026-09-24T19:18:48.000Z"/>
    <n v="1"/>
    <m/>
    <s v="Jackson Ryan|loganryan47@hotmail.com"/>
    <n v="1"/>
  </r>
  <r>
    <n v="10"/>
    <d v="2016-08-07T00:00:00"/>
    <n v="1"/>
    <s v="005ak00000icyWTAAY"/>
    <s v="2026-09-14T19:09:41.000Z"/>
    <d v="2023-08-29T00:00:00"/>
    <s v="Malachi"/>
    <s v="Malachi Torres"/>
    <s v="brandontorres@gmail.com"/>
    <s v="Layla"/>
    <s v="Torres"/>
    <s v="(732) 555-5533"/>
    <s v="131ak000001XjDtAAK"/>
    <s v="Red Bank"/>
    <s v="a07ak00001rZMqXAAW"/>
    <b v="0"/>
    <m/>
    <s v="005ak00000icyWTAAY"/>
    <s v="2026-09-17T15:39:12.000Z"/>
    <s v="2026-09-15T17:16:27.000Z"/>
    <s v="2026-09-15T17:16:27.000Z"/>
    <d v="2026-03-03T00:00:00"/>
    <s v="Torres"/>
    <s v="Biweekly"/>
    <m/>
    <n v="240"/>
    <s v="Malachi Torres"/>
    <s v="005ak00000icyWTAAY"/>
    <b v="0"/>
    <s v="Saturday"/>
    <x v="0"/>
    <s v="Beginner"/>
    <x v="1"/>
    <m/>
    <s v="STU-0088"/>
    <m/>
    <s v="2026-09-24T19:18:48.000Z"/>
    <n v="0.5"/>
    <m/>
    <s v="Malachi Torres|brandontorres@gmail.com"/>
    <n v="1"/>
  </r>
  <r>
    <n v="14"/>
    <d v="2011-12-13T00:00:00"/>
    <n v="1"/>
    <s v="005ak00000icyWTAAY"/>
    <s v="2026-09-14T19:09:41.000Z"/>
    <d v="2025-02-22T00:00:00"/>
    <s v="Chen"/>
    <s v="Chen Mitchell"/>
    <s v="skylarmitchell@yahoo.com"/>
    <s v="Miles"/>
    <s v="Mitchell"/>
    <s v="(732) 555-9341"/>
    <s v="131ak000001XjDuAAK"/>
    <s v="Brick"/>
    <s v="a07ak00001rZMqYAAW"/>
    <b v="0"/>
    <m/>
    <s v="005ak00000icyWTAAY"/>
    <s v="2026-09-17T15:39:12.000Z"/>
    <s v="2026-09-17T03:05:00.000Z"/>
    <s v="2026-09-17T03:05:00.000Z"/>
    <d v="2026-02-26T00:00:00"/>
    <s v="Mitchell"/>
    <s v="Weekly"/>
    <s v="cmitchell@icloud.com"/>
    <n v="200"/>
    <s v="Chen Mitchell"/>
    <s v="005ak00000icyWTAAY"/>
    <b v="0"/>
    <s v="Thursday"/>
    <x v="2"/>
    <s v="Advanced"/>
    <x v="1"/>
    <m/>
    <s v="STU-0089"/>
    <m/>
    <s v="2026-09-24T19:18:48.000Z"/>
    <n v="1"/>
    <m/>
    <s v="Chen Mitchell|skylarmitchell@yahoo.com"/>
    <n v="1"/>
  </r>
  <r>
    <n v="60"/>
    <d v="1966-06-17T00:00:00"/>
    <n v="1"/>
    <s v="005ak00000icyWTAAY"/>
    <s v="2026-09-14T19:09:41.000Z"/>
    <d v="2024-10-25T00:00:00"/>
    <s v="Nathan"/>
    <s v="Nathan Perez"/>
    <m/>
    <m/>
    <m/>
    <m/>
    <s v="131ak000001XjDtAAK"/>
    <s v="Red Bank"/>
    <s v="a07ak00001rZMqZAAW"/>
    <b v="0"/>
    <m/>
    <s v="005ak00000icyWTAAY"/>
    <s v="2026-09-17T15:39:12.000Z"/>
    <s v="2026-09-15T17:16:27.000Z"/>
    <s v="2026-09-15T17:16:27.000Z"/>
    <d v="2026-06-02T00:00:00"/>
    <s v="Perez"/>
    <s v="Weekly"/>
    <m/>
    <n v="160"/>
    <s v="Nathan Perez"/>
    <s v="005ak00000icyWTAAY"/>
    <b v="0"/>
    <s v="Thursday"/>
    <x v="9"/>
    <s v="Intermediate"/>
    <x v="1"/>
    <s v="nperez@hotmail.com"/>
    <s v="STU-0090"/>
    <s v="(732) 555-6876"/>
    <s v="2026-09-24T19:18:48.000Z"/>
    <n v="1"/>
    <m/>
    <s v="Nathan Perez|"/>
    <n v="1"/>
  </r>
  <r>
    <n v="13"/>
    <d v="2012-12-09T00:00:00"/>
    <n v="0"/>
    <s v="005ak00000icyWTAAY"/>
    <s v="2026-09-14T19:09:41.000Z"/>
    <d v="2024-05-04T00:00:00"/>
    <s v="Theo"/>
    <s v="Theo Anderson"/>
    <s v="handerson@hotmail.com"/>
    <s v="Penelope"/>
    <s v="Anderson"/>
    <s v="(732) 555-7256"/>
    <s v="131ak000001XjDuAAK"/>
    <s v="Brick"/>
    <s v="a07ak00001rZMqaAAG"/>
    <b v="0"/>
    <m/>
    <s v="005ak00000icyWTAAY"/>
    <s v="2026-09-17T15:39:12.000Z"/>
    <s v="2026-09-15T17:15:54.000Z"/>
    <s v="2026-09-15T17:15:54.000Z"/>
    <m/>
    <s v="Anderson"/>
    <s v="Weekly"/>
    <s v="theoanderson@hotmail.com"/>
    <n v="200"/>
    <s v="Theo Anderson"/>
    <s v="005ak00000icyWTAAY"/>
    <b v="0"/>
    <s v="Wednesday"/>
    <x v="6"/>
    <s v="Beginner"/>
    <x v="1"/>
    <m/>
    <s v="STU-0092"/>
    <m/>
    <s v="2026-09-24T19:18:48.000Z"/>
    <n v="1"/>
    <m/>
    <s v="Theo Anderson|handerson@hotmail.com"/>
    <n v="1"/>
  </r>
  <r>
    <n v="12"/>
    <d v="2014-05-11T00:00:00"/>
    <n v="1"/>
    <s v="005ak00000icyWTAAY"/>
    <s v="2026-09-14T19:09:41.000Z"/>
    <d v="2026-02-08T00:00:00"/>
    <s v="Marcus"/>
    <s v="Marcus Davis"/>
    <s v="aria.davis@hotmail.com"/>
    <s v="Rowan"/>
    <s v="Davis"/>
    <s v="(732) 555-2661"/>
    <s v="131ak000001XjDuAAK"/>
    <s v="Brick"/>
    <s v="a07ak00001rZMqbAAG"/>
    <b v="0"/>
    <m/>
    <s v="005ak00000icyWTAAY"/>
    <s v="2026-09-17T15:39:12.000Z"/>
    <s v="2026-09-15T17:15:54.000Z"/>
    <s v="2026-09-15T17:15:54.000Z"/>
    <d v="2026-06-21T00:00:00"/>
    <s v="Davis"/>
    <s v="Weekly"/>
    <m/>
    <n v="180"/>
    <s v="Marcus Davis"/>
    <s v="005ak00000icyWTAAY"/>
    <b v="0"/>
    <s v="Friday"/>
    <x v="2"/>
    <s v="Advanced"/>
    <x v="0"/>
    <m/>
    <s v="STU-0093"/>
    <m/>
    <s v="2026-09-24T19:18:48.000Z"/>
    <n v="1"/>
    <m/>
    <s v="Marcus Davis|aria.davis@hotmail.com"/>
    <n v="1"/>
  </r>
  <r>
    <n v="12"/>
    <d v="2014-03-30T00:00:00"/>
    <n v="0"/>
    <s v="005ak00000icyWTAAY"/>
    <s v="2026-09-14T19:09:41.000Z"/>
    <d v="2024-02-27T00:00:00"/>
    <s v="Nova"/>
    <s v="Nova Ahmed"/>
    <s v="jonahahmed92@hotmail.com"/>
    <s v="Layla"/>
    <s v="Ahmed"/>
    <s v="(732) 555-5577"/>
    <s v="131ak000001XjDvAAK"/>
    <s v="Toms River"/>
    <s v="a07ak00001rZMqcAAG"/>
    <b v="0"/>
    <m/>
    <s v="005ak00000icyWTAAY"/>
    <s v="2026-09-24T16:51:20.000Z"/>
    <s v="2026-09-15T17:15:54.000Z"/>
    <s v="2026-09-15T17:15:54.000Z"/>
    <m/>
    <s v="Ahmed"/>
    <s v="Weekly"/>
    <m/>
    <n v="160"/>
    <s v="Nova Ahmed"/>
    <s v="005ak00000icyWTAAY"/>
    <b v="0"/>
    <s v="Saturday"/>
    <x v="11"/>
    <s v="Intermediate"/>
    <x v="2"/>
    <m/>
    <s v="STU-0094"/>
    <m/>
    <s v="2026-09-24T19:18:48.000Z"/>
    <n v="1"/>
    <d v="2025-07-02T00:00:00"/>
    <s v="Nova Ahmed|jonahahmed92@hotmail.com"/>
    <n v="1"/>
  </r>
  <r>
    <n v="11"/>
    <d v="2015-02-02T00:00:00"/>
    <n v="2"/>
    <s v="005ak00000icyWTAAY"/>
    <s v="2026-09-14T19:09:41.000Z"/>
    <d v="2022-09-02T00:00:00"/>
    <s v="Scarlett"/>
    <s v="Scarlett Scott"/>
    <s v="fatima.scott@outlook.com"/>
    <s v="Julian"/>
    <s v="Scott"/>
    <s v="(732) 555-8041"/>
    <s v="131ak000001XjDtAAK"/>
    <s v="Red Bank"/>
    <s v="a07ak00001rZMqdAAG"/>
    <b v="0"/>
    <m/>
    <s v="005ak00000icyWTAAY"/>
    <s v="2026-09-17T15:39:12.000Z"/>
    <s v="2026-09-15T17:15:54.000Z"/>
    <s v="2026-09-15T17:15:54.000Z"/>
    <d v="2026-08-27T00:00:00"/>
    <s v="Scott"/>
    <s v="Weekly"/>
    <m/>
    <n v="200"/>
    <s v="Scarlett Scott"/>
    <s v="005ak00000icyWTAAY"/>
    <b v="0"/>
    <s v="Tuesday"/>
    <x v="2"/>
    <s v="Advanced"/>
    <x v="1"/>
    <m/>
    <s v="STU-0095"/>
    <m/>
    <s v="2026-09-24T19:18:48.000Z"/>
    <n v="1"/>
    <m/>
    <s v="Scarlett Scott|fatima.scott@outlook.com"/>
    <n v="1"/>
  </r>
  <r>
    <n v="9"/>
    <d v="2017-08-10T00:00:00"/>
    <n v="0"/>
    <s v="005ak00000icyWTAAY"/>
    <s v="2026-09-14T19:09:41.000Z"/>
    <d v="2023-12-30T00:00:00"/>
    <s v="Lily"/>
    <s v="Lily Mitchell"/>
    <s v="ryanmitchell@outlook.com"/>
    <s v="Delilah"/>
    <s v="Mitchell"/>
    <s v="(732) 555-5236"/>
    <s v="131ak000001XjDvAAK"/>
    <s v="Toms River"/>
    <s v="a07ak00001rZMqeAAG"/>
    <b v="0"/>
    <m/>
    <s v="005ak00000icyWTAAY"/>
    <s v="2026-09-17T15:39:12.000Z"/>
    <s v="2026-09-15T17:15:54.000Z"/>
    <s v="2026-09-15T17:15:54.000Z"/>
    <m/>
    <s v="Mitchell"/>
    <s v="Weekly"/>
    <m/>
    <n v="160"/>
    <s v="Lily Mitchell"/>
    <s v="005ak00000icyWTAAY"/>
    <b v="0"/>
    <s v="Thursday"/>
    <x v="6"/>
    <s v="Beginner"/>
    <x v="0"/>
    <m/>
    <s v="STU-0096"/>
    <m/>
    <s v="2026-09-24T19:18:48.000Z"/>
    <n v="1"/>
    <m/>
    <s v="Lily Mitchell|ryanmitchell@outlook.com"/>
    <n v="1"/>
  </r>
  <r>
    <n v="8"/>
    <d v="2018-09-04T00:00:00"/>
    <n v="0"/>
    <s v="005ak00000icyWTAAY"/>
    <s v="2026-09-14T19:09:41.000Z"/>
    <d v="2022-04-26T00:00:00"/>
    <s v="Isaac"/>
    <s v="Isaac Novak"/>
    <s v="micahnovak88@icloud.com"/>
    <s v="Evelyn"/>
    <s v="Novak"/>
    <s v="(732) 555-8713"/>
    <s v="131ak000001XjDtAAK"/>
    <s v="Red Bank"/>
    <s v="a07ak00001rZMqfAAG"/>
    <b v="0"/>
    <m/>
    <s v="005ak00000icyWTAAY"/>
    <s v="2026-09-17T15:39:12.000Z"/>
    <s v="2026-09-15T17:15:54.000Z"/>
    <s v="2026-09-15T17:15:54.000Z"/>
    <m/>
    <s v="Novak"/>
    <s v="Weekly"/>
    <m/>
    <n v="200"/>
    <s v="Isaac Novak"/>
    <s v="005ak00000icyWTAAY"/>
    <b v="0"/>
    <s v="Thursday"/>
    <x v="3"/>
    <s v="Beginner"/>
    <x v="1"/>
    <m/>
    <s v="STU-0097"/>
    <m/>
    <s v="2026-09-24T19:18:48.000Z"/>
    <n v="1"/>
    <m/>
    <s v="Isaac Novak|micahnovak88@icloud.com"/>
    <n v="1"/>
  </r>
  <r>
    <n v="38"/>
    <d v="1988-06-28T00:00:00"/>
    <n v="1"/>
    <s v="005ak00000icyWTAAY"/>
    <s v="2026-09-14T19:09:41.000Z"/>
    <d v="2023-09-19T00:00:00"/>
    <s v="Adrian"/>
    <s v="Adrian Lewis"/>
    <m/>
    <m/>
    <m/>
    <m/>
    <s v="131ak000001XjDtAAK"/>
    <s v="Red Bank"/>
    <s v="a07ak00001rZMqgAAG"/>
    <b v="0"/>
    <m/>
    <s v="005ak00000iurczAAA"/>
    <s v="2026-09-18T05:09:10.000Z"/>
    <s v="2026-09-17T03:05:00.000Z"/>
    <s v="2026-09-17T03:05:00.000Z"/>
    <d v="2026-03-21T00:00:00"/>
    <s v="Lewis"/>
    <s v="Biweekly"/>
    <m/>
    <n v="180"/>
    <s v="Adrian Lewis"/>
    <s v="005ak00000icyWTAAY"/>
    <b v="0"/>
    <s v="Saturday"/>
    <x v="9"/>
    <s v="Advanced"/>
    <x v="1"/>
    <s v="adrian.lewis@yahoo.com"/>
    <s v="STU-0098"/>
    <s v="(732) 555-9452"/>
    <s v="2026-09-24T19:18:48.000Z"/>
    <n v="0.5"/>
    <m/>
    <s v="Adrian Lewis|"/>
    <n v="1"/>
  </r>
  <r>
    <n v="11"/>
    <d v="2015-01-07T00:00:00"/>
    <n v="2"/>
    <s v="005ak00000icyWTAAY"/>
    <s v="2026-09-14T19:09:41.000Z"/>
    <d v="2022-04-12T00:00:00"/>
    <s v="Chloe"/>
    <s v="Chloe Allen"/>
    <s v="claireallen@gmail.com"/>
    <s v="Fatima"/>
    <s v="Allen"/>
    <s v="(732) 555-9449"/>
    <s v="131ak000001XjDvAAK"/>
    <s v="Toms River"/>
    <s v="a07ak00001rZMqhAAG"/>
    <b v="0"/>
    <m/>
    <s v="005ak00000icyWTAAY"/>
    <s v="2026-09-17T15:39:12.000Z"/>
    <s v="2026-09-17T03:05:00.000Z"/>
    <s v="2026-09-17T03:05:00.000Z"/>
    <d v="2026-08-29T00:00:00"/>
    <s v="Allen"/>
    <s v="Weekly"/>
    <m/>
    <n v="200"/>
    <s v="Chloe Allen"/>
    <s v="005ak00000icyWTAAY"/>
    <b v="0"/>
    <s v="Tuesday"/>
    <x v="9"/>
    <s v="Intermediate"/>
    <x v="1"/>
    <m/>
    <s v="STU-0099"/>
    <m/>
    <s v="2026-09-24T19:18:48.000Z"/>
    <n v="1"/>
    <m/>
    <s v="Chloe Allen|claireallen@gmail.com"/>
    <n v="1"/>
  </r>
  <r>
    <n v="11"/>
    <d v="2015-09-02T00:00:00"/>
    <n v="0"/>
    <s v="005ak00000icyWTAAY"/>
    <s v="2026-09-14T19:09:41.000Z"/>
    <d v="2022-09-30T00:00:00"/>
    <s v="Hazel"/>
    <s v="Hazel Perez"/>
    <s v="violet.perez@outlook.com"/>
    <s v="Valentina"/>
    <s v="Perez"/>
    <s v="(732) 555-7309"/>
    <s v="131ak000001XjDtAAK"/>
    <s v="Red Bank"/>
    <s v="a07ak00001rZMqiAAG"/>
    <b v="0"/>
    <m/>
    <s v="005ak00000icyWTAAY"/>
    <s v="2026-09-17T15:39:12.000Z"/>
    <s v="2026-09-15T17:15:54.000Z"/>
    <s v="2026-09-15T17:15:54.000Z"/>
    <m/>
    <s v="Perez"/>
    <s v="Biweekly"/>
    <m/>
    <n v="160"/>
    <s v="Hazel Perez"/>
    <s v="005ak00000icyWTAAY"/>
    <b v="0"/>
    <s v="Monday"/>
    <x v="7"/>
    <s v="Advanced"/>
    <x v="1"/>
    <m/>
    <s v="STU-0100"/>
    <m/>
    <s v="2026-09-24T19:18:48.000Z"/>
    <n v="0.5"/>
    <m/>
    <s v="Hazel Perez|violet.perez@outlook.com"/>
    <n v="1"/>
  </r>
  <r>
    <n v="8"/>
    <d v="2018-03-02T00:00:00"/>
    <n v="1"/>
    <s v="005ak00000icyWTAAY"/>
    <s v="2026-09-14T19:09:41.000Z"/>
    <d v="2022-02-16T00:00:00"/>
    <s v="Jamal"/>
    <s v="Jamal Sanchez"/>
    <s v="milessanchez38@outlook.com"/>
    <s v="Genesis"/>
    <s v="Sanchez"/>
    <s v="(732) 555-3784"/>
    <s v="131ak000001XjDtAAK"/>
    <s v="Red Bank"/>
    <s v="a07ak00001rZMqjAAG"/>
    <b v="0"/>
    <m/>
    <s v="005ak00000icyWTAAY"/>
    <s v="2026-09-17T15:39:12.000Z"/>
    <s v="2026-09-15T17:15:54.000Z"/>
    <s v="2026-09-15T17:15:54.000Z"/>
    <d v="2026-02-27T00:00:00"/>
    <s v="Sanchez"/>
    <s v="Biweekly"/>
    <m/>
    <n v="240"/>
    <s v="Jamal Sanchez"/>
    <s v="005ak00000icyWTAAY"/>
    <b v="0"/>
    <s v="Monday"/>
    <x v="9"/>
    <s v="Advanced"/>
    <x v="1"/>
    <m/>
    <s v="STU-0101"/>
    <m/>
    <s v="2026-09-24T19:18:48.000Z"/>
    <n v="0.5"/>
    <m/>
    <s v="Jamal Sanchez|milessanchez38@outlook.com"/>
    <n v="1"/>
  </r>
  <r>
    <n v="6"/>
    <d v="2019-10-15T00:00:00"/>
    <n v="0"/>
    <s v="005ak00000icyWTAAY"/>
    <s v="2026-09-14T19:09:41.000Z"/>
    <d v="2026-04-03T00:00:00"/>
    <s v="Josiah"/>
    <s v="Josiah Lewis"/>
    <s v="valentina.lewis@yahoo.com"/>
    <s v="Olivia"/>
    <s v="Lewis"/>
    <s v="(732) 555-9390"/>
    <s v="131ak000001XjDtAAK"/>
    <s v="Red Bank"/>
    <s v="a07ak00001rZMqkAAG"/>
    <b v="0"/>
    <m/>
    <s v="005ak00000icyWTAAY"/>
    <s v="2026-09-24T16:51:20.000Z"/>
    <s v="2026-09-15T17:15:54.000Z"/>
    <s v="2026-09-15T17:15:54.000Z"/>
    <m/>
    <s v="Lewis"/>
    <s v="Biweekly"/>
    <m/>
    <n v="200"/>
    <s v="Josiah Lewis"/>
    <s v="005ak00000icyWTAAY"/>
    <b v="0"/>
    <s v="Tuesday"/>
    <x v="0"/>
    <s v="Beginner"/>
    <x v="2"/>
    <m/>
    <s v="STU-0102"/>
    <m/>
    <s v="2026-09-24T19:18:48.000Z"/>
    <n v="0.5"/>
    <d v="2026-06-18T00:00:00"/>
    <s v="Josiah Lewis|valentina.lewis@yahoo.com"/>
    <n v="1"/>
  </r>
  <r>
    <n v="7"/>
    <d v="2019-01-12T00:00:00"/>
    <n v="2"/>
    <s v="005ak00000icyWTAAY"/>
    <s v="2026-09-14T19:09:41.000Z"/>
    <d v="2024-02-11T00:00:00"/>
    <s v="Savannah"/>
    <s v="Savannah Campbell"/>
    <s v="skylar.campbell@outlook.com"/>
    <s v="Hazel"/>
    <s v="Campbell"/>
    <s v="(732) 555-8274"/>
    <s v="131ak000001XjDuAAK"/>
    <s v="Brick"/>
    <s v="a07ak00001rZMqlAAG"/>
    <b v="0"/>
    <m/>
    <s v="005ak00000icyWTAAY"/>
    <s v="2026-09-17T15:39:12.000Z"/>
    <s v="2026-09-15T17:15:54.000Z"/>
    <s v="2026-09-15T17:15:54.000Z"/>
    <d v="2026-05-02T00:00:00"/>
    <s v="Campbell"/>
    <s v="Weekly"/>
    <m/>
    <n v="220"/>
    <s v="Savannah Campbell"/>
    <s v="005ak00000icyWTAAY"/>
    <b v="0"/>
    <s v="Friday"/>
    <x v="10"/>
    <s v="Advanced"/>
    <x v="1"/>
    <m/>
    <s v="STU-0103"/>
    <m/>
    <s v="2026-09-24T19:18:48.000Z"/>
    <n v="1"/>
    <m/>
    <s v="Savannah Campbell|skylar.campbell@outlook.com"/>
    <n v="1"/>
  </r>
  <r>
    <n v="61"/>
    <d v="1965-10-03T00:00:00"/>
    <n v="1"/>
    <s v="005ak00000icyWTAAY"/>
    <s v="2026-09-14T19:09:41.000Z"/>
    <d v="2026-09-04T00:00:00"/>
    <s v="Logan"/>
    <s v="Logan Harris"/>
    <m/>
    <m/>
    <m/>
    <m/>
    <s v="131ak000001XjDtAAK"/>
    <s v="Red Bank"/>
    <s v="a07ak00001rZMqmAAG"/>
    <b v="0"/>
    <m/>
    <s v="005ak00000icyWTAAY"/>
    <s v="2026-09-17T15:39:12.000Z"/>
    <s v="2026-09-15T17:15:54.000Z"/>
    <s v="2026-09-15T17:15:54.000Z"/>
    <d v="2026-08-27T00:00:00"/>
    <s v="Harris"/>
    <s v="Biweekly"/>
    <m/>
    <n v="220"/>
    <s v="Logan Harris"/>
    <s v="005ak00000icyWTAAY"/>
    <b v="0"/>
    <s v="Tuesday"/>
    <x v="5"/>
    <s v="Advanced"/>
    <x v="1"/>
    <s v="loganharris@icloud.com"/>
    <s v="STU-0104"/>
    <s v="(732) 555-5604"/>
    <s v="2026-09-24T19:18:48.000Z"/>
    <n v="0.5"/>
    <m/>
    <s v="Logan Harris|"/>
    <n v="2"/>
  </r>
  <r>
    <n v="8"/>
    <d v="2018-02-25T00:00:00"/>
    <n v="0"/>
    <s v="005ak00000icyWTAAY"/>
    <s v="2026-09-14T19:09:41.000Z"/>
    <d v="2024-11-30T00:00:00"/>
    <s v="Dylan"/>
    <s v="Dylan Wright"/>
    <s v="scarlett.wright@outlook.com"/>
    <s v="Aurora"/>
    <s v="Wright"/>
    <s v="(732) 555-7034"/>
    <s v="131ak000001XjDuAAK"/>
    <s v="Brick"/>
    <s v="a07ak00001rZMqnAAG"/>
    <b v="0"/>
    <m/>
    <s v="005ak00000icyWTAAY"/>
    <s v="2026-09-17T15:39:12.000Z"/>
    <s v="2026-09-17T03:05:00.000Z"/>
    <s v="2026-09-17T03:05:00.000Z"/>
    <m/>
    <s v="Wright"/>
    <s v="Weekly"/>
    <m/>
    <n v="200"/>
    <s v="Dylan Wright"/>
    <s v="005ak00000icyWTAAY"/>
    <b v="0"/>
    <s v="Thursday"/>
    <x v="5"/>
    <s v="Advanced"/>
    <x v="0"/>
    <m/>
    <s v="STU-0105"/>
    <m/>
    <s v="2026-09-24T19:18:48.000Z"/>
    <n v="1"/>
    <m/>
    <s v="Dylan Wright|scarlett.wright@outlook.com"/>
    <n v="1"/>
  </r>
  <r>
    <n v="14"/>
    <d v="2012-04-09T00:00:00"/>
    <n v="0"/>
    <s v="005ak00000icyWTAAY"/>
    <s v="2026-09-14T19:09:41.000Z"/>
    <d v="2025-01-28T00:00:00"/>
    <s v="Bella"/>
    <s v="Bella Martin"/>
    <s v="brooklynmartin@gmail.com"/>
    <s v="Marcus"/>
    <s v="Martin"/>
    <s v="(732) 555-7031"/>
    <s v="131ak000001XjDuAAK"/>
    <s v="Brick"/>
    <s v="a07ak00001rZMqoAAG"/>
    <b v="0"/>
    <m/>
    <s v="005ak00000icyWTAAY"/>
    <s v="2026-09-17T15:39:12.000Z"/>
    <s v="2026-09-17T03:05:00.000Z"/>
    <s v="2026-09-17T03:05:00.000Z"/>
    <m/>
    <s v="Martin"/>
    <s v="Weekly"/>
    <s v="bellamartin@hotmail.com"/>
    <n v="160"/>
    <s v="Bella Martin"/>
    <s v="005ak00000icyWTAAY"/>
    <b v="0"/>
    <s v="Wednesday"/>
    <x v="8"/>
    <s v="Beginner"/>
    <x v="1"/>
    <m/>
    <s v="STU-0106"/>
    <m/>
    <s v="2026-09-24T19:18:48.000Z"/>
    <n v="1"/>
    <m/>
    <s v="Bella Martin|brooklynmartin@gmail.com"/>
    <n v="1"/>
  </r>
  <r>
    <n v="24"/>
    <d v="2002-02-01T00:00:00"/>
    <n v="1"/>
    <s v="005ak00000icyWTAAY"/>
    <s v="2026-09-14T19:09:41.000Z"/>
    <d v="2022-04-16T00:00:00"/>
    <s v="Aiden"/>
    <s v="Aiden Byrne"/>
    <m/>
    <m/>
    <m/>
    <m/>
    <s v="131ak000001XjDtAAK"/>
    <s v="Red Bank"/>
    <s v="a07ak00001rZMqpAAG"/>
    <b v="0"/>
    <m/>
    <s v="005ak00000icyWTAAY"/>
    <s v="2026-09-17T15:39:12.000Z"/>
    <s v="2026-09-17T03:05:00.000Z"/>
    <s v="2026-09-17T03:05:00.000Z"/>
    <d v="2026-04-17T00:00:00"/>
    <s v="Byrne"/>
    <s v="Weekly"/>
    <m/>
    <n v="160"/>
    <s v="Aiden Byrne"/>
    <s v="005ak00000icyWTAAY"/>
    <b v="0"/>
    <s v="Monday"/>
    <x v="11"/>
    <s v="Beginner"/>
    <x v="1"/>
    <s v="aidenbyrne44@outlook.com"/>
    <s v="STU-0107"/>
    <s v="(732) 555-3143"/>
    <s v="2026-09-24T19:18:48.000Z"/>
    <n v="1"/>
    <m/>
    <s v="Aiden Byrne|"/>
    <n v="1"/>
  </r>
  <r>
    <n v="8"/>
    <d v="2017-10-20T00:00:00"/>
    <n v="0"/>
    <s v="005ak00000icyWTAAY"/>
    <s v="2026-09-14T19:09:41.000Z"/>
    <d v="2022-10-04T00:00:00"/>
    <s v="Julian"/>
    <s v="Julian Allen"/>
    <s v="ryanallen78@hotmail.com"/>
    <s v="Lily"/>
    <s v="Allen"/>
    <s v="(732) 555-7489"/>
    <s v="131ak000001XjDvAAK"/>
    <s v="Toms River"/>
    <s v="a07ak00001rZMqqAAG"/>
    <b v="0"/>
    <m/>
    <s v="005ak00000icyWTAAY"/>
    <s v="2026-09-17T15:39:12.000Z"/>
    <s v="2026-09-15T17:15:54.000Z"/>
    <s v="2026-09-15T17:15:54.000Z"/>
    <m/>
    <s v="Allen"/>
    <s v="Biweekly"/>
    <m/>
    <n v="200"/>
    <s v="Julian Allen"/>
    <s v="005ak00000icyWTAAY"/>
    <b v="0"/>
    <s v="Thursday"/>
    <x v="4"/>
    <s v="Beginner"/>
    <x v="1"/>
    <m/>
    <s v="STU-0108"/>
    <m/>
    <s v="2026-09-24T19:18:48.000Z"/>
    <n v="0.5"/>
    <m/>
    <s v="Julian Allen|ryanallen78@hotmail.com"/>
    <n v="1"/>
  </r>
  <r>
    <n v="14"/>
    <d v="2012-01-03T00:00:00"/>
    <n v="0"/>
    <s v="005ak00000icyWTAAY"/>
    <s v="2026-09-14T19:09:41.000Z"/>
    <d v="2023-01-03T00:00:00"/>
    <s v="Ruby"/>
    <s v="Ruby Moore"/>
    <s v="miles.moore@yahoo.com"/>
    <s v="Fatima"/>
    <s v="Moore"/>
    <s v="(732) 555-3850"/>
    <s v="131ak000001XjDtAAK"/>
    <s v="Red Bank"/>
    <s v="a07ak00001rZMqrAAG"/>
    <b v="0"/>
    <m/>
    <s v="005ak00000icyWTAAY"/>
    <s v="2026-09-17T15:39:12.000Z"/>
    <s v="2026-09-15T17:15:54.000Z"/>
    <s v="2026-09-15T17:15:54.000Z"/>
    <m/>
    <s v="Moore"/>
    <s v="Weekly"/>
    <s v="ruby.moore@gmail.com"/>
    <n v="180"/>
    <s v="Ruby Moore"/>
    <s v="005ak00000icyWTAAY"/>
    <b v="0"/>
    <s v="Wednesday"/>
    <x v="3"/>
    <s v="Beginner"/>
    <x v="1"/>
    <m/>
    <s v="STU-0109"/>
    <m/>
    <s v="2026-09-24T19:18:48.000Z"/>
    <n v="1"/>
    <m/>
    <s v="Ruby Moore|miles.moore@yahoo.com"/>
    <n v="1"/>
  </r>
  <r>
    <n v="8"/>
    <d v="2018-07-04T00:00:00"/>
    <n v="0"/>
    <s v="005ak00000icyWTAAY"/>
    <s v="2026-09-14T19:09:41.000Z"/>
    <d v="2023-03-15T00:00:00"/>
    <s v="Zoey"/>
    <s v="Zoey Kim"/>
    <s v="ezrakim@gmail.com"/>
    <s v="Isabella"/>
    <s v="Kim"/>
    <s v="(732) 555-6129"/>
    <s v="131ak000001XjDtAAK"/>
    <s v="Red Bank"/>
    <s v="a07ak00001rZMqsAAG"/>
    <b v="0"/>
    <m/>
    <s v="005ak00000icyWTAAY"/>
    <s v="2026-09-17T15:39:12.000Z"/>
    <s v="2026-09-15T17:16:27.000Z"/>
    <s v="2026-09-15T17:16:27.000Z"/>
    <m/>
    <s v="Kim"/>
    <s v="Weekly"/>
    <m/>
    <n v="180"/>
    <s v="Zoey Kim"/>
    <s v="005ak00000icyWTAAY"/>
    <b v="0"/>
    <s v="Friday"/>
    <x v="6"/>
    <s v="Intermediate"/>
    <x v="1"/>
    <m/>
    <s v="STU-0110"/>
    <m/>
    <s v="2026-09-24T19:18:48.000Z"/>
    <n v="1"/>
    <m/>
    <s v="Zoey Kim|ezrakim@gmail.com"/>
    <n v="1"/>
  </r>
  <r>
    <n v="9"/>
    <d v="2017-02-25T00:00:00"/>
    <n v="1"/>
    <s v="005ak00000icyWTAAY"/>
    <s v="2026-09-14T19:09:41.000Z"/>
    <d v="2023-09-11T00:00:00"/>
    <s v="Caroline"/>
    <s v="Caroline Hall"/>
    <s v="annahall39@yahoo.com"/>
    <s v="Victoria"/>
    <s v="Hall"/>
    <s v="(732) 555-1218"/>
    <s v="131ak000001XjDvAAK"/>
    <s v="Toms River"/>
    <s v="a07ak00001rZMqtAAG"/>
    <b v="0"/>
    <m/>
    <s v="005ak00000icyWTAAY"/>
    <s v="2026-09-17T15:39:12.000Z"/>
    <s v="2026-09-17T03:05:00.000Z"/>
    <s v="2026-09-17T03:05:00.000Z"/>
    <d v="2026-08-02T00:00:00"/>
    <s v="Hall"/>
    <s v="Weekly"/>
    <m/>
    <n v="220"/>
    <s v="Caroline Hall"/>
    <s v="005ak00000icyWTAAY"/>
    <b v="0"/>
    <s v="Thursday"/>
    <x v="7"/>
    <s v="Beginner"/>
    <x v="1"/>
    <m/>
    <s v="STU-0111"/>
    <m/>
    <s v="2026-09-24T19:18:48.000Z"/>
    <n v="1"/>
    <m/>
    <s v="Caroline Hall|annahall39@yahoo.com"/>
    <n v="1"/>
  </r>
  <r>
    <n v="8"/>
    <d v="2018-01-03T00:00:00"/>
    <n v="1"/>
    <s v="005ak00000icyWTAAY"/>
    <s v="2026-09-14T19:09:41.000Z"/>
    <d v="2023-12-19T00:00:00"/>
    <s v="Audrey"/>
    <s v="Audrey Nelson"/>
    <s v="riley.nelson@icloud.com"/>
    <s v="Ruby"/>
    <s v="Nelson"/>
    <s v="(732) 555-6589"/>
    <s v="131ak000001XjDtAAK"/>
    <s v="Red Bank"/>
    <s v="a07ak00001rZMquAAG"/>
    <b v="0"/>
    <m/>
    <s v="005ak00000icyWTAAY"/>
    <s v="2026-09-17T15:39:12.000Z"/>
    <s v="2026-09-17T03:05:00.000Z"/>
    <s v="2026-09-17T03:05:00.000Z"/>
    <d v="2026-01-21T00:00:00"/>
    <s v="Nelson"/>
    <s v="Biweekly"/>
    <m/>
    <n v="220"/>
    <s v="Audrey Nelson"/>
    <s v="005ak00000icyWTAAY"/>
    <b v="0"/>
    <s v="Friday"/>
    <x v="11"/>
    <s v="Beginner"/>
    <x v="1"/>
    <m/>
    <s v="STU-0112"/>
    <m/>
    <s v="2026-09-24T19:18:48.000Z"/>
    <n v="0.5"/>
    <m/>
    <s v="Audrey Nelson|riley.nelson@icloud.com"/>
    <n v="1"/>
  </r>
  <r>
    <n v="15"/>
    <d v="2011-08-18T00:00:00"/>
    <n v="0"/>
    <s v="005ak00000icyWTAAY"/>
    <s v="2026-09-14T19:09:41.000Z"/>
    <d v="2025-03-16T00:00:00"/>
    <s v="Penelope"/>
    <s v="Penelope Martin"/>
    <s v="abigailmartin@yahoo.com"/>
    <s v="Ivy"/>
    <s v="Martin"/>
    <s v="(732) 555-6382"/>
    <s v="131ak000001XjDtAAK"/>
    <s v="Red Bank"/>
    <s v="a07ak00001rZMqvAAG"/>
    <b v="0"/>
    <m/>
    <s v="005ak00000icyWTAAY"/>
    <s v="2026-09-17T15:39:12.000Z"/>
    <s v="2026-09-15T17:16:27.000Z"/>
    <s v="2026-09-15T17:16:27.000Z"/>
    <m/>
    <s v="Martin"/>
    <s v="Weekly"/>
    <s v="penelopemartin1@yahoo.com"/>
    <n v="240"/>
    <s v="Penelope Martin"/>
    <s v="005ak00000icyWTAAY"/>
    <b v="0"/>
    <s v="Monday"/>
    <x v="8"/>
    <s v="Beginner"/>
    <x v="0"/>
    <m/>
    <s v="STU-0113"/>
    <m/>
    <s v="2026-09-24T19:18:48.000Z"/>
    <n v="1"/>
    <m/>
    <s v="Penelope Martin|abigailmartin@yahoo.com"/>
    <n v="1"/>
  </r>
  <r>
    <n v="12"/>
    <d v="2014-05-30T00:00:00"/>
    <n v="0"/>
    <s v="005ak00000icyWTAAY"/>
    <s v="2026-09-14T19:09:41.000Z"/>
    <d v="2022-08-04T00:00:00"/>
    <s v="Maria"/>
    <s v="Maria Martinez"/>
    <s v="amartinez@gmail.com"/>
    <s v="Declan"/>
    <s v="Martinez"/>
    <s v="(732) 555-3149"/>
    <s v="131ak000001XjDtAAK"/>
    <s v="Red Bank"/>
    <s v="a07ak00001rZMqwAAG"/>
    <b v="0"/>
    <m/>
    <s v="005ak00000icyWTAAY"/>
    <s v="2026-09-17T15:39:12.000Z"/>
    <s v="2026-09-15T17:16:27.000Z"/>
    <s v="2026-09-15T17:16:27.000Z"/>
    <m/>
    <s v="Martinez"/>
    <s v="Biweekly"/>
    <m/>
    <n v="180"/>
    <s v="Maria Martinez"/>
    <s v="005ak00000icyWTAAY"/>
    <b v="0"/>
    <s v="Thursday"/>
    <x v="8"/>
    <s v="Intermediate"/>
    <x v="1"/>
    <m/>
    <s v="STU-0114"/>
    <m/>
    <s v="2026-09-24T19:18:48.000Z"/>
    <n v="0.5"/>
    <m/>
    <s v="Maria Martinez|amartinez@gmail.com"/>
    <n v="1"/>
  </r>
  <r>
    <n v="16"/>
    <d v="2010-04-07T00:00:00"/>
    <n v="0"/>
    <s v="005ak00000icyWTAAY"/>
    <s v="2026-09-14T19:09:41.000Z"/>
    <d v="2023-08-15T00:00:00"/>
    <s v="Mei"/>
    <s v="Mei Brown"/>
    <s v="aiden.brown@gmail.com"/>
    <s v="Claire"/>
    <s v="Brown"/>
    <s v="(732) 555-2152"/>
    <s v="131ak000001XjDuAAK"/>
    <s v="Brick"/>
    <s v="a07ak00001rZMqxAAG"/>
    <b v="0"/>
    <m/>
    <s v="005ak00000icyWTAAY"/>
    <s v="2026-09-17T15:39:12.000Z"/>
    <s v="2026-09-15T17:16:27.000Z"/>
    <s v="2026-09-15T17:16:27.000Z"/>
    <m/>
    <s v="Brown"/>
    <s v="Biweekly"/>
    <s v="mei.brown@outlook.com"/>
    <n v="200"/>
    <s v="Mei Brown"/>
    <s v="005ak00000icyWTAAY"/>
    <b v="0"/>
    <s v="Friday"/>
    <x v="11"/>
    <s v="Advanced"/>
    <x v="1"/>
    <m/>
    <s v="STU-0115"/>
    <m/>
    <s v="2026-09-24T19:18:48.000Z"/>
    <n v="0.5"/>
    <m/>
    <s v="Mei Brown|aiden.brown@gmail.com"/>
    <n v="1"/>
  </r>
  <r>
    <n v="8"/>
    <d v="2018-08-12T00:00:00"/>
    <n v="1"/>
    <s v="005ak00000icyWTAAY"/>
    <s v="2026-09-14T19:09:41.000Z"/>
    <d v="2023-05-14T00:00:00"/>
    <s v="Owen"/>
    <s v="Owen Silva"/>
    <s v="ethansilva34@yahoo.com"/>
    <s v="Daniel"/>
    <s v="Silva"/>
    <s v="(732) 555-1216"/>
    <s v="131ak000001XjDtAAK"/>
    <s v="Red Bank"/>
    <s v="a07ak00001rZMqyAAG"/>
    <b v="0"/>
    <m/>
    <s v="005ak00000icyWTAAY"/>
    <s v="2026-09-17T15:39:12.000Z"/>
    <s v="2026-09-15T17:16:27.000Z"/>
    <s v="2026-09-15T17:16:27.000Z"/>
    <d v="2026-06-12T00:00:00"/>
    <s v="Silva"/>
    <s v="Biweekly"/>
    <m/>
    <n v="180"/>
    <s v="Owen Silva"/>
    <s v="005ak00000icyWTAAY"/>
    <b v="0"/>
    <s v="Saturday"/>
    <x v="2"/>
    <s v="Intermediate"/>
    <x v="1"/>
    <m/>
    <s v="STU-0116"/>
    <m/>
    <s v="2026-09-24T19:18:48.000Z"/>
    <n v="0.5"/>
    <m/>
    <s v="Owen Silva|ethansilva34@yahoo.com"/>
    <n v="1"/>
  </r>
  <r>
    <n v="9"/>
    <d v="2017-05-09T00:00:00"/>
    <n v="0"/>
    <s v="005ak00000icyWTAAY"/>
    <s v="2026-09-14T19:09:41.000Z"/>
    <d v="2025-08-04T00:00:00"/>
    <s v="Gabriel"/>
    <s v="Gabriel Green"/>
    <s v="hgreen@gmail.com"/>
    <s v="Paisley"/>
    <s v="Green"/>
    <s v="(732) 555-8635"/>
    <s v="131ak000001XjDuAAK"/>
    <s v="Brick"/>
    <s v="a07ak00001rZMqzAAG"/>
    <b v="0"/>
    <m/>
    <s v="005ak00000icyWTAAY"/>
    <s v="2026-09-17T15:39:12.000Z"/>
    <s v="2026-09-17T03:05:00.000Z"/>
    <s v="2026-09-17T03:05:00.000Z"/>
    <m/>
    <s v="Green"/>
    <s v="Weekly"/>
    <m/>
    <n v="160"/>
    <s v="Gabriel Green"/>
    <s v="005ak00000icyWTAAY"/>
    <b v="0"/>
    <s v="Monday"/>
    <x v="1"/>
    <s v="Beginner"/>
    <x v="1"/>
    <m/>
    <s v="STU-0117"/>
    <m/>
    <s v="2026-09-24T19:18:48.000Z"/>
    <n v="1"/>
    <m/>
    <s v="Gabriel Green|hgreen@gmail.com"/>
    <n v="1"/>
  </r>
  <r>
    <n v="10"/>
    <d v="2015-11-29T00:00:00"/>
    <n v="0"/>
    <s v="005ak00000icyWTAAY"/>
    <s v="2026-09-14T19:09:41.000Z"/>
    <d v="2025-11-15T00:00:00"/>
    <s v="Scarlett"/>
    <s v="Scarlett Byrne"/>
    <s v="emilybyrne68@yahoo.com"/>
    <s v="Mia"/>
    <s v="Byrne"/>
    <s v="(732) 555-1343"/>
    <s v="131ak000001XjDtAAK"/>
    <s v="Red Bank"/>
    <s v="a07ak00001rZMr0AAG"/>
    <b v="0"/>
    <m/>
    <s v="005ak00000icyWTAAY"/>
    <s v="2026-09-17T15:39:12.000Z"/>
    <s v="2026-09-15T17:16:27.000Z"/>
    <s v="2026-09-15T17:16:27.000Z"/>
    <m/>
    <s v="Byrne"/>
    <s v="Biweekly"/>
    <m/>
    <n v="200"/>
    <s v="Scarlett Byrne"/>
    <s v="005ak00000icyWTAAY"/>
    <b v="0"/>
    <s v="Saturday"/>
    <x v="4"/>
    <s v="Advanced"/>
    <x v="1"/>
    <m/>
    <s v="STU-0118"/>
    <m/>
    <s v="2026-09-24T19:18:48.000Z"/>
    <n v="0.5"/>
    <m/>
    <s v="Scarlett Byrne|emilybyrne68@yahoo.com"/>
    <n v="1"/>
  </r>
  <r>
    <n v="9"/>
    <d v="2017-01-30T00:00:00"/>
    <n v="0"/>
    <s v="005ak00000icyWTAAY"/>
    <s v="2026-09-14T19:09:41.000Z"/>
    <d v="2023-10-04T00:00:00"/>
    <s v="Lincoln"/>
    <s v="Lincoln Scott"/>
    <s v="scarlett.scott@outlook.com"/>
    <s v="Brandon"/>
    <s v="Scott"/>
    <s v="(732) 555-5900"/>
    <s v="131ak000001XjDtAAK"/>
    <s v="Red Bank"/>
    <s v="a07ak00001rZMr1AAG"/>
    <b v="0"/>
    <m/>
    <s v="005ak00000icyWTAAY"/>
    <s v="2026-09-17T15:39:12.000Z"/>
    <s v="2026-09-15T17:16:27.000Z"/>
    <s v="2026-09-15T17:16:27.000Z"/>
    <m/>
    <s v="Scott"/>
    <s v="Weekly"/>
    <m/>
    <n v="160"/>
    <s v="Lincoln Scott"/>
    <s v="005ak00000icyWTAAY"/>
    <b v="0"/>
    <s v="Thursday"/>
    <x v="5"/>
    <s v="Intermediate"/>
    <x v="1"/>
    <m/>
    <s v="STU-0119"/>
    <m/>
    <s v="2026-09-24T19:18:48.000Z"/>
    <n v="1"/>
    <m/>
    <s v="Lincoln Scott|scarlett.scott@outlook.com"/>
    <n v="1"/>
  </r>
  <r>
    <n v="14"/>
    <d v="2011-11-27T00:00:00"/>
    <n v="0"/>
    <s v="005ak00000icyWTAAY"/>
    <s v="2026-09-14T19:09:41.000Z"/>
    <d v="2023-05-19T00:00:00"/>
    <s v="Maria"/>
    <s v="Maria Rodriguez"/>
    <s v="arodriguez@yahoo.com"/>
    <s v="Scarlett"/>
    <s v="Rodriguez"/>
    <s v="(732) 555-2861"/>
    <s v="131ak000001XjDvAAK"/>
    <s v="Toms River"/>
    <s v="a07ak00001rZMr2AAG"/>
    <b v="0"/>
    <m/>
    <s v="005ak00000icyWTAAY"/>
    <s v="2026-09-17T15:39:12.000Z"/>
    <s v="2026-09-15T17:16:27.000Z"/>
    <s v="2026-09-15T17:16:27.000Z"/>
    <m/>
    <s v="Rodriguez"/>
    <s v="Weekly"/>
    <s v="mrodriguez@yahoo.com"/>
    <n v="220"/>
    <s v="Maria Rodriguez"/>
    <s v="005ak00000icyWTAAY"/>
    <b v="0"/>
    <s v="Thursday"/>
    <x v="7"/>
    <s v="Advanced"/>
    <x v="1"/>
    <m/>
    <s v="STU-0120"/>
    <m/>
    <s v="2026-09-24T19:18:48.000Z"/>
    <n v="1"/>
    <m/>
    <s v="Maria Rodriguez|arodriguez@yahoo.com"/>
    <n v="1"/>
  </r>
  <r>
    <n v="6"/>
    <d v="2020-01-21T00:00:00"/>
    <n v="0"/>
    <s v="005ak00000icyWTAAY"/>
    <s v="2026-09-14T19:09:41.000Z"/>
    <d v="2022-06-13T00:00:00"/>
    <s v="Rohan"/>
    <s v="Rohan Nguyen"/>
    <s v="bnguyen@icloud.com"/>
    <s v="Anna"/>
    <s v="Nguyen"/>
    <s v="(732) 555-3957"/>
    <s v="131ak000001XjDtAAK"/>
    <s v="Red Bank"/>
    <s v="a07ak00001rZMr3AAG"/>
    <b v="0"/>
    <m/>
    <s v="005ak00000icyWTAAY"/>
    <s v="2026-09-24T16:51:20.000Z"/>
    <s v="2026-09-15T17:16:27.000Z"/>
    <s v="2026-09-15T17:16:27.000Z"/>
    <m/>
    <s v="Nguyen"/>
    <s v="Biweekly"/>
    <m/>
    <n v="200"/>
    <s v="Rohan Nguyen"/>
    <s v="005ak00000icyWTAAY"/>
    <b v="0"/>
    <s v="Monday"/>
    <x v="1"/>
    <s v="Intermediate"/>
    <x v="2"/>
    <m/>
    <s v="STU-0121"/>
    <m/>
    <s v="2026-09-24T19:18:48.000Z"/>
    <n v="0.5"/>
    <d v="2026-06-02T00:00:00"/>
    <s v="Rohan Nguyen|bnguyen@icloud.com"/>
    <n v="1"/>
  </r>
  <r>
    <n v="31"/>
    <d v="1995-07-01T00:00:00"/>
    <n v="1"/>
    <s v="005ak00000icyWTAAY"/>
    <s v="2026-09-14T19:09:41.000Z"/>
    <d v="2022-03-18T00:00:00"/>
    <s v="Olivia"/>
    <s v="Olivia Baker"/>
    <m/>
    <m/>
    <m/>
    <m/>
    <s v="131ak000001XjDuAAK"/>
    <s v="Brick"/>
    <s v="a07ak00001rZMr4AAG"/>
    <b v="0"/>
    <m/>
    <s v="005ak00000icyWTAAY"/>
    <s v="2026-09-17T15:39:12.000Z"/>
    <s v="2026-09-15T17:16:27.000Z"/>
    <s v="2026-09-15T17:16:27.000Z"/>
    <d v="2026-04-21T00:00:00"/>
    <s v="Baker"/>
    <s v="Weekly"/>
    <m/>
    <n v="180"/>
    <s v="Olivia Baker"/>
    <s v="005ak00000icyWTAAY"/>
    <b v="0"/>
    <s v="Friday"/>
    <x v="9"/>
    <s v="Intermediate"/>
    <x v="1"/>
    <s v="oliviabaker39@hotmail.com"/>
    <s v="STU-0122"/>
    <s v="732-555-0100 ext 4"/>
    <s v="2026-09-24T19:18:48.000Z"/>
    <n v="1"/>
    <m/>
    <s v="Olivia Baker|"/>
    <n v="1"/>
  </r>
  <r>
    <n v="14"/>
    <d v="2012-06-18T00:00:00"/>
    <n v="0"/>
    <s v="005ak00000icyWTAAY"/>
    <s v="2026-09-14T19:09:41.000Z"/>
    <d v="2024-03-27T00:00:00"/>
    <s v="Riley"/>
    <s v="Riley Robinson"/>
    <s v="yrobinson@icloud.com"/>
    <s v="Savannah"/>
    <s v="Robinson"/>
    <s v="(732) 555-8388"/>
    <s v="131ak000001XjDtAAK"/>
    <s v="Red Bank"/>
    <s v="a07ak00001rZMr5AAG"/>
    <b v="0"/>
    <m/>
    <s v="005ak00000icyWTAAY"/>
    <s v="2026-09-24T16:51:20.000Z"/>
    <s v="2026-09-15T17:16:27.000Z"/>
    <s v="2026-09-15T17:16:27.000Z"/>
    <m/>
    <s v="Robinson"/>
    <s v="Weekly"/>
    <s v="rrobinson@gmail.com"/>
    <n v="160"/>
    <s v="Riley Robinson"/>
    <s v="005ak00000icyWTAAY"/>
    <b v="0"/>
    <s v="Monday"/>
    <x v="1"/>
    <s v="Beginner"/>
    <x v="2"/>
    <m/>
    <s v="STU-0123"/>
    <m/>
    <s v="2026-09-24T19:18:48.000Z"/>
    <n v="1"/>
    <d v="2026-03-22T00:00:00"/>
    <s v="Riley Robinson|yrobinson@icloud.com"/>
    <n v="1"/>
  </r>
  <r>
    <n v="52"/>
    <d v="1974-01-29T00:00:00"/>
    <n v="0"/>
    <s v="005ak00000icyWTAAY"/>
    <s v="2026-09-14T19:09:41.000Z"/>
    <d v="2024-09-08T00:00:00"/>
    <s v="Priya"/>
    <s v="Priya Roberts"/>
    <m/>
    <m/>
    <m/>
    <m/>
    <s v="131ak000001XjDuAAK"/>
    <s v="Brick"/>
    <s v="a07ak00001rZMr6AAG"/>
    <b v="0"/>
    <m/>
    <s v="005ak00000icyWTAAY"/>
    <s v="2026-09-17T15:39:12.000Z"/>
    <s v="2026-09-15T17:16:27.000Z"/>
    <s v="2026-09-15T17:16:27.000Z"/>
    <m/>
    <s v="Roberts"/>
    <s v="Biweekly"/>
    <m/>
    <n v="160"/>
    <s v="Priya Roberts"/>
    <s v="005ak00000icyWTAAY"/>
    <b v="0"/>
    <s v="Wednesday"/>
    <x v="3"/>
    <s v="Intermediate"/>
    <x v="1"/>
    <s v="priyaroberts49@outlook.com"/>
    <s v="STU-0124"/>
    <s v="(732) 555-2201"/>
    <s v="2026-09-24T19:18:48.000Z"/>
    <n v="0.5"/>
    <m/>
    <s v="Priya Roberts|"/>
    <n v="1"/>
  </r>
  <r>
    <n v="8"/>
    <d v="2018-07-13T00:00:00"/>
    <n v="1"/>
    <s v="005ak00000icyWTAAY"/>
    <s v="2026-09-14T19:09:41.000Z"/>
    <d v="2024-08-30T00:00:00"/>
    <s v="Lucy"/>
    <s v="Lucy Dubois"/>
    <s v="aidendubois38@hotmail.com"/>
    <s v="Lucy"/>
    <s v="Dubois"/>
    <s v="(732) 555-6769"/>
    <s v="131ak000001XjDtAAK"/>
    <s v="Red Bank"/>
    <s v="a07ak00001rZMr7AAG"/>
    <b v="0"/>
    <m/>
    <s v="005ak00000icyWTAAY"/>
    <s v="2026-09-17T15:39:12.000Z"/>
    <s v="2026-09-15T17:16:27.000Z"/>
    <s v="2026-09-15T17:16:27.000Z"/>
    <d v="2026-02-03T00:00:00"/>
    <s v="Dubois"/>
    <s v="Biweekly"/>
    <m/>
    <n v="160"/>
    <s v="Lucy Dubois"/>
    <s v="005ak00000icyWTAAY"/>
    <b v="0"/>
    <s v="Saturday"/>
    <x v="5"/>
    <s v="Beginner"/>
    <x v="1"/>
    <m/>
    <s v="STU-0125"/>
    <m/>
    <s v="2026-09-24T19:18:48.000Z"/>
    <n v="0.5"/>
    <m/>
    <s v="Lucy Dubois|aidendubois38@hotmail.com"/>
    <n v="1"/>
  </r>
  <r>
    <n v="10"/>
    <d v="2016-04-23T00:00:00"/>
    <n v="1"/>
    <s v="005ak00000icyWTAAY"/>
    <s v="2026-09-14T19:09:41.000Z"/>
    <d v="2023-08-15T00:00:00"/>
    <s v="Grace"/>
    <s v="Grace Patel"/>
    <s v="santiagopatel@icloud.com"/>
    <s v="Victoria"/>
    <s v="Patel"/>
    <s v="(732) 555-2682"/>
    <s v="131ak000001XjDuAAK"/>
    <s v="Brick"/>
    <s v="a07ak00001rZMr8AAG"/>
    <b v="0"/>
    <m/>
    <s v="005ak00000icyWTAAY"/>
    <s v="2026-09-17T15:39:12.000Z"/>
    <s v="2026-09-15T17:16:27.000Z"/>
    <s v="2026-09-15T17:16:27.000Z"/>
    <d v="2026-04-03T00:00:00"/>
    <s v="Patel"/>
    <s v="Weekly"/>
    <m/>
    <n v="220"/>
    <s v="Grace Patel"/>
    <s v="005ak00000icyWTAAY"/>
    <b v="0"/>
    <s v="Thursday"/>
    <x v="8"/>
    <s v="Beginner"/>
    <x v="1"/>
    <m/>
    <s v="STU-0126"/>
    <m/>
    <s v="2026-09-24T19:18:48.000Z"/>
    <n v="1"/>
    <m/>
    <s v="Grace Patel|santiagopatel@icloud.com"/>
    <n v="1"/>
  </r>
  <r>
    <n v="31"/>
    <d v="1995-07-12T00:00:00"/>
    <n v="1"/>
    <s v="005ak00000icyWTAAY"/>
    <s v="2026-09-14T19:09:41.000Z"/>
    <d v="2024-06-08T00:00:00"/>
    <s v="Owen"/>
    <s v="Owen Dubois"/>
    <m/>
    <m/>
    <m/>
    <m/>
    <s v="131ak000001XjDtAAK"/>
    <s v="Red Bank"/>
    <s v="a07ak00001rZMr9AAG"/>
    <b v="0"/>
    <m/>
    <s v="005ak00000icyWTAAY"/>
    <s v="2026-09-17T15:39:12.000Z"/>
    <s v="2026-09-15T17:16:27.000Z"/>
    <s v="2026-09-15T17:16:27.000Z"/>
    <d v="2026-01-15T00:00:00"/>
    <s v="Dubois"/>
    <s v="Weekly"/>
    <m/>
    <n v="240"/>
    <s v="Owen Dubois"/>
    <s v="005ak00000icyWTAAY"/>
    <b v="0"/>
    <s v="Wednesday"/>
    <x v="8"/>
    <s v="Advanced"/>
    <x v="1"/>
    <s v="odubois@yahoo.com"/>
    <s v="STU-0127"/>
    <s v="(732) 555-9003"/>
    <s v="2026-09-24T19:18:48.000Z"/>
    <n v="1"/>
    <m/>
    <s v="Owen Dubois|"/>
    <n v="1"/>
  </r>
  <r>
    <n v="7"/>
    <d v="2019-04-09T00:00:00"/>
    <n v="0"/>
    <s v="005ak00000icyWTAAY"/>
    <s v="2026-09-14T19:09:41.000Z"/>
    <d v="2023-08-12T00:00:00"/>
    <s v="Lincoln"/>
    <s v="Lincoln Garcia"/>
    <s v="cgarcia@outlook.com"/>
    <s v="Daniel"/>
    <s v="Garcia"/>
    <s v="(732) 555-4325"/>
    <s v="131ak000001XjDuAAK"/>
    <s v="Brick"/>
    <s v="a07ak00001rZMrAAAW"/>
    <b v="0"/>
    <m/>
    <s v="005ak00000icyWTAAY"/>
    <s v="2026-09-17T15:39:12.000Z"/>
    <s v="2026-09-15T17:16:27.000Z"/>
    <s v="2026-09-15T17:16:27.000Z"/>
    <m/>
    <s v="Garcia"/>
    <s v="Weekly"/>
    <m/>
    <n v="200"/>
    <s v="Lincoln Garcia"/>
    <s v="005ak00000icyWTAAY"/>
    <b v="0"/>
    <s v="Tuesday"/>
    <x v="7"/>
    <s v="Beginner"/>
    <x v="1"/>
    <m/>
    <s v="STU-0128"/>
    <m/>
    <s v="2026-09-24T19:18:48.000Z"/>
    <n v="1"/>
    <m/>
    <s v="Lincoln Garcia|cgarcia@outlook.com"/>
    <n v="1"/>
  </r>
  <r>
    <n v="11"/>
    <d v="2015-03-21T00:00:00"/>
    <n v="1"/>
    <s v="005ak00000icyWTAAY"/>
    <s v="2026-09-14T19:09:41.000Z"/>
    <d v="2022-12-07T00:00:00"/>
    <s v="Diego"/>
    <s v="Diego Moore"/>
    <s v="ariamoore@outlook.com"/>
    <s v="Josiah"/>
    <s v="Moore"/>
    <s v="(732) 555-4660"/>
    <s v="131ak000001XjDuAAK"/>
    <s v="Brick"/>
    <s v="a07ak00001rZMrBAAW"/>
    <b v="0"/>
    <m/>
    <s v="005ak00000icyWTAAY"/>
    <s v="2026-09-17T15:39:12.000Z"/>
    <s v="2026-09-17T03:05:00.000Z"/>
    <s v="2026-09-17T03:05:00.000Z"/>
    <d v="2026-05-23T00:00:00"/>
    <s v="Moore"/>
    <s v="Weekly"/>
    <m/>
    <n v="200"/>
    <s v="Diego Moore"/>
    <s v="005ak00000icyWTAAY"/>
    <b v="0"/>
    <s v="Tuesday"/>
    <x v="11"/>
    <s v="Advanced"/>
    <x v="1"/>
    <m/>
    <s v="STU-0129"/>
    <m/>
    <s v="2026-09-24T19:18:48.000Z"/>
    <n v="1"/>
    <m/>
    <s v="Diego Moore|ariamoore@outlook.com"/>
    <n v="1"/>
  </r>
  <r>
    <n v="9"/>
    <d v="2017-01-07T00:00:00"/>
    <n v="1"/>
    <s v="005ak00000icyWTAAY"/>
    <s v="2026-09-14T19:09:41.000Z"/>
    <d v="2023-10-28T00:00:00"/>
    <s v="Levi"/>
    <s v="Levi Gonzalez"/>
    <s v="jacksongonzalez@gmail.com"/>
    <s v="Ava"/>
    <s v="Gonzalez"/>
    <s v="(732) 555-4798"/>
    <s v="131ak000001XjDtAAK"/>
    <s v="Red Bank"/>
    <s v="a07ak00001rZMrCAAW"/>
    <b v="0"/>
    <m/>
    <s v="005ak00000icyWTAAY"/>
    <s v="2026-09-17T15:39:12.000Z"/>
    <s v="2026-09-15T17:16:27.000Z"/>
    <s v="2026-09-15T17:16:27.000Z"/>
    <d v="2026-06-23T00:00:00"/>
    <s v="Gonzalez"/>
    <s v="Weekly"/>
    <m/>
    <n v="160"/>
    <s v="Levi Gonzalez"/>
    <s v="005ak00000icyWTAAY"/>
    <b v="0"/>
    <s v="Friday"/>
    <x v="8"/>
    <s v="Beginner"/>
    <x v="0"/>
    <m/>
    <s v="STU-0130"/>
    <m/>
    <s v="2026-09-24T19:18:48.000Z"/>
    <n v="1"/>
    <m/>
    <s v="Levi Gonzalez|jacksongonzalez@gmail.com"/>
    <n v="1"/>
  </r>
  <r>
    <n v="7"/>
    <d v="2018-11-26T00:00:00"/>
    <n v="1"/>
    <s v="005ak00000icyWTAAY"/>
    <s v="2026-09-14T19:09:41.000Z"/>
    <d v="2025-07-26T00:00:00"/>
    <s v="Jackson"/>
    <s v="Jackson Lopez"/>
    <s v="rileylopez@hotmail.com"/>
    <s v="Paisley"/>
    <s v="Lopez"/>
    <s v="(732) 555-5378"/>
    <s v="131ak000001XjDtAAK"/>
    <s v="Red Bank"/>
    <s v="a07ak00001rZMrDAAW"/>
    <b v="0"/>
    <m/>
    <s v="005ak00000icyWTAAY"/>
    <s v="2026-09-17T15:39:12.000Z"/>
    <s v="2026-09-15T17:16:27.000Z"/>
    <s v="2026-09-15T17:16:27.000Z"/>
    <d v="2026-05-08T00:00:00"/>
    <s v="Lopez"/>
    <s v="Weekly"/>
    <m/>
    <n v="200"/>
    <s v="Jackson Lopez"/>
    <s v="005ak00000icyWTAAY"/>
    <b v="0"/>
    <s v="Thursday"/>
    <x v="4"/>
    <s v="Beginner"/>
    <x v="1"/>
    <m/>
    <s v="STU-0131"/>
    <m/>
    <s v="2026-09-24T19:18:48.000Z"/>
    <n v="1"/>
    <m/>
    <s v="Jackson Lopez|rileylopez@hotmail.com"/>
    <n v="1"/>
  </r>
  <r>
    <n v="38"/>
    <d v="1988-06-03T00:00:00"/>
    <n v="2"/>
    <s v="005ak00000icyWTAAY"/>
    <s v="2026-09-14T19:09:41.000Z"/>
    <d v="2022-08-10T00:00:00"/>
    <s v="Mei"/>
    <s v="Mei Thomas"/>
    <m/>
    <m/>
    <m/>
    <m/>
    <s v="131ak000001XjDuAAK"/>
    <s v="Brick"/>
    <s v="a07ak00001rZMrEAAW"/>
    <b v="0"/>
    <m/>
    <s v="005ak00000iupxlAAA"/>
    <s v="2026-10-01T20:38:28.000Z"/>
    <s v="2026-09-15T17:16:27.000Z"/>
    <s v="2026-09-15T17:16:27.000Z"/>
    <d v="2026-06-08T00:00:00"/>
    <s v="Thomas"/>
    <s v="Weekly"/>
    <m/>
    <n v="220"/>
    <s v="Mei Thomas"/>
    <s v="005ak00000icyWTAAY"/>
    <b v="0"/>
    <s v="Tuesday"/>
    <x v="11"/>
    <s v="Intermediate"/>
    <x v="0"/>
    <s v="meithomas@outlook.com"/>
    <s v="STU-0132"/>
    <s v="(732) 555-4061"/>
    <s v="2026-10-01T20:38:28.000Z"/>
    <n v="1"/>
    <m/>
    <s v="Mei Thomas|"/>
    <n v="1"/>
  </r>
  <r>
    <n v="12"/>
    <d v="2014-05-27T00:00:00"/>
    <n v="0"/>
    <s v="005ak00000icyWTAAY"/>
    <s v="2026-09-14T19:09:41.000Z"/>
    <d v="2026-04-02T00:00:00"/>
    <s v="Miles"/>
    <s v="Miles Young"/>
    <s v="emmayoung4@outlook.com"/>
    <s v="Lily"/>
    <s v="Young"/>
    <s v="(732) 555-6026"/>
    <s v="131ak000001XjDuAAK"/>
    <s v="Brick"/>
    <s v="a07ak00001rZMrFAAW"/>
    <b v="0"/>
    <m/>
    <s v="005ak00000icyWTAAY"/>
    <s v="2026-09-24T16:51:20.000Z"/>
    <s v="2026-09-15T17:16:27.000Z"/>
    <s v="2026-09-15T17:16:27.000Z"/>
    <m/>
    <s v="Young"/>
    <s v="Weekly"/>
    <m/>
    <n v="160"/>
    <s v="Miles Young"/>
    <s v="005ak00000icyWTAAY"/>
    <b v="0"/>
    <s v="Friday"/>
    <x v="4"/>
    <s v="Beginner"/>
    <x v="2"/>
    <m/>
    <s v="STU-0133"/>
    <m/>
    <s v="2026-09-24T19:18:48.000Z"/>
    <n v="1"/>
    <d v="2026-06-10T00:00:00"/>
    <s v="Miles Young|emmayoung4@outlook.com"/>
    <n v="1"/>
  </r>
  <r>
    <n v="7"/>
    <d v="2018-11-02T00:00:00"/>
    <n v="0"/>
    <s v="005ak00000icyWTAAY"/>
    <s v="2026-09-14T19:09:41.000Z"/>
    <d v="2022-07-30T00:00:00"/>
    <s v="Ryan"/>
    <s v="Ryan Kelly"/>
    <s v="lkelly@icloud.com"/>
    <s v="Malachi"/>
    <s v="Kelly"/>
    <s v="(732) 555-8204"/>
    <s v="131ak000001XjDvAAK"/>
    <s v="Toms River"/>
    <s v="a07ak00001rZMrGAAW"/>
    <b v="0"/>
    <m/>
    <s v="005ak00000icyWTAAY"/>
    <s v="2026-09-17T15:39:12.000Z"/>
    <s v="2026-09-15T17:16:27.000Z"/>
    <s v="2026-09-15T17:16:27.000Z"/>
    <m/>
    <s v="Kelly"/>
    <s v="Biweekly"/>
    <m/>
    <n v="220"/>
    <s v="Ryan Kelly"/>
    <s v="005ak00000icyWTAAY"/>
    <b v="0"/>
    <s v="Monday"/>
    <x v="8"/>
    <s v="Beginner"/>
    <x v="1"/>
    <m/>
    <s v="STU-0134"/>
    <m/>
    <s v="2026-09-24T19:18:48.000Z"/>
    <n v="0.5"/>
    <m/>
    <s v="Ryan Kelly|lkelly@icloud.com"/>
    <n v="1"/>
  </r>
  <r>
    <n v="11"/>
    <d v="2015-10-11T00:00:00"/>
    <n v="0"/>
    <s v="005ak00000icyWTAAY"/>
    <s v="2026-09-14T19:09:41.000Z"/>
    <d v="2024-01-28T00:00:00"/>
    <s v="Lucas"/>
    <s v="Lucas Young"/>
    <s v="claireyoung14@yahoo.com"/>
    <s v="Santiago"/>
    <s v="Young"/>
    <s v="(732) 555-8614"/>
    <s v="131ak000001XjDtAAK"/>
    <s v="Red Bank"/>
    <s v="a07ak00001rZMrHAAW"/>
    <b v="0"/>
    <m/>
    <s v="005ak00000icyWTAAY"/>
    <s v="2026-09-17T15:39:12.000Z"/>
    <s v="2026-09-15T17:16:27.000Z"/>
    <s v="2026-09-15T17:16:27.000Z"/>
    <m/>
    <s v="Young"/>
    <s v="Biweekly"/>
    <m/>
    <n v="160"/>
    <s v="Lucas Young"/>
    <s v="005ak00000icyWTAAY"/>
    <b v="0"/>
    <s v="Thursday"/>
    <x v="10"/>
    <s v="Beginner"/>
    <x v="1"/>
    <m/>
    <s v="STU-0135"/>
    <m/>
    <s v="2026-09-24T19:18:48.000Z"/>
    <n v="0.5"/>
    <m/>
    <s v="Lucas Young|claireyoung14@yahoo.com"/>
    <n v="1"/>
  </r>
  <r>
    <n v="13"/>
    <d v="2012-11-12T00:00:00"/>
    <n v="0"/>
    <s v="005ak00000icyWTAAY"/>
    <s v="2026-09-14T19:09:41.000Z"/>
    <d v="2026-01-11T00:00:00"/>
    <s v="Sofia"/>
    <s v="Sofia Perez"/>
    <s v="lperez@gmail.com"/>
    <s v="Olivia"/>
    <s v="Perez"/>
    <s v="(732) 555-5583"/>
    <s v="131ak000001XjDtAAK"/>
    <s v="Red Bank"/>
    <s v="a07ak00001rZMrIAAW"/>
    <b v="0"/>
    <m/>
    <s v="005ak00000icyWTAAY"/>
    <s v="2026-09-17T15:39:12.000Z"/>
    <s v="2026-09-15T17:16:27.000Z"/>
    <s v="2026-09-15T17:16:27.000Z"/>
    <m/>
    <s v="Perez"/>
    <s v="Weekly"/>
    <s v="sperez@hotmail.com"/>
    <n v="160"/>
    <s v="Sofia Perez"/>
    <s v="005ak00000icyWTAAY"/>
    <b v="0"/>
    <s v="Thursday"/>
    <x v="5"/>
    <s v="Beginner"/>
    <x v="1"/>
    <m/>
    <s v="STU-0136"/>
    <m/>
    <s v="2026-09-24T19:18:48.000Z"/>
    <n v="1"/>
    <m/>
    <s v="Sofia Perez|lperez@gmail.com"/>
    <n v="1"/>
  </r>
  <r>
    <n v="45"/>
    <d v="1980-12-04T00:00:00"/>
    <n v="0"/>
    <s v="005ak00000icyWTAAY"/>
    <s v="2026-09-14T19:09:41.000Z"/>
    <d v="2024-01-11T00:00:00"/>
    <s v="Chen"/>
    <s v="Chen Sullivan"/>
    <m/>
    <m/>
    <m/>
    <m/>
    <s v="131ak000001XjDtAAK"/>
    <s v="Red Bank"/>
    <s v="a07ak00001rZMrJAAW"/>
    <b v="0"/>
    <m/>
    <s v="005ak00000icyWTAAY"/>
    <s v="2026-09-17T15:39:12.000Z"/>
    <s v="2026-09-17T03:05:00.000Z"/>
    <s v="2026-09-17T03:05:00.000Z"/>
    <m/>
    <s v="Sullivan"/>
    <s v="Weekly"/>
    <m/>
    <n v="160"/>
    <s v="Chen Sullivan"/>
    <s v="005ak00000icyWTAAY"/>
    <b v="0"/>
    <s v="Saturday"/>
    <x v="7"/>
    <s v="Advanced"/>
    <x v="1"/>
    <s v="chen.sullivan@icloud.com"/>
    <s v="STU-0137"/>
    <s v="(732) 555-7144"/>
    <s v="2026-09-24T19:18:48.000Z"/>
    <n v="1"/>
    <m/>
    <s v="Chen Sullivan|"/>
    <n v="1"/>
  </r>
  <r>
    <n v="31"/>
    <d v="1995-08-04T00:00:00"/>
    <n v="2"/>
    <s v="005ak00000icyWTAAY"/>
    <s v="2026-09-14T19:09:41.000Z"/>
    <d v="2022-07-12T00:00:00"/>
    <s v="Levi"/>
    <s v="Levi Campbell"/>
    <m/>
    <m/>
    <m/>
    <m/>
    <s v="131ak000001XjDtAAK"/>
    <s v="Red Bank"/>
    <s v="a07ak00001rZMrKAAW"/>
    <b v="0"/>
    <m/>
    <s v="005ak00000icyWTAAY"/>
    <s v="2026-09-17T15:39:12.000Z"/>
    <s v="2026-09-15T17:16:27.000Z"/>
    <s v="2026-09-15T17:16:27.000Z"/>
    <d v="2026-09-02T00:00:00"/>
    <s v="Campbell"/>
    <s v="Biweekly"/>
    <m/>
    <n v="240"/>
    <s v="Levi Campbell"/>
    <s v="005ak00000icyWTAAY"/>
    <b v="0"/>
    <s v="Thursday"/>
    <x v="3"/>
    <s v="Advanced"/>
    <x v="1"/>
    <s v="levicampbell75@gmail.com"/>
    <s v="STU-0138"/>
    <s v="(732) 555-7686"/>
    <s v="2026-09-24T19:18:48.000Z"/>
    <n v="0.5"/>
    <m/>
    <s v="Levi Campbell|"/>
    <n v="1"/>
  </r>
  <r>
    <n v="11"/>
    <d v="2014-12-07T00:00:00"/>
    <n v="0"/>
    <s v="005ak00000icyWTAAY"/>
    <s v="2026-09-14T19:09:41.000Z"/>
    <d v="2024-11-17T00:00:00"/>
    <s v="Ryan"/>
    <s v="Ryan Ryan"/>
    <s v="nova.ryan@hotmail.com"/>
    <s v="Nova"/>
    <s v="Ryan"/>
    <s v="(732) 555-7958"/>
    <s v="131ak000001XjDtAAK"/>
    <s v="Red Bank"/>
    <s v="a07ak00001rZMrLAAW"/>
    <b v="0"/>
    <m/>
    <s v="005ak00000icyWTAAY"/>
    <s v="2026-09-17T15:39:12.000Z"/>
    <s v="2026-09-15T17:16:27.000Z"/>
    <s v="2026-09-15T17:16:27.000Z"/>
    <m/>
    <s v="Ryan"/>
    <s v="Weekly"/>
    <m/>
    <n v="180"/>
    <s v="Ryan Ryan"/>
    <s v="005ak00000icyWTAAY"/>
    <b v="0"/>
    <s v="Wednesday"/>
    <x v="2"/>
    <s v="Intermediate"/>
    <x v="0"/>
    <m/>
    <s v="STU-0139"/>
    <m/>
    <s v="2026-09-24T19:18:48.000Z"/>
    <n v="1"/>
    <m/>
    <s v="Ryan Ryan|nova.ryan@hotmail.com"/>
    <n v="1"/>
  </r>
  <r>
    <n v="10"/>
    <d v="2016-08-30T00:00:00"/>
    <n v="3"/>
    <s v="005ak00000icyWTAAY"/>
    <s v="2026-09-14T19:09:41.000Z"/>
    <d v="2026-08-17T00:00:00"/>
    <s v="Declan"/>
    <s v="Declan Martinez"/>
    <s v="josiahmartinez16@gmail.com"/>
    <s v="Genesis"/>
    <s v="Martinez"/>
    <s v="(732) 555-1993"/>
    <s v="131ak000001XjDtAAK"/>
    <s v="Red Bank"/>
    <s v="a07ak00001rZMrMAAW"/>
    <b v="0"/>
    <m/>
    <s v="005ak00000icyWTAAY"/>
    <s v="2026-09-17T15:39:12.000Z"/>
    <s v="2026-09-17T03:05:00.000Z"/>
    <s v="2026-09-17T03:05:00.000Z"/>
    <d v="2026-07-13T00:00:00"/>
    <s v="Martinez"/>
    <s v="Weekly"/>
    <m/>
    <n v="180"/>
    <s v="Declan Martinez"/>
    <s v="005ak00000icyWTAAY"/>
    <b v="0"/>
    <s v="Monday"/>
    <x v="10"/>
    <s v="Beginner"/>
    <x v="1"/>
    <m/>
    <s v="STU-0140"/>
    <m/>
    <s v="2026-09-24T19:18:48.000Z"/>
    <n v="1"/>
    <m/>
    <s v="Declan Martinez|josiahmartinez16@gmail.com"/>
    <n v="1"/>
  </r>
  <r>
    <n v="6"/>
    <d v="2020-04-20T00:00:00"/>
    <n v="1"/>
    <s v="005ak00000icyWTAAY"/>
    <s v="2026-09-14T19:09:41.000Z"/>
    <d v="2023-12-05T00:00:00"/>
    <s v="Skylar"/>
    <s v="Skylar Kim"/>
    <s v="danielkim@outlook.com"/>
    <s v="Kennedy"/>
    <s v="Kim"/>
    <s v="(732) 555-8690"/>
    <s v="131ak000001XjDtAAK"/>
    <s v="Red Bank"/>
    <s v="a07ak00001rZMrNAAW"/>
    <b v="0"/>
    <m/>
    <s v="005ak00000icyWTAAY"/>
    <s v="2026-09-17T15:39:12.000Z"/>
    <s v="2026-09-15T17:16:27.000Z"/>
    <s v="2026-09-15T17:16:27.000Z"/>
    <d v="2026-06-15T00:00:00"/>
    <s v="Kim"/>
    <s v="Weekly"/>
    <m/>
    <n v="240"/>
    <s v="Skylar Kim"/>
    <s v="005ak00000icyWTAAY"/>
    <b v="0"/>
    <s v="Saturday"/>
    <x v="10"/>
    <s v="Beginner"/>
    <x v="1"/>
    <m/>
    <s v="STU-0141"/>
    <m/>
    <s v="2026-09-24T19:18:48.000Z"/>
    <n v="1"/>
    <m/>
    <s v="Skylar Kim|danielkim@outlook.com"/>
    <n v="1"/>
  </r>
  <r>
    <n v="12"/>
    <d v="2014-07-19T00:00:00"/>
    <n v="0"/>
    <s v="005ak00000icyWTAAY"/>
    <s v="2026-09-14T19:09:41.000Z"/>
    <d v="2022-12-15T00:00:00"/>
    <s v="Evelyn"/>
    <s v="Evelyn Lee"/>
    <s v="emilylee@icloud.com"/>
    <s v="Ivy"/>
    <s v="Lee"/>
    <s v="(732) 555-7792"/>
    <s v="131ak000001XjDuAAK"/>
    <s v="Brick"/>
    <s v="a07ak00001rZMrOAAW"/>
    <b v="0"/>
    <m/>
    <s v="005ak00000icyWTAAY"/>
    <s v="2026-09-17T15:39:12.000Z"/>
    <s v="2026-09-17T03:05:00.000Z"/>
    <s v="2026-09-17T03:05:00.000Z"/>
    <m/>
    <s v="Lee"/>
    <s v="Weekly"/>
    <m/>
    <n v="180"/>
    <s v="Evelyn Lee"/>
    <s v="005ak00000icyWTAAY"/>
    <b v="0"/>
    <s v="Tuesday"/>
    <x v="5"/>
    <s v="Beginner"/>
    <x v="1"/>
    <m/>
    <s v="STU-0142"/>
    <m/>
    <s v="2026-09-24T19:18:48.000Z"/>
    <n v="1"/>
    <m/>
    <s v="Evelyn Lee|emilylee@icloud.com"/>
    <n v="1"/>
  </r>
  <r>
    <n v="7"/>
    <d v="2018-10-19T00:00:00"/>
    <n v="0"/>
    <s v="005ak00000icyWTAAY"/>
    <s v="2026-09-14T19:09:41.000Z"/>
    <d v="2025-12-17T00:00:00"/>
    <s v="Emily"/>
    <s v="Emily Campbell"/>
    <s v="elijahcampbell@hotmail.com"/>
    <s v="Aiden"/>
    <s v="Campbell"/>
    <s v="(732) 555-2127"/>
    <s v="131ak000001XjDtAAK"/>
    <s v="Red Bank"/>
    <s v="a07ak00001rZMrPAAW"/>
    <b v="0"/>
    <m/>
    <s v="005ak00000icyWTAAY"/>
    <s v="2026-09-17T15:39:12.000Z"/>
    <s v="2026-09-17T03:05:00.000Z"/>
    <s v="2026-09-17T03:05:00.000Z"/>
    <m/>
    <s v="Campbell"/>
    <s v="Weekly"/>
    <m/>
    <n v="240"/>
    <s v="Emily Campbell"/>
    <s v="005ak00000icyWTAAY"/>
    <b v="0"/>
    <s v="Saturday"/>
    <x v="8"/>
    <s v="Beginner"/>
    <x v="1"/>
    <m/>
    <s v="STU-0143"/>
    <m/>
    <s v="2026-09-24T19:18:48.000Z"/>
    <n v="1"/>
    <m/>
    <s v="Emily Campbell|elijahcampbell@hotmail.com"/>
    <n v="1"/>
  </r>
  <r>
    <n v="12"/>
    <d v="2014-04-02T00:00:00"/>
    <n v="1"/>
    <s v="005ak00000icyWTAAY"/>
    <s v="2026-09-14T19:09:41.000Z"/>
    <d v="2023-06-23T00:00:00"/>
    <s v="Caroline"/>
    <s v="Caroline Byrne"/>
    <s v="ebyrne@icloud.com"/>
    <s v="Rowan"/>
    <s v="Byrne"/>
    <s v="(732) 555-6386"/>
    <s v="131ak000001XjDtAAK"/>
    <s v="Red Bank"/>
    <s v="a07ak00001rZMrQAAW"/>
    <b v="0"/>
    <m/>
    <s v="005ak00000icyWTAAY"/>
    <s v="2026-09-17T15:39:12.000Z"/>
    <s v="2026-09-17T03:05:00.000Z"/>
    <s v="2026-09-17T03:05:00.000Z"/>
    <d v="2026-08-17T00:00:00"/>
    <s v="Byrne"/>
    <s v="Weekly"/>
    <m/>
    <n v="160"/>
    <s v="Caroline Byrne"/>
    <s v="005ak00000icyWTAAY"/>
    <b v="0"/>
    <s v="Thursday"/>
    <x v="11"/>
    <s v="Beginner"/>
    <x v="1"/>
    <m/>
    <s v="STU-0144"/>
    <m/>
    <s v="2026-09-24T19:18:48.000Z"/>
    <n v="1"/>
    <m/>
    <s v="Caroline Byrne|ebyrne@icloud.com"/>
    <n v="1"/>
  </r>
  <r>
    <n v="7"/>
    <d v="2019-03-31T00:00:00"/>
    <n v="0"/>
    <s v="005ak00000icyWTAAY"/>
    <s v="2026-09-14T19:09:41.000Z"/>
    <d v="2023-01-07T00:00:00"/>
    <s v="Amelia"/>
    <s v="Amelia Okafor"/>
    <s v="aokafor@yahoo.com"/>
    <s v="Andre"/>
    <s v="Okafor"/>
    <s v="(732) 555-9348"/>
    <s v="131ak000001XjDvAAK"/>
    <s v="Toms River"/>
    <s v="a07ak00001rZMrRAAW"/>
    <b v="0"/>
    <m/>
    <s v="005ak00000icyWTAAY"/>
    <s v="2026-09-17T15:39:12.000Z"/>
    <s v="2026-09-17T03:05:00.000Z"/>
    <s v="2026-09-17T03:05:00.000Z"/>
    <m/>
    <s v="Okafor"/>
    <s v="Weekly"/>
    <m/>
    <n v="180"/>
    <s v="Amelia Okafor"/>
    <s v="005ak00000icyWTAAY"/>
    <b v="0"/>
    <s v="Friday"/>
    <x v="6"/>
    <s v="Intermediate"/>
    <x v="1"/>
    <m/>
    <s v="STU-0145"/>
    <m/>
    <s v="2026-09-24T19:18:48.000Z"/>
    <n v="1"/>
    <m/>
    <s v="Amelia Okafor|aokafor@yahoo.com"/>
    <n v="1"/>
  </r>
  <r>
    <n v="6"/>
    <d v="2020-07-18T00:00:00"/>
    <n v="0"/>
    <s v="005ak00000icyWTAAY"/>
    <s v="2026-09-14T19:09:41.000Z"/>
    <d v="2022-12-12T00:00:00"/>
    <s v="Leo"/>
    <s v="Leo Okafor"/>
    <s v="nova.okafor@icloud.com"/>
    <s v="Amelia"/>
    <s v="Okafor"/>
    <s v="(732) 555-8698"/>
    <s v="131ak000001XjDvAAK"/>
    <s v="Toms River"/>
    <s v="a07ak00001rZMrSAAW"/>
    <b v="0"/>
    <m/>
    <s v="005ak00000icyWTAAY"/>
    <s v="2026-09-17T15:39:12.000Z"/>
    <s v="2026-09-15T17:16:27.000Z"/>
    <s v="2026-09-15T17:16:27.000Z"/>
    <m/>
    <s v="Okafor"/>
    <s v="Weekly"/>
    <m/>
    <n v="200"/>
    <s v="Leo Okafor"/>
    <s v="005ak00000icyWTAAY"/>
    <b v="0"/>
    <s v="Thursday"/>
    <x v="10"/>
    <s v="Beginner"/>
    <x v="1"/>
    <m/>
    <s v="STU-0146"/>
    <m/>
    <s v="2026-09-24T19:18:48.000Z"/>
    <n v="1"/>
    <m/>
    <s v="Leo Okafor|nova.okafor@icloud.com"/>
    <n v="1"/>
  </r>
  <r>
    <n v="16"/>
    <d v="2010-05-14T00:00:00"/>
    <n v="0"/>
    <s v="005ak00000icyWTAAY"/>
    <s v="2026-09-14T19:09:41.000Z"/>
    <d v="2023-04-27T00:00:00"/>
    <s v="Charlotte"/>
    <s v="Charlotte Chen"/>
    <s v="ruby.chen@hotmail.com"/>
    <s v="Omar"/>
    <s v="Chen"/>
    <s v="(732) 555-1632"/>
    <s v="131ak000001XjDuAAK"/>
    <s v="Brick"/>
    <s v="a07ak00001rZMrTAAW"/>
    <b v="0"/>
    <m/>
    <s v="005ak00000icyWTAAY"/>
    <s v="2026-09-24T16:51:20.000Z"/>
    <s v="2026-09-17T03:05:00.000Z"/>
    <s v="2026-09-17T03:05:00.000Z"/>
    <m/>
    <s v="Chen"/>
    <s v="Biweekly"/>
    <s v="cchen@hotmail.com"/>
    <n v="180"/>
    <s v="Charlotte Chen"/>
    <s v="005ak00000icyWTAAY"/>
    <b v="0"/>
    <s v="Friday"/>
    <x v="5"/>
    <s v="Advanced"/>
    <x v="2"/>
    <m/>
    <s v="STU-0147"/>
    <m/>
    <s v="2026-09-24T19:18:48.000Z"/>
    <n v="0.5"/>
    <d v="2026-09-13T00:00:00"/>
    <s v="Charlotte Chen|ruby.chen@hotmail.com"/>
    <n v="1"/>
  </r>
  <r>
    <n v="11"/>
    <d v="2015-06-14T00:00:00"/>
    <n v="0"/>
    <s v="005ak00000icyWTAAY"/>
    <s v="2026-09-14T19:09:41.000Z"/>
    <d v="2023-03-22T00:00:00"/>
    <s v="Daniel"/>
    <s v="Daniel Kim"/>
    <s v="kaikim@gmail.com"/>
    <s v="Wyatt"/>
    <s v="Kim"/>
    <s v="(732) 555-7249"/>
    <s v="131ak000001XjDuAAK"/>
    <s v="Brick"/>
    <s v="a07ak00001rZMrUAAW"/>
    <b v="0"/>
    <m/>
    <s v="005ak00000icyWTAAY"/>
    <s v="2026-09-17T15:39:12.000Z"/>
    <s v="2026-09-17T03:05:00.000Z"/>
    <s v="2026-09-17T03:05:00.000Z"/>
    <m/>
    <s v="Kim"/>
    <s v="Weekly"/>
    <m/>
    <n v="240"/>
    <s v="Daniel Kim"/>
    <s v="005ak00000icyWTAAY"/>
    <b v="0"/>
    <s v="Saturday"/>
    <x v="2"/>
    <s v="Beginner"/>
    <x v="1"/>
    <m/>
    <s v="STU-0148"/>
    <m/>
    <s v="2026-09-24T19:18:48.000Z"/>
    <n v="1"/>
    <m/>
    <s v="Daniel Kim|kaikim@gmail.com"/>
    <n v="1"/>
  </r>
  <r>
    <n v="52"/>
    <d v="1974-01-23T00:00:00"/>
    <n v="1"/>
    <s v="005ak00000icyWTAAY"/>
    <s v="2026-09-14T19:09:41.000Z"/>
    <d v="2023-07-13T00:00:00"/>
    <s v="Isaac"/>
    <s v="Isaac Taylor"/>
    <m/>
    <m/>
    <m/>
    <m/>
    <s v="131ak000001XjDtAAK"/>
    <s v="Red Bank"/>
    <s v="a07ak00001rZMrVAAW"/>
    <b v="0"/>
    <m/>
    <s v="005ak00000icyWTAAY"/>
    <s v="2026-09-17T15:39:12.000Z"/>
    <s v="2026-09-15T17:16:27.000Z"/>
    <s v="2026-09-15T17:16:27.000Z"/>
    <d v="2026-08-22T00:00:00"/>
    <s v="Taylor"/>
    <s v="Weekly"/>
    <m/>
    <n v="160"/>
    <s v="Isaac Taylor"/>
    <s v="005ak00000icyWTAAY"/>
    <b v="0"/>
    <s v="Tuesday"/>
    <x v="4"/>
    <s v="Intermediate"/>
    <x v="1"/>
    <s v="itaylor@icloud.com"/>
    <s v="STU-0149"/>
    <s v="(732) 555-7070"/>
    <s v="2026-09-24T19:18:48.000Z"/>
    <n v="1"/>
    <m/>
    <s v="Isaac Taylor|"/>
    <n v="1"/>
  </r>
  <r>
    <n v="13"/>
    <d v="2013-06-27T00:00:00"/>
    <n v="1"/>
    <s v="005ak00000icyWTAAY"/>
    <s v="2026-09-14T19:09:41.000Z"/>
    <d v="2023-03-22T00:00:00"/>
    <s v="Mei"/>
    <s v="Mei Sullivan"/>
    <s v="malachisullivan43@outlook.com"/>
    <s v="Wyatt"/>
    <s v="Sullivan"/>
    <s v="(732) 555-1442"/>
    <s v="131ak000001XjDvAAK"/>
    <s v="Toms River"/>
    <s v="a07ak00001rZMrWAAW"/>
    <b v="0"/>
    <m/>
    <s v="005ak00000icyWTAAY"/>
    <s v="2026-09-17T15:39:12.000Z"/>
    <s v="2026-10-01T15:55:59.000Z"/>
    <s v="2026-10-01T15:55:59.000Z"/>
    <d v="2026-05-22T00:00:00"/>
    <s v="Sullivan"/>
    <s v="Weekly"/>
    <s v="msullivan@hotmail.com"/>
    <n v="240"/>
    <s v="Mei Sullivan"/>
    <s v="005ak00000icyWTAAY"/>
    <b v="0"/>
    <s v="Monday"/>
    <x v="8"/>
    <s v="Beginner"/>
    <x v="1"/>
    <m/>
    <s v="STU-0150"/>
    <m/>
    <s v="2026-09-24T19:18:48.000Z"/>
    <n v="1"/>
    <m/>
    <s v="Mei Sullivan|malachisullivan43@outlook.com"/>
    <n v="1"/>
  </r>
  <r>
    <n v="9"/>
    <d v="2017-09-22T00:00:00"/>
    <n v="0"/>
    <s v="005ak00000icyWTAAY"/>
    <s v="2026-09-14T19:09:41.000Z"/>
    <d v="2022-12-24T00:00:00"/>
    <s v="Audrey"/>
    <s v="Audrey Byrne"/>
    <s v="leo.byrne@outlook.com"/>
    <s v="Ella"/>
    <s v="Byrne"/>
    <s v="(732) 555-9532"/>
    <s v="131ak000001XjDuAAK"/>
    <s v="Brick"/>
    <s v="a07ak00001rZMrXAAW"/>
    <b v="0"/>
    <m/>
    <s v="005ak00000icyWTAAY"/>
    <s v="2026-09-24T16:51:20.000Z"/>
    <s v="2026-09-17T03:05:00.000Z"/>
    <s v="2026-09-17T03:05:00.000Z"/>
    <m/>
    <s v="Byrne"/>
    <s v="Biweekly"/>
    <m/>
    <n v="220"/>
    <s v="Audrey Byrne"/>
    <s v="005ak00000icyWTAAY"/>
    <b v="0"/>
    <s v="Monday"/>
    <x v="3"/>
    <s v="Advanced"/>
    <x v="2"/>
    <m/>
    <s v="STU-0151"/>
    <m/>
    <s v="2026-09-24T19:18:48.000Z"/>
    <n v="0.5"/>
    <d v="2026-09-03T00:00:00"/>
    <s v="Audrey Byrne|leo.byrne@outlook.com"/>
    <n v="1"/>
  </r>
  <r>
    <n v="11"/>
    <d v="2015-08-31T00:00:00"/>
    <n v="0"/>
    <s v="005ak00000icyWTAAY"/>
    <s v="2026-09-14T19:09:41.000Z"/>
    <d v="2025-08-11T00:00:00"/>
    <s v="Victoria"/>
    <s v="Victoria Martinez"/>
    <s v="milesmartinez@hotmail.com"/>
    <s v="Genesis"/>
    <s v="Martinez"/>
    <s v="(732) 555-2282"/>
    <s v="131ak000001XjDtAAK"/>
    <s v="Red Bank"/>
    <s v="a07ak00001rZMrYAAW"/>
    <b v="0"/>
    <m/>
    <s v="005ak00000icyWTAAY"/>
    <s v="2026-09-17T15:39:12.000Z"/>
    <s v="2026-09-15T17:16:27.000Z"/>
    <s v="2026-09-15T17:16:27.000Z"/>
    <m/>
    <s v="Martinez"/>
    <s v="Biweekly"/>
    <m/>
    <n v="220"/>
    <s v="Victoria Martinez"/>
    <s v="005ak00000icyWTAAY"/>
    <b v="0"/>
    <s v="Monday"/>
    <x v="3"/>
    <s v="Intermediate"/>
    <x v="1"/>
    <m/>
    <s v="STU-0152"/>
    <m/>
    <s v="2026-09-24T19:18:48.000Z"/>
    <n v="0.5"/>
    <m/>
    <s v="Victoria Martinez|milesmartinez@hotmail.com"/>
    <n v="1"/>
  </r>
  <r>
    <n v="9"/>
    <d v="2016-11-14T00:00:00"/>
    <n v="0"/>
    <s v="005ak00000icyWTAAY"/>
    <s v="2026-09-14T19:09:41.000Z"/>
    <d v="2024-01-24T00:00:00"/>
    <s v="Adrian"/>
    <s v="Adrian White"/>
    <s v="ryanwhite@outlook.com"/>
    <s v="Emma"/>
    <s v="White"/>
    <s v="(732) 555-2048"/>
    <s v="131ak000001XjDtAAK"/>
    <s v="Red Bank"/>
    <s v="a07ak00001rZMrZAAW"/>
    <b v="0"/>
    <m/>
    <s v="005ak00000icyWTAAY"/>
    <s v="2026-09-24T16:51:20.000Z"/>
    <s v="2026-09-17T03:05:00.000Z"/>
    <s v="2026-09-17T03:05:00.000Z"/>
    <m/>
    <s v="White"/>
    <s v="Weekly"/>
    <m/>
    <n v="200"/>
    <s v="Adrian White"/>
    <s v="005ak00000icyWTAAY"/>
    <b v="0"/>
    <s v="Wednesday"/>
    <x v="9"/>
    <s v="Intermediate"/>
    <x v="2"/>
    <m/>
    <s v="STU-0153"/>
    <m/>
    <s v="2026-09-24T19:18:48.000Z"/>
    <n v="1"/>
    <d v="2026-02-25T00:00:00"/>
    <s v="Adrian White|ryanwhite@outlook.com"/>
    <n v="1"/>
  </r>
  <r>
    <n v="12"/>
    <d v="2014-09-01T00:00:00"/>
    <n v="0"/>
    <s v="005ak00000icyWTAAY"/>
    <s v="2026-09-14T19:09:41.000Z"/>
    <d v="2022-08-02T00:00:00"/>
    <s v="Yusuf"/>
    <s v="Yusuf King"/>
    <s v="jking@hotmail.com"/>
    <s v="Savannah"/>
    <s v="King"/>
    <s v="(732) 555-5186"/>
    <s v="131ak000001XjDuAAK"/>
    <s v="Brick"/>
    <s v="a07ak00001rZMraAAG"/>
    <b v="0"/>
    <m/>
    <s v="005ak00000icyWTAAY"/>
    <s v="2026-09-17T15:39:12.000Z"/>
    <s v="2026-09-15T17:16:27.000Z"/>
    <s v="2026-09-15T17:16:27.000Z"/>
    <m/>
    <s v="King"/>
    <s v="Biweekly"/>
    <m/>
    <n v="220"/>
    <s v="Yusuf King"/>
    <s v="005ak00000icyWTAAY"/>
    <b v="0"/>
    <s v="Monday"/>
    <x v="4"/>
    <s v="Beginner"/>
    <x v="1"/>
    <m/>
    <s v="STU-0154"/>
    <m/>
    <s v="2026-09-24T19:18:48.000Z"/>
    <n v="0.5"/>
    <m/>
    <s v="Yusuf King|jking@hotmail.com"/>
    <n v="1"/>
  </r>
  <r>
    <n v="17"/>
    <d v="2009-06-18T00:00:00"/>
    <n v="3"/>
    <s v="005ak00000icyWTAAY"/>
    <s v="2026-09-14T19:09:41.000Z"/>
    <d v="2025-05-28T00:00:00"/>
    <s v="Layla"/>
    <s v="Layla Ramirez"/>
    <s v="sofiaramirez@yahoo.com"/>
    <s v="Logan"/>
    <s v="Ramirez"/>
    <s v="(732) 555-4662"/>
    <s v="131ak000001XjDuAAK"/>
    <s v="Brick"/>
    <s v="a07ak00001rZMrbAAG"/>
    <b v="0"/>
    <m/>
    <s v="005ak00000icyWTAAY"/>
    <s v="2026-09-17T15:39:12.000Z"/>
    <s v="2026-09-15T17:16:27.000Z"/>
    <s v="2026-09-15T17:16:27.000Z"/>
    <d v="2026-07-20T00:00:00"/>
    <s v="Ramirez"/>
    <s v="Weekly"/>
    <s v="laylaramirez@gmail.com"/>
    <n v="200"/>
    <s v="Layla Ramirez"/>
    <s v="005ak00000icyWTAAY"/>
    <b v="0"/>
    <s v="Monday"/>
    <x v="11"/>
    <s v="Beginner"/>
    <x v="1"/>
    <m/>
    <s v="STU-0155"/>
    <m/>
    <s v="2026-09-24T19:18:48.000Z"/>
    <n v="1"/>
    <m/>
    <s v="Layla Ramirez|sofiaramirez@yahoo.com"/>
    <n v="1"/>
  </r>
  <r>
    <n v="13"/>
    <d v="2013-01-31T00:00:00"/>
    <n v="0"/>
    <s v="005ak00000icyWTAAY"/>
    <s v="2026-09-14T19:09:41.000Z"/>
    <d v="2024-06-25T00:00:00"/>
    <s v="Naomi"/>
    <s v="Naomi Nguyen"/>
    <s v="savannahnguyen47@gmail.com"/>
    <s v="Jonah"/>
    <s v="Nguyen"/>
    <s v="(732) 555-7275"/>
    <s v="131ak000001XjDtAAK"/>
    <s v="Red Bank"/>
    <s v="a07ak00001rZMrcAAG"/>
    <b v="0"/>
    <m/>
    <s v="005ak00000icyWTAAY"/>
    <s v="2026-09-24T16:51:20.000Z"/>
    <s v="2026-09-15T17:16:27.000Z"/>
    <s v="2026-09-15T17:16:27.000Z"/>
    <m/>
    <s v="Nguyen"/>
    <s v="Weekly"/>
    <s v="nnguyen@icloud.com"/>
    <n v="200"/>
    <s v="Naomi Nguyen"/>
    <s v="005ak00000icyWTAAY"/>
    <b v="0"/>
    <s v="Thursday"/>
    <x v="2"/>
    <s v="Beginner"/>
    <x v="2"/>
    <m/>
    <s v="STU-0156"/>
    <m/>
    <s v="2026-09-24T19:18:48.000Z"/>
    <n v="1"/>
    <d v="2026-02-01T00:00:00"/>
    <s v="Naomi Nguyen|savannahnguyen47@gmail.com"/>
    <n v="1"/>
  </r>
  <r>
    <n v="12"/>
    <d v="2014-08-11T00:00:00"/>
    <n v="1"/>
    <s v="005ak00000icyWTAAY"/>
    <s v="2026-09-14T19:09:41.000Z"/>
    <d v="2026-01-05T00:00:00"/>
    <s v="Declan"/>
    <s v="Declan King"/>
    <s v="malachiking7@outlook.com"/>
    <s v="Tyler"/>
    <s v="King"/>
    <s v="(732) 555-5727"/>
    <s v="131ak000001XjDuAAK"/>
    <s v="Brick"/>
    <s v="a07ak00001rZMrdAAG"/>
    <b v="0"/>
    <m/>
    <s v="005ak00000icyWTAAY"/>
    <s v="2026-09-17T15:39:12.000Z"/>
    <s v="2026-09-17T03:05:00.000Z"/>
    <s v="2026-09-17T03:05:00.000Z"/>
    <d v="2026-09-12T00:00:00"/>
    <s v="King"/>
    <s v="Biweekly"/>
    <m/>
    <n v="240"/>
    <s v="Declan King"/>
    <s v="005ak00000icyWTAAY"/>
    <b v="0"/>
    <s v="Friday"/>
    <x v="9"/>
    <s v="Beginner"/>
    <x v="1"/>
    <m/>
    <s v="STU-0157"/>
    <m/>
    <s v="2026-09-24T19:18:48.000Z"/>
    <n v="0.5"/>
    <m/>
    <s v="Declan King|malachiking7@outlook.com"/>
    <n v="1"/>
  </r>
  <r>
    <n v="24"/>
    <d v="2002-03-10T00:00:00"/>
    <n v="2"/>
    <s v="005ak00000icyWTAAY"/>
    <s v="2026-09-14T19:09:41.000Z"/>
    <d v="2026-03-17T00:00:00"/>
    <s v="Josiah"/>
    <s v="Josiah Rodriguez"/>
    <m/>
    <m/>
    <m/>
    <m/>
    <s v="131ak000001XjDvAAK"/>
    <s v="Toms River"/>
    <s v="a07ak00001rZMreAAG"/>
    <b v="0"/>
    <m/>
    <s v="005ak00000icyWTAAY"/>
    <s v="2026-09-17T15:39:12.000Z"/>
    <s v="2026-09-15T17:16:27.000Z"/>
    <s v="2026-09-15T17:16:27.000Z"/>
    <d v="2026-05-25T00:00:00"/>
    <s v="Rodriguez"/>
    <s v="Weekly"/>
    <m/>
    <n v="200"/>
    <s v="Josiah Rodriguez"/>
    <s v="005ak00000icyWTAAY"/>
    <b v="0"/>
    <s v="Tuesday"/>
    <x v="9"/>
    <s v="Beginner"/>
    <x v="1"/>
    <s v="josiahrodriguez@yahoo.com"/>
    <s v="STU-0158"/>
    <s v="(732) 555-5907"/>
    <s v="2026-09-24T19:18:48.000Z"/>
    <n v="1"/>
    <m/>
    <s v="Josiah Rodriguez|"/>
    <n v="1"/>
  </r>
  <r>
    <n v="9"/>
    <d v="2016-11-13T00:00:00"/>
    <n v="1"/>
    <s v="005ak00000icyWTAAY"/>
    <s v="2026-09-14T19:09:41.000Z"/>
    <d v="2023-01-22T00:00:00"/>
    <s v="Marcus"/>
    <s v="Marcus Nelson"/>
    <s v="jordan.nelson@gmail.com"/>
    <s v="Mia"/>
    <s v="Nelson"/>
    <s v="(732) 555-2628"/>
    <s v="131ak000001XjDtAAK"/>
    <s v="Red Bank"/>
    <s v="a07ak00001rZMrfAAG"/>
    <b v="0"/>
    <m/>
    <s v="005ak00000icyWTAAY"/>
    <s v="2026-09-17T15:39:12.000Z"/>
    <s v="2026-09-15T17:16:27.000Z"/>
    <s v="2026-09-15T17:16:27.000Z"/>
    <d v="2026-08-03T00:00:00"/>
    <s v="Nelson"/>
    <s v="Biweekly"/>
    <m/>
    <n v="180"/>
    <s v="Marcus Nelson"/>
    <s v="005ak00000icyWTAAY"/>
    <b v="0"/>
    <s v="Tuesday"/>
    <x v="10"/>
    <s v="Beginner"/>
    <x v="1"/>
    <m/>
    <s v="STU-0159"/>
    <m/>
    <s v="2026-09-24T19:18:48.000Z"/>
    <n v="0.5"/>
    <m/>
    <s v="Marcus Nelson|jordan.nelson@gmail.com"/>
    <n v="1"/>
  </r>
  <r>
    <n v="9"/>
    <d v="2017-02-14T00:00:00"/>
    <n v="2"/>
    <s v="005ak00000icyWTAAY"/>
    <s v="2026-09-14T19:09:41.000Z"/>
    <d v="2026-01-09T00:00:00"/>
    <s v="Isaac"/>
    <s v="Isaac Young"/>
    <s v="layla.young@outlook.com"/>
    <s v="Claire"/>
    <s v="Young"/>
    <s v="(732) 555-4631"/>
    <s v="131ak000001XjDuAAK"/>
    <s v="Brick"/>
    <s v="a07ak00001rZMrgAAG"/>
    <b v="0"/>
    <m/>
    <s v="005ak00000icyWTAAY"/>
    <s v="2026-09-17T15:39:12.000Z"/>
    <s v="2026-09-15T17:16:27.000Z"/>
    <s v="2026-09-15T17:16:27.000Z"/>
    <d v="2026-04-26T00:00:00"/>
    <s v="Young"/>
    <s v="Weekly"/>
    <m/>
    <n v="180"/>
    <s v="Isaac Young"/>
    <s v="005ak00000icyWTAAY"/>
    <b v="0"/>
    <s v="Tuesday"/>
    <x v="9"/>
    <s v="Advanced"/>
    <x v="1"/>
    <m/>
    <s v="STU-0160"/>
    <m/>
    <s v="2026-09-24T19:18:48.000Z"/>
    <n v="1"/>
    <m/>
    <s v="Isaac Young|layla.young@outlook.com"/>
    <n v="1"/>
  </r>
  <r>
    <n v="7"/>
    <d v="2019-04-27T00:00:00"/>
    <n v="0"/>
    <s v="005ak00000icyWTAAY"/>
    <s v="2026-09-14T19:09:41.000Z"/>
    <d v="2026-08-06T00:00:00"/>
    <s v="Lucy"/>
    <s v="Lucy Kowalski"/>
    <s v="logan.kowalski@yahoo.com"/>
    <s v="Claire"/>
    <s v="Kowalski"/>
    <s v="(732) 555-1945"/>
    <s v="131ak000001XjDvAAK"/>
    <s v="Toms River"/>
    <s v="a07ak00001rZMrhAAG"/>
    <b v="0"/>
    <m/>
    <s v="005ak00000icyWTAAY"/>
    <s v="2026-09-17T15:39:12.000Z"/>
    <s v="2026-09-15T17:16:27.000Z"/>
    <s v="2026-09-15T17:16:27.000Z"/>
    <m/>
    <s v="Kowalski"/>
    <s v="Weekly"/>
    <m/>
    <n v="200"/>
    <s v="Lucy Kowalski"/>
    <s v="005ak00000icyWTAAY"/>
    <b v="0"/>
    <s v="Tuesday"/>
    <x v="8"/>
    <s v="Advanced"/>
    <x v="1"/>
    <m/>
    <s v="STU-0161"/>
    <m/>
    <s v="2026-09-24T19:18:48.000Z"/>
    <n v="1"/>
    <m/>
    <s v="Lucy Kowalski|logan.kowalski@yahoo.com"/>
    <n v="1"/>
  </r>
  <r>
    <n v="14"/>
    <d v="2011-12-06T00:00:00"/>
    <n v="1"/>
    <s v="005ak00000icyWTAAY"/>
    <s v="2026-09-14T19:09:41.000Z"/>
    <d v="2025-01-02T00:00:00"/>
    <s v="Paisley"/>
    <s v="Paisley Davis"/>
    <s v="ethandavis40@icloud.com"/>
    <s v="Matthew"/>
    <s v="Davis"/>
    <s v="(732) 555-6736"/>
    <s v="131ak000001XjDvAAK"/>
    <s v="Toms River"/>
    <s v="a07ak00001rZMriAAG"/>
    <b v="0"/>
    <m/>
    <s v="005ak00000icyWTAAY"/>
    <s v="2026-09-17T15:39:12.000Z"/>
    <s v="2026-09-15T17:16:27.000Z"/>
    <s v="2026-09-15T17:16:27.000Z"/>
    <d v="2026-06-30T00:00:00"/>
    <s v="Davis"/>
    <s v="Weekly"/>
    <s v="paisley.davis@icloud.com"/>
    <n v="240"/>
    <s v="Paisley Davis"/>
    <s v="005ak00000icyWTAAY"/>
    <b v="0"/>
    <s v="Friday"/>
    <x v="9"/>
    <s v="Beginner"/>
    <x v="1"/>
    <m/>
    <s v="STU-0162"/>
    <m/>
    <s v="2026-09-24T19:18:48.000Z"/>
    <n v="1"/>
    <m/>
    <s v="Paisley Davis|ethandavis40@icloud.com"/>
    <n v="1"/>
  </r>
  <r>
    <n v="11"/>
    <d v="2015-05-07T00:00:00"/>
    <n v="1"/>
    <s v="005ak00000icyWTAAY"/>
    <s v="2026-09-14T19:09:41.000Z"/>
    <d v="2026-02-19T00:00:00"/>
    <s v="Fatima"/>
    <s v="Fatima Nakamura"/>
    <s v="anakamura@yahoo.com"/>
    <s v="Caroline"/>
    <s v="Nakamura"/>
    <s v="(732) 555-5150"/>
    <s v="131ak000001XjDtAAK"/>
    <s v="Red Bank"/>
    <s v="a07ak00001rZMrjAAG"/>
    <b v="0"/>
    <m/>
    <s v="005ak00000icyWTAAY"/>
    <s v="2026-09-17T15:39:12.000Z"/>
    <s v="2026-09-17T03:05:00.000Z"/>
    <s v="2026-09-17T03:05:00.000Z"/>
    <d v="2026-08-16T00:00:00"/>
    <s v="Nakamura"/>
    <s v="Weekly"/>
    <m/>
    <n v="240"/>
    <s v="Fatima Nakamura"/>
    <s v="005ak00000icyWTAAY"/>
    <b v="0"/>
    <s v="Wednesday"/>
    <x v="3"/>
    <s v="Beginner"/>
    <x v="1"/>
    <m/>
    <s v="STU-0163"/>
    <m/>
    <s v="2026-09-24T19:18:48.000Z"/>
    <n v="1"/>
    <m/>
    <s v="Fatima Nakamura|anakamura@yahoo.com"/>
    <n v="1"/>
  </r>
  <r>
    <n v="16"/>
    <d v="2010-09-18T00:00:00"/>
    <n v="1"/>
    <s v="005ak00000icyWTAAY"/>
    <s v="2026-09-14T19:09:41.000Z"/>
    <d v="2023-11-06T00:00:00"/>
    <s v="Camila"/>
    <s v="Camila Roberts"/>
    <s v="sroberts@outlook.com"/>
    <s v="Brooklyn"/>
    <s v="Roberts"/>
    <s v="(732) 555-5861"/>
    <s v="131ak000001XjDuAAK"/>
    <s v="Brick"/>
    <s v="a07ak00001rZMrkAAG"/>
    <b v="0"/>
    <m/>
    <s v="005ak00000icyWTAAY"/>
    <s v="2026-09-17T15:39:12.000Z"/>
    <s v="2026-09-17T03:05:00.000Z"/>
    <s v="2026-09-17T03:05:00.000Z"/>
    <d v="2026-06-19T00:00:00"/>
    <s v="Roberts"/>
    <s v="Weekly"/>
    <s v="camila.roberts@icloud.com"/>
    <n v="160"/>
    <s v="Camila Roberts"/>
    <s v="005ak00000icyWTAAY"/>
    <b v="0"/>
    <s v="Tuesday"/>
    <x v="7"/>
    <s v="Advanced"/>
    <x v="1"/>
    <m/>
    <s v="STU-0164"/>
    <m/>
    <s v="2026-09-24T19:18:48.000Z"/>
    <n v="1"/>
    <m/>
    <s v="Camila Roberts|sroberts@outlook.com"/>
    <n v="1"/>
  </r>
  <r>
    <n v="12"/>
    <d v="2014-01-29T00:00:00"/>
    <n v="2"/>
    <s v="005ak00000icyWTAAY"/>
    <s v="2026-09-14T19:09:41.000Z"/>
    <d v="2024-08-07T00:00:00"/>
    <s v="Kai"/>
    <s v="Kai Ahmed"/>
    <s v="novaahmed@icloud.com"/>
    <s v="Diego"/>
    <s v="Ahmed"/>
    <s v="(732) 555-5809"/>
    <s v="131ak000001XjDuAAK"/>
    <s v="Brick"/>
    <s v="a07ak00001rZMrlAAG"/>
    <b v="0"/>
    <m/>
    <s v="005ak00000icyWTAAY"/>
    <s v="2026-09-17T15:39:12.000Z"/>
    <s v="2026-09-15T17:16:27.000Z"/>
    <s v="2026-09-15T17:16:27.000Z"/>
    <d v="2026-09-14T00:00:00"/>
    <s v="Ahmed"/>
    <s v="Biweekly"/>
    <m/>
    <n v="220"/>
    <s v="Kai Ahmed"/>
    <s v="005ak00000icyWTAAY"/>
    <b v="0"/>
    <s v="Wednesday"/>
    <x v="7"/>
    <s v="Beginner"/>
    <x v="1"/>
    <m/>
    <s v="STU-0165"/>
    <m/>
    <s v="2026-09-24T19:18:48.000Z"/>
    <n v="0.5"/>
    <m/>
    <s v="Kai Ahmed|novaahmed@icloud.com"/>
    <n v="1"/>
  </r>
  <r>
    <n v="45"/>
    <d v="1981-05-31T00:00:00"/>
    <n v="2"/>
    <s v="005ak00000icyWTAAY"/>
    <s v="2026-09-14T19:09:41.000Z"/>
    <d v="2023-03-06T00:00:00"/>
    <s v="Nathan"/>
    <s v="Nathan Young"/>
    <m/>
    <m/>
    <m/>
    <m/>
    <s v="131ak000001XjDtAAK"/>
    <s v="Red Bank"/>
    <s v="a07ak00001rZMrmAAG"/>
    <b v="0"/>
    <m/>
    <s v="005ak00000icyWTAAY"/>
    <s v="2026-09-17T15:39:12.000Z"/>
    <s v="2026-09-15T17:16:27.000Z"/>
    <s v="2026-09-15T17:16:27.000Z"/>
    <d v="2026-07-19T00:00:00"/>
    <s v="Young"/>
    <s v="Biweekly"/>
    <m/>
    <n v="160"/>
    <s v="Nathan Young"/>
    <s v="005ak00000icyWTAAY"/>
    <b v="0"/>
    <s v="Tuesday"/>
    <x v="3"/>
    <s v="Intermediate"/>
    <x v="1"/>
    <s v="nathanyoung@outlook.com"/>
    <s v="STU-0166"/>
    <s v="(732) 555-5710"/>
    <s v="2026-09-24T19:18:48.000Z"/>
    <n v="0.5"/>
    <m/>
    <s v="Nathan Young|"/>
    <n v="1"/>
  </r>
  <r>
    <n v="10"/>
    <d v="2015-12-17T00:00:00"/>
    <n v="0"/>
    <s v="005ak00000icyWTAAY"/>
    <s v="2026-09-14T19:09:41.000Z"/>
    <d v="2024-11-24T00:00:00"/>
    <s v="Camila"/>
    <s v="Camila Jones"/>
    <s v="levi.jones@outlook.com"/>
    <s v="Bella"/>
    <s v="Jones"/>
    <s v="(732) 555-4967"/>
    <s v="131ak000001XjDtAAK"/>
    <s v="Red Bank"/>
    <s v="a07ak00001rZMrnAAG"/>
    <b v="0"/>
    <m/>
    <s v="005ak00000icyWTAAY"/>
    <s v="2026-09-17T15:39:12.000Z"/>
    <s v="2026-09-17T03:05:00.000Z"/>
    <s v="2026-09-17T03:05:00.000Z"/>
    <m/>
    <s v="Jones"/>
    <s v="Weekly"/>
    <m/>
    <n v="180"/>
    <s v="Camila Jones"/>
    <s v="005ak00000icyWTAAY"/>
    <b v="0"/>
    <s v="Tuesday"/>
    <x v="2"/>
    <s v="Advanced"/>
    <x v="1"/>
    <m/>
    <s v="STU-0167"/>
    <m/>
    <s v="2026-09-24T19:18:48.000Z"/>
    <n v="1"/>
    <m/>
    <s v="Camila Jones|levi.jones@outlook.com"/>
    <n v="1"/>
  </r>
  <r>
    <n v="13"/>
    <d v="2013-06-03T00:00:00"/>
    <n v="1"/>
    <s v="005ak00000icyWTAAY"/>
    <s v="2026-09-14T19:09:41.000Z"/>
    <d v="2025-03-25T00:00:00"/>
    <s v="Sebastian"/>
    <s v="Sebastian Wilson"/>
    <s v="lincolnwilson@icloud.com"/>
    <s v="Scarlett"/>
    <s v="Wilson"/>
    <s v="(732) 555-3506"/>
    <s v="131ak000001XjDtAAK"/>
    <s v="Red Bank"/>
    <s v="a07ak00001rZMroAAG"/>
    <b v="0"/>
    <m/>
    <s v="005ak00000icyWTAAY"/>
    <s v="2026-09-17T15:39:12.000Z"/>
    <s v="2026-09-15T17:16:27.000Z"/>
    <s v="2026-09-15T17:16:27.000Z"/>
    <d v="2026-04-25T00:00:00"/>
    <s v="Wilson"/>
    <s v="Biweekly"/>
    <s v="sebastianwilson92@outlook.com"/>
    <n v="220"/>
    <s v="Sebastian Wilson"/>
    <s v="005ak00000icyWTAAY"/>
    <b v="0"/>
    <s v="Friday"/>
    <x v="7"/>
    <s v="Advanced"/>
    <x v="1"/>
    <m/>
    <s v="STU-0168"/>
    <m/>
    <s v="2026-09-24T19:18:48.000Z"/>
    <n v="0.5"/>
    <m/>
    <s v="Sebastian Wilson|lincolnwilson@icloud.com"/>
    <n v="1"/>
  </r>
  <r>
    <n v="24"/>
    <d v="2001-11-10T00:00:00"/>
    <n v="3"/>
    <s v="005ak00000icyWTAAY"/>
    <s v="2026-09-14T19:09:41.000Z"/>
    <d v="2025-03-18T00:00:00"/>
    <s v="Miles"/>
    <s v="Miles Silva"/>
    <m/>
    <m/>
    <m/>
    <m/>
    <s v="131ak000001XjDuAAK"/>
    <s v="Brick"/>
    <s v="a07ak00001rZMrpAAG"/>
    <b v="0"/>
    <m/>
    <s v="005ak00000icyWTAAY"/>
    <s v="2026-09-17T15:39:12.000Z"/>
    <s v="2026-09-15T17:16:27.000Z"/>
    <s v="2026-09-15T17:16:27.000Z"/>
    <d v="2026-06-22T00:00:00"/>
    <s v="Silva"/>
    <s v="Weekly"/>
    <m/>
    <n v="240"/>
    <s v="Miles Silva"/>
    <s v="005ak00000icyWTAAY"/>
    <b v="0"/>
    <s v="Monday"/>
    <x v="5"/>
    <s v="Beginner"/>
    <x v="1"/>
    <s v="milessilva@hotmail.com"/>
    <s v="STU-0169"/>
    <s v="(732) 555-9235"/>
    <s v="2026-09-24T19:18:48.000Z"/>
    <n v="1"/>
    <m/>
    <s v="Miles Silva|"/>
    <n v="1"/>
  </r>
  <r>
    <n v="16"/>
    <d v="2010-08-03T00:00:00"/>
    <n v="2"/>
    <s v="005ak00000icyWTAAY"/>
    <s v="2026-09-14T19:09:41.000Z"/>
    <d v="2026-04-20T00:00:00"/>
    <s v="Matthew"/>
    <s v="Matthew Thomas"/>
    <s v="laylathomas17@gmail.com"/>
    <s v="Aurora"/>
    <s v="Thomas"/>
    <s v="(732) 555-6348"/>
    <s v="131ak000001XjDuAAK"/>
    <s v="Brick"/>
    <s v="a07ak00001rZMrqAAG"/>
    <b v="0"/>
    <m/>
    <s v="005ak00000icyWTAAY"/>
    <s v="2026-09-17T15:39:12.000Z"/>
    <s v="2026-09-15T17:16:27.000Z"/>
    <s v="2026-09-15T17:16:27.000Z"/>
    <d v="2026-08-23T00:00:00"/>
    <s v="Thomas"/>
    <s v="Biweekly"/>
    <s v="mthomas@hotmail.com"/>
    <n v="220"/>
    <s v="Matthew Thomas"/>
    <s v="005ak00000icyWTAAY"/>
    <b v="0"/>
    <s v="Thursday"/>
    <x v="8"/>
    <s v="Beginner"/>
    <x v="1"/>
    <m/>
    <s v="STU-0170"/>
    <m/>
    <s v="2026-09-24T19:18:48.000Z"/>
    <n v="0.5"/>
    <m/>
    <s v="Matthew Thomas|laylathomas17@gmail.com"/>
    <n v="1"/>
  </r>
  <r>
    <n v="11"/>
    <d v="2015-02-16T00:00:00"/>
    <n v="1"/>
    <s v="005ak00000icyWTAAY"/>
    <s v="2026-09-14T19:09:41.000Z"/>
    <d v="2022-05-25T00:00:00"/>
    <s v="Emma"/>
    <s v="Emma Lewis"/>
    <s v="lucaslewis@icloud.com"/>
    <s v="Layla"/>
    <s v="Lewis"/>
    <s v="(732) 555-4714"/>
    <s v="131ak000001XjDtAAK"/>
    <s v="Red Bank"/>
    <s v="a07ak00001rZMrrAAG"/>
    <b v="0"/>
    <m/>
    <s v="005ak00000icyWTAAY"/>
    <s v="2026-09-17T15:39:12.000Z"/>
    <s v="2026-09-17T03:05:00.000Z"/>
    <s v="2026-09-17T03:05:00.000Z"/>
    <d v="2026-04-04T00:00:00"/>
    <s v="Lewis"/>
    <s v="Weekly"/>
    <m/>
    <n v="180"/>
    <s v="Emma Lewis"/>
    <s v="005ak00000icyWTAAY"/>
    <b v="0"/>
    <s v="Monday"/>
    <x v="7"/>
    <s v="Advanced"/>
    <x v="1"/>
    <m/>
    <s v="STU-0171"/>
    <m/>
    <s v="2026-09-24T19:18:48.000Z"/>
    <n v="1"/>
    <m/>
    <s v="Emma Lewis|lucaslewis@icloud.com"/>
    <n v="1"/>
  </r>
  <r>
    <n v="8"/>
    <d v="2018-08-10T00:00:00"/>
    <n v="0"/>
    <s v="005ak00000icyWTAAY"/>
    <s v="2026-09-14T19:09:41.000Z"/>
    <d v="2024-02-18T00:00:00"/>
    <s v="Miles"/>
    <s v="Miles Hill"/>
    <s v="ehill@yahoo.com"/>
    <s v="Vincent"/>
    <s v="Hill"/>
    <s v="(732) 555-6500"/>
    <s v="131ak000001XjDuAAK"/>
    <s v="Brick"/>
    <s v="a07ak00001rZMrsAAG"/>
    <b v="0"/>
    <m/>
    <s v="005ak00000icyWTAAY"/>
    <s v="2026-09-17T15:39:12.000Z"/>
    <s v="2026-09-15T17:16:27.000Z"/>
    <s v="2026-09-15T17:16:27.000Z"/>
    <m/>
    <s v="Hill"/>
    <s v="Weekly"/>
    <m/>
    <n v="180"/>
    <s v="Miles Hill"/>
    <s v="005ak00000icyWTAAY"/>
    <b v="0"/>
    <s v="Friday"/>
    <x v="7"/>
    <s v="Advanced"/>
    <x v="1"/>
    <m/>
    <s v="STU-0172"/>
    <m/>
    <s v="2026-09-24T19:18:48.000Z"/>
    <n v="1"/>
    <m/>
    <s v="Miles Hill|ehill@yahoo.com"/>
    <n v="1"/>
  </r>
  <r>
    <n v="16"/>
    <d v="2010-06-03T00:00:00"/>
    <n v="0"/>
    <s v="005ak00000icyWTAAY"/>
    <s v="2026-09-14T19:09:41.000Z"/>
    <d v="2024-06-19T00:00:00"/>
    <s v="Rowan"/>
    <s v="Rowan Ramirez"/>
    <s v="liamramirez@icloud.com"/>
    <s v="Lily"/>
    <s v="Ramirez"/>
    <s v="(732) 555-8671"/>
    <s v="131ak000001XjDuAAK"/>
    <s v="Brick"/>
    <s v="a07ak00001rZMrtAAG"/>
    <b v="0"/>
    <m/>
    <s v="005ak00000icyWTAAY"/>
    <s v="2026-09-24T16:51:20.000Z"/>
    <s v="2026-09-15T17:16:27.000Z"/>
    <s v="2026-09-15T17:16:27.000Z"/>
    <m/>
    <s v="Ramirez"/>
    <s v="Weekly"/>
    <s v="rowanramirez@outlook.com"/>
    <n v="220"/>
    <s v="Rowan Ramirez"/>
    <s v="005ak00000icyWTAAY"/>
    <b v="0"/>
    <s v="Tuesday"/>
    <x v="2"/>
    <s v="Beginner"/>
    <x v="2"/>
    <m/>
    <s v="STU-0173"/>
    <m/>
    <s v="2026-09-24T19:18:48.000Z"/>
    <n v="1"/>
    <d v="2025-03-09T00:00:00"/>
    <s v="Rowan Ramirez|liamramirez@icloud.com"/>
    <n v="1"/>
  </r>
  <r>
    <n v="17"/>
    <d v="2009-07-25T00:00:00"/>
    <n v="1"/>
    <s v="005ak00000icyWTAAY"/>
    <s v="2026-09-14T19:09:41.000Z"/>
    <d v="2026-08-10T00:00:00"/>
    <s v="Diego"/>
    <s v="Diego Kelly"/>
    <s v="fkelly@yahoo.com"/>
    <s v="Layla"/>
    <s v="Kelly"/>
    <s v="(732) 555-3446"/>
    <s v="131ak000001XjDuAAK"/>
    <s v="Brick"/>
    <s v="a07ak00001rZMruAAG"/>
    <b v="0"/>
    <m/>
    <s v="005ak00000icyWTAAY"/>
    <s v="2026-09-17T15:39:12.000Z"/>
    <s v="2026-09-17T03:05:00.000Z"/>
    <s v="2026-09-17T03:05:00.000Z"/>
    <d v="2026-04-05T00:00:00"/>
    <s v="Kelly"/>
    <s v="Weekly"/>
    <s v="dkelly@yahoo.com"/>
    <n v="180"/>
    <s v="Diego Kelly"/>
    <s v="005ak00000icyWTAAY"/>
    <b v="0"/>
    <s v="Saturday"/>
    <x v="7"/>
    <s v="Advanced"/>
    <x v="1"/>
    <m/>
    <s v="STU-0174"/>
    <m/>
    <s v="2026-09-24T19:18:48.000Z"/>
    <n v="1"/>
    <m/>
    <s v="Diego Kelly|fkelly@yahoo.com"/>
    <n v="1"/>
  </r>
  <r>
    <n v="11"/>
    <d v="2014-12-27T00:00:00"/>
    <n v="1"/>
    <s v="005ak00000icyWTAAY"/>
    <s v="2026-09-14T19:09:41.000Z"/>
    <d v="2022-11-03T00:00:00"/>
    <s v="Savannah"/>
    <s v="Savannah Patel"/>
    <s v="henrypatel67@hotmail.com"/>
    <s v="Jackson"/>
    <s v="Patel"/>
    <s v="(732) 555-8527"/>
    <s v="131ak000001XjDtAAK"/>
    <s v="Red Bank"/>
    <s v="a07ak00001rZMrvAAG"/>
    <b v="0"/>
    <m/>
    <s v="005ak00000icyWTAAY"/>
    <s v="2026-09-17T15:39:12.000Z"/>
    <s v="2026-09-15T17:16:27.000Z"/>
    <s v="2026-09-15T17:16:27.000Z"/>
    <d v="2026-01-14T00:00:00"/>
    <s v="Patel"/>
    <s v="Biweekly"/>
    <m/>
    <n v="180"/>
    <s v="Savannah Patel"/>
    <s v="005ak00000icyWTAAY"/>
    <b v="0"/>
    <s v="Tuesday"/>
    <x v="3"/>
    <s v="Intermediate"/>
    <x v="1"/>
    <m/>
    <s v="STU-0175"/>
    <m/>
    <s v="2026-09-24T19:18:48.000Z"/>
    <n v="0.5"/>
    <m/>
    <s v="Savannah Patel|henrypatel67@hotmail.com"/>
    <n v="1"/>
  </r>
  <r>
    <n v="6"/>
    <d v="2019-12-04T00:00:00"/>
    <n v="2"/>
    <s v="005ak00000icyWTAAY"/>
    <s v="2026-09-14T19:09:41.000Z"/>
    <d v="2026-07-29T00:00:00"/>
    <s v="Jonah"/>
    <s v="Jonah Clark"/>
    <s v="paisley.clark@hotmail.com"/>
    <s v="Brooklyn"/>
    <s v="Clark"/>
    <s v="(732) 555-9715"/>
    <s v="131ak000001XjDtAAK"/>
    <s v="Red Bank"/>
    <s v="a07ak00001rZMrwAAG"/>
    <b v="0"/>
    <m/>
    <s v="005ak00000icyWTAAY"/>
    <s v="2026-09-17T15:39:12.000Z"/>
    <s v="2026-09-15T17:16:27.000Z"/>
    <s v="2026-09-15T17:16:27.000Z"/>
    <d v="2026-08-12T00:00:00"/>
    <s v="Clark"/>
    <s v="Biweekly"/>
    <m/>
    <n v="180"/>
    <s v="Jonah Clark"/>
    <s v="005ak00000icyWTAAY"/>
    <b v="0"/>
    <s v="Saturday"/>
    <x v="5"/>
    <s v="Beginner"/>
    <x v="1"/>
    <m/>
    <s v="STU-0176"/>
    <m/>
    <s v="2026-09-24T19:18:48.000Z"/>
    <n v="0.5"/>
    <m/>
    <s v="Jonah Clark|paisley.clark@hotmail.com"/>
    <n v="1"/>
  </r>
  <r>
    <n v="13"/>
    <d v="2013-03-27T00:00:00"/>
    <n v="0"/>
    <s v="005ak00000icyWTAAY"/>
    <s v="2026-09-14T19:09:41.000Z"/>
    <d v="2024-04-20T00:00:00"/>
    <s v="Skylar"/>
    <s v="Skylar Baker"/>
    <s v="brandon.baker@icloud.com"/>
    <s v="Ezra"/>
    <s v="Baker"/>
    <s v="(732) 555-3352"/>
    <s v="131ak000001XjDtAAK"/>
    <s v="Red Bank"/>
    <s v="a07ak00001rZMrxAAG"/>
    <b v="0"/>
    <m/>
    <s v="005ak00000icyWTAAY"/>
    <s v="2026-09-24T16:51:20.000Z"/>
    <s v="2026-09-15T17:16:27.000Z"/>
    <s v="2026-09-15T17:16:27.000Z"/>
    <m/>
    <s v="Baker"/>
    <s v="Weekly"/>
    <s v="skylarbaker@hotmail.com"/>
    <n v="240"/>
    <s v="Skylar Baker"/>
    <s v="005ak00000icyWTAAY"/>
    <b v="0"/>
    <s v="Wednesday"/>
    <x v="1"/>
    <s v="Beginner"/>
    <x v="2"/>
    <m/>
    <s v="STU-0177"/>
    <m/>
    <s v="2026-09-24T19:18:48.000Z"/>
    <n v="1"/>
    <d v="2024-10-19T00:00:00"/>
    <s v="Skylar Baker|brandon.baker@icloud.com"/>
    <n v="1"/>
  </r>
  <r>
    <n v="9"/>
    <d v="2016-12-08T00:00:00"/>
    <n v="0"/>
    <s v="005ak00000icyWTAAY"/>
    <s v="2026-09-14T19:09:41.000Z"/>
    <d v="2023-06-14T00:00:00"/>
    <s v="Malachi"/>
    <s v="Malachi Nelson"/>
    <s v="liam.nelson@outlook.com"/>
    <s v="Santiago"/>
    <s v="Nelson"/>
    <s v="(732) 555-2520"/>
    <s v="131ak000001XjDuAAK"/>
    <s v="Brick"/>
    <s v="a07ak00001rZMryAAG"/>
    <b v="0"/>
    <m/>
    <s v="005ak00000icyWTAAY"/>
    <s v="2026-09-24T16:51:20.000Z"/>
    <s v="2026-09-15T17:16:27.000Z"/>
    <s v="2026-09-15T17:16:27.000Z"/>
    <m/>
    <s v="Nelson"/>
    <s v="Weekly"/>
    <m/>
    <n v="240"/>
    <s v="Malachi Nelson"/>
    <s v="005ak00000icyWTAAY"/>
    <b v="0"/>
    <s v="Friday"/>
    <x v="5"/>
    <s v="Advanced"/>
    <x v="2"/>
    <m/>
    <s v="STU-0178"/>
    <m/>
    <s v="2026-09-24T19:18:48.000Z"/>
    <n v="1"/>
    <d v="2025-12-06T00:00:00"/>
    <s v="Malachi Nelson|liam.nelson@outlook.com"/>
    <n v="1"/>
  </r>
  <r>
    <n v="13"/>
    <d v="2013-06-20T00:00:00"/>
    <n v="1"/>
    <s v="005ak00000icyWTAAY"/>
    <s v="2026-09-14T19:09:41.000Z"/>
    <d v="2023-10-18T00:00:00"/>
    <s v="Penelope"/>
    <s v="Penelope Baker"/>
    <s v="lbaker@outlook.com"/>
    <s v="Sofia"/>
    <s v="Baker"/>
    <s v="(732) 555-7186"/>
    <s v="131ak000001XjDtAAK"/>
    <s v="Red Bank"/>
    <s v="a07ak00001rZMrzAAG"/>
    <b v="0"/>
    <m/>
    <s v="005ak00000icyWTAAY"/>
    <s v="2026-09-17T15:39:12.000Z"/>
    <s v="2026-09-15T17:16:27.000Z"/>
    <s v="2026-09-15T17:16:27.000Z"/>
    <d v="2026-01-14T00:00:00"/>
    <s v="Baker"/>
    <s v="Biweekly"/>
    <s v="penelopebaker@outlook.com"/>
    <n v="200"/>
    <s v="Penelope Baker"/>
    <s v="005ak00000icyWTAAY"/>
    <b v="0"/>
    <s v="Wednesday"/>
    <x v="8"/>
    <s v="Beginner"/>
    <x v="1"/>
    <m/>
    <s v="STU-0179"/>
    <m/>
    <s v="2026-09-24T19:18:48.000Z"/>
    <n v="0.5"/>
    <m/>
    <s v="Penelope Baker|lbaker@outlook.com"/>
    <n v="1"/>
  </r>
  <r>
    <n v="7"/>
    <d v="2019-06-15T00:00:00"/>
    <n v="0"/>
    <s v="005ak00000icyWTAAY"/>
    <s v="2026-09-14T19:09:41.000Z"/>
    <d v="2022-07-27T00:00:00"/>
    <s v="Sofia"/>
    <s v="Sofia Nelson"/>
    <s v="ryan.nelson@outlook.com"/>
    <s v="Lucas"/>
    <s v="Nelson"/>
    <s v="(732) 555-1975"/>
    <s v="131ak000001XjDuAAK"/>
    <s v="Brick"/>
    <s v="a07ak00001rZMs0AAG"/>
    <b v="0"/>
    <m/>
    <s v="005ak00000icyWTAAY"/>
    <s v="2026-09-17T15:39:12.000Z"/>
    <s v="2026-09-15T17:16:27.000Z"/>
    <s v="2026-09-15T17:16:27.000Z"/>
    <m/>
    <s v="Nelson"/>
    <s v="Weekly"/>
    <m/>
    <n v="240"/>
    <s v="Sofia Nelson"/>
    <s v="005ak00000icyWTAAY"/>
    <b v="0"/>
    <s v="Thursday"/>
    <x v="6"/>
    <s v="Beginner"/>
    <x v="1"/>
    <m/>
    <s v="STU-0180"/>
    <m/>
    <s v="2026-09-24T19:18:48.000Z"/>
    <n v="1"/>
    <m/>
    <s v="Sofia Nelson|ryan.nelson@outlook.com"/>
    <n v="1"/>
  </r>
  <r>
    <n v="11"/>
    <d v="2015-09-17T00:00:00"/>
    <n v="3"/>
    <s v="005ak00000icyWTAAY"/>
    <s v="2026-09-14T19:09:41.000Z"/>
    <d v="2024-02-11T00:00:00"/>
    <s v="Nathan"/>
    <s v="Nathan Ahmed"/>
    <s v="yahmed@outlook.com"/>
    <s v="Nova"/>
    <s v="Ahmed"/>
    <s v="(732) 555-9066"/>
    <s v="131ak000001XjDvAAK"/>
    <s v="Toms River"/>
    <s v="a07ak00001rZMs1AAG"/>
    <b v="0"/>
    <m/>
    <s v="005ak00000icyWTAAY"/>
    <s v="2026-09-17T15:39:12.000Z"/>
    <s v="2026-09-15T17:16:27.000Z"/>
    <s v="2026-09-15T17:16:27.000Z"/>
    <d v="2026-08-18T00:00:00"/>
    <s v="Ahmed"/>
    <s v="Biweekly"/>
    <m/>
    <n v="200"/>
    <s v="Nathan Ahmed"/>
    <s v="005ak00000icyWTAAY"/>
    <b v="0"/>
    <s v="Monday"/>
    <x v="7"/>
    <s v="Beginner"/>
    <x v="1"/>
    <m/>
    <s v="STU-0181"/>
    <m/>
    <s v="2026-09-24T19:18:48.000Z"/>
    <n v="0.5"/>
    <m/>
    <s v="Nathan Ahmed|yahmed@outlook.com"/>
    <n v="2"/>
  </r>
  <r>
    <n v="10"/>
    <d v="2016-07-19T00:00:00"/>
    <n v="1"/>
    <s v="005ak00000icyWTAAY"/>
    <s v="2026-09-14T19:09:41.000Z"/>
    <d v="2025-06-02T00:00:00"/>
    <s v="Sofia"/>
    <s v="Sofia Johnson"/>
    <s v="tylerjohnson79@yahoo.com"/>
    <s v="Micah"/>
    <s v="Johnson"/>
    <s v="(732) 555-6013"/>
    <s v="131ak000001XjDuAAK"/>
    <s v="Brick"/>
    <s v="a07ak00001rZMs2AAG"/>
    <b v="0"/>
    <m/>
    <s v="005ak00000icyWTAAY"/>
    <s v="2026-09-17T15:39:12.000Z"/>
    <s v="2026-09-15T17:16:27.000Z"/>
    <s v="2026-09-15T17:16:27.000Z"/>
    <d v="2026-06-24T00:00:00"/>
    <s v="Johnson"/>
    <s v="Weekly"/>
    <m/>
    <n v="180"/>
    <s v="Sofia Johnson"/>
    <s v="005ak00000icyWTAAY"/>
    <b v="0"/>
    <s v="Friday"/>
    <x v="1"/>
    <s v="Beginner"/>
    <x v="1"/>
    <m/>
    <s v="STU-0182"/>
    <m/>
    <s v="2026-09-24T19:18:48.000Z"/>
    <n v="1"/>
    <m/>
    <s v="Sofia Johnson|tylerjohnson79@yahoo.com"/>
    <n v="2"/>
  </r>
  <r>
    <n v="60"/>
    <d v="1966-03-01T00:00:00"/>
    <n v="2"/>
    <s v="005ak00000icyWTAAY"/>
    <s v="2026-09-14T19:09:41.000Z"/>
    <d v="2026-09-04T00:00:00"/>
    <s v="Logan"/>
    <s v="LOGAN Harris"/>
    <m/>
    <m/>
    <m/>
    <m/>
    <s v="131ak000001XjDuAAK"/>
    <s v="Brick"/>
    <s v="a07ak00001rZMs3AAG"/>
    <b v="0"/>
    <m/>
    <s v="005ak00000icyWTAAY"/>
    <s v="2026-10-02T04:46:46.000Z"/>
    <s v="2026-10-02T04:46:45.000Z"/>
    <s v="2026-10-02T04:46:45.000Z"/>
    <d v="2026-04-26T00:00:00"/>
    <s v="Harris"/>
    <s v="Biweekly"/>
    <m/>
    <n v="220"/>
    <s v="LOGAN Harris"/>
    <s v="005ak00000icyWTAAY"/>
    <b v="0"/>
    <s v="Tuesday"/>
    <x v="5"/>
    <s v="Advanced"/>
    <x v="1"/>
    <s v="loganharris@icloud.com"/>
    <s v="STU-0183"/>
    <s v="(732) 555-5604"/>
    <s v="2026-10-02T04:46:46.000Z"/>
    <n v="0.5"/>
    <m/>
    <s v="LOGAN Harris|"/>
    <n v="2"/>
  </r>
  <r>
    <n v="9"/>
    <d v="2017-07-03T00:00:00"/>
    <n v="0"/>
    <s v="005ak00000icyWTAAY"/>
    <s v="2026-10-01T17:47:53.000Z"/>
    <d v="2026-10-01T00:00:00"/>
    <s v="Leo"/>
    <s v="Leo Ortiz"/>
    <s v="danaortiz@gmail.com"/>
    <s v="Dana"/>
    <s v="Ortiz"/>
    <n v="7897897890"/>
    <s v="131ak000001XjDuAAK"/>
    <s v="Brick"/>
    <s v="a07ak00001wmPyGAAU"/>
    <b v="0"/>
    <m/>
    <s v="005ak00000icyWTAAY"/>
    <s v="2026-10-01T17:47:53.000Z"/>
    <s v="2026-10-01T20:37:52.000Z"/>
    <s v="2026-10-01T20:37:52.000Z"/>
    <m/>
    <s v="Ortiz"/>
    <s v="Weekly"/>
    <s v="lortiz@gmail.com"/>
    <m/>
    <s v="Leo Ortiz"/>
    <s v="005ak00000icyWTAAY"/>
    <b v="0"/>
    <s v="Monday"/>
    <x v="5"/>
    <s v="Beginner"/>
    <x v="1"/>
    <m/>
    <m/>
    <m/>
    <s v="2026-10-01T17:47:53.000Z"/>
    <n v="1"/>
    <m/>
    <s v="Leo Ortiz|danaortiz@gmail.com"/>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DAC40-FEB1-4EE0-A24E-3775698D3DF7}" name="PivotTable6" cacheId="3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M4:N14" firstHeaderRow="1" firstDataRow="1" firstDataCol="1" rowPageCount="2" colPageCount="1"/>
  <pivotFields count="32">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6">
        <item h="1" x="4"/>
        <item h="1" x="1"/>
        <item x="0"/>
        <item h="1" x="3"/>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4"/>
        <item x="1"/>
        <item x="3"/>
        <item x="5"/>
        <item x="0"/>
        <item x="7"/>
        <item x="8"/>
        <item x="6"/>
        <item x="2"/>
        <item h="1" x="9"/>
        <item x="12"/>
        <item x="10"/>
        <item x="11"/>
        <item x="13"/>
        <item x="14"/>
        <item t="default"/>
      </items>
    </pivotField>
    <pivotField axis="axisPage" compact="0" outline="0" showAll="0">
      <items count="3">
        <item h="1" x="1"/>
        <item x="0"/>
        <item t="default"/>
      </items>
    </pivotField>
  </pivotFields>
  <rowFields count="1">
    <field x="30"/>
  </rowFields>
  <rowItems count="10">
    <i>
      <x/>
    </i>
    <i>
      <x v="1"/>
    </i>
    <i>
      <x v="2"/>
    </i>
    <i>
      <x v="3"/>
    </i>
    <i>
      <x v="4"/>
    </i>
    <i>
      <x v="5"/>
    </i>
    <i>
      <x v="6"/>
    </i>
    <i>
      <x v="7"/>
    </i>
    <i>
      <x v="8"/>
    </i>
    <i t="grand">
      <x/>
    </i>
  </rowItems>
  <colItems count="1">
    <i/>
  </colItems>
  <pageFields count="2">
    <pageField fld="31" item="1" hier="-1"/>
    <pageField fld="22" item="2" hier="-1"/>
  </pageFields>
  <dataFields count="1">
    <dataField name="Count of Id" fld="3"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DF944A-92C3-499C-91A7-88270B4100DE}" name="LessonsbyInstrument" cacheId="39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J17" firstHeaderRow="1" firstDataRow="2" firstDataCol="1" rowPageCount="1" colPageCount="1"/>
  <pivotFields count="32">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sortType="descending">
      <items count="13">
        <item x="1"/>
        <item x="2"/>
        <item x="6"/>
        <item x="5"/>
        <item x="8"/>
        <item x="11"/>
        <item x="10"/>
        <item x="9"/>
        <item x="0"/>
        <item x="3"/>
        <item x="4"/>
        <item x="7"/>
        <item t="default"/>
      </items>
      <autoSortScope>
        <pivotArea dataOnly="0" outline="0" fieldPosition="0">
          <references count="2">
            <reference field="4294967294" count="1" selected="0">
              <x v="0"/>
            </reference>
            <reference field="22" count="1" selected="0">
              <x v="3"/>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sortType="descending">
      <items count="6">
        <item x="2"/>
        <item x="3"/>
        <item x="0"/>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s>
  <rowFields count="1">
    <field x="7"/>
  </rowFields>
  <rowItems count="13">
    <i>
      <x v="3"/>
    </i>
    <i>
      <x v="5"/>
    </i>
    <i>
      <x v="7"/>
    </i>
    <i>
      <x v="11"/>
    </i>
    <i>
      <x v="8"/>
    </i>
    <i>
      <x/>
    </i>
    <i>
      <x v="2"/>
    </i>
    <i>
      <x v="10"/>
    </i>
    <i>
      <x v="9"/>
    </i>
    <i>
      <x v="1"/>
    </i>
    <i>
      <x v="4"/>
    </i>
    <i>
      <x v="6"/>
    </i>
    <i t="grand">
      <x/>
    </i>
  </rowItems>
  <colFields count="1">
    <field x="22"/>
  </colFields>
  <colItems count="6">
    <i>
      <x/>
    </i>
    <i>
      <x v="1"/>
    </i>
    <i>
      <x v="2"/>
    </i>
    <i>
      <x v="3"/>
    </i>
    <i>
      <x v="4"/>
    </i>
    <i t="grand">
      <x/>
    </i>
  </colItems>
  <pageFields count="1">
    <pageField fld="31" item="1" hier="-1"/>
  </pageFields>
  <dataFields count="1">
    <dataField name="Count of Id" fld="3"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0E608D-9B24-4466-8DAA-5BE9F52A6D13}" name="PivotTable7" cacheId="39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9" firstHeaderRow="0" firstDataRow="1" firstDataCol="1" rowPageCount="1" colPageCount="1"/>
  <pivotFields count="30">
    <pivotField axis="axisPage" compact="0" outline="0" showAll="0">
      <items count="3">
        <item x="1"/>
        <item h="1" x="0"/>
        <item t="default"/>
      </items>
    </pivotField>
    <pivotField compact="0" numFmtId="14" outline="0" showAll="0"/>
    <pivotField compact="0" outline="0" showAll="0"/>
    <pivotField compact="0" outline="0" showAll="0"/>
    <pivotField compact="0" outline="0" showAll="0"/>
    <pivotField compact="0" outline="0" showAll="0"/>
    <pivotField axis="axisRow" compact="0" outline="0" showAll="0" sortType="descending">
      <items count="47">
        <item x="30"/>
        <item x="33"/>
        <item x="12"/>
        <item x="32"/>
        <item x="38"/>
        <item x="36"/>
        <item x="17"/>
        <item x="9"/>
        <item x="10"/>
        <item x="8"/>
        <item x="21"/>
        <item x="6"/>
        <item x="5"/>
        <item x="25"/>
        <item x="15"/>
        <item x="22"/>
        <item x="45"/>
        <item x="31"/>
        <item x="3"/>
        <item x="14"/>
        <item x="39"/>
        <item x="11"/>
        <item x="43"/>
        <item x="24"/>
        <item x="26"/>
        <item x="1"/>
        <item x="7"/>
        <item x="19"/>
        <item x="2"/>
        <item x="40"/>
        <item x="28"/>
        <item x="27"/>
        <item x="42"/>
        <item x="34"/>
        <item x="16"/>
        <item x="18"/>
        <item x="13"/>
        <item x="41"/>
        <item x="23"/>
        <item x="37"/>
        <item x="35"/>
        <item x="20"/>
        <item x="29"/>
        <item x="44"/>
        <item x="0"/>
        <item x="4"/>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s>
  <rowFields count="1">
    <field x="6"/>
  </rowFields>
  <rowItems count="16">
    <i>
      <x v="1"/>
    </i>
    <i>
      <x/>
    </i>
    <i>
      <x v="45"/>
    </i>
    <i>
      <x v="29"/>
    </i>
    <i>
      <x v="27"/>
    </i>
    <i>
      <x v="38"/>
    </i>
    <i>
      <x v="20"/>
    </i>
    <i>
      <x v="10"/>
    </i>
    <i>
      <x v="33"/>
    </i>
    <i>
      <x v="25"/>
    </i>
    <i>
      <x v="28"/>
    </i>
    <i>
      <x v="14"/>
    </i>
    <i>
      <x v="15"/>
    </i>
    <i>
      <x v="41"/>
    </i>
    <i>
      <x v="32"/>
    </i>
    <i t="grand">
      <x/>
    </i>
  </rowItems>
  <colFields count="1">
    <field x="-2"/>
  </colFields>
  <colItems count="2">
    <i>
      <x/>
    </i>
    <i i="1">
      <x v="1"/>
    </i>
  </colItems>
  <pageFields count="1">
    <pageField fld="0" item="0" hier="-1"/>
  </pageFields>
  <dataFields count="2">
    <dataField name="Sum of Completed Lessons" fld="28" baseField="0" baseItem="0"/>
    <dataField name="Sum of Upcoming Lessons" fld="29"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BDB05D-3182-43C3-912D-C0AE28CDD223}" name="PivotTable9" cacheId="40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41">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sortType="descending">
      <items count="13">
        <item x="1"/>
        <item x="2"/>
        <item x="6"/>
        <item x="5"/>
        <item x="8"/>
        <item x="11"/>
        <item x="10"/>
        <item x="9"/>
        <item x="0"/>
        <item x="3"/>
        <item x="4"/>
        <item x="7"/>
        <item t="default"/>
      </items>
      <autoSortScope>
        <pivotArea dataOnly="0" outline="0" fieldPosition="0">
          <references count="1">
            <reference field="4294967294" count="1" selected="0">
              <x v="0"/>
            </reference>
          </references>
        </pivotArea>
      </autoSortScope>
    </pivotField>
    <pivotField compact="0" outline="0" showAll="0"/>
    <pivotField axis="axisPage" compact="0" outline="0" showAll="0">
      <items count="4">
        <item x="1"/>
        <item h="1"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0"/>
  </rowFields>
  <rowItems count="13">
    <i>
      <x v="11"/>
    </i>
    <i>
      <x v="3"/>
    </i>
    <i>
      <x v="7"/>
    </i>
    <i>
      <x v="4"/>
    </i>
    <i>
      <x v="9"/>
    </i>
    <i>
      <x v="10"/>
    </i>
    <i>
      <x v="5"/>
    </i>
    <i>
      <x v="6"/>
    </i>
    <i>
      <x v="2"/>
    </i>
    <i>
      <x/>
    </i>
    <i>
      <x v="1"/>
    </i>
    <i>
      <x v="8"/>
    </i>
    <i t="grand">
      <x/>
    </i>
  </rowItems>
  <colItems count="1">
    <i/>
  </colItems>
  <pageFields count="1">
    <pageField fld="32" item="0" hier="-1"/>
  </pageFields>
  <dataFields count="1">
    <dataField name="Sum of Monthly_Rate__c" fld="25" baseField="0" baseItem="0" numFmtId="164"/>
  </dataFields>
  <formats count="1">
    <format dxfId="2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A08714-C074-4C85-8273-F1575A40F21F}" name="PivotTable3" cacheId="39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1:W9" firstHeaderRow="1" firstDataRow="2" firstDataCol="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5"/>
        <item x="0"/>
        <item x="3"/>
        <item x="1"/>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0">
        <item x="0"/>
        <item x="1"/>
        <item x="6"/>
        <item x="4"/>
        <item x="3"/>
        <item x="5"/>
        <item x="2"/>
        <item x="7"/>
        <item x="8"/>
        <item t="default"/>
      </items>
    </pivotField>
    <pivotField compact="0" outline="0" showAll="0"/>
  </pivotFields>
  <rowFields count="1">
    <field x="24"/>
  </rowFields>
  <rowItems count="7">
    <i>
      <x/>
    </i>
    <i>
      <x v="1"/>
    </i>
    <i>
      <x v="2"/>
    </i>
    <i>
      <x v="3"/>
    </i>
    <i>
      <x v="4"/>
    </i>
    <i>
      <x v="5"/>
    </i>
    <i t="grand">
      <x/>
    </i>
  </rowItems>
  <colFields count="1">
    <field x="31"/>
  </colFields>
  <colItems count="10">
    <i>
      <x/>
    </i>
    <i>
      <x v="1"/>
    </i>
    <i>
      <x v="2"/>
    </i>
    <i>
      <x v="3"/>
    </i>
    <i>
      <x v="4"/>
    </i>
    <i>
      <x v="5"/>
    </i>
    <i>
      <x v="6"/>
    </i>
    <i>
      <x v="7"/>
    </i>
    <i>
      <x v="8"/>
    </i>
    <i t="grand">
      <x/>
    </i>
  </colItems>
  <dataFields count="1">
    <dataField name="Count of Id" fld="7"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2A2293-2AD7-456D-A7ED-2C179BEDAD5A}" name="InquiryFunnel" cacheId="399"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6">
  <location ref="A1:H12" firstHeaderRow="1" firstDataRow="2" firstDataCol="1"/>
  <pivotFields count="33">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0"/>
        <item x="1"/>
        <item x="2"/>
        <item x="4"/>
        <item x="3"/>
        <item x="6"/>
        <item x="7"/>
        <item x="5"/>
        <item x="8"/>
        <item t="default"/>
      </items>
    </pivotField>
    <pivotField compact="0" outline="0" showAll="0"/>
    <pivotField compact="0" outline="0" showAll="0"/>
    <pivotField compact="0" outline="0" showAll="0"/>
    <pivotField compact="0" outline="0" showAll="0"/>
    <pivotField compact="0" outline="0" showAll="0"/>
    <pivotField axis="axisCol" compact="0" outline="0" showAll="0">
      <items count="7">
        <item x="5"/>
        <item x="0"/>
        <item x="3"/>
        <item x="1"/>
        <item x="4"/>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8"/>
  </rowFields>
  <rowItems count="10">
    <i>
      <x/>
    </i>
    <i>
      <x v="1"/>
    </i>
    <i>
      <x v="2"/>
    </i>
    <i>
      <x v="3"/>
    </i>
    <i>
      <x v="4"/>
    </i>
    <i>
      <x v="5"/>
    </i>
    <i>
      <x v="6"/>
    </i>
    <i>
      <x v="7"/>
    </i>
    <i>
      <x v="8"/>
    </i>
    <i t="grand">
      <x/>
    </i>
  </rowItems>
  <colFields count="1">
    <field x="24"/>
  </colFields>
  <colItems count="7">
    <i>
      <x/>
    </i>
    <i>
      <x v="1"/>
    </i>
    <i>
      <x v="2"/>
    </i>
    <i>
      <x v="3"/>
    </i>
    <i>
      <x v="4"/>
    </i>
    <i>
      <x v="5"/>
    </i>
    <i t="grand">
      <x/>
    </i>
  </colItems>
  <dataFields count="1">
    <dataField name="Count of Id" fld="7" subtotal="count" baseField="0" baseItem="0"/>
  </dataFields>
  <chartFormats count="36">
    <chartFormat chart="1" format="6" series="1">
      <pivotArea type="data" outline="0" fieldPosition="0">
        <references count="2">
          <reference field="4294967294" count="1" selected="0">
            <x v="0"/>
          </reference>
          <reference field="24" count="1" selected="0">
            <x v="0"/>
          </reference>
        </references>
      </pivotArea>
    </chartFormat>
    <chartFormat chart="1" format="7" series="1">
      <pivotArea type="data" outline="0" fieldPosition="0">
        <references count="2">
          <reference field="4294967294" count="1" selected="0">
            <x v="0"/>
          </reference>
          <reference field="24" count="1" selected="0">
            <x v="1"/>
          </reference>
        </references>
      </pivotArea>
    </chartFormat>
    <chartFormat chart="1" format="8" series="1">
      <pivotArea type="data" outline="0" fieldPosition="0">
        <references count="2">
          <reference field="4294967294" count="1" selected="0">
            <x v="0"/>
          </reference>
          <reference field="24" count="1" selected="0">
            <x v="2"/>
          </reference>
        </references>
      </pivotArea>
    </chartFormat>
    <chartFormat chart="1" format="9" series="1">
      <pivotArea type="data" outline="0" fieldPosition="0">
        <references count="2">
          <reference field="4294967294" count="1" selected="0">
            <x v="0"/>
          </reference>
          <reference field="24" count="1" selected="0">
            <x v="3"/>
          </reference>
        </references>
      </pivotArea>
    </chartFormat>
    <chartFormat chart="1" format="10" series="1">
      <pivotArea type="data" outline="0" fieldPosition="0">
        <references count="2">
          <reference field="4294967294" count="1" selected="0">
            <x v="0"/>
          </reference>
          <reference field="24" count="1" selected="0">
            <x v="4"/>
          </reference>
        </references>
      </pivotArea>
    </chartFormat>
    <chartFormat chart="1" format="11" series="1">
      <pivotArea type="data" outline="0" fieldPosition="0">
        <references count="2">
          <reference field="4294967294" count="1" selected="0">
            <x v="0"/>
          </reference>
          <reference field="24" count="1" selected="0">
            <x v="5"/>
          </reference>
        </references>
      </pivotArea>
    </chartFormat>
    <chartFormat chart="2" format="12" series="1">
      <pivotArea type="data" outline="0" fieldPosition="0">
        <references count="2">
          <reference field="4294967294" count="1" selected="0">
            <x v="0"/>
          </reference>
          <reference field="24" count="1" selected="0">
            <x v="0"/>
          </reference>
        </references>
      </pivotArea>
    </chartFormat>
    <chartFormat chart="2" format="13" series="1">
      <pivotArea type="data" outline="0" fieldPosition="0">
        <references count="2">
          <reference field="4294967294" count="1" selected="0">
            <x v="0"/>
          </reference>
          <reference field="24" count="1" selected="0">
            <x v="1"/>
          </reference>
        </references>
      </pivotArea>
    </chartFormat>
    <chartFormat chart="2" format="14" series="1">
      <pivotArea type="data" outline="0" fieldPosition="0">
        <references count="2">
          <reference field="4294967294" count="1" selected="0">
            <x v="0"/>
          </reference>
          <reference field="24" count="1" selected="0">
            <x v="2"/>
          </reference>
        </references>
      </pivotArea>
    </chartFormat>
    <chartFormat chart="2" format="15" series="1">
      <pivotArea type="data" outline="0" fieldPosition="0">
        <references count="2">
          <reference field="4294967294" count="1" selected="0">
            <x v="0"/>
          </reference>
          <reference field="24" count="1" selected="0">
            <x v="3"/>
          </reference>
        </references>
      </pivotArea>
    </chartFormat>
    <chartFormat chart="2" format="16" series="1">
      <pivotArea type="data" outline="0" fieldPosition="0">
        <references count="2">
          <reference field="4294967294" count="1" selected="0">
            <x v="0"/>
          </reference>
          <reference field="24" count="1" selected="0">
            <x v="4"/>
          </reference>
        </references>
      </pivotArea>
    </chartFormat>
    <chartFormat chart="2" format="17" series="1">
      <pivotArea type="data" outline="0" fieldPosition="0">
        <references count="2">
          <reference field="4294967294" count="1" selected="0">
            <x v="0"/>
          </reference>
          <reference field="24" count="1" selected="0">
            <x v="5"/>
          </reference>
        </references>
      </pivotArea>
    </chartFormat>
    <chartFormat chart="4" format="6" series="1">
      <pivotArea type="data" outline="0" fieldPosition="0">
        <references count="2">
          <reference field="4294967294" count="1" selected="0">
            <x v="0"/>
          </reference>
          <reference field="24" count="1" selected="0">
            <x v="0"/>
          </reference>
        </references>
      </pivotArea>
    </chartFormat>
    <chartFormat chart="4" format="7" series="1">
      <pivotArea type="data" outline="0" fieldPosition="0">
        <references count="2">
          <reference field="4294967294" count="1" selected="0">
            <x v="0"/>
          </reference>
          <reference field="24" count="1" selected="0">
            <x v="1"/>
          </reference>
        </references>
      </pivotArea>
    </chartFormat>
    <chartFormat chart="4" format="8" series="1">
      <pivotArea type="data" outline="0" fieldPosition="0">
        <references count="2">
          <reference field="4294967294" count="1" selected="0">
            <x v="0"/>
          </reference>
          <reference field="24" count="1" selected="0">
            <x v="2"/>
          </reference>
        </references>
      </pivotArea>
    </chartFormat>
    <chartFormat chart="4" format="9" series="1">
      <pivotArea type="data" outline="0" fieldPosition="0">
        <references count="2">
          <reference field="4294967294" count="1" selected="0">
            <x v="0"/>
          </reference>
          <reference field="24" count="1" selected="0">
            <x v="3"/>
          </reference>
        </references>
      </pivotArea>
    </chartFormat>
    <chartFormat chart="4" format="10" series="1">
      <pivotArea type="data" outline="0" fieldPosition="0">
        <references count="2">
          <reference field="4294967294" count="1" selected="0">
            <x v="0"/>
          </reference>
          <reference field="24" count="1" selected="0">
            <x v="4"/>
          </reference>
        </references>
      </pivotArea>
    </chartFormat>
    <chartFormat chart="4" format="11" series="1">
      <pivotArea type="data" outline="0" fieldPosition="0">
        <references count="2">
          <reference field="4294967294" count="1" selected="0">
            <x v="0"/>
          </reference>
          <reference field="24" count="1" selected="0">
            <x v="5"/>
          </reference>
        </references>
      </pivotArea>
    </chartFormat>
    <chartFormat chart="5" format="12" series="1">
      <pivotArea type="data" outline="0" fieldPosition="0">
        <references count="2">
          <reference field="4294967294" count="1" selected="0">
            <x v="0"/>
          </reference>
          <reference field="24" count="1" selected="0">
            <x v="0"/>
          </reference>
        </references>
      </pivotArea>
    </chartFormat>
    <chartFormat chart="5" format="13" series="1">
      <pivotArea type="data" outline="0" fieldPosition="0">
        <references count="2">
          <reference field="4294967294" count="1" selected="0">
            <x v="0"/>
          </reference>
          <reference field="24" count="1" selected="0">
            <x v="1"/>
          </reference>
        </references>
      </pivotArea>
    </chartFormat>
    <chartFormat chart="5" format="14" series="1">
      <pivotArea type="data" outline="0" fieldPosition="0">
        <references count="2">
          <reference field="4294967294" count="1" selected="0">
            <x v="0"/>
          </reference>
          <reference field="24" count="1" selected="0">
            <x v="2"/>
          </reference>
        </references>
      </pivotArea>
    </chartFormat>
    <chartFormat chart="5" format="15" series="1">
      <pivotArea type="data" outline="0" fieldPosition="0">
        <references count="2">
          <reference field="4294967294" count="1" selected="0">
            <x v="0"/>
          </reference>
          <reference field="24" count="1" selected="0">
            <x v="3"/>
          </reference>
        </references>
      </pivotArea>
    </chartFormat>
    <chartFormat chart="5" format="16" series="1">
      <pivotArea type="data" outline="0" fieldPosition="0">
        <references count="2">
          <reference field="4294967294" count="1" selected="0">
            <x v="0"/>
          </reference>
          <reference field="24" count="1" selected="0">
            <x v="4"/>
          </reference>
        </references>
      </pivotArea>
    </chartFormat>
    <chartFormat chart="5" format="17" series="1">
      <pivotArea type="data" outline="0" fieldPosition="0">
        <references count="2">
          <reference field="4294967294" count="1" selected="0">
            <x v="0"/>
          </reference>
          <reference field="24" count="1" selected="0">
            <x v="5"/>
          </reference>
        </references>
      </pivotArea>
    </chartFormat>
    <chartFormat chart="0" format="6" series="1">
      <pivotArea type="data" outline="0" fieldPosition="0">
        <references count="2">
          <reference field="4294967294" count="1" selected="0">
            <x v="0"/>
          </reference>
          <reference field="24" count="1" selected="0">
            <x v="0"/>
          </reference>
        </references>
      </pivotArea>
    </chartFormat>
    <chartFormat chart="0" format="7" series="1">
      <pivotArea type="data" outline="0" fieldPosition="0">
        <references count="2">
          <reference field="4294967294" count="1" selected="0">
            <x v="0"/>
          </reference>
          <reference field="24" count="1" selected="0">
            <x v="1"/>
          </reference>
        </references>
      </pivotArea>
    </chartFormat>
    <chartFormat chart="0" format="8" series="1">
      <pivotArea type="data" outline="0" fieldPosition="0">
        <references count="2">
          <reference field="4294967294" count="1" selected="0">
            <x v="0"/>
          </reference>
          <reference field="24" count="1" selected="0">
            <x v="2"/>
          </reference>
        </references>
      </pivotArea>
    </chartFormat>
    <chartFormat chart="0" format="9" series="1">
      <pivotArea type="data" outline="0" fieldPosition="0">
        <references count="2">
          <reference field="4294967294" count="1" selected="0">
            <x v="0"/>
          </reference>
          <reference field="24" count="1" selected="0">
            <x v="3"/>
          </reference>
        </references>
      </pivotArea>
    </chartFormat>
    <chartFormat chart="0" format="10" series="1">
      <pivotArea type="data" outline="0" fieldPosition="0">
        <references count="2">
          <reference field="4294967294" count="1" selected="0">
            <x v="0"/>
          </reference>
          <reference field="24" count="1" selected="0">
            <x v="4"/>
          </reference>
        </references>
      </pivotArea>
    </chartFormat>
    <chartFormat chart="0" format="11" series="1">
      <pivotArea type="data" outline="0" fieldPosition="0">
        <references count="2">
          <reference field="4294967294" count="1" selected="0">
            <x v="0"/>
          </reference>
          <reference field="24" count="1" selected="0">
            <x v="5"/>
          </reference>
        </references>
      </pivotArea>
    </chartFormat>
    <chartFormat chart="3" format="6" series="1">
      <pivotArea type="data" outline="0" fieldPosition="0">
        <references count="2">
          <reference field="4294967294" count="1" selected="0">
            <x v="0"/>
          </reference>
          <reference field="24" count="1" selected="0">
            <x v="0"/>
          </reference>
        </references>
      </pivotArea>
    </chartFormat>
    <chartFormat chart="3" format="7" series="1">
      <pivotArea type="data" outline="0" fieldPosition="0">
        <references count="2">
          <reference field="4294967294" count="1" selected="0">
            <x v="0"/>
          </reference>
          <reference field="24" count="1" selected="0">
            <x v="1"/>
          </reference>
        </references>
      </pivotArea>
    </chartFormat>
    <chartFormat chart="3" format="8" series="1">
      <pivotArea type="data" outline="0" fieldPosition="0">
        <references count="2">
          <reference field="4294967294" count="1" selected="0">
            <x v="0"/>
          </reference>
          <reference field="24" count="1" selected="0">
            <x v="2"/>
          </reference>
        </references>
      </pivotArea>
    </chartFormat>
    <chartFormat chart="3" format="9" series="1">
      <pivotArea type="data" outline="0" fieldPosition="0">
        <references count="2">
          <reference field="4294967294" count="1" selected="0">
            <x v="0"/>
          </reference>
          <reference field="24" count="1" selected="0">
            <x v="3"/>
          </reference>
        </references>
      </pivotArea>
    </chartFormat>
    <chartFormat chart="3" format="10" series="1">
      <pivotArea type="data" outline="0" fieldPosition="0">
        <references count="2">
          <reference field="4294967294" count="1" selected="0">
            <x v="0"/>
          </reference>
          <reference field="24" count="1" selected="0">
            <x v="4"/>
          </reference>
        </references>
      </pivotArea>
    </chartFormat>
    <chartFormat chart="3" format="11" series="1">
      <pivotArea type="data" outline="0" fieldPosition="0">
        <references count="2">
          <reference field="4294967294" count="1" selected="0">
            <x v="0"/>
          </reference>
          <reference field="24"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4B751C-A344-44C9-A614-DC35ADBF0ACF}" name="Lessons" displayName="Lessons" ref="A1:AF1329" totalsRowShown="0">
  <autoFilter ref="A1:AF1329" xr:uid="{DC4B751C-A344-44C9-A614-DC35ADBF0ACF}"/>
  <tableColumns count="32">
    <tableColumn id="1" xr3:uid="{E2946F6A-EF4C-4A3C-AC80-58BBD29F76DD}" name="CreatedById"/>
    <tableColumn id="2" xr3:uid="{046B3484-766F-4E67-87FC-2EA5EB9F7239}" name="CreatedDate"/>
    <tableColumn id="3" xr3:uid="{79529469-6094-43B1-BD9A-7B738E179758}" name="Duration_Minutes__c"/>
    <tableColumn id="4" xr3:uid="{9B918FF0-09C8-459C-A8C0-735B51146A9E}" name="Id"/>
    <tableColumn id="5" xr3:uid="{7055AF2E-231E-42BB-8998-F1EB7C02DD8D}" name="Instructor_External_Id__c"/>
    <tableColumn id="6" xr3:uid="{980AEBC3-D09C-4EF3-BA1D-F60FD2667056}" name="Instructor_Name__c"/>
    <tableColumn id="7" xr3:uid="{F80394AB-D525-423E-99DB-B7F72141EE47}" name="Instructor_Notes__c"/>
    <tableColumn id="8" xr3:uid="{E9C4FB1C-4791-4C95-9E9E-4DB9E94B693D}" name="Instrument__c"/>
    <tableColumn id="9" xr3:uid="{F0139D5C-F07A-481D-80B5-E406BF5D4ACA}" name="IsDeleted"/>
    <tableColumn id="10" xr3:uid="{FFE730A8-CB80-432D-8C70-5CD1FABDFEFE}" name="LastActivityDate"/>
    <tableColumn id="11" xr3:uid="{F28BC012-1052-4D66-8DC7-64BE40BFBC5C}" name="LastModifiedById"/>
    <tableColumn id="12" xr3:uid="{3782B5F2-B91D-4F8C-BFC8-B402042F367B}" name="LastModifiedDate"/>
    <tableColumn id="13" xr3:uid="{6A114019-4AE0-4F0C-ADAF-02E8B5B8DB70}" name="LastReferencedDate"/>
    <tableColumn id="14" xr3:uid="{10968C2C-5B18-4DCE-80AC-E6A69484F285}" name="LastViewedDate"/>
    <tableColumn id="15" xr3:uid="{4E354AEE-B2F4-4C9D-A37C-0DE7DE0D4225}" name="Lesson_Date__c" dataDxfId="28"/>
    <tableColumn id="16" xr3:uid="{AA255C00-0C9B-4029-AA00-81494F1D9A1C}" name="Lesson_External_Id__c"/>
    <tableColumn id="17" xr3:uid="{4EEA51C3-17D1-49A9-986D-6E1795587F1C}" name="Lesson__c"/>
    <tableColumn id="18" xr3:uid="{632326AC-955D-4B37-BF3B-4AD6D38867B1}" name="Location_External_Id__c"/>
    <tableColumn id="19" xr3:uid="{7EAABCF5-436D-4C94-A9BD-D6CF074D00C6}" name="Makeup_Required__c"/>
    <tableColumn id="20" xr3:uid="{5148C9E2-B9C4-4A5A-9A6C-64F6048CED5A}" name="Makeup_Scheduled__c"/>
    <tableColumn id="21" xr3:uid="{2498E487-B3AD-4B47-AB1A-1D9DD782ED44}" name="Name"/>
    <tableColumn id="22" xr3:uid="{9F5E81C4-5520-4989-A907-FDA9696CC2C4}" name="Start_Time__c"/>
    <tableColumn id="23" xr3:uid="{DA64BC77-E7DC-4D0F-88BE-78AEA3A5E486}" name="Status__c"/>
    <tableColumn id="24" xr3:uid="{FE9FD4EF-2156-4685-9282-46C93A4F8D3D}" name="Student_External_Id__c"/>
    <tableColumn id="25" xr3:uid="{42F8DBBD-17B4-45D4-B20A-68FAE5F9050C}" name="Student_Name__c"/>
    <tableColumn id="26" xr3:uid="{6C486F37-07AD-41D4-AFBE-9291BF92C90F}" name="SystemModstamp"/>
    <tableColumn id="27" xr3:uid="{24497F95-C70D-4B1B-859F-4CE03DEAA22A}" name="Does the Instructor teach that Instrument?" dataDxfId="27">
      <calculatedColumnFormula>ISNUMBER(SEARCH(";"&amp;Lessons[[#This Row],[Instrument__c]]&amp;";",";"&amp;_xlfn.XLOOKUP(Lessons[[#This Row],[Instructor_External_Id__c]], Instructors[Id], Instructors[Instruments_Taught__c])&amp;";"))</calculatedColumnFormula>
    </tableColumn>
    <tableColumn id="28" xr3:uid="{571CB6DB-5881-4FC3-9EE7-37C648B46E6B}" name="Double Booked Key" dataDxfId="26">
      <calculatedColumnFormula>IF(LEFT(Lessons[[#This Row],[Status__c]],9)="Cancelled","",Lessons[[#This Row],[Instructor_External_Id__c]]&amp;"|"&amp;TEXT(Lessons[[#This Row],[Lesson_Date__c]],"yyyy-mm-dd")&amp;"|"&amp;Lessons[[#This Row],[Start_Time__c]])</calculatedColumnFormula>
    </tableColumn>
    <tableColumn id="29" xr3:uid="{47D3FA03-211C-421D-8B21-D34760AA32DE}" name="Double Booked?" dataDxfId="25">
      <calculatedColumnFormula>IF(Lessons[[#This Row],[Double Booked Key]]="","",COUNTIF(Lessons[Double Booked Key],Lessons[[#This Row],[Double Booked Key]]))</calculatedColumnFormula>
    </tableColumn>
    <tableColumn id="30" xr3:uid="{310A44A7-D03A-4362-9E54-83B006C688F5}" name="Location Name" dataDxfId="24">
      <calculatedColumnFormula>_xlfn.XLOOKUP(Lessons[[#This Row],[Location_External_Id__c]], Locations[Location Id], Locations[Location Name])</calculatedColumnFormula>
    </tableColumn>
    <tableColumn id="31" xr3:uid="{F44FC63A-6F75-4A38-8D64-4680D73B2CB5}" name="Lesson Month" dataDxfId="23">
      <calculatedColumnFormula>TEXT(Lessons[[#This Row],[Lesson_Date__c]], "yyyy-mm")</calculatedColumnFormula>
    </tableColumn>
    <tableColumn id="32" xr3:uid="{578C3854-8240-4830-9639-EBC1D978C70C}" name="Is Past" dataDxfId="22">
      <calculatedColumnFormula>IF(Lessons[[#This Row],[Lesson_Date__c]]&lt;=Data_Audit!$F$1, "Yes", "No")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2D9F1A-271C-4BBB-96F8-64BEBAC0593D}" name="Instructors" displayName="Instructors" ref="A1:AD47" totalsRowShown="0">
  <autoFilter ref="A1:AD47" xr:uid="{332D9F1A-271C-4BBB-96F8-64BEBAC0593D}"/>
  <tableColumns count="30">
    <tableColumn id="1" xr3:uid="{A8F56351-7429-47BA-A5A7-C07592A0E659}" name="Active__c"/>
    <tableColumn id="2" xr3:uid="{920A3E2D-141E-4E28-9C28-ED202B5D1F50}" name="Background_Check_Date__c" dataDxfId="21"/>
    <tableColumn id="3" xr3:uid="{8B84958C-06B3-46A2-AD74-68368B8AA6F3}" name="CreatedById"/>
    <tableColumn id="4" xr3:uid="{807B9D74-847D-4D04-BEC7-27FC5212D572}" name="CreatedDate"/>
    <tableColumn id="5" xr3:uid="{7C749D77-5E60-4C51-AA96-0B3CB9B715C8}" name="Email__c"/>
    <tableColumn id="6" xr3:uid="{F8AB49E7-0153-443B-AFB1-BA7AA13C2033}" name="First_Name__c"/>
    <tableColumn id="7" xr3:uid="{6D4E09D2-6A6D-42E5-977F-F5A69064A506}" name="Full_Name__c"/>
    <tableColumn id="8" xr3:uid="{F1D1EECC-131A-4979-99DE-35DB5C91D3F2}" name="Hire_Date__c" dataDxfId="20"/>
    <tableColumn id="9" xr3:uid="{523B5C2D-356B-4D6B-BE78-6F8F9AA7C91C}" name="Hourly_Rate__c" dataDxfId="19"/>
    <tableColumn id="10" xr3:uid="{BCB83BAD-E3B4-4FDA-826E-577CD9445F6C}" name="Id"/>
    <tableColumn id="11" xr3:uid="{E077B55E-5EBA-445F-AC28-FD46151D003A}" name="Instructor_External_Id__c"/>
    <tableColumn id="12" xr3:uid="{3698B14B-604B-4E70-A3E9-4EE844427D91}" name="Instruments_Taught__c"/>
    <tableColumn id="13" xr3:uid="{B5434B95-03B0-4B0E-B957-7375553186F3}" name="IsDeleted"/>
    <tableColumn id="14" xr3:uid="{FD2E5579-3FA2-443B-8197-570B2723BC13}" name="LastActivityDate"/>
    <tableColumn id="15" xr3:uid="{762A5A09-E55D-40F7-9EB4-9B2CE2DE470F}" name="LastModifiedById"/>
    <tableColumn id="16" xr3:uid="{2709CD85-BE4B-4A88-8C47-C20D121F0596}" name="LastModifiedDate"/>
    <tableColumn id="17" xr3:uid="{0738304F-DF41-4763-A2EF-B787139F3252}" name="LastReferencedDate"/>
    <tableColumn id="18" xr3:uid="{58BE40BE-5C35-4EB8-B801-05F199E205D8}" name="LastViewedDate"/>
    <tableColumn id="19" xr3:uid="{EED49F09-1484-4857-833A-DCE087DE0F38}" name="Last_Name__c"/>
    <tableColumn id="20" xr3:uid="{BF18123D-9FF4-4ACD-B40F-CFEE44107AAC}" name="Lesson_Count__c"/>
    <tableColumn id="21" xr3:uid="{29702338-1786-4CD6-B568-78AF0C40D39B}" name="Max_Weekly_Students__c"/>
    <tableColumn id="22" xr3:uid="{D0AA0D6F-400D-4D96-A808-975251BCDBB1}" name="Name"/>
    <tableColumn id="23" xr3:uid="{9C84C0DF-BD4F-4B5C-BACD-91D5E0478EDA}" name="OwnerId"/>
    <tableColumn id="24" xr3:uid="{2B3733ED-8EB3-4439-AAC1-AE3D1DEFE442}" name="Phone__c"/>
    <tableColumn id="25" xr3:uid="{A2023FAA-B57D-4179-B685-19B213D16E1C}" name="Primary_Location__c"/>
    <tableColumn id="26" xr3:uid="{8516711E-2D49-47B1-A8DB-B3B438D87829}" name="SystemModstamp"/>
    <tableColumn id="27" xr3:uid="{6B1E36C1-865B-4F17-A3DC-8875115CD10B}" name="Dup Email Key" dataDxfId="18">
      <calculatedColumnFormula>LOWER(TRIM(Instructors[[#This Row],[Email__c]]))</calculatedColumnFormula>
    </tableColumn>
    <tableColumn id="28" xr3:uid="{301F3CAF-611D-403A-AF5B-47BEA8DFC411}" name="Dup Email Count" dataDxfId="17">
      <calculatedColumnFormula>COUNTIF(Instructors[Dup Email Key],Instructors[[#This Row],[Dup Email Key]])</calculatedColumnFormula>
    </tableColumn>
    <tableColumn id="29" xr3:uid="{180F73A8-F43B-47B4-97D3-E5E22B41B06F}" name="Completed Lessons" dataDxfId="16">
      <calculatedColumnFormula>IF(Instructors[[#This Row],[Active__c]] = "Active", COUNTIFS(Lessons[Instructor_External_Id__c], Instructors[[#This Row],[Id]], Lessons[Status__c], "Completed", Lessons[Is Past], "Yes"), "Not Active")</calculatedColumnFormula>
    </tableColumn>
    <tableColumn id="30" xr3:uid="{6B704860-3172-4C73-B860-AF0F88DE821F}" name="Upcoming Lessons" dataDxfId="15">
      <calculatedColumnFormula>COUNTIFS(Lessons[Instructor_External_Id__c], Instructors[[#This Row],[Id]], Lessons[Lesson_Date__c], "&gt;"&amp;Data_Audit!$F$1, Lessons[Lesson_Date__c], "&lt;="&amp;Data_Audit!$F$1+28, Lessons[Status__c], "Scheduled")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DF083E-94A4-4C4B-83E7-FE322D135574}" name="Inquiries" displayName="Inquiries" ref="A1:AG141" totalsRowShown="0">
  <autoFilter ref="A1:AG141" xr:uid="{9EDF083E-94A4-4C4B-83E7-FE322D135574}"/>
  <tableColumns count="33">
    <tableColumn id="1" xr3:uid="{23B7A29F-80A5-46EB-830C-4E89779455E2}" name="ConvertedStudentId__c"/>
    <tableColumn id="2" xr3:uid="{A01E09B9-7C72-4B66-852C-2C6AF5D9840F}" name="CreatedById"/>
    <tableColumn id="3" xr3:uid="{62B3260B-F5EF-47C6-9737-44C6DA824CEF}" name="CreatedDate"/>
    <tableColumn id="4" xr3:uid="{BBAD339B-E2B4-4AB4-8B92-84C8B6D6985F}" name="Email__c"/>
    <tableColumn id="5" xr3:uid="{3FC58B4D-BD73-4078-86D2-32900F798E66}" name="First_Name__c"/>
    <tableColumn id="6" xr3:uid="{69FBD6B0-A9DF-432B-96B3-D02470D499A2}" name="First_Response_Date__c" dataDxfId="14"/>
    <tableColumn id="7" xr3:uid="{BC7F0F42-804F-470C-822C-7F4948B37252}" name="Full_Name__c"/>
    <tableColumn id="8" xr3:uid="{9B06B387-2569-41AD-8F35-D2B70162DFA3}" name="Id"/>
    <tableColumn id="9" xr3:uid="{BDD5DBBD-8495-4E0A-A0B6-7469E2E999BD}" name="Inquiry_Date__c" dataDxfId="13"/>
    <tableColumn id="10" xr3:uid="{AE525FAF-B6A3-40DA-A64A-53F6EE97EA7A}" name="Inquiry_External_Id__c"/>
    <tableColumn id="11" xr3:uid="{E500070A-CD65-40E0-83FA-7BD3148623C5}" name="Interested_Instrument__c"/>
    <tableColumn id="12" xr3:uid="{563AD7FE-9DAE-49A0-BC27-EDDCC009E0EA}" name="IsDeleted"/>
    <tableColumn id="13" xr3:uid="{57C18601-EDA4-42A5-955B-6C50F5A70EDD}" name="LastActivityDate"/>
    <tableColumn id="14" xr3:uid="{801E6015-96F2-4B75-86C9-0EE31410ED6F}" name="LastModifiedById"/>
    <tableColumn id="15" xr3:uid="{6A4C23B5-2B2A-460D-A6F6-5394E3E404DC}" name="LastModifiedDate"/>
    <tableColumn id="16" xr3:uid="{9C526266-BE95-4A3C-99E1-A7AE8CB6DB56}" name="LastReferencedDate"/>
    <tableColumn id="17" xr3:uid="{D7B1A467-6EB1-4934-A7DC-3C860818F628}" name="LastViewedDate"/>
    <tableColumn id="18" xr3:uid="{B8539F4A-779A-4ED7-9416-46CB179EE101}" name="Last_Name__c"/>
    <tableColumn id="19" xr3:uid="{1CAB83C7-D9FE-4F16-94F8-368080EEBCD0}" name="Lead_Source__c"/>
    <tableColumn id="20" xr3:uid="{A281AF6C-3915-4BF1-83E7-4512335EF145}" name="Name"/>
    <tableColumn id="21" xr3:uid="{5DA3A0E9-0EB1-4115-9C63-481F5161E211}" name="Notes__c"/>
    <tableColumn id="22" xr3:uid="{53DBB5F2-FA7D-45FF-B9CB-817A51B964C6}" name="OwnerId"/>
    <tableColumn id="23" xr3:uid="{FD559498-7F7B-4F3A-992D-6AEF19AA1339}" name="Phone__c"/>
    <tableColumn id="24" xr3:uid="{F47EAB37-F5A1-4190-8C00-B4820BB52DEE}" name="Requested_Location__c"/>
    <tableColumn id="25" xr3:uid="{5120B8D9-FD99-459D-9054-EA8ACCF20DF5}" name="Status__c"/>
    <tableColumn id="26" xr3:uid="{006BFB22-DDB5-43E9-BB16-79F5DC591A56}" name="Student_Age__c"/>
    <tableColumn id="27" xr3:uid="{E218E799-42E9-429D-A613-71C7126C99C9}" name="SystemModstamp"/>
    <tableColumn id="28" xr3:uid="{A4EA04E4-E8DF-4090-872A-4D9F7429E6C1}" name="Assigned_To__c"/>
    <tableColumn id="29" xr3:uid="{21265100-90B2-47BF-92EF-3B728DFA6041}" name="Dup Key" dataDxfId="12">
      <calculatedColumnFormula>Inquiries[[#This Row],[Name]]&amp;"|"&amp;LOWER(TRIM(Inquiries[[#This Row],[Email__c]]))</calculatedColumnFormula>
    </tableColumn>
    <tableColumn id="30" xr3:uid="{C9E0989B-03D4-4F0A-8590-5450B97DDF4D}" name="Dup Count" dataDxfId="11">
      <calculatedColumnFormula>COUNTIF(Inquiries[Dup Key],Inquiries[[#This Row],[Dup Key]])</calculatedColumnFormula>
    </tableColumn>
    <tableColumn id="31" xr3:uid="{C3022384-25C7-4FFC-ADDB-5C0142A3455D}" name="Days to First Response" dataDxfId="10">
      <calculatedColumnFormula>IF(Inquiries[[#This Row],[First_Response_Date__c]]="","",Inquiries[[#This Row],[First_Response_Date__c]]-Inquiries[[#This Row],[Inquiry_Date__c]])</calculatedColumnFormula>
    </tableColumn>
    <tableColumn id="32" xr3:uid="{2AE551AF-FBD9-4F27-AC47-40D8076EE871}" name="Inquiry by Month" dataDxfId="9">
      <calculatedColumnFormula>TEXT(Inquiries[[#This Row],[Inquiry_Date__c]], "yyyy-mm")</calculatedColumnFormula>
    </tableColumn>
    <tableColumn id="33" xr3:uid="{271CD69F-47A9-47DD-A71A-2E3D5FE73312}" name="Requested Location by Name" dataDxfId="8">
      <calculatedColumnFormula>_xlfn.XLOOKUP(Inquiries[[#This Row],[Requested_Location__c]], Locations[Location Id], Locations[Location Name])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594DA0-5EBC-47B0-A982-C7EA7006FEB0}" name="Students" displayName="Students" ref="A1:AO183" totalsRowShown="0">
  <autoFilter ref="A1:AO183" xr:uid="{6F594DA0-5EBC-47B0-A982-C7EA7006FEB0}"/>
  <tableColumns count="41">
    <tableColumn id="1" xr3:uid="{975B3C14-A94C-49E3-AD28-5D7A228B2918}" name="Age_New__c"/>
    <tableColumn id="2" xr3:uid="{0F89DD0B-E978-41F1-96F7-BD992BE1029D}" name="Birthday__c" dataDxfId="7"/>
    <tableColumn id="3" xr3:uid="{8D79132F-C810-4065-879C-E9E3D38E6DF5}" name="Cancelled_Lessons__c"/>
    <tableColumn id="4" xr3:uid="{2F8E44B5-EA0F-4B7D-84EB-0C4A8A4D6E79}" name="CreatedById"/>
    <tableColumn id="5" xr3:uid="{3614C5F0-C8A9-4E31-9FF3-D547BC2D24E3}" name="CreatedDate"/>
    <tableColumn id="6" xr3:uid="{69CB6091-57A9-4F50-82AF-241645368335}" name="Enrollment_Date__c" dataDxfId="6"/>
    <tableColumn id="7" xr3:uid="{895670B6-B888-48BB-9B47-045AA47A31A1}" name="First_Name__c"/>
    <tableColumn id="8" xr3:uid="{AF0CB7B9-D769-4A70-A641-53A429F2C01F}" name="Full_Name__c"/>
    <tableColumn id="9" xr3:uid="{439938F7-D804-4CBF-8C29-84E06E977FF0}" name="Guardian_Email__c"/>
    <tableColumn id="10" xr3:uid="{882DD245-4EC1-452F-98C0-AB73B70090DD}" name="Guardian_First_Name__c"/>
    <tableColumn id="11" xr3:uid="{778D27D4-58A9-4E12-A73E-D55E17E00BCB}" name="Guardian_Last_Name__c"/>
    <tableColumn id="12" xr3:uid="{81BB8666-71F0-4281-AD53-959D76750C24}" name="Guardian_Phone__c"/>
    <tableColumn id="13" xr3:uid="{89C711AC-33FB-4F05-B74B-6C71840AA7F4}" name="Home_Location__c"/>
    <tableColumn id="14" xr3:uid="{B7C1F84F-3587-4FA9-A2FA-2CB6D501A52F}" name="Home_Picklist__c"/>
    <tableColumn id="15" xr3:uid="{BB67E0A5-188F-4588-8ACA-ECD6D2CC02F4}" name="Id"/>
    <tableColumn id="16" xr3:uid="{4BE08B84-36F4-48DA-86FA-298E98AD1304}" name="IsDeleted"/>
    <tableColumn id="17" xr3:uid="{072B2434-2E2F-4308-A0D7-32A1629AA41A}" name="LastActivityDate"/>
    <tableColumn id="18" xr3:uid="{5C23D026-E9B6-4678-9BD3-1AC39CE40BBD}" name="LastModifiedById"/>
    <tableColumn id="19" xr3:uid="{9BF8E5A8-B17A-4DA0-91EC-85BB7C2FF0FC}" name="LastModifiedDate"/>
    <tableColumn id="20" xr3:uid="{17A2820F-FCB8-4CE6-985F-25FC19A929ED}" name="LastReferencedDate"/>
    <tableColumn id="21" xr3:uid="{5B24230E-2E68-4DBA-9FB2-D7EA6B9F9B3F}" name="LastViewedDate"/>
    <tableColumn id="22" xr3:uid="{19CBAD15-14FF-48DF-B57D-6FE5C2AFB97F}" name="Last_Cancelled_Date__c" dataDxfId="5"/>
    <tableColumn id="23" xr3:uid="{A9E9D241-EBBB-4B21-B137-FA26B63374AA}" name="Last_Name__c"/>
    <tableColumn id="24" xr3:uid="{FD22C6D8-57DF-4C97-95D8-C4DBE84A1F7A}" name="Lesson_Frequency__c"/>
    <tableColumn id="25" xr3:uid="{BB8E1E73-DCA6-4095-A12F-85AEC0DF47F4}" name="Minor_Email__c"/>
    <tableColumn id="26" xr3:uid="{2218F36D-CD42-4A53-BB17-4260E0A91B69}" name="Monthly_Rate__c" dataDxfId="4"/>
    <tableColumn id="27" xr3:uid="{59B72265-1E62-4240-912E-219F3CD37513}" name="Name"/>
    <tableColumn id="28" xr3:uid="{437978E9-01AB-4349-8E29-B18C417CDED3}" name="OwnerId"/>
    <tableColumn id="29" xr3:uid="{8821DD57-6310-4793-8156-46C794F157FE}" name="Parent_Guardian_Pays__c"/>
    <tableColumn id="30" xr3:uid="{3631D12B-E3D2-48BC-AB68-AE115BA01C17}" name="Preferred_Day__c"/>
    <tableColumn id="31" xr3:uid="{DBC444B8-5767-4900-BA5A-4E7DC4384BE0}" name="Primary_Instrument__c"/>
    <tableColumn id="32" xr3:uid="{28D22D03-C0AB-486F-BD51-390EE6782EFF}" name="Skill_Level__c"/>
    <tableColumn id="33" xr3:uid="{0AA9A0C8-FF3A-49FD-B9EC-397FDA2886CC}" name="Status__c"/>
    <tableColumn id="34" xr3:uid="{C30F37BE-DAD4-45E1-B4F9-F023CE7204E8}" name="Student_Email__c"/>
    <tableColumn id="35" xr3:uid="{CCC29903-9B6A-4AC4-B4C8-F51CD88809C2}" name="Student_External_Id__c"/>
    <tableColumn id="36" xr3:uid="{9F9AE4EE-2BBA-475C-A1B1-E0BD768FD740}" name="Student_Phone__c"/>
    <tableColumn id="37" xr3:uid="{B0913114-CD1B-440A-942B-D6A9BF6D6240}" name="SystemModstamp"/>
    <tableColumn id="38" xr3:uid="{2C561677-2B3F-4B01-AE37-79A1A9707546}" name="WeeklyImpact__c"/>
    <tableColumn id="39" xr3:uid="{A11422F2-FC3D-426E-B142-EDB80CB19E84}" name="Withdrawn_Date__c"/>
    <tableColumn id="40" xr3:uid="{9BCF6572-F1F5-4122-A7E0-86ECBFFBE61B}" name="Dup Key" dataDxfId="3">
      <calculatedColumnFormula>Students[[#This Row],[Name]]&amp;"|"&amp;LOWER(TRIM(Students[[#This Row],[Guardian_Email__c]]))</calculatedColumnFormula>
    </tableColumn>
    <tableColumn id="41" xr3:uid="{91B787FA-6765-4E6D-8696-182F8A5AA798}" name="Dup Count" dataDxfId="2">
      <calculatedColumnFormula>COUNTIF(Students[Dup Key],Students[[#This Row],[Dup Key]])</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cations" displayName="Locations" ref="A1:D4">
  <autoFilter ref="A1:D4" xr:uid="{00000000-0009-0000-0100-000001000000}"/>
  <tableColumns count="4">
    <tableColumn id="1" xr3:uid="{00000000-0010-0000-0000-000001000000}" name="Location Id"/>
    <tableColumn id="2" xr3:uid="{00000000-0010-0000-0000-000002000000}" name="Location Name"/>
    <tableColumn id="3" xr3:uid="{2AC1F83F-BEAA-4FCE-9F12-ADAB4987C033}" name="Revenue By Location" dataDxfId="1">
      <calculatedColumnFormula>SUMIFS(Students[Monthly_Rate__c], Students[Home_Picklist__c], $B2, Students[Status__c], "Active" )</calculatedColumnFormula>
    </tableColumn>
    <tableColumn id="4" xr3:uid="{58CBC44A-E62C-4A8B-85D6-D854D569002C}" name="Monthly Rate of Paused Students" dataDxfId="0">
      <calculatedColumnFormula>SUMIFS(Students[Monthly_Rate__c], Students[Home_Picklist__c], $B2, Students[Status__c], "Paused"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4724D-7812-4B20-8E32-E6D9125F089C}">
  <sheetPr>
    <pageSetUpPr fitToPage="1"/>
  </sheetPr>
  <dimension ref="A1:G35"/>
  <sheetViews>
    <sheetView showGridLines="0" workbookViewId="0">
      <selection activeCell="M38" sqref="M38"/>
    </sheetView>
  </sheetViews>
  <sheetFormatPr defaultRowHeight="15"/>
  <cols>
    <col min="1" max="1" width="14.85546875" customWidth="1"/>
    <col min="2" max="2" width="19.42578125" customWidth="1"/>
    <col min="3" max="3" width="17" customWidth="1"/>
    <col min="4" max="4" width="16.42578125" customWidth="1"/>
    <col min="5" max="5" width="23.85546875" customWidth="1"/>
    <col min="6" max="6" width="20.140625" customWidth="1"/>
    <col min="7" max="7" width="21.28515625" customWidth="1"/>
  </cols>
  <sheetData>
    <row r="1" spans="1:6" ht="23.25">
      <c r="A1" s="16" t="str">
        <f>"Music Academy Ops Snapshot, as of "&amp;TEXT(Data_Audit!F1,"m/d/yyyy")</f>
        <v>Music Academy Ops Snapshot, as of 10/14/2026</v>
      </c>
    </row>
    <row r="3" spans="1:6">
      <c r="A3" s="11" t="s">
        <v>0</v>
      </c>
      <c r="B3" s="11" t="s">
        <v>1</v>
      </c>
      <c r="C3" s="11" t="s">
        <v>2</v>
      </c>
      <c r="D3" s="11" t="s">
        <v>3</v>
      </c>
      <c r="E3" s="11" t="s">
        <v>4</v>
      </c>
      <c r="F3" s="11" t="s">
        <v>5</v>
      </c>
    </row>
    <row r="4" spans="1:6" ht="26.25">
      <c r="A4" s="12">
        <f>COUNTIFS(Students[Status__c],"Active")</f>
        <v>143</v>
      </c>
      <c r="B4" s="14">
        <f>SUM(Locations[Revenue By Location])</f>
        <v>28060</v>
      </c>
      <c r="C4" s="15">
        <f>'Inquiry Funnel'!J12</f>
        <v>0.34453781512605042</v>
      </c>
      <c r="D4" s="15">
        <f>'Lesson Health'!K17</f>
        <v>0.13587604290822408</v>
      </c>
      <c r="E4" s="12">
        <f>Data_Audit!B2</f>
        <v>5</v>
      </c>
      <c r="F4" s="12">
        <f>Data_Audit!B11</f>
        <v>15</v>
      </c>
    </row>
    <row r="21" spans="7:7">
      <c r="G21" s="18" t="s">
        <v>6</v>
      </c>
    </row>
    <row r="22" spans="7:7">
      <c r="G22" t="s">
        <v>7</v>
      </c>
    </row>
    <row r="23" spans="7:7">
      <c r="G23" t="s">
        <v>8</v>
      </c>
    </row>
    <row r="24" spans="7:7">
      <c r="G24" t="s">
        <v>9</v>
      </c>
    </row>
    <row r="25" spans="7:7">
      <c r="G25" t="s">
        <v>10</v>
      </c>
    </row>
    <row r="26" spans="7:7">
      <c r="G26" t="s">
        <v>11</v>
      </c>
    </row>
    <row r="27" spans="7:7">
      <c r="G27" t="s">
        <v>12</v>
      </c>
    </row>
    <row r="29" spans="7:7">
      <c r="G29" s="18" t="s">
        <v>13</v>
      </c>
    </row>
    <row r="30" spans="7:7">
      <c r="G30" t="s">
        <v>14</v>
      </c>
    </row>
    <row r="31" spans="7:7">
      <c r="G31" t="s">
        <v>15</v>
      </c>
    </row>
    <row r="32" spans="7:7">
      <c r="G32" t="s">
        <v>16</v>
      </c>
    </row>
    <row r="33" spans="7:7">
      <c r="G33" t="s">
        <v>17</v>
      </c>
    </row>
    <row r="34" spans="7:7">
      <c r="G34" t="s">
        <v>18</v>
      </c>
    </row>
    <row r="35" spans="7:7">
      <c r="G35" t="s">
        <v>19</v>
      </c>
    </row>
  </sheetData>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329"/>
  <sheetViews>
    <sheetView topLeftCell="AB1" workbookViewId="0">
      <selection activeCell="AC2" sqref="AC2:AC1329"/>
    </sheetView>
  </sheetViews>
  <sheetFormatPr defaultRowHeight="15"/>
  <cols>
    <col min="1" max="1" width="21" customWidth="1"/>
    <col min="2" max="2" width="31.140625" customWidth="1"/>
    <col min="3" max="3" width="23.140625" bestFit="1" customWidth="1"/>
    <col min="4" max="4" width="19.7109375" customWidth="1"/>
    <col min="5" max="5" width="26.85546875" bestFit="1" customWidth="1"/>
    <col min="6" max="6" width="21.85546875" bestFit="1" customWidth="1"/>
    <col min="7" max="7" width="36.7109375" bestFit="1" customWidth="1"/>
    <col min="8" max="8" width="16.5703125" bestFit="1" customWidth="1"/>
    <col min="9" max="9" width="11.85546875" bestFit="1" customWidth="1"/>
    <col min="10" max="10" width="18.140625" bestFit="1" customWidth="1"/>
    <col min="11" max="11" width="21" hidden="1" customWidth="1"/>
    <col min="12" max="14" width="25.140625" hidden="1" customWidth="1"/>
    <col min="15" max="15" width="17.85546875" style="1" bestFit="1" customWidth="1"/>
    <col min="16" max="16" width="24.140625" bestFit="1" customWidth="1"/>
    <col min="17" max="17" width="12.42578125" bestFit="1" customWidth="1"/>
    <col min="18" max="18" width="25.7109375" bestFit="1" customWidth="1"/>
    <col min="19" max="19" width="23.28515625" bestFit="1" customWidth="1"/>
    <col min="20" max="20" width="24.42578125" bestFit="1" customWidth="1"/>
    <col min="21" max="21" width="18.7109375" bestFit="1" customWidth="1"/>
    <col min="22" max="22" width="16.42578125" bestFit="1" customWidth="1"/>
    <col min="23" max="23" width="21.85546875" bestFit="1" customWidth="1"/>
    <col min="24" max="24" width="25.140625" bestFit="1" customWidth="1"/>
    <col min="25" max="25" width="20.140625" bestFit="1" customWidth="1"/>
    <col min="26" max="26" width="25.140625" hidden="1" customWidth="1"/>
    <col min="27" max="27" width="42.42578125" customWidth="1"/>
    <col min="28" max="28" width="47.42578125" customWidth="1"/>
    <col min="29" max="29" width="24.140625" customWidth="1"/>
    <col min="30" max="30" width="16.28515625" customWidth="1"/>
    <col min="31" max="31" width="15.28515625" customWidth="1"/>
  </cols>
  <sheetData>
    <row r="1" spans="1:32">
      <c r="A1" t="s">
        <v>20</v>
      </c>
      <c r="B1" t="s">
        <v>21</v>
      </c>
      <c r="C1" t="s">
        <v>22</v>
      </c>
      <c r="D1" t="s">
        <v>23</v>
      </c>
      <c r="E1" t="s">
        <v>24</v>
      </c>
      <c r="F1" t="s">
        <v>25</v>
      </c>
      <c r="G1" t="s">
        <v>26</v>
      </c>
      <c r="H1" t="s">
        <v>27</v>
      </c>
      <c r="I1" t="s">
        <v>28</v>
      </c>
      <c r="J1" t="s">
        <v>29</v>
      </c>
      <c r="K1" t="s">
        <v>30</v>
      </c>
      <c r="L1" t="s">
        <v>31</v>
      </c>
      <c r="M1" t="s">
        <v>32</v>
      </c>
      <c r="N1" t="s">
        <v>33</v>
      </c>
      <c r="O1" s="1" t="s">
        <v>34</v>
      </c>
      <c r="P1" t="s">
        <v>35</v>
      </c>
      <c r="Q1" t="s">
        <v>36</v>
      </c>
      <c r="R1" t="s">
        <v>37</v>
      </c>
      <c r="S1" t="s">
        <v>38</v>
      </c>
      <c r="T1" t="s">
        <v>39</v>
      </c>
      <c r="U1" t="s">
        <v>40</v>
      </c>
      <c r="V1" t="s">
        <v>41</v>
      </c>
      <c r="W1" t="s">
        <v>42</v>
      </c>
      <c r="X1" t="s">
        <v>43</v>
      </c>
      <c r="Y1" t="s">
        <v>44</v>
      </c>
      <c r="Z1" t="s">
        <v>45</v>
      </c>
      <c r="AA1" t="s">
        <v>46</v>
      </c>
      <c r="AB1" t="s">
        <v>47</v>
      </c>
      <c r="AC1" t="s">
        <v>48</v>
      </c>
      <c r="AD1" t="s">
        <v>49</v>
      </c>
      <c r="AE1" t="s">
        <v>50</v>
      </c>
      <c r="AF1" t="s">
        <v>51</v>
      </c>
    </row>
    <row r="2" spans="1:32">
      <c r="A2" t="s">
        <v>52</v>
      </c>
      <c r="B2" t="s">
        <v>53</v>
      </c>
      <c r="C2">
        <v>45</v>
      </c>
      <c r="D2" t="s">
        <v>54</v>
      </c>
      <c r="E2" t="s">
        <v>55</v>
      </c>
      <c r="F2" t="s">
        <v>56</v>
      </c>
      <c r="G2" t="s">
        <v>57</v>
      </c>
      <c r="H2" t="s">
        <v>58</v>
      </c>
      <c r="I2" t="b">
        <v>0</v>
      </c>
      <c r="K2" t="s">
        <v>52</v>
      </c>
      <c r="L2" t="s">
        <v>59</v>
      </c>
      <c r="M2" t="s">
        <v>60</v>
      </c>
      <c r="N2" t="s">
        <v>60</v>
      </c>
      <c r="O2" s="1">
        <v>46152</v>
      </c>
      <c r="P2" t="s">
        <v>61</v>
      </c>
      <c r="Q2" t="s">
        <v>62</v>
      </c>
      <c r="R2" t="s">
        <v>63</v>
      </c>
      <c r="S2" t="b">
        <v>0</v>
      </c>
      <c r="T2" t="b">
        <v>0</v>
      </c>
      <c r="U2" t="s">
        <v>62</v>
      </c>
      <c r="V2" t="s">
        <v>64</v>
      </c>
      <c r="W2" t="s">
        <v>65</v>
      </c>
      <c r="X2" t="s">
        <v>66</v>
      </c>
      <c r="Y2" t="s">
        <v>67</v>
      </c>
      <c r="Z2" t="s">
        <v>59</v>
      </c>
      <c r="AA2" t="b">
        <f>ISNUMBER(SEARCH(";"&amp;Lessons[[#This Row],[Instrument__c]]&amp;";",";"&amp;_xlfn.XLOOKUP(Lessons[[#This Row],[Instructor_External_Id__c]], Instructors[Id], Instructors[Instruments_Taught__c])&amp;";"))</f>
        <v>1</v>
      </c>
      <c r="AB2" t="str">
        <f>IF(LEFT(Lessons[[#This Row],[Status__c]],9)="Cancelled","",Lessons[[#This Row],[Instructor_External_Id__c]]&amp;"|"&amp;TEXT(Lessons[[#This Row],[Lesson_Date__c]],"yyyy-mm-dd")&amp;"|"&amp;Lessons[[#This Row],[Start_Time__c]])</f>
        <v>a06ak00000amzC9AAI|2026-05-10|11:00:00.000Z</v>
      </c>
      <c r="AC2">
        <f>IF(Lessons[[#This Row],[Double Booked Key]]="","",COUNTIF(Lessons[Double Booked Key],Lessons[[#This Row],[Double Booked Key]]))</f>
        <v>1</v>
      </c>
      <c r="AD2" s="6" t="str">
        <f>_xlfn.XLOOKUP(Lessons[[#This Row],[Location_External_Id__c]], Locations[Location Id], Locations[Location Name])</f>
        <v>Red Bank</v>
      </c>
      <c r="AE2" s="6" t="str">
        <f>TEXT(Lessons[[#This Row],[Lesson_Date__c]], "yyyy-mm")</f>
        <v>2026-05</v>
      </c>
      <c r="AF2" s="6" t="str">
        <f>IF(Lessons[[#This Row],[Lesson_Date__c]]&lt;=Data_Audit!$F$1, "Yes", "No")</f>
        <v>Yes</v>
      </c>
    </row>
    <row r="3" spans="1:32">
      <c r="A3" t="s">
        <v>52</v>
      </c>
      <c r="B3" t="s">
        <v>53</v>
      </c>
      <c r="C3">
        <v>45</v>
      </c>
      <c r="D3" t="s">
        <v>68</v>
      </c>
      <c r="E3" t="s">
        <v>55</v>
      </c>
      <c r="F3" t="s">
        <v>56</v>
      </c>
      <c r="G3" t="s">
        <v>69</v>
      </c>
      <c r="H3" t="s">
        <v>58</v>
      </c>
      <c r="I3" t="b">
        <v>0</v>
      </c>
      <c r="K3" t="s">
        <v>52</v>
      </c>
      <c r="L3" t="s">
        <v>70</v>
      </c>
      <c r="M3" t="s">
        <v>71</v>
      </c>
      <c r="N3" t="s">
        <v>71</v>
      </c>
      <c r="O3" s="1">
        <v>46062</v>
      </c>
      <c r="P3" t="s">
        <v>72</v>
      </c>
      <c r="Q3" t="s">
        <v>73</v>
      </c>
      <c r="R3" t="s">
        <v>63</v>
      </c>
      <c r="S3" t="b">
        <v>0</v>
      </c>
      <c r="T3" t="b">
        <v>0</v>
      </c>
      <c r="U3" t="s">
        <v>73</v>
      </c>
      <c r="V3" t="s">
        <v>74</v>
      </c>
      <c r="W3" t="s">
        <v>65</v>
      </c>
      <c r="X3" t="s">
        <v>66</v>
      </c>
      <c r="Y3" t="s">
        <v>67</v>
      </c>
      <c r="Z3" t="s">
        <v>70</v>
      </c>
      <c r="AA3" t="b">
        <f>ISNUMBER(SEARCH(";"&amp;Lessons[[#This Row],[Instrument__c]]&amp;";",";"&amp;_xlfn.XLOOKUP(Lessons[[#This Row],[Instructor_External_Id__c]], Instructors[Id], Instructors[Instruments_Taught__c])&amp;";"))</f>
        <v>1</v>
      </c>
      <c r="AB3" t="str">
        <f>IF(LEFT(Lessons[[#This Row],[Status__c]],9)="Cancelled","",Lessons[[#This Row],[Instructor_External_Id__c]]&amp;"|"&amp;TEXT(Lessons[[#This Row],[Lesson_Date__c]],"yyyy-mm-dd")&amp;"|"&amp;Lessons[[#This Row],[Start_Time__c]])</f>
        <v>a06ak00000amzC9AAI|2026-02-09|16:30:00.000Z</v>
      </c>
      <c r="AC3">
        <f>IF(Lessons[[#This Row],[Double Booked Key]]="","",COUNTIF(Lessons[Double Booked Key],Lessons[[#This Row],[Double Booked Key]]))</f>
        <v>1</v>
      </c>
      <c r="AD3" s="6" t="str">
        <f>_xlfn.XLOOKUP(Lessons[[#This Row],[Location_External_Id__c]], Locations[Location Id], Locations[Location Name])</f>
        <v>Red Bank</v>
      </c>
      <c r="AE3" s="6" t="str">
        <f>TEXT(Lessons[[#This Row],[Lesson_Date__c]], "yyyy-mm")</f>
        <v>2026-02</v>
      </c>
      <c r="AF3" s="6" t="str">
        <f>IF(Lessons[[#This Row],[Lesson_Date__c]]&lt;=Data_Audit!$F$1, "Yes", "No")</f>
        <v>Yes</v>
      </c>
    </row>
    <row r="4" spans="1:32">
      <c r="A4" t="s">
        <v>52</v>
      </c>
      <c r="B4" t="s">
        <v>53</v>
      </c>
      <c r="C4">
        <v>30</v>
      </c>
      <c r="D4" t="s">
        <v>75</v>
      </c>
      <c r="E4" t="s">
        <v>76</v>
      </c>
      <c r="F4" t="s">
        <v>77</v>
      </c>
      <c r="H4" t="s">
        <v>78</v>
      </c>
      <c r="I4" t="b">
        <v>0</v>
      </c>
      <c r="K4" t="s">
        <v>52</v>
      </c>
      <c r="L4" t="s">
        <v>79</v>
      </c>
      <c r="M4" t="s">
        <v>80</v>
      </c>
      <c r="N4" t="s">
        <v>80</v>
      </c>
      <c r="O4" s="1">
        <v>46289</v>
      </c>
      <c r="P4" t="s">
        <v>81</v>
      </c>
      <c r="Q4" t="s">
        <v>82</v>
      </c>
      <c r="R4" t="s">
        <v>83</v>
      </c>
      <c r="S4" t="b">
        <v>0</v>
      </c>
      <c r="T4" t="b">
        <v>0</v>
      </c>
      <c r="U4" t="s">
        <v>82</v>
      </c>
      <c r="V4" t="s">
        <v>84</v>
      </c>
      <c r="W4" t="s">
        <v>85</v>
      </c>
      <c r="X4" t="s">
        <v>86</v>
      </c>
      <c r="Y4" t="s">
        <v>87</v>
      </c>
      <c r="Z4" t="s">
        <v>79</v>
      </c>
      <c r="AA4" t="b">
        <f>ISNUMBER(SEARCH(";"&amp;Lessons[[#This Row],[Instrument__c]]&amp;";",";"&amp;_xlfn.XLOOKUP(Lessons[[#This Row],[Instructor_External_Id__c]], Instructors[Id], Instructors[Instruments_Taught__c])&amp;";"))</f>
        <v>1</v>
      </c>
      <c r="AB4" t="str">
        <f>IF(LEFT(Lessons[[#This Row],[Status__c]],9)="Cancelled","",Lessons[[#This Row],[Instructor_External_Id__c]]&amp;"|"&amp;TEXT(Lessons[[#This Row],[Lesson_Date__c]],"yyyy-mm-dd")&amp;"|"&amp;Lessons[[#This Row],[Start_Time__c]])</f>
        <v/>
      </c>
      <c r="AC4" t="str">
        <f>IF(Lessons[[#This Row],[Double Booked Key]]="","",COUNTIF(Lessons[Double Booked Key],Lessons[[#This Row],[Double Booked Key]]))</f>
        <v/>
      </c>
      <c r="AD4" s="6" t="str">
        <f>_xlfn.XLOOKUP(Lessons[[#This Row],[Location_External_Id__c]], Locations[Location Id], Locations[Location Name])</f>
        <v>Brick</v>
      </c>
      <c r="AE4" s="6" t="str">
        <f>TEXT(Lessons[[#This Row],[Lesson_Date__c]], "yyyy-mm")</f>
        <v>2026-09</v>
      </c>
      <c r="AF4" s="6" t="str">
        <f>IF(Lessons[[#This Row],[Lesson_Date__c]]&lt;=Data_Audit!$F$1, "Yes", "No")</f>
        <v>Yes</v>
      </c>
    </row>
    <row r="5" spans="1:32">
      <c r="A5" t="s">
        <v>52</v>
      </c>
      <c r="B5" t="s">
        <v>53</v>
      </c>
      <c r="C5">
        <v>30</v>
      </c>
      <c r="D5" t="s">
        <v>88</v>
      </c>
      <c r="E5" t="s">
        <v>89</v>
      </c>
      <c r="F5" t="s">
        <v>90</v>
      </c>
      <c r="G5" t="s">
        <v>57</v>
      </c>
      <c r="H5" t="s">
        <v>78</v>
      </c>
      <c r="I5" t="b">
        <v>0</v>
      </c>
      <c r="K5" t="s">
        <v>52</v>
      </c>
      <c r="L5" t="s">
        <v>91</v>
      </c>
      <c r="M5" t="s">
        <v>80</v>
      </c>
      <c r="N5" t="s">
        <v>80</v>
      </c>
      <c r="O5" s="1">
        <v>46092</v>
      </c>
      <c r="P5" t="s">
        <v>92</v>
      </c>
      <c r="Q5" t="s">
        <v>93</v>
      </c>
      <c r="R5" t="s">
        <v>83</v>
      </c>
      <c r="S5" t="b">
        <v>0</v>
      </c>
      <c r="T5" t="b">
        <v>0</v>
      </c>
      <c r="U5" t="s">
        <v>93</v>
      </c>
      <c r="V5" t="s">
        <v>94</v>
      </c>
      <c r="W5" t="s">
        <v>95</v>
      </c>
      <c r="X5" t="s">
        <v>86</v>
      </c>
      <c r="Y5" t="s">
        <v>87</v>
      </c>
      <c r="Z5" t="s">
        <v>91</v>
      </c>
      <c r="AA5" t="b">
        <f>ISNUMBER(SEARCH(";"&amp;Lessons[[#This Row],[Instrument__c]]&amp;";",";"&amp;_xlfn.XLOOKUP(Lessons[[#This Row],[Instructor_External_Id__c]], Instructors[Id], Instructors[Instruments_Taught__c])&amp;";"))</f>
        <v>0</v>
      </c>
      <c r="AB5" t="str">
        <f>IF(LEFT(Lessons[[#This Row],[Status__c]],9)="Cancelled","",Lessons[[#This Row],[Instructor_External_Id__c]]&amp;"|"&amp;TEXT(Lessons[[#This Row],[Lesson_Date__c]],"yyyy-mm-dd")&amp;"|"&amp;Lessons[[#This Row],[Start_Time__c]])</f>
        <v>a06ak00000amzCFAAY|2026-03-11|19:00:00.000Z</v>
      </c>
      <c r="AC5">
        <f>IF(Lessons[[#This Row],[Double Booked Key]]="","",COUNTIF(Lessons[Double Booked Key],Lessons[[#This Row],[Double Booked Key]]))</f>
        <v>1</v>
      </c>
      <c r="AD5" s="6" t="str">
        <f>_xlfn.XLOOKUP(Lessons[[#This Row],[Location_External_Id__c]], Locations[Location Id], Locations[Location Name])</f>
        <v>Brick</v>
      </c>
      <c r="AE5" s="6" t="str">
        <f>TEXT(Lessons[[#This Row],[Lesson_Date__c]], "yyyy-mm")</f>
        <v>2026-03</v>
      </c>
      <c r="AF5" s="6" t="str">
        <f>IF(Lessons[[#This Row],[Lesson_Date__c]]&lt;=Data_Audit!$F$1, "Yes", "No")</f>
        <v>Yes</v>
      </c>
    </row>
    <row r="6" spans="1:32">
      <c r="A6" t="s">
        <v>52</v>
      </c>
      <c r="B6" t="s">
        <v>53</v>
      </c>
      <c r="C6">
        <v>45</v>
      </c>
      <c r="D6" t="s">
        <v>96</v>
      </c>
      <c r="E6" t="s">
        <v>97</v>
      </c>
      <c r="F6" t="s">
        <v>98</v>
      </c>
      <c r="G6" t="s">
        <v>99</v>
      </c>
      <c r="H6" t="s">
        <v>78</v>
      </c>
      <c r="I6" t="b">
        <v>0</v>
      </c>
      <c r="K6" t="s">
        <v>52</v>
      </c>
      <c r="L6" t="s">
        <v>70</v>
      </c>
      <c r="M6" t="s">
        <v>80</v>
      </c>
      <c r="N6" t="s">
        <v>80</v>
      </c>
      <c r="O6" s="1">
        <v>46146</v>
      </c>
      <c r="P6" t="s">
        <v>100</v>
      </c>
      <c r="Q6" t="s">
        <v>101</v>
      </c>
      <c r="R6" t="s">
        <v>83</v>
      </c>
      <c r="S6" t="b">
        <v>0</v>
      </c>
      <c r="T6" t="b">
        <v>0</v>
      </c>
      <c r="U6" t="s">
        <v>101</v>
      </c>
      <c r="V6" t="s">
        <v>102</v>
      </c>
      <c r="W6" t="s">
        <v>65</v>
      </c>
      <c r="X6" t="s">
        <v>86</v>
      </c>
      <c r="Y6" t="s">
        <v>87</v>
      </c>
      <c r="Z6" t="s">
        <v>70</v>
      </c>
      <c r="AA6" t="b">
        <f>ISNUMBER(SEARCH(";"&amp;Lessons[[#This Row],[Instrument__c]]&amp;";",";"&amp;_xlfn.XLOOKUP(Lessons[[#This Row],[Instructor_External_Id__c]], Instructors[Id], Instructors[Instruments_Taught__c])&amp;";"))</f>
        <v>1</v>
      </c>
      <c r="AB6" t="str">
        <f>IF(LEFT(Lessons[[#This Row],[Status__c]],9)="Cancelled","",Lessons[[#This Row],[Instructor_External_Id__c]]&amp;"|"&amp;TEXT(Lessons[[#This Row],[Lesson_Date__c]],"yyyy-mm-dd")&amp;"|"&amp;Lessons[[#This Row],[Start_Time__c]])</f>
        <v>a06ak00000amzBvAAI|2026-05-04|16:00:00.000Z</v>
      </c>
      <c r="AC6">
        <f>IF(Lessons[[#This Row],[Double Booked Key]]="","",COUNTIF(Lessons[Double Booked Key],Lessons[[#This Row],[Double Booked Key]]))</f>
        <v>1</v>
      </c>
      <c r="AD6" s="6" t="str">
        <f>_xlfn.XLOOKUP(Lessons[[#This Row],[Location_External_Id__c]], Locations[Location Id], Locations[Location Name])</f>
        <v>Brick</v>
      </c>
      <c r="AE6" s="6" t="str">
        <f>TEXT(Lessons[[#This Row],[Lesson_Date__c]], "yyyy-mm")</f>
        <v>2026-05</v>
      </c>
      <c r="AF6" s="6" t="str">
        <f>IF(Lessons[[#This Row],[Lesson_Date__c]]&lt;=Data_Audit!$F$1, "Yes", "No")</f>
        <v>Yes</v>
      </c>
    </row>
    <row r="7" spans="1:32">
      <c r="A7" t="s">
        <v>52</v>
      </c>
      <c r="B7" t="s">
        <v>53</v>
      </c>
      <c r="C7">
        <v>60</v>
      </c>
      <c r="D7" t="s">
        <v>103</v>
      </c>
      <c r="E7" t="s">
        <v>104</v>
      </c>
      <c r="F7" t="s">
        <v>105</v>
      </c>
      <c r="G7" t="s">
        <v>106</v>
      </c>
      <c r="H7" t="s">
        <v>107</v>
      </c>
      <c r="I7" t="b">
        <v>0</v>
      </c>
      <c r="K7" t="s">
        <v>52</v>
      </c>
      <c r="L7" t="s">
        <v>70</v>
      </c>
      <c r="M7" t="s">
        <v>80</v>
      </c>
      <c r="N7" t="s">
        <v>80</v>
      </c>
      <c r="O7" s="1">
        <v>46267</v>
      </c>
      <c r="P7" t="s">
        <v>108</v>
      </c>
      <c r="Q7" t="s">
        <v>109</v>
      </c>
      <c r="R7" t="s">
        <v>63</v>
      </c>
      <c r="S7" t="b">
        <v>0</v>
      </c>
      <c r="T7" t="b">
        <v>0</v>
      </c>
      <c r="U7" t="s">
        <v>109</v>
      </c>
      <c r="V7" t="s">
        <v>110</v>
      </c>
      <c r="W7" t="s">
        <v>65</v>
      </c>
      <c r="X7" t="s">
        <v>111</v>
      </c>
      <c r="Y7" t="s">
        <v>112</v>
      </c>
      <c r="Z7" t="s">
        <v>70</v>
      </c>
      <c r="AA7" t="b">
        <f>ISNUMBER(SEARCH(";"&amp;Lessons[[#This Row],[Instrument__c]]&amp;";",";"&amp;_xlfn.XLOOKUP(Lessons[[#This Row],[Instructor_External_Id__c]], Instructors[Id], Instructors[Instruments_Taught__c])&amp;";"))</f>
        <v>1</v>
      </c>
      <c r="AB7" t="str">
        <f>IF(LEFT(Lessons[[#This Row],[Status__c]],9)="Cancelled","",Lessons[[#This Row],[Instructor_External_Id__c]]&amp;"|"&amp;TEXT(Lessons[[#This Row],[Lesson_Date__c]],"yyyy-mm-dd")&amp;"|"&amp;Lessons[[#This Row],[Start_Time__c]])</f>
        <v>a06ak00000amzBeAAI|2026-09-02|10:00:00.000Z</v>
      </c>
      <c r="AC7">
        <f>IF(Lessons[[#This Row],[Double Booked Key]]="","",COUNTIF(Lessons[Double Booked Key],Lessons[[#This Row],[Double Booked Key]]))</f>
        <v>1</v>
      </c>
      <c r="AD7" s="6" t="str">
        <f>_xlfn.XLOOKUP(Lessons[[#This Row],[Location_External_Id__c]], Locations[Location Id], Locations[Location Name])</f>
        <v>Red Bank</v>
      </c>
      <c r="AE7" s="6" t="str">
        <f>TEXT(Lessons[[#This Row],[Lesson_Date__c]], "yyyy-mm")</f>
        <v>2026-09</v>
      </c>
      <c r="AF7" s="6" t="str">
        <f>IF(Lessons[[#This Row],[Lesson_Date__c]]&lt;=Data_Audit!$F$1, "Yes", "No")</f>
        <v>Yes</v>
      </c>
    </row>
    <row r="8" spans="1:32">
      <c r="A8" t="s">
        <v>52</v>
      </c>
      <c r="B8" t="s">
        <v>53</v>
      </c>
      <c r="C8">
        <v>60</v>
      </c>
      <c r="D8" t="s">
        <v>113</v>
      </c>
      <c r="E8" t="s">
        <v>104</v>
      </c>
      <c r="F8" t="s">
        <v>105</v>
      </c>
      <c r="G8" t="s">
        <v>69</v>
      </c>
      <c r="H8" t="s">
        <v>107</v>
      </c>
      <c r="I8" t="b">
        <v>0</v>
      </c>
      <c r="K8" t="s">
        <v>52</v>
      </c>
      <c r="L8" t="s">
        <v>70</v>
      </c>
      <c r="M8" t="s">
        <v>80</v>
      </c>
      <c r="N8" t="s">
        <v>80</v>
      </c>
      <c r="O8" s="1">
        <v>46049</v>
      </c>
      <c r="P8" t="s">
        <v>114</v>
      </c>
      <c r="Q8" t="s">
        <v>115</v>
      </c>
      <c r="R8" t="s">
        <v>63</v>
      </c>
      <c r="S8" t="b">
        <v>0</v>
      </c>
      <c r="T8" t="b">
        <v>0</v>
      </c>
      <c r="U8" t="s">
        <v>115</v>
      </c>
      <c r="V8" t="s">
        <v>116</v>
      </c>
      <c r="W8" t="s">
        <v>65</v>
      </c>
      <c r="X8" t="s">
        <v>111</v>
      </c>
      <c r="Y8" t="s">
        <v>112</v>
      </c>
      <c r="Z8" t="s">
        <v>70</v>
      </c>
      <c r="AA8" t="b">
        <f>ISNUMBER(SEARCH(";"&amp;Lessons[[#This Row],[Instrument__c]]&amp;";",";"&amp;_xlfn.XLOOKUP(Lessons[[#This Row],[Instructor_External_Id__c]], Instructors[Id], Instructors[Instruments_Taught__c])&amp;";"))</f>
        <v>1</v>
      </c>
      <c r="AB8" t="str">
        <f>IF(LEFT(Lessons[[#This Row],[Status__c]],9)="Cancelled","",Lessons[[#This Row],[Instructor_External_Id__c]]&amp;"|"&amp;TEXT(Lessons[[#This Row],[Lesson_Date__c]],"yyyy-mm-dd")&amp;"|"&amp;Lessons[[#This Row],[Start_Time__c]])</f>
        <v>a06ak00000amzBeAAI|2026-01-27|17:30:00.000Z</v>
      </c>
      <c r="AC8">
        <f>IF(Lessons[[#This Row],[Double Booked Key]]="","",COUNTIF(Lessons[Double Booked Key],Lessons[[#This Row],[Double Booked Key]]))</f>
        <v>1</v>
      </c>
      <c r="AD8" s="6" t="str">
        <f>_xlfn.XLOOKUP(Lessons[[#This Row],[Location_External_Id__c]], Locations[Location Id], Locations[Location Name])</f>
        <v>Red Bank</v>
      </c>
      <c r="AE8" s="6" t="str">
        <f>TEXT(Lessons[[#This Row],[Lesson_Date__c]], "yyyy-mm")</f>
        <v>2026-01</v>
      </c>
      <c r="AF8" s="6" t="str">
        <f>IF(Lessons[[#This Row],[Lesson_Date__c]]&lt;=Data_Audit!$F$1, "Yes", "No")</f>
        <v>Yes</v>
      </c>
    </row>
    <row r="9" spans="1:32">
      <c r="A9" t="s">
        <v>52</v>
      </c>
      <c r="B9" t="s">
        <v>53</v>
      </c>
      <c r="C9">
        <v>30</v>
      </c>
      <c r="D9" t="s">
        <v>117</v>
      </c>
      <c r="E9" t="s">
        <v>104</v>
      </c>
      <c r="F9" t="s">
        <v>105</v>
      </c>
      <c r="H9" t="s">
        <v>107</v>
      </c>
      <c r="I9" t="b">
        <v>0</v>
      </c>
      <c r="K9" t="s">
        <v>52</v>
      </c>
      <c r="L9" t="s">
        <v>70</v>
      </c>
      <c r="M9" t="s">
        <v>80</v>
      </c>
      <c r="N9" t="s">
        <v>80</v>
      </c>
      <c r="O9" s="1">
        <v>46117</v>
      </c>
      <c r="P9" t="s">
        <v>118</v>
      </c>
      <c r="Q9" t="s">
        <v>119</v>
      </c>
      <c r="R9" t="s">
        <v>63</v>
      </c>
      <c r="S9" t="b">
        <v>0</v>
      </c>
      <c r="T9" t="b">
        <v>0</v>
      </c>
      <c r="U9" t="s">
        <v>119</v>
      </c>
      <c r="V9" t="s">
        <v>120</v>
      </c>
      <c r="W9" t="s">
        <v>121</v>
      </c>
      <c r="X9" t="s">
        <v>111</v>
      </c>
      <c r="Y9" t="s">
        <v>112</v>
      </c>
      <c r="Z9" t="s">
        <v>70</v>
      </c>
      <c r="AA9" t="b">
        <f>ISNUMBER(SEARCH(";"&amp;Lessons[[#This Row],[Instrument__c]]&amp;";",";"&amp;_xlfn.XLOOKUP(Lessons[[#This Row],[Instructor_External_Id__c]], Instructors[Id], Instructors[Instruments_Taught__c])&amp;";"))</f>
        <v>1</v>
      </c>
      <c r="AB9" t="str">
        <f>IF(LEFT(Lessons[[#This Row],[Status__c]],9)="Cancelled","",Lessons[[#This Row],[Instructor_External_Id__c]]&amp;"|"&amp;TEXT(Lessons[[#This Row],[Lesson_Date__c]],"yyyy-mm-dd")&amp;"|"&amp;Lessons[[#This Row],[Start_Time__c]])</f>
        <v>a06ak00000amzBeAAI|2026-04-05|18:00:00.000Z</v>
      </c>
      <c r="AC9">
        <f>IF(Lessons[[#This Row],[Double Booked Key]]="","",COUNTIF(Lessons[Double Booked Key],Lessons[[#This Row],[Double Booked Key]]))</f>
        <v>1</v>
      </c>
      <c r="AD9" s="6" t="str">
        <f>_xlfn.XLOOKUP(Lessons[[#This Row],[Location_External_Id__c]], Locations[Location Id], Locations[Location Name])</f>
        <v>Red Bank</v>
      </c>
      <c r="AE9" s="6" t="str">
        <f>TEXT(Lessons[[#This Row],[Lesson_Date__c]], "yyyy-mm")</f>
        <v>2026-04</v>
      </c>
      <c r="AF9" s="6" t="str">
        <f>IF(Lessons[[#This Row],[Lesson_Date__c]]&lt;=Data_Audit!$F$1, "Yes", "No")</f>
        <v>Yes</v>
      </c>
    </row>
    <row r="10" spans="1:32">
      <c r="A10" t="s">
        <v>52</v>
      </c>
      <c r="B10" t="s">
        <v>53</v>
      </c>
      <c r="C10">
        <v>30</v>
      </c>
      <c r="D10" t="s">
        <v>122</v>
      </c>
      <c r="E10" t="s">
        <v>104</v>
      </c>
      <c r="F10" t="s">
        <v>105</v>
      </c>
      <c r="H10" t="s">
        <v>107</v>
      </c>
      <c r="I10" t="b">
        <v>0</v>
      </c>
      <c r="K10" t="s">
        <v>52</v>
      </c>
      <c r="L10" t="s">
        <v>70</v>
      </c>
      <c r="M10" t="s">
        <v>80</v>
      </c>
      <c r="N10" t="s">
        <v>80</v>
      </c>
      <c r="O10" s="1">
        <v>46258</v>
      </c>
      <c r="P10" t="s">
        <v>123</v>
      </c>
      <c r="Q10" t="s">
        <v>124</v>
      </c>
      <c r="R10" t="s">
        <v>63</v>
      </c>
      <c r="S10" t="b">
        <v>0</v>
      </c>
      <c r="T10" t="b">
        <v>0</v>
      </c>
      <c r="U10" t="s">
        <v>124</v>
      </c>
      <c r="V10" t="s">
        <v>120</v>
      </c>
      <c r="W10" t="s">
        <v>121</v>
      </c>
      <c r="X10" t="s">
        <v>111</v>
      </c>
      <c r="Y10" t="s">
        <v>112</v>
      </c>
      <c r="Z10" t="s">
        <v>70</v>
      </c>
      <c r="AA10" t="b">
        <f>ISNUMBER(SEARCH(";"&amp;Lessons[[#This Row],[Instrument__c]]&amp;";",";"&amp;_xlfn.XLOOKUP(Lessons[[#This Row],[Instructor_External_Id__c]], Instructors[Id], Instructors[Instruments_Taught__c])&amp;";"))</f>
        <v>1</v>
      </c>
      <c r="AB10" t="str">
        <f>IF(LEFT(Lessons[[#This Row],[Status__c]],9)="Cancelled","",Lessons[[#This Row],[Instructor_External_Id__c]]&amp;"|"&amp;TEXT(Lessons[[#This Row],[Lesson_Date__c]],"yyyy-mm-dd")&amp;"|"&amp;Lessons[[#This Row],[Start_Time__c]])</f>
        <v>a06ak00000amzBeAAI|2026-08-24|18:00:00.000Z</v>
      </c>
      <c r="AC10">
        <f>IF(Lessons[[#This Row],[Double Booked Key]]="","",COUNTIF(Lessons[Double Booked Key],Lessons[[#This Row],[Double Booked Key]]))</f>
        <v>1</v>
      </c>
      <c r="AD10" s="6" t="str">
        <f>_xlfn.XLOOKUP(Lessons[[#This Row],[Location_External_Id__c]], Locations[Location Id], Locations[Location Name])</f>
        <v>Red Bank</v>
      </c>
      <c r="AE10" s="6" t="str">
        <f>TEXT(Lessons[[#This Row],[Lesson_Date__c]], "yyyy-mm")</f>
        <v>2026-08</v>
      </c>
      <c r="AF10" s="6" t="str">
        <f>IF(Lessons[[#This Row],[Lesson_Date__c]]&lt;=Data_Audit!$F$1, "Yes", "No")</f>
        <v>Yes</v>
      </c>
    </row>
    <row r="11" spans="1:32">
      <c r="A11" t="s">
        <v>52</v>
      </c>
      <c r="B11" t="s">
        <v>53</v>
      </c>
      <c r="C11">
        <v>60</v>
      </c>
      <c r="D11" t="s">
        <v>125</v>
      </c>
      <c r="E11" t="s">
        <v>104</v>
      </c>
      <c r="F11" t="s">
        <v>105</v>
      </c>
      <c r="H11" t="s">
        <v>107</v>
      </c>
      <c r="I11" t="b">
        <v>0</v>
      </c>
      <c r="K11" t="s">
        <v>52</v>
      </c>
      <c r="L11" t="s">
        <v>70</v>
      </c>
      <c r="M11" t="s">
        <v>80</v>
      </c>
      <c r="N11" t="s">
        <v>80</v>
      </c>
      <c r="O11" s="1">
        <v>46116</v>
      </c>
      <c r="P11" t="s">
        <v>126</v>
      </c>
      <c r="Q11" t="s">
        <v>127</v>
      </c>
      <c r="R11" t="s">
        <v>63</v>
      </c>
      <c r="S11" t="b">
        <v>0</v>
      </c>
      <c r="T11" t="b">
        <v>0</v>
      </c>
      <c r="U11" t="s">
        <v>127</v>
      </c>
      <c r="V11" t="s">
        <v>128</v>
      </c>
      <c r="W11" t="s">
        <v>85</v>
      </c>
      <c r="X11" t="s">
        <v>111</v>
      </c>
      <c r="Y11" t="s">
        <v>112</v>
      </c>
      <c r="Z11" t="s">
        <v>70</v>
      </c>
      <c r="AA11" t="b">
        <f>ISNUMBER(SEARCH(";"&amp;Lessons[[#This Row],[Instrument__c]]&amp;";",";"&amp;_xlfn.XLOOKUP(Lessons[[#This Row],[Instructor_External_Id__c]], Instructors[Id], Instructors[Instruments_Taught__c])&amp;";"))</f>
        <v>1</v>
      </c>
      <c r="AB11" t="str">
        <f>IF(LEFT(Lessons[[#This Row],[Status__c]],9)="Cancelled","",Lessons[[#This Row],[Instructor_External_Id__c]]&amp;"|"&amp;TEXT(Lessons[[#This Row],[Lesson_Date__c]],"yyyy-mm-dd")&amp;"|"&amp;Lessons[[#This Row],[Start_Time__c]])</f>
        <v/>
      </c>
      <c r="AC11" t="str">
        <f>IF(Lessons[[#This Row],[Double Booked Key]]="","",COUNTIF(Lessons[Double Booked Key],Lessons[[#This Row],[Double Booked Key]]))</f>
        <v/>
      </c>
      <c r="AD11" s="6" t="str">
        <f>_xlfn.XLOOKUP(Lessons[[#This Row],[Location_External_Id__c]], Locations[Location Id], Locations[Location Name])</f>
        <v>Red Bank</v>
      </c>
      <c r="AE11" s="6" t="str">
        <f>TEXT(Lessons[[#This Row],[Lesson_Date__c]], "yyyy-mm")</f>
        <v>2026-04</v>
      </c>
      <c r="AF11" s="6" t="str">
        <f>IF(Lessons[[#This Row],[Lesson_Date__c]]&lt;=Data_Audit!$F$1, "Yes", "No")</f>
        <v>Yes</v>
      </c>
    </row>
    <row r="12" spans="1:32">
      <c r="A12" t="s">
        <v>52</v>
      </c>
      <c r="B12" t="s">
        <v>53</v>
      </c>
      <c r="C12">
        <v>45</v>
      </c>
      <c r="D12" t="s">
        <v>129</v>
      </c>
      <c r="E12" t="s">
        <v>104</v>
      </c>
      <c r="F12" t="s">
        <v>105</v>
      </c>
      <c r="G12" t="s">
        <v>69</v>
      </c>
      <c r="H12" t="s">
        <v>107</v>
      </c>
      <c r="I12" t="b">
        <v>0</v>
      </c>
      <c r="K12" t="s">
        <v>52</v>
      </c>
      <c r="L12" t="s">
        <v>70</v>
      </c>
      <c r="M12" t="s">
        <v>80</v>
      </c>
      <c r="N12" t="s">
        <v>80</v>
      </c>
      <c r="O12" s="1">
        <v>46109</v>
      </c>
      <c r="P12" t="s">
        <v>130</v>
      </c>
      <c r="Q12" t="s">
        <v>131</v>
      </c>
      <c r="R12" t="s">
        <v>63</v>
      </c>
      <c r="S12" t="b">
        <v>0</v>
      </c>
      <c r="T12" t="b">
        <v>0</v>
      </c>
      <c r="U12" t="s">
        <v>131</v>
      </c>
      <c r="V12" t="s">
        <v>128</v>
      </c>
      <c r="W12" t="s">
        <v>65</v>
      </c>
      <c r="X12" t="s">
        <v>111</v>
      </c>
      <c r="Y12" t="s">
        <v>112</v>
      </c>
      <c r="Z12" t="s">
        <v>70</v>
      </c>
      <c r="AA12" t="b">
        <f>ISNUMBER(SEARCH(";"&amp;Lessons[[#This Row],[Instrument__c]]&amp;";",";"&amp;_xlfn.XLOOKUP(Lessons[[#This Row],[Instructor_External_Id__c]], Instructors[Id], Instructors[Instruments_Taught__c])&amp;";"))</f>
        <v>1</v>
      </c>
      <c r="AB12" t="str">
        <f>IF(LEFT(Lessons[[#This Row],[Status__c]],9)="Cancelled","",Lessons[[#This Row],[Instructor_External_Id__c]]&amp;"|"&amp;TEXT(Lessons[[#This Row],[Lesson_Date__c]],"yyyy-mm-dd")&amp;"|"&amp;Lessons[[#This Row],[Start_Time__c]])</f>
        <v>a06ak00000amzBeAAI|2026-03-28|18:30:00.000Z</v>
      </c>
      <c r="AC12">
        <f>IF(Lessons[[#This Row],[Double Booked Key]]="","",COUNTIF(Lessons[Double Booked Key],Lessons[[#This Row],[Double Booked Key]]))</f>
        <v>1</v>
      </c>
      <c r="AD12" s="6" t="str">
        <f>_xlfn.XLOOKUP(Lessons[[#This Row],[Location_External_Id__c]], Locations[Location Id], Locations[Location Name])</f>
        <v>Red Bank</v>
      </c>
      <c r="AE12" s="6" t="str">
        <f>TEXT(Lessons[[#This Row],[Lesson_Date__c]], "yyyy-mm")</f>
        <v>2026-03</v>
      </c>
      <c r="AF12" s="6" t="str">
        <f>IF(Lessons[[#This Row],[Lesson_Date__c]]&lt;=Data_Audit!$F$1, "Yes", "No")</f>
        <v>Yes</v>
      </c>
    </row>
    <row r="13" spans="1:32">
      <c r="A13" t="s">
        <v>52</v>
      </c>
      <c r="B13" t="s">
        <v>53</v>
      </c>
      <c r="C13">
        <v>45</v>
      </c>
      <c r="D13" t="s">
        <v>132</v>
      </c>
      <c r="E13" t="s">
        <v>104</v>
      </c>
      <c r="F13" t="s">
        <v>105</v>
      </c>
      <c r="H13" t="s">
        <v>107</v>
      </c>
      <c r="I13" t="b">
        <v>0</v>
      </c>
      <c r="K13" t="s">
        <v>52</v>
      </c>
      <c r="L13" t="s">
        <v>70</v>
      </c>
      <c r="M13" t="s">
        <v>80</v>
      </c>
      <c r="N13" t="s">
        <v>80</v>
      </c>
      <c r="O13" s="1">
        <v>46287</v>
      </c>
      <c r="P13" t="s">
        <v>133</v>
      </c>
      <c r="Q13" t="s">
        <v>134</v>
      </c>
      <c r="R13" t="s">
        <v>63</v>
      </c>
      <c r="S13" t="b">
        <v>1</v>
      </c>
      <c r="T13" t="b">
        <v>1</v>
      </c>
      <c r="U13" t="s">
        <v>134</v>
      </c>
      <c r="V13" t="s">
        <v>135</v>
      </c>
      <c r="W13" t="s">
        <v>136</v>
      </c>
      <c r="X13" t="s">
        <v>111</v>
      </c>
      <c r="Y13" t="s">
        <v>112</v>
      </c>
      <c r="Z13" t="s">
        <v>70</v>
      </c>
      <c r="AA13" t="b">
        <f>ISNUMBER(SEARCH(";"&amp;Lessons[[#This Row],[Instrument__c]]&amp;";",";"&amp;_xlfn.XLOOKUP(Lessons[[#This Row],[Instructor_External_Id__c]], Instructors[Id], Instructors[Instruments_Taught__c])&amp;";"))</f>
        <v>1</v>
      </c>
      <c r="AB13" t="str">
        <f>IF(LEFT(Lessons[[#This Row],[Status__c]],9)="Cancelled","",Lessons[[#This Row],[Instructor_External_Id__c]]&amp;"|"&amp;TEXT(Lessons[[#This Row],[Lesson_Date__c]],"yyyy-mm-dd")&amp;"|"&amp;Lessons[[#This Row],[Start_Time__c]])</f>
        <v/>
      </c>
      <c r="AC13" t="str">
        <f>IF(Lessons[[#This Row],[Double Booked Key]]="","",COUNTIF(Lessons[Double Booked Key],Lessons[[#This Row],[Double Booked Key]]))</f>
        <v/>
      </c>
      <c r="AD13" s="6" t="str">
        <f>_xlfn.XLOOKUP(Lessons[[#This Row],[Location_External_Id__c]], Locations[Location Id], Locations[Location Name])</f>
        <v>Red Bank</v>
      </c>
      <c r="AE13" s="6" t="str">
        <f>TEXT(Lessons[[#This Row],[Lesson_Date__c]], "yyyy-mm")</f>
        <v>2026-09</v>
      </c>
      <c r="AF13" s="6" t="str">
        <f>IF(Lessons[[#This Row],[Lesson_Date__c]]&lt;=Data_Audit!$F$1, "Yes", "No")</f>
        <v>Yes</v>
      </c>
    </row>
    <row r="14" spans="1:32">
      <c r="A14" t="s">
        <v>52</v>
      </c>
      <c r="B14" t="s">
        <v>53</v>
      </c>
      <c r="C14">
        <v>60</v>
      </c>
      <c r="D14" t="s">
        <v>137</v>
      </c>
      <c r="E14" t="s">
        <v>104</v>
      </c>
      <c r="F14" t="s">
        <v>105</v>
      </c>
      <c r="G14" t="s">
        <v>57</v>
      </c>
      <c r="H14" t="s">
        <v>107</v>
      </c>
      <c r="I14" t="b">
        <v>0</v>
      </c>
      <c r="K14" t="s">
        <v>52</v>
      </c>
      <c r="L14" t="s">
        <v>70</v>
      </c>
      <c r="M14" t="s">
        <v>80</v>
      </c>
      <c r="N14" t="s">
        <v>80</v>
      </c>
      <c r="O14" s="1">
        <v>46197</v>
      </c>
      <c r="P14" t="s">
        <v>138</v>
      </c>
      <c r="Q14" t="s">
        <v>139</v>
      </c>
      <c r="R14" t="s">
        <v>63</v>
      </c>
      <c r="S14" t="b">
        <v>0</v>
      </c>
      <c r="T14" t="b">
        <v>0</v>
      </c>
      <c r="U14" t="s">
        <v>139</v>
      </c>
      <c r="V14" t="s">
        <v>140</v>
      </c>
      <c r="W14" t="s">
        <v>65</v>
      </c>
      <c r="X14" t="s">
        <v>111</v>
      </c>
      <c r="Y14" t="s">
        <v>112</v>
      </c>
      <c r="Z14" t="s">
        <v>70</v>
      </c>
      <c r="AA14" t="b">
        <f>ISNUMBER(SEARCH(";"&amp;Lessons[[#This Row],[Instrument__c]]&amp;";",";"&amp;_xlfn.XLOOKUP(Lessons[[#This Row],[Instructor_External_Id__c]], Instructors[Id], Instructors[Instruments_Taught__c])&amp;";"))</f>
        <v>1</v>
      </c>
      <c r="AB14" t="str">
        <f>IF(LEFT(Lessons[[#This Row],[Status__c]],9)="Cancelled","",Lessons[[#This Row],[Instructor_External_Id__c]]&amp;"|"&amp;TEXT(Lessons[[#This Row],[Lesson_Date__c]],"yyyy-mm-dd")&amp;"|"&amp;Lessons[[#This Row],[Start_Time__c]])</f>
        <v>a06ak00000amzBeAAI|2026-06-24|15:00:00.000Z</v>
      </c>
      <c r="AC14">
        <f>IF(Lessons[[#This Row],[Double Booked Key]]="","",COUNTIF(Lessons[Double Booked Key],Lessons[[#This Row],[Double Booked Key]]))</f>
        <v>1</v>
      </c>
      <c r="AD14" s="6" t="str">
        <f>_xlfn.XLOOKUP(Lessons[[#This Row],[Location_External_Id__c]], Locations[Location Id], Locations[Location Name])</f>
        <v>Red Bank</v>
      </c>
      <c r="AE14" s="6" t="str">
        <f>TEXT(Lessons[[#This Row],[Lesson_Date__c]], "yyyy-mm")</f>
        <v>2026-06</v>
      </c>
      <c r="AF14" s="6" t="str">
        <f>IF(Lessons[[#This Row],[Lesson_Date__c]]&lt;=Data_Audit!$F$1, "Yes", "No")</f>
        <v>Yes</v>
      </c>
    </row>
    <row r="15" spans="1:32">
      <c r="A15" t="s">
        <v>52</v>
      </c>
      <c r="B15" t="s">
        <v>53</v>
      </c>
      <c r="C15">
        <v>30</v>
      </c>
      <c r="D15" t="s">
        <v>141</v>
      </c>
      <c r="E15" t="s">
        <v>104</v>
      </c>
      <c r="F15" t="s">
        <v>105</v>
      </c>
      <c r="G15" t="s">
        <v>99</v>
      </c>
      <c r="H15" t="s">
        <v>107</v>
      </c>
      <c r="I15" t="b">
        <v>0</v>
      </c>
      <c r="K15" t="s">
        <v>52</v>
      </c>
      <c r="L15" t="s">
        <v>70</v>
      </c>
      <c r="M15" t="s">
        <v>80</v>
      </c>
      <c r="N15" t="s">
        <v>80</v>
      </c>
      <c r="O15" s="1">
        <v>46036</v>
      </c>
      <c r="P15" t="s">
        <v>142</v>
      </c>
      <c r="Q15" t="s">
        <v>143</v>
      </c>
      <c r="R15" t="s">
        <v>63</v>
      </c>
      <c r="S15" t="b">
        <v>0</v>
      </c>
      <c r="T15" t="b">
        <v>0</v>
      </c>
      <c r="U15" t="s">
        <v>143</v>
      </c>
      <c r="V15" t="s">
        <v>74</v>
      </c>
      <c r="W15" t="s">
        <v>65</v>
      </c>
      <c r="X15" t="s">
        <v>111</v>
      </c>
      <c r="Y15" t="s">
        <v>112</v>
      </c>
      <c r="Z15" t="s">
        <v>70</v>
      </c>
      <c r="AA15" t="b">
        <f>ISNUMBER(SEARCH(";"&amp;Lessons[[#This Row],[Instrument__c]]&amp;";",";"&amp;_xlfn.XLOOKUP(Lessons[[#This Row],[Instructor_External_Id__c]], Instructors[Id], Instructors[Instruments_Taught__c])&amp;";"))</f>
        <v>1</v>
      </c>
      <c r="AB15" t="str">
        <f>IF(LEFT(Lessons[[#This Row],[Status__c]],9)="Cancelled","",Lessons[[#This Row],[Instructor_External_Id__c]]&amp;"|"&amp;TEXT(Lessons[[#This Row],[Lesson_Date__c]],"yyyy-mm-dd")&amp;"|"&amp;Lessons[[#This Row],[Start_Time__c]])</f>
        <v>a06ak00000amzBeAAI|2026-01-14|16:30:00.000Z</v>
      </c>
      <c r="AC15">
        <f>IF(Lessons[[#This Row],[Double Booked Key]]="","",COUNTIF(Lessons[Double Booked Key],Lessons[[#This Row],[Double Booked Key]]))</f>
        <v>1</v>
      </c>
      <c r="AD15" s="6" t="str">
        <f>_xlfn.XLOOKUP(Lessons[[#This Row],[Location_External_Id__c]], Locations[Location Id], Locations[Location Name])</f>
        <v>Red Bank</v>
      </c>
      <c r="AE15" s="6" t="str">
        <f>TEXT(Lessons[[#This Row],[Lesson_Date__c]], "yyyy-mm")</f>
        <v>2026-01</v>
      </c>
      <c r="AF15" s="6" t="str">
        <f>IF(Lessons[[#This Row],[Lesson_Date__c]]&lt;=Data_Audit!$F$1, "Yes", "No")</f>
        <v>Yes</v>
      </c>
    </row>
    <row r="16" spans="1:32">
      <c r="A16" t="s">
        <v>52</v>
      </c>
      <c r="B16" t="s">
        <v>53</v>
      </c>
      <c r="C16">
        <v>60</v>
      </c>
      <c r="D16" t="s">
        <v>144</v>
      </c>
      <c r="E16" t="s">
        <v>145</v>
      </c>
      <c r="F16" t="s">
        <v>146</v>
      </c>
      <c r="H16" t="s">
        <v>147</v>
      </c>
      <c r="I16" t="b">
        <v>0</v>
      </c>
      <c r="K16" t="s">
        <v>52</v>
      </c>
      <c r="L16" t="s">
        <v>70</v>
      </c>
      <c r="M16" t="s">
        <v>80</v>
      </c>
      <c r="N16" t="s">
        <v>80</v>
      </c>
      <c r="O16" s="1">
        <v>46063</v>
      </c>
      <c r="P16" t="s">
        <v>148</v>
      </c>
      <c r="Q16" t="s">
        <v>149</v>
      </c>
      <c r="R16" t="s">
        <v>150</v>
      </c>
      <c r="S16" t="b">
        <v>0</v>
      </c>
      <c r="T16" t="b">
        <v>0</v>
      </c>
      <c r="U16" t="s">
        <v>149</v>
      </c>
      <c r="V16" t="s">
        <v>116</v>
      </c>
      <c r="W16" t="s">
        <v>85</v>
      </c>
      <c r="X16" t="s">
        <v>151</v>
      </c>
      <c r="Y16" t="s">
        <v>152</v>
      </c>
      <c r="Z16" t="s">
        <v>70</v>
      </c>
      <c r="AA16" t="b">
        <f>ISNUMBER(SEARCH(";"&amp;Lessons[[#This Row],[Instrument__c]]&amp;";",";"&amp;_xlfn.XLOOKUP(Lessons[[#This Row],[Instructor_External_Id__c]], Instructors[Id], Instructors[Instruments_Taught__c])&amp;";"))</f>
        <v>1</v>
      </c>
      <c r="AB16" t="str">
        <f>IF(LEFT(Lessons[[#This Row],[Status__c]],9)="Cancelled","",Lessons[[#This Row],[Instructor_External_Id__c]]&amp;"|"&amp;TEXT(Lessons[[#This Row],[Lesson_Date__c]],"yyyy-mm-dd")&amp;"|"&amp;Lessons[[#This Row],[Start_Time__c]])</f>
        <v/>
      </c>
      <c r="AC16" t="str">
        <f>IF(Lessons[[#This Row],[Double Booked Key]]="","",COUNTIF(Lessons[Double Booked Key],Lessons[[#This Row],[Double Booked Key]]))</f>
        <v/>
      </c>
      <c r="AD16" s="6" t="str">
        <f>_xlfn.XLOOKUP(Lessons[[#This Row],[Location_External_Id__c]], Locations[Location Id], Locations[Location Name])</f>
        <v>Toms River</v>
      </c>
      <c r="AE16" s="6" t="str">
        <f>TEXT(Lessons[[#This Row],[Lesson_Date__c]], "yyyy-mm")</f>
        <v>2026-02</v>
      </c>
      <c r="AF16" s="6" t="str">
        <f>IF(Lessons[[#This Row],[Lesson_Date__c]]&lt;=Data_Audit!$F$1, "Yes", "No")</f>
        <v>Yes</v>
      </c>
    </row>
    <row r="17" spans="1:32">
      <c r="A17" t="s">
        <v>52</v>
      </c>
      <c r="B17" t="s">
        <v>53</v>
      </c>
      <c r="C17">
        <v>30</v>
      </c>
      <c r="D17" t="s">
        <v>153</v>
      </c>
      <c r="E17" t="s">
        <v>145</v>
      </c>
      <c r="F17" t="s">
        <v>146</v>
      </c>
      <c r="H17" t="s">
        <v>147</v>
      </c>
      <c r="I17" t="b">
        <v>0</v>
      </c>
      <c r="K17" t="s">
        <v>52</v>
      </c>
      <c r="L17" t="s">
        <v>70</v>
      </c>
      <c r="M17" t="s">
        <v>80</v>
      </c>
      <c r="N17" t="s">
        <v>80</v>
      </c>
      <c r="O17" s="1">
        <v>46089</v>
      </c>
      <c r="P17" t="s">
        <v>154</v>
      </c>
      <c r="Q17" t="s">
        <v>155</v>
      </c>
      <c r="R17" t="s">
        <v>150</v>
      </c>
      <c r="S17" t="b">
        <v>0</v>
      </c>
      <c r="T17" t="b">
        <v>0</v>
      </c>
      <c r="U17" t="s">
        <v>155</v>
      </c>
      <c r="V17" t="s">
        <v>140</v>
      </c>
      <c r="W17" t="s">
        <v>85</v>
      </c>
      <c r="X17" t="s">
        <v>151</v>
      </c>
      <c r="Y17" t="s">
        <v>152</v>
      </c>
      <c r="Z17" t="s">
        <v>70</v>
      </c>
      <c r="AA17" t="b">
        <f>ISNUMBER(SEARCH(";"&amp;Lessons[[#This Row],[Instrument__c]]&amp;";",";"&amp;_xlfn.XLOOKUP(Lessons[[#This Row],[Instructor_External_Id__c]], Instructors[Id], Instructors[Instruments_Taught__c])&amp;";"))</f>
        <v>1</v>
      </c>
      <c r="AB17" t="str">
        <f>IF(LEFT(Lessons[[#This Row],[Status__c]],9)="Cancelled","",Lessons[[#This Row],[Instructor_External_Id__c]]&amp;"|"&amp;TEXT(Lessons[[#This Row],[Lesson_Date__c]],"yyyy-mm-dd")&amp;"|"&amp;Lessons[[#This Row],[Start_Time__c]])</f>
        <v/>
      </c>
      <c r="AC17" t="str">
        <f>IF(Lessons[[#This Row],[Double Booked Key]]="","",COUNTIF(Lessons[Double Booked Key],Lessons[[#This Row],[Double Booked Key]]))</f>
        <v/>
      </c>
      <c r="AD17" s="6" t="str">
        <f>_xlfn.XLOOKUP(Lessons[[#This Row],[Location_External_Id__c]], Locations[Location Id], Locations[Location Name])</f>
        <v>Toms River</v>
      </c>
      <c r="AE17" s="6" t="str">
        <f>TEXT(Lessons[[#This Row],[Lesson_Date__c]], "yyyy-mm")</f>
        <v>2026-03</v>
      </c>
      <c r="AF17" s="6" t="str">
        <f>IF(Lessons[[#This Row],[Lesson_Date__c]]&lt;=Data_Audit!$F$1, "Yes", "No")</f>
        <v>Yes</v>
      </c>
    </row>
    <row r="18" spans="1:32">
      <c r="A18" t="s">
        <v>52</v>
      </c>
      <c r="B18" t="s">
        <v>53</v>
      </c>
      <c r="C18">
        <v>60</v>
      </c>
      <c r="D18" t="s">
        <v>156</v>
      </c>
      <c r="E18" t="s">
        <v>145</v>
      </c>
      <c r="F18" t="s">
        <v>146</v>
      </c>
      <c r="G18" t="s">
        <v>57</v>
      </c>
      <c r="H18" t="s">
        <v>147</v>
      </c>
      <c r="I18" t="b">
        <v>0</v>
      </c>
      <c r="K18" t="s">
        <v>52</v>
      </c>
      <c r="L18" t="s">
        <v>70</v>
      </c>
      <c r="M18" t="s">
        <v>80</v>
      </c>
      <c r="N18" t="s">
        <v>80</v>
      </c>
      <c r="O18" s="1">
        <v>46160</v>
      </c>
      <c r="P18" t="s">
        <v>157</v>
      </c>
      <c r="Q18" t="s">
        <v>158</v>
      </c>
      <c r="R18" t="s">
        <v>150</v>
      </c>
      <c r="S18" t="b">
        <v>0</v>
      </c>
      <c r="T18" t="b">
        <v>0</v>
      </c>
      <c r="U18" t="s">
        <v>158</v>
      </c>
      <c r="V18" t="s">
        <v>84</v>
      </c>
      <c r="W18" t="s">
        <v>65</v>
      </c>
      <c r="X18" t="s">
        <v>151</v>
      </c>
      <c r="Y18" t="s">
        <v>152</v>
      </c>
      <c r="Z18" t="s">
        <v>70</v>
      </c>
      <c r="AA18" t="b">
        <f>ISNUMBER(SEARCH(";"&amp;Lessons[[#This Row],[Instrument__c]]&amp;";",";"&amp;_xlfn.XLOOKUP(Lessons[[#This Row],[Instructor_External_Id__c]], Instructors[Id], Instructors[Instruments_Taught__c])&amp;";"))</f>
        <v>1</v>
      </c>
      <c r="AB18" t="str">
        <f>IF(LEFT(Lessons[[#This Row],[Status__c]],9)="Cancelled","",Lessons[[#This Row],[Instructor_External_Id__c]]&amp;"|"&amp;TEXT(Lessons[[#This Row],[Lesson_Date__c]],"yyyy-mm-dd")&amp;"|"&amp;Lessons[[#This Row],[Start_Time__c]])</f>
        <v>a06ak00000amzBhAAI|2026-05-18|17:00:00.000Z</v>
      </c>
      <c r="AC18">
        <f>IF(Lessons[[#This Row],[Double Booked Key]]="","",COUNTIF(Lessons[Double Booked Key],Lessons[[#This Row],[Double Booked Key]]))</f>
        <v>1</v>
      </c>
      <c r="AD18" s="6" t="str">
        <f>_xlfn.XLOOKUP(Lessons[[#This Row],[Location_External_Id__c]], Locations[Location Id], Locations[Location Name])</f>
        <v>Toms River</v>
      </c>
      <c r="AE18" s="6" t="str">
        <f>TEXT(Lessons[[#This Row],[Lesson_Date__c]], "yyyy-mm")</f>
        <v>2026-05</v>
      </c>
      <c r="AF18" s="6" t="str">
        <f>IF(Lessons[[#This Row],[Lesson_Date__c]]&lt;=Data_Audit!$F$1, "Yes", "No")</f>
        <v>Yes</v>
      </c>
    </row>
    <row r="19" spans="1:32">
      <c r="A19" t="s">
        <v>52</v>
      </c>
      <c r="B19" t="s">
        <v>53</v>
      </c>
      <c r="C19">
        <v>45</v>
      </c>
      <c r="D19" t="s">
        <v>159</v>
      </c>
      <c r="E19" t="s">
        <v>145</v>
      </c>
      <c r="F19" t="s">
        <v>146</v>
      </c>
      <c r="H19" t="s">
        <v>147</v>
      </c>
      <c r="I19" t="b">
        <v>0</v>
      </c>
      <c r="K19" t="s">
        <v>52</v>
      </c>
      <c r="L19" t="s">
        <v>70</v>
      </c>
      <c r="M19" t="s">
        <v>160</v>
      </c>
      <c r="N19" t="s">
        <v>160</v>
      </c>
      <c r="O19" s="1">
        <v>46239</v>
      </c>
      <c r="P19" t="s">
        <v>161</v>
      </c>
      <c r="Q19" t="s">
        <v>162</v>
      </c>
      <c r="R19" t="s">
        <v>150</v>
      </c>
      <c r="S19" t="b">
        <v>0</v>
      </c>
      <c r="T19" t="b">
        <v>0</v>
      </c>
      <c r="U19" t="s">
        <v>162</v>
      </c>
      <c r="V19" t="s">
        <v>94</v>
      </c>
      <c r="W19" t="s">
        <v>65</v>
      </c>
      <c r="X19" t="s">
        <v>151</v>
      </c>
      <c r="Y19" t="s">
        <v>152</v>
      </c>
      <c r="Z19" t="s">
        <v>70</v>
      </c>
      <c r="AA19" t="b">
        <f>ISNUMBER(SEARCH(";"&amp;Lessons[[#This Row],[Instrument__c]]&amp;";",";"&amp;_xlfn.XLOOKUP(Lessons[[#This Row],[Instructor_External_Id__c]], Instructors[Id], Instructors[Instruments_Taught__c])&amp;";"))</f>
        <v>1</v>
      </c>
      <c r="AB19" t="str">
        <f>IF(LEFT(Lessons[[#This Row],[Status__c]],9)="Cancelled","",Lessons[[#This Row],[Instructor_External_Id__c]]&amp;"|"&amp;TEXT(Lessons[[#This Row],[Lesson_Date__c]],"yyyy-mm-dd")&amp;"|"&amp;Lessons[[#This Row],[Start_Time__c]])</f>
        <v>a06ak00000amzBhAAI|2026-08-05|19:00:00.000Z</v>
      </c>
      <c r="AC19">
        <f>IF(Lessons[[#This Row],[Double Booked Key]]="","",COUNTIF(Lessons[Double Booked Key],Lessons[[#This Row],[Double Booked Key]]))</f>
        <v>1</v>
      </c>
      <c r="AD19" s="6" t="str">
        <f>_xlfn.XLOOKUP(Lessons[[#This Row],[Location_External_Id__c]], Locations[Location Id], Locations[Location Name])</f>
        <v>Toms River</v>
      </c>
      <c r="AE19" s="6" t="str">
        <f>TEXT(Lessons[[#This Row],[Lesson_Date__c]], "yyyy-mm")</f>
        <v>2026-08</v>
      </c>
      <c r="AF19" s="6" t="str">
        <f>IF(Lessons[[#This Row],[Lesson_Date__c]]&lt;=Data_Audit!$F$1, "Yes", "No")</f>
        <v>Yes</v>
      </c>
    </row>
    <row r="20" spans="1:32">
      <c r="A20" t="s">
        <v>52</v>
      </c>
      <c r="B20" t="s">
        <v>53</v>
      </c>
      <c r="C20">
        <v>60</v>
      </c>
      <c r="D20" t="s">
        <v>163</v>
      </c>
      <c r="E20" t="s">
        <v>145</v>
      </c>
      <c r="F20" t="s">
        <v>146</v>
      </c>
      <c r="G20" t="s">
        <v>164</v>
      </c>
      <c r="H20" t="s">
        <v>147</v>
      </c>
      <c r="I20" t="b">
        <v>0</v>
      </c>
      <c r="K20" t="s">
        <v>52</v>
      </c>
      <c r="L20" t="s">
        <v>70</v>
      </c>
      <c r="M20" t="s">
        <v>80</v>
      </c>
      <c r="N20" t="s">
        <v>80</v>
      </c>
      <c r="O20" s="1">
        <v>46214</v>
      </c>
      <c r="P20" t="s">
        <v>165</v>
      </c>
      <c r="Q20" t="s">
        <v>166</v>
      </c>
      <c r="R20" t="s">
        <v>150</v>
      </c>
      <c r="S20" t="b">
        <v>0</v>
      </c>
      <c r="T20" t="b">
        <v>0</v>
      </c>
      <c r="U20" t="s">
        <v>166</v>
      </c>
      <c r="V20" t="s">
        <v>116</v>
      </c>
      <c r="W20" t="s">
        <v>65</v>
      </c>
      <c r="X20" t="s">
        <v>151</v>
      </c>
      <c r="Y20" t="s">
        <v>152</v>
      </c>
      <c r="Z20" t="s">
        <v>70</v>
      </c>
      <c r="AA20" t="b">
        <f>ISNUMBER(SEARCH(";"&amp;Lessons[[#This Row],[Instrument__c]]&amp;";",";"&amp;_xlfn.XLOOKUP(Lessons[[#This Row],[Instructor_External_Id__c]], Instructors[Id], Instructors[Instruments_Taught__c])&amp;";"))</f>
        <v>1</v>
      </c>
      <c r="AB20" t="str">
        <f>IF(LEFT(Lessons[[#This Row],[Status__c]],9)="Cancelled","",Lessons[[#This Row],[Instructor_External_Id__c]]&amp;"|"&amp;TEXT(Lessons[[#This Row],[Lesson_Date__c]],"yyyy-mm-dd")&amp;"|"&amp;Lessons[[#This Row],[Start_Time__c]])</f>
        <v>a06ak00000amzBhAAI|2026-07-11|17:30:00.000Z</v>
      </c>
      <c r="AC20">
        <f>IF(Lessons[[#This Row],[Double Booked Key]]="","",COUNTIF(Lessons[Double Booked Key],Lessons[[#This Row],[Double Booked Key]]))</f>
        <v>1</v>
      </c>
      <c r="AD20" s="6" t="str">
        <f>_xlfn.XLOOKUP(Lessons[[#This Row],[Location_External_Id__c]], Locations[Location Id], Locations[Location Name])</f>
        <v>Toms River</v>
      </c>
      <c r="AE20" s="6" t="str">
        <f>TEXT(Lessons[[#This Row],[Lesson_Date__c]], "yyyy-mm")</f>
        <v>2026-07</v>
      </c>
      <c r="AF20" s="6" t="str">
        <f>IF(Lessons[[#This Row],[Lesson_Date__c]]&lt;=Data_Audit!$F$1, "Yes", "No")</f>
        <v>Yes</v>
      </c>
    </row>
    <row r="21" spans="1:32">
      <c r="A21" t="s">
        <v>52</v>
      </c>
      <c r="B21" t="s">
        <v>53</v>
      </c>
      <c r="C21">
        <v>45</v>
      </c>
      <c r="D21" t="s">
        <v>167</v>
      </c>
      <c r="E21" t="s">
        <v>145</v>
      </c>
      <c r="F21" t="s">
        <v>146</v>
      </c>
      <c r="G21" t="s">
        <v>106</v>
      </c>
      <c r="H21" t="s">
        <v>147</v>
      </c>
      <c r="I21" t="b">
        <v>0</v>
      </c>
      <c r="K21" t="s">
        <v>52</v>
      </c>
      <c r="L21" t="s">
        <v>70</v>
      </c>
      <c r="M21" t="s">
        <v>80</v>
      </c>
      <c r="N21" t="s">
        <v>80</v>
      </c>
      <c r="O21" s="1">
        <v>46193</v>
      </c>
      <c r="P21" t="s">
        <v>168</v>
      </c>
      <c r="Q21" t="s">
        <v>169</v>
      </c>
      <c r="R21" t="s">
        <v>150</v>
      </c>
      <c r="S21" t="b">
        <v>0</v>
      </c>
      <c r="T21" t="b">
        <v>0</v>
      </c>
      <c r="U21" t="s">
        <v>169</v>
      </c>
      <c r="V21" t="s">
        <v>74</v>
      </c>
      <c r="W21" t="s">
        <v>65</v>
      </c>
      <c r="X21" t="s">
        <v>151</v>
      </c>
      <c r="Y21" t="s">
        <v>152</v>
      </c>
      <c r="Z21" t="s">
        <v>70</v>
      </c>
      <c r="AA21" t="b">
        <f>ISNUMBER(SEARCH(";"&amp;Lessons[[#This Row],[Instrument__c]]&amp;";",";"&amp;_xlfn.XLOOKUP(Lessons[[#This Row],[Instructor_External_Id__c]], Instructors[Id], Instructors[Instruments_Taught__c])&amp;";"))</f>
        <v>1</v>
      </c>
      <c r="AB21" t="str">
        <f>IF(LEFT(Lessons[[#This Row],[Status__c]],9)="Cancelled","",Lessons[[#This Row],[Instructor_External_Id__c]]&amp;"|"&amp;TEXT(Lessons[[#This Row],[Lesson_Date__c]],"yyyy-mm-dd")&amp;"|"&amp;Lessons[[#This Row],[Start_Time__c]])</f>
        <v>a06ak00000amzBhAAI|2026-06-20|16:30:00.000Z</v>
      </c>
      <c r="AC21">
        <f>IF(Lessons[[#This Row],[Double Booked Key]]="","",COUNTIF(Lessons[Double Booked Key],Lessons[[#This Row],[Double Booked Key]]))</f>
        <v>1</v>
      </c>
      <c r="AD21" s="6" t="str">
        <f>_xlfn.XLOOKUP(Lessons[[#This Row],[Location_External_Id__c]], Locations[Location Id], Locations[Location Name])</f>
        <v>Toms River</v>
      </c>
      <c r="AE21" s="6" t="str">
        <f>TEXT(Lessons[[#This Row],[Lesson_Date__c]], "yyyy-mm")</f>
        <v>2026-06</v>
      </c>
      <c r="AF21" s="6" t="str">
        <f>IF(Lessons[[#This Row],[Lesson_Date__c]]&lt;=Data_Audit!$F$1, "Yes", "No")</f>
        <v>Yes</v>
      </c>
    </row>
    <row r="22" spans="1:32">
      <c r="A22" t="s">
        <v>52</v>
      </c>
      <c r="B22" t="s">
        <v>53</v>
      </c>
      <c r="C22">
        <v>60</v>
      </c>
      <c r="D22" t="s">
        <v>170</v>
      </c>
      <c r="E22" t="s">
        <v>145</v>
      </c>
      <c r="F22" t="s">
        <v>146</v>
      </c>
      <c r="H22" t="s">
        <v>147</v>
      </c>
      <c r="I22" t="b">
        <v>0</v>
      </c>
      <c r="K22" t="s">
        <v>52</v>
      </c>
      <c r="L22" t="s">
        <v>171</v>
      </c>
      <c r="M22" t="s">
        <v>80</v>
      </c>
      <c r="N22" t="s">
        <v>80</v>
      </c>
      <c r="O22" s="1">
        <v>46242</v>
      </c>
      <c r="P22" t="s">
        <v>172</v>
      </c>
      <c r="Q22" t="s">
        <v>173</v>
      </c>
      <c r="R22" t="s">
        <v>150</v>
      </c>
      <c r="S22" t="b">
        <v>1</v>
      </c>
      <c r="T22" t="b">
        <v>1</v>
      </c>
      <c r="U22" t="s">
        <v>173</v>
      </c>
      <c r="V22" t="s">
        <v>102</v>
      </c>
      <c r="W22" t="s">
        <v>136</v>
      </c>
      <c r="X22" t="s">
        <v>151</v>
      </c>
      <c r="Y22" t="s">
        <v>152</v>
      </c>
      <c r="Z22" t="s">
        <v>171</v>
      </c>
      <c r="AA22" t="b">
        <f>ISNUMBER(SEARCH(";"&amp;Lessons[[#This Row],[Instrument__c]]&amp;";",";"&amp;_xlfn.XLOOKUP(Lessons[[#This Row],[Instructor_External_Id__c]], Instructors[Id], Instructors[Instruments_Taught__c])&amp;";"))</f>
        <v>1</v>
      </c>
      <c r="AB22" t="str">
        <f>IF(LEFT(Lessons[[#This Row],[Status__c]],9)="Cancelled","",Lessons[[#This Row],[Instructor_External_Id__c]]&amp;"|"&amp;TEXT(Lessons[[#This Row],[Lesson_Date__c]],"yyyy-mm-dd")&amp;"|"&amp;Lessons[[#This Row],[Start_Time__c]])</f>
        <v/>
      </c>
      <c r="AC22" t="str">
        <f>IF(Lessons[[#This Row],[Double Booked Key]]="","",COUNTIF(Lessons[Double Booked Key],Lessons[[#This Row],[Double Booked Key]]))</f>
        <v/>
      </c>
      <c r="AD22" s="6" t="str">
        <f>_xlfn.XLOOKUP(Lessons[[#This Row],[Location_External_Id__c]], Locations[Location Id], Locations[Location Name])</f>
        <v>Toms River</v>
      </c>
      <c r="AE22" s="6" t="str">
        <f>TEXT(Lessons[[#This Row],[Lesson_Date__c]], "yyyy-mm")</f>
        <v>2026-08</v>
      </c>
      <c r="AF22" s="6" t="str">
        <f>IF(Lessons[[#This Row],[Lesson_Date__c]]&lt;=Data_Audit!$F$1, "Yes", "No")</f>
        <v>Yes</v>
      </c>
    </row>
    <row r="23" spans="1:32">
      <c r="A23" t="s">
        <v>52</v>
      </c>
      <c r="B23" t="s">
        <v>53</v>
      </c>
      <c r="C23">
        <v>45</v>
      </c>
      <c r="D23" t="s">
        <v>174</v>
      </c>
      <c r="E23" t="s">
        <v>145</v>
      </c>
      <c r="F23" t="s">
        <v>146</v>
      </c>
      <c r="G23" t="s">
        <v>99</v>
      </c>
      <c r="H23" t="s">
        <v>147</v>
      </c>
      <c r="I23" t="b">
        <v>0</v>
      </c>
      <c r="K23" t="s">
        <v>52</v>
      </c>
      <c r="L23" t="s">
        <v>70</v>
      </c>
      <c r="M23" t="s">
        <v>80</v>
      </c>
      <c r="N23" t="s">
        <v>80</v>
      </c>
      <c r="O23" s="1">
        <v>46255</v>
      </c>
      <c r="P23" t="s">
        <v>175</v>
      </c>
      <c r="Q23" t="s">
        <v>176</v>
      </c>
      <c r="R23" t="s">
        <v>150</v>
      </c>
      <c r="S23" t="b">
        <v>0</v>
      </c>
      <c r="T23" t="b">
        <v>0</v>
      </c>
      <c r="U23" t="s">
        <v>176</v>
      </c>
      <c r="V23" t="s">
        <v>64</v>
      </c>
      <c r="W23" t="s">
        <v>65</v>
      </c>
      <c r="X23" t="s">
        <v>151</v>
      </c>
      <c r="Y23" t="s">
        <v>152</v>
      </c>
      <c r="Z23" t="s">
        <v>70</v>
      </c>
      <c r="AA23" t="b">
        <f>ISNUMBER(SEARCH(";"&amp;Lessons[[#This Row],[Instrument__c]]&amp;";",";"&amp;_xlfn.XLOOKUP(Lessons[[#This Row],[Instructor_External_Id__c]], Instructors[Id], Instructors[Instruments_Taught__c])&amp;";"))</f>
        <v>1</v>
      </c>
      <c r="AB23" t="str">
        <f>IF(LEFT(Lessons[[#This Row],[Status__c]],9)="Cancelled","",Lessons[[#This Row],[Instructor_External_Id__c]]&amp;"|"&amp;TEXT(Lessons[[#This Row],[Lesson_Date__c]],"yyyy-mm-dd")&amp;"|"&amp;Lessons[[#This Row],[Start_Time__c]])</f>
        <v>a06ak00000amzBhAAI|2026-08-21|11:00:00.000Z</v>
      </c>
      <c r="AC23">
        <f>IF(Lessons[[#This Row],[Double Booked Key]]="","",COUNTIF(Lessons[Double Booked Key],Lessons[[#This Row],[Double Booked Key]]))</f>
        <v>1</v>
      </c>
      <c r="AD23" s="6" t="str">
        <f>_xlfn.XLOOKUP(Lessons[[#This Row],[Location_External_Id__c]], Locations[Location Id], Locations[Location Name])</f>
        <v>Toms River</v>
      </c>
      <c r="AE23" s="6" t="str">
        <f>TEXT(Lessons[[#This Row],[Lesson_Date__c]], "yyyy-mm")</f>
        <v>2026-08</v>
      </c>
      <c r="AF23" s="6" t="str">
        <f>IF(Lessons[[#This Row],[Lesson_Date__c]]&lt;=Data_Audit!$F$1, "Yes", "No")</f>
        <v>Yes</v>
      </c>
    </row>
    <row r="24" spans="1:32">
      <c r="A24" t="s">
        <v>52</v>
      </c>
      <c r="B24" t="s">
        <v>53</v>
      </c>
      <c r="C24">
        <v>45</v>
      </c>
      <c r="D24" t="s">
        <v>177</v>
      </c>
      <c r="E24" t="s">
        <v>145</v>
      </c>
      <c r="F24" t="s">
        <v>146</v>
      </c>
      <c r="G24" t="s">
        <v>99</v>
      </c>
      <c r="H24" t="s">
        <v>147</v>
      </c>
      <c r="I24" t="b">
        <v>0</v>
      </c>
      <c r="K24" t="s">
        <v>52</v>
      </c>
      <c r="L24" t="s">
        <v>70</v>
      </c>
      <c r="M24" t="s">
        <v>80</v>
      </c>
      <c r="N24" t="s">
        <v>80</v>
      </c>
      <c r="O24" s="1">
        <v>46031</v>
      </c>
      <c r="P24" t="s">
        <v>178</v>
      </c>
      <c r="Q24" t="s">
        <v>179</v>
      </c>
      <c r="R24" t="s">
        <v>150</v>
      </c>
      <c r="S24" t="b">
        <v>0</v>
      </c>
      <c r="T24" t="b">
        <v>0</v>
      </c>
      <c r="U24" t="s">
        <v>179</v>
      </c>
      <c r="V24" t="s">
        <v>110</v>
      </c>
      <c r="W24" t="s">
        <v>65</v>
      </c>
      <c r="X24" t="s">
        <v>151</v>
      </c>
      <c r="Y24" t="s">
        <v>152</v>
      </c>
      <c r="Z24" t="s">
        <v>70</v>
      </c>
      <c r="AA24" t="b">
        <f>ISNUMBER(SEARCH(";"&amp;Lessons[[#This Row],[Instrument__c]]&amp;";",";"&amp;_xlfn.XLOOKUP(Lessons[[#This Row],[Instructor_External_Id__c]], Instructors[Id], Instructors[Instruments_Taught__c])&amp;";"))</f>
        <v>1</v>
      </c>
      <c r="AB24" t="str">
        <f>IF(LEFT(Lessons[[#This Row],[Status__c]],9)="Cancelled","",Lessons[[#This Row],[Instructor_External_Id__c]]&amp;"|"&amp;TEXT(Lessons[[#This Row],[Lesson_Date__c]],"yyyy-mm-dd")&amp;"|"&amp;Lessons[[#This Row],[Start_Time__c]])</f>
        <v>a06ak00000amzBhAAI|2026-01-09|10:00:00.000Z</v>
      </c>
      <c r="AC24">
        <f>IF(Lessons[[#This Row],[Double Booked Key]]="","",COUNTIF(Lessons[Double Booked Key],Lessons[[#This Row],[Double Booked Key]]))</f>
        <v>1</v>
      </c>
      <c r="AD24" s="6" t="str">
        <f>_xlfn.XLOOKUP(Lessons[[#This Row],[Location_External_Id__c]], Locations[Location Id], Locations[Location Name])</f>
        <v>Toms River</v>
      </c>
      <c r="AE24" s="6" t="str">
        <f>TEXT(Lessons[[#This Row],[Lesson_Date__c]], "yyyy-mm")</f>
        <v>2026-01</v>
      </c>
      <c r="AF24" s="6" t="str">
        <f>IF(Lessons[[#This Row],[Lesson_Date__c]]&lt;=Data_Audit!$F$1, "Yes", "No")</f>
        <v>Yes</v>
      </c>
    </row>
    <row r="25" spans="1:32">
      <c r="A25" t="s">
        <v>52</v>
      </c>
      <c r="B25" t="s">
        <v>53</v>
      </c>
      <c r="C25">
        <v>60</v>
      </c>
      <c r="D25" t="s">
        <v>180</v>
      </c>
      <c r="E25" t="s">
        <v>76</v>
      </c>
      <c r="F25" t="s">
        <v>77</v>
      </c>
      <c r="H25" t="s">
        <v>78</v>
      </c>
      <c r="I25" t="b">
        <v>0</v>
      </c>
      <c r="K25" t="s">
        <v>52</v>
      </c>
      <c r="L25" t="s">
        <v>171</v>
      </c>
      <c r="M25" t="s">
        <v>80</v>
      </c>
      <c r="N25" t="s">
        <v>80</v>
      </c>
      <c r="O25" s="1">
        <v>46130</v>
      </c>
      <c r="P25" t="s">
        <v>181</v>
      </c>
      <c r="Q25" t="s">
        <v>182</v>
      </c>
      <c r="R25" t="s">
        <v>83</v>
      </c>
      <c r="S25" t="b">
        <v>1</v>
      </c>
      <c r="T25" t="b">
        <v>1</v>
      </c>
      <c r="U25" t="s">
        <v>182</v>
      </c>
      <c r="V25" t="s">
        <v>110</v>
      </c>
      <c r="W25" t="s">
        <v>136</v>
      </c>
      <c r="X25" t="s">
        <v>183</v>
      </c>
      <c r="Y25" t="s">
        <v>184</v>
      </c>
      <c r="Z25" t="s">
        <v>171</v>
      </c>
      <c r="AA25" t="b">
        <f>ISNUMBER(SEARCH(";"&amp;Lessons[[#This Row],[Instrument__c]]&amp;";",";"&amp;_xlfn.XLOOKUP(Lessons[[#This Row],[Instructor_External_Id__c]], Instructors[Id], Instructors[Instruments_Taught__c])&amp;";"))</f>
        <v>1</v>
      </c>
      <c r="AB25" t="str">
        <f>IF(LEFT(Lessons[[#This Row],[Status__c]],9)="Cancelled","",Lessons[[#This Row],[Instructor_External_Id__c]]&amp;"|"&amp;TEXT(Lessons[[#This Row],[Lesson_Date__c]],"yyyy-mm-dd")&amp;"|"&amp;Lessons[[#This Row],[Start_Time__c]])</f>
        <v/>
      </c>
      <c r="AC25" t="str">
        <f>IF(Lessons[[#This Row],[Double Booked Key]]="","",COUNTIF(Lessons[Double Booked Key],Lessons[[#This Row],[Double Booked Key]]))</f>
        <v/>
      </c>
      <c r="AD25" s="6" t="str">
        <f>_xlfn.XLOOKUP(Lessons[[#This Row],[Location_External_Id__c]], Locations[Location Id], Locations[Location Name])</f>
        <v>Brick</v>
      </c>
      <c r="AE25" s="6" t="str">
        <f>TEXT(Lessons[[#This Row],[Lesson_Date__c]], "yyyy-mm")</f>
        <v>2026-04</v>
      </c>
      <c r="AF25" s="6" t="str">
        <f>IF(Lessons[[#This Row],[Lesson_Date__c]]&lt;=Data_Audit!$F$1, "Yes", "No")</f>
        <v>Yes</v>
      </c>
    </row>
    <row r="26" spans="1:32">
      <c r="A26" t="s">
        <v>52</v>
      </c>
      <c r="B26" t="s">
        <v>53</v>
      </c>
      <c r="C26">
        <v>45</v>
      </c>
      <c r="D26" t="s">
        <v>185</v>
      </c>
      <c r="E26" t="s">
        <v>76</v>
      </c>
      <c r="F26" t="s">
        <v>77</v>
      </c>
      <c r="G26" t="s">
        <v>164</v>
      </c>
      <c r="H26" t="s">
        <v>78</v>
      </c>
      <c r="I26" t="b">
        <v>0</v>
      </c>
      <c r="K26" t="s">
        <v>52</v>
      </c>
      <c r="L26" t="s">
        <v>70</v>
      </c>
      <c r="M26" t="s">
        <v>80</v>
      </c>
      <c r="N26" t="s">
        <v>80</v>
      </c>
      <c r="O26" s="1">
        <v>46290</v>
      </c>
      <c r="P26" t="s">
        <v>186</v>
      </c>
      <c r="Q26" t="s">
        <v>187</v>
      </c>
      <c r="R26" t="s">
        <v>83</v>
      </c>
      <c r="S26" t="b">
        <v>0</v>
      </c>
      <c r="T26" t="b">
        <v>0</v>
      </c>
      <c r="U26" t="s">
        <v>187</v>
      </c>
      <c r="V26" t="s">
        <v>102</v>
      </c>
      <c r="W26" t="s">
        <v>65</v>
      </c>
      <c r="X26" t="s">
        <v>183</v>
      </c>
      <c r="Y26" t="s">
        <v>184</v>
      </c>
      <c r="Z26" t="s">
        <v>70</v>
      </c>
      <c r="AA26" t="b">
        <f>ISNUMBER(SEARCH(";"&amp;Lessons[[#This Row],[Instrument__c]]&amp;";",";"&amp;_xlfn.XLOOKUP(Lessons[[#This Row],[Instructor_External_Id__c]], Instructors[Id], Instructors[Instruments_Taught__c])&amp;";"))</f>
        <v>1</v>
      </c>
      <c r="AB26" t="str">
        <f>IF(LEFT(Lessons[[#This Row],[Status__c]],9)="Cancelled","",Lessons[[#This Row],[Instructor_External_Id__c]]&amp;"|"&amp;TEXT(Lessons[[#This Row],[Lesson_Date__c]],"yyyy-mm-dd")&amp;"|"&amp;Lessons[[#This Row],[Start_Time__c]])</f>
        <v>a06ak00000amzBgAAI|2026-09-25|16:00:00.000Z</v>
      </c>
      <c r="AC26">
        <f>IF(Lessons[[#This Row],[Double Booked Key]]="","",COUNTIF(Lessons[Double Booked Key],Lessons[[#This Row],[Double Booked Key]]))</f>
        <v>1</v>
      </c>
      <c r="AD26" s="6" t="str">
        <f>_xlfn.XLOOKUP(Lessons[[#This Row],[Location_External_Id__c]], Locations[Location Id], Locations[Location Name])</f>
        <v>Brick</v>
      </c>
      <c r="AE26" s="6" t="str">
        <f>TEXT(Lessons[[#This Row],[Lesson_Date__c]], "yyyy-mm")</f>
        <v>2026-09</v>
      </c>
      <c r="AF26" s="6" t="str">
        <f>IF(Lessons[[#This Row],[Lesson_Date__c]]&lt;=Data_Audit!$F$1, "Yes", "No")</f>
        <v>Yes</v>
      </c>
    </row>
    <row r="27" spans="1:32">
      <c r="A27" t="s">
        <v>52</v>
      </c>
      <c r="B27" t="s">
        <v>53</v>
      </c>
      <c r="C27">
        <v>30</v>
      </c>
      <c r="D27" t="s">
        <v>188</v>
      </c>
      <c r="E27" t="s">
        <v>76</v>
      </c>
      <c r="F27" t="s">
        <v>77</v>
      </c>
      <c r="G27" t="s">
        <v>99</v>
      </c>
      <c r="H27" t="s">
        <v>78</v>
      </c>
      <c r="I27" t="b">
        <v>0</v>
      </c>
      <c r="K27" t="s">
        <v>52</v>
      </c>
      <c r="L27" t="s">
        <v>70</v>
      </c>
      <c r="M27" t="s">
        <v>80</v>
      </c>
      <c r="N27" t="s">
        <v>80</v>
      </c>
      <c r="O27" s="1">
        <v>46212</v>
      </c>
      <c r="P27" t="s">
        <v>189</v>
      </c>
      <c r="Q27" t="s">
        <v>190</v>
      </c>
      <c r="R27" t="s">
        <v>83</v>
      </c>
      <c r="S27" t="b">
        <v>0</v>
      </c>
      <c r="T27" t="b">
        <v>0</v>
      </c>
      <c r="U27" t="s">
        <v>190</v>
      </c>
      <c r="V27" t="s">
        <v>102</v>
      </c>
      <c r="W27" t="s">
        <v>65</v>
      </c>
      <c r="X27" t="s">
        <v>183</v>
      </c>
      <c r="Y27" t="s">
        <v>184</v>
      </c>
      <c r="Z27" t="s">
        <v>70</v>
      </c>
      <c r="AA27" t="b">
        <f>ISNUMBER(SEARCH(";"&amp;Lessons[[#This Row],[Instrument__c]]&amp;";",";"&amp;_xlfn.XLOOKUP(Lessons[[#This Row],[Instructor_External_Id__c]], Instructors[Id], Instructors[Instruments_Taught__c])&amp;";"))</f>
        <v>1</v>
      </c>
      <c r="AB27" t="str">
        <f>IF(LEFT(Lessons[[#This Row],[Status__c]],9)="Cancelled","",Lessons[[#This Row],[Instructor_External_Id__c]]&amp;"|"&amp;TEXT(Lessons[[#This Row],[Lesson_Date__c]],"yyyy-mm-dd")&amp;"|"&amp;Lessons[[#This Row],[Start_Time__c]])</f>
        <v>a06ak00000amzBgAAI|2026-07-09|16:00:00.000Z</v>
      </c>
      <c r="AC27">
        <f>IF(Lessons[[#This Row],[Double Booked Key]]="","",COUNTIF(Lessons[Double Booked Key],Lessons[[#This Row],[Double Booked Key]]))</f>
        <v>1</v>
      </c>
      <c r="AD27" s="6" t="str">
        <f>_xlfn.XLOOKUP(Lessons[[#This Row],[Location_External_Id__c]], Locations[Location Id], Locations[Location Name])</f>
        <v>Brick</v>
      </c>
      <c r="AE27" s="6" t="str">
        <f>TEXT(Lessons[[#This Row],[Lesson_Date__c]], "yyyy-mm")</f>
        <v>2026-07</v>
      </c>
      <c r="AF27" s="6" t="str">
        <f>IF(Lessons[[#This Row],[Lesson_Date__c]]&lt;=Data_Audit!$F$1, "Yes", "No")</f>
        <v>Yes</v>
      </c>
    </row>
    <row r="28" spans="1:32">
      <c r="A28" t="s">
        <v>52</v>
      </c>
      <c r="B28" t="s">
        <v>53</v>
      </c>
      <c r="C28">
        <v>45</v>
      </c>
      <c r="D28" t="s">
        <v>191</v>
      </c>
      <c r="E28" t="s">
        <v>76</v>
      </c>
      <c r="F28" t="s">
        <v>77</v>
      </c>
      <c r="G28" t="s">
        <v>99</v>
      </c>
      <c r="H28" t="s">
        <v>78</v>
      </c>
      <c r="I28" t="b">
        <v>0</v>
      </c>
      <c r="K28" t="s">
        <v>52</v>
      </c>
      <c r="L28" t="s">
        <v>70</v>
      </c>
      <c r="M28" t="s">
        <v>80</v>
      </c>
      <c r="N28" t="s">
        <v>80</v>
      </c>
      <c r="O28" s="1">
        <v>46240</v>
      </c>
      <c r="P28" t="s">
        <v>192</v>
      </c>
      <c r="Q28" t="s">
        <v>193</v>
      </c>
      <c r="R28" t="s">
        <v>83</v>
      </c>
      <c r="S28" t="b">
        <v>0</v>
      </c>
      <c r="T28" t="b">
        <v>0</v>
      </c>
      <c r="U28" t="s">
        <v>193</v>
      </c>
      <c r="V28" t="s">
        <v>140</v>
      </c>
      <c r="W28" t="s">
        <v>65</v>
      </c>
      <c r="X28" t="s">
        <v>183</v>
      </c>
      <c r="Y28" t="s">
        <v>184</v>
      </c>
      <c r="Z28" t="s">
        <v>70</v>
      </c>
      <c r="AA28" t="b">
        <f>ISNUMBER(SEARCH(";"&amp;Lessons[[#This Row],[Instrument__c]]&amp;";",";"&amp;_xlfn.XLOOKUP(Lessons[[#This Row],[Instructor_External_Id__c]], Instructors[Id], Instructors[Instruments_Taught__c])&amp;";"))</f>
        <v>1</v>
      </c>
      <c r="AB28" t="str">
        <f>IF(LEFT(Lessons[[#This Row],[Status__c]],9)="Cancelled","",Lessons[[#This Row],[Instructor_External_Id__c]]&amp;"|"&amp;TEXT(Lessons[[#This Row],[Lesson_Date__c]],"yyyy-mm-dd")&amp;"|"&amp;Lessons[[#This Row],[Start_Time__c]])</f>
        <v>a06ak00000amzBgAAI|2026-08-06|15:00:00.000Z</v>
      </c>
      <c r="AC28">
        <f>IF(Lessons[[#This Row],[Double Booked Key]]="","",COUNTIF(Lessons[Double Booked Key],Lessons[[#This Row],[Double Booked Key]]))</f>
        <v>1</v>
      </c>
      <c r="AD28" s="6" t="str">
        <f>_xlfn.XLOOKUP(Lessons[[#This Row],[Location_External_Id__c]], Locations[Location Id], Locations[Location Name])</f>
        <v>Brick</v>
      </c>
      <c r="AE28" s="6" t="str">
        <f>TEXT(Lessons[[#This Row],[Lesson_Date__c]], "yyyy-mm")</f>
        <v>2026-08</v>
      </c>
      <c r="AF28" s="6" t="str">
        <f>IF(Lessons[[#This Row],[Lesson_Date__c]]&lt;=Data_Audit!$F$1, "Yes", "No")</f>
        <v>Yes</v>
      </c>
    </row>
    <row r="29" spans="1:32">
      <c r="A29" t="s">
        <v>52</v>
      </c>
      <c r="B29" t="s">
        <v>53</v>
      </c>
      <c r="C29">
        <v>45</v>
      </c>
      <c r="D29" t="s">
        <v>194</v>
      </c>
      <c r="E29" t="s">
        <v>76</v>
      </c>
      <c r="F29" t="s">
        <v>77</v>
      </c>
      <c r="G29" t="s">
        <v>69</v>
      </c>
      <c r="H29" t="s">
        <v>78</v>
      </c>
      <c r="I29" t="b">
        <v>0</v>
      </c>
      <c r="K29" t="s">
        <v>52</v>
      </c>
      <c r="L29" t="s">
        <v>70</v>
      </c>
      <c r="M29" t="s">
        <v>80</v>
      </c>
      <c r="N29" t="s">
        <v>80</v>
      </c>
      <c r="O29" s="1">
        <v>46292</v>
      </c>
      <c r="P29" t="s">
        <v>195</v>
      </c>
      <c r="Q29" t="s">
        <v>196</v>
      </c>
      <c r="R29" t="s">
        <v>83</v>
      </c>
      <c r="S29" t="b">
        <v>0</v>
      </c>
      <c r="T29" t="b">
        <v>0</v>
      </c>
      <c r="U29" t="s">
        <v>196</v>
      </c>
      <c r="V29" t="s">
        <v>110</v>
      </c>
      <c r="W29" t="s">
        <v>65</v>
      </c>
      <c r="X29" t="s">
        <v>183</v>
      </c>
      <c r="Y29" t="s">
        <v>184</v>
      </c>
      <c r="Z29" t="s">
        <v>70</v>
      </c>
      <c r="AA29" t="b">
        <f>ISNUMBER(SEARCH(";"&amp;Lessons[[#This Row],[Instrument__c]]&amp;";",";"&amp;_xlfn.XLOOKUP(Lessons[[#This Row],[Instructor_External_Id__c]], Instructors[Id], Instructors[Instruments_Taught__c])&amp;";"))</f>
        <v>1</v>
      </c>
      <c r="AB29" t="str">
        <f>IF(LEFT(Lessons[[#This Row],[Status__c]],9)="Cancelled","",Lessons[[#This Row],[Instructor_External_Id__c]]&amp;"|"&amp;TEXT(Lessons[[#This Row],[Lesson_Date__c]],"yyyy-mm-dd")&amp;"|"&amp;Lessons[[#This Row],[Start_Time__c]])</f>
        <v>a06ak00000amzBgAAI|2026-09-27|10:00:00.000Z</v>
      </c>
      <c r="AC29">
        <f>IF(Lessons[[#This Row],[Double Booked Key]]="","",COUNTIF(Lessons[Double Booked Key],Lessons[[#This Row],[Double Booked Key]]))</f>
        <v>1</v>
      </c>
      <c r="AD29" s="6" t="str">
        <f>_xlfn.XLOOKUP(Lessons[[#This Row],[Location_External_Id__c]], Locations[Location Id], Locations[Location Name])</f>
        <v>Brick</v>
      </c>
      <c r="AE29" s="6" t="str">
        <f>TEXT(Lessons[[#This Row],[Lesson_Date__c]], "yyyy-mm")</f>
        <v>2026-09</v>
      </c>
      <c r="AF29" s="6" t="str">
        <f>IF(Lessons[[#This Row],[Lesson_Date__c]]&lt;=Data_Audit!$F$1, "Yes", "No")</f>
        <v>Yes</v>
      </c>
    </row>
    <row r="30" spans="1:32">
      <c r="A30" t="s">
        <v>52</v>
      </c>
      <c r="B30" t="s">
        <v>53</v>
      </c>
      <c r="C30">
        <v>45</v>
      </c>
      <c r="D30" t="s">
        <v>197</v>
      </c>
      <c r="E30" t="s">
        <v>76</v>
      </c>
      <c r="F30" t="s">
        <v>77</v>
      </c>
      <c r="G30" t="s">
        <v>164</v>
      </c>
      <c r="H30" t="s">
        <v>78</v>
      </c>
      <c r="I30" t="b">
        <v>0</v>
      </c>
      <c r="K30" t="s">
        <v>52</v>
      </c>
      <c r="L30" t="s">
        <v>70</v>
      </c>
      <c r="M30" t="s">
        <v>80</v>
      </c>
      <c r="N30" t="s">
        <v>80</v>
      </c>
      <c r="O30" s="1">
        <v>46041</v>
      </c>
      <c r="P30" t="s">
        <v>198</v>
      </c>
      <c r="Q30" t="s">
        <v>199</v>
      </c>
      <c r="R30" t="s">
        <v>83</v>
      </c>
      <c r="S30" t="b">
        <v>0</v>
      </c>
      <c r="T30" t="b">
        <v>0</v>
      </c>
      <c r="U30" t="s">
        <v>199</v>
      </c>
      <c r="V30" t="s">
        <v>84</v>
      </c>
      <c r="W30" t="s">
        <v>65</v>
      </c>
      <c r="X30" t="s">
        <v>183</v>
      </c>
      <c r="Y30" t="s">
        <v>184</v>
      </c>
      <c r="Z30" t="s">
        <v>70</v>
      </c>
      <c r="AA30" t="b">
        <f>ISNUMBER(SEARCH(";"&amp;Lessons[[#This Row],[Instrument__c]]&amp;";",";"&amp;_xlfn.XLOOKUP(Lessons[[#This Row],[Instructor_External_Id__c]], Instructors[Id], Instructors[Instruments_Taught__c])&amp;";"))</f>
        <v>1</v>
      </c>
      <c r="AB30" t="str">
        <f>IF(LEFT(Lessons[[#This Row],[Status__c]],9)="Cancelled","",Lessons[[#This Row],[Instructor_External_Id__c]]&amp;"|"&amp;TEXT(Lessons[[#This Row],[Lesson_Date__c]],"yyyy-mm-dd")&amp;"|"&amp;Lessons[[#This Row],[Start_Time__c]])</f>
        <v>a06ak00000amzBgAAI|2026-01-19|17:00:00.000Z</v>
      </c>
      <c r="AC30">
        <f>IF(Lessons[[#This Row],[Double Booked Key]]="","",COUNTIF(Lessons[Double Booked Key],Lessons[[#This Row],[Double Booked Key]]))</f>
        <v>1</v>
      </c>
      <c r="AD30" s="6" t="str">
        <f>_xlfn.XLOOKUP(Lessons[[#This Row],[Location_External_Id__c]], Locations[Location Id], Locations[Location Name])</f>
        <v>Brick</v>
      </c>
      <c r="AE30" s="6" t="str">
        <f>TEXT(Lessons[[#This Row],[Lesson_Date__c]], "yyyy-mm")</f>
        <v>2026-01</v>
      </c>
      <c r="AF30" s="6" t="str">
        <f>IF(Lessons[[#This Row],[Lesson_Date__c]]&lt;=Data_Audit!$F$1, "Yes", "No")</f>
        <v>Yes</v>
      </c>
    </row>
    <row r="31" spans="1:32">
      <c r="A31" t="s">
        <v>52</v>
      </c>
      <c r="B31" t="s">
        <v>53</v>
      </c>
      <c r="C31">
        <v>30</v>
      </c>
      <c r="D31" t="s">
        <v>200</v>
      </c>
      <c r="E31" t="s">
        <v>201</v>
      </c>
      <c r="F31" t="s">
        <v>202</v>
      </c>
      <c r="H31" t="s">
        <v>203</v>
      </c>
      <c r="I31" t="b">
        <v>0</v>
      </c>
      <c r="K31" t="s">
        <v>52</v>
      </c>
      <c r="L31" t="s">
        <v>70</v>
      </c>
      <c r="M31" t="s">
        <v>80</v>
      </c>
      <c r="N31" t="s">
        <v>80</v>
      </c>
      <c r="O31" s="1">
        <v>46157</v>
      </c>
      <c r="P31" t="s">
        <v>204</v>
      </c>
      <c r="Q31" t="s">
        <v>205</v>
      </c>
      <c r="R31" t="s">
        <v>150</v>
      </c>
      <c r="S31" t="b">
        <v>0</v>
      </c>
      <c r="T31" t="b">
        <v>0</v>
      </c>
      <c r="U31" t="s">
        <v>205</v>
      </c>
      <c r="V31" t="s">
        <v>140</v>
      </c>
      <c r="W31" t="s">
        <v>121</v>
      </c>
      <c r="X31" t="s">
        <v>206</v>
      </c>
      <c r="Y31" t="s">
        <v>207</v>
      </c>
      <c r="Z31" t="s">
        <v>70</v>
      </c>
      <c r="AA31" t="b">
        <f>ISNUMBER(SEARCH(";"&amp;Lessons[[#This Row],[Instrument__c]]&amp;";",";"&amp;_xlfn.XLOOKUP(Lessons[[#This Row],[Instructor_External_Id__c]], Instructors[Id], Instructors[Instruments_Taught__c])&amp;";"))</f>
        <v>1</v>
      </c>
      <c r="AB31" t="str">
        <f>IF(LEFT(Lessons[[#This Row],[Status__c]],9)="Cancelled","",Lessons[[#This Row],[Instructor_External_Id__c]]&amp;"|"&amp;TEXT(Lessons[[#This Row],[Lesson_Date__c]],"yyyy-mm-dd")&amp;"|"&amp;Lessons[[#This Row],[Start_Time__c]])</f>
        <v>a06ak00000amzCJAAY|2026-05-15|15:00:00.000Z</v>
      </c>
      <c r="AC31">
        <f>IF(Lessons[[#This Row],[Double Booked Key]]="","",COUNTIF(Lessons[Double Booked Key],Lessons[[#This Row],[Double Booked Key]]))</f>
        <v>1</v>
      </c>
      <c r="AD31" s="6" t="str">
        <f>_xlfn.XLOOKUP(Lessons[[#This Row],[Location_External_Id__c]], Locations[Location Id], Locations[Location Name])</f>
        <v>Toms River</v>
      </c>
      <c r="AE31" s="6" t="str">
        <f>TEXT(Lessons[[#This Row],[Lesson_Date__c]], "yyyy-mm")</f>
        <v>2026-05</v>
      </c>
      <c r="AF31" s="6" t="str">
        <f>IF(Lessons[[#This Row],[Lesson_Date__c]]&lt;=Data_Audit!$F$1, "Yes", "No")</f>
        <v>Yes</v>
      </c>
    </row>
    <row r="32" spans="1:32">
      <c r="A32" t="s">
        <v>52</v>
      </c>
      <c r="B32" t="s">
        <v>53</v>
      </c>
      <c r="C32">
        <v>30</v>
      </c>
      <c r="D32" t="s">
        <v>208</v>
      </c>
      <c r="E32" t="s">
        <v>201</v>
      </c>
      <c r="F32" t="s">
        <v>202</v>
      </c>
      <c r="G32" t="s">
        <v>69</v>
      </c>
      <c r="H32" t="s">
        <v>203</v>
      </c>
      <c r="I32" t="b">
        <v>0</v>
      </c>
      <c r="K32" t="s">
        <v>52</v>
      </c>
      <c r="L32" t="s">
        <v>70</v>
      </c>
      <c r="M32" t="s">
        <v>80</v>
      </c>
      <c r="N32" t="s">
        <v>80</v>
      </c>
      <c r="O32" s="1">
        <v>46057</v>
      </c>
      <c r="P32" t="s">
        <v>209</v>
      </c>
      <c r="Q32" t="s">
        <v>210</v>
      </c>
      <c r="R32" t="s">
        <v>150</v>
      </c>
      <c r="S32" t="b">
        <v>0</v>
      </c>
      <c r="T32" t="b">
        <v>0</v>
      </c>
      <c r="U32" t="s">
        <v>210</v>
      </c>
      <c r="V32" t="s">
        <v>84</v>
      </c>
      <c r="W32" t="s">
        <v>65</v>
      </c>
      <c r="X32" t="s">
        <v>206</v>
      </c>
      <c r="Y32" t="s">
        <v>207</v>
      </c>
      <c r="Z32" t="s">
        <v>70</v>
      </c>
      <c r="AA32" t="b">
        <f>ISNUMBER(SEARCH(";"&amp;Lessons[[#This Row],[Instrument__c]]&amp;";",";"&amp;_xlfn.XLOOKUP(Lessons[[#This Row],[Instructor_External_Id__c]], Instructors[Id], Instructors[Instruments_Taught__c])&amp;";"))</f>
        <v>1</v>
      </c>
      <c r="AB32" t="str">
        <f>IF(LEFT(Lessons[[#This Row],[Status__c]],9)="Cancelled","",Lessons[[#This Row],[Instructor_External_Id__c]]&amp;"|"&amp;TEXT(Lessons[[#This Row],[Lesson_Date__c]],"yyyy-mm-dd")&amp;"|"&amp;Lessons[[#This Row],[Start_Time__c]])</f>
        <v>a06ak00000amzCJAAY|2026-02-04|17:00:00.000Z</v>
      </c>
      <c r="AC32">
        <f>IF(Lessons[[#This Row],[Double Booked Key]]="","",COUNTIF(Lessons[Double Booked Key],Lessons[[#This Row],[Double Booked Key]]))</f>
        <v>1</v>
      </c>
      <c r="AD32" s="6" t="str">
        <f>_xlfn.XLOOKUP(Lessons[[#This Row],[Location_External_Id__c]], Locations[Location Id], Locations[Location Name])</f>
        <v>Toms River</v>
      </c>
      <c r="AE32" s="6" t="str">
        <f>TEXT(Lessons[[#This Row],[Lesson_Date__c]], "yyyy-mm")</f>
        <v>2026-02</v>
      </c>
      <c r="AF32" s="6" t="str">
        <f>IF(Lessons[[#This Row],[Lesson_Date__c]]&lt;=Data_Audit!$F$1, "Yes", "No")</f>
        <v>Yes</v>
      </c>
    </row>
    <row r="33" spans="1:32">
      <c r="A33" t="s">
        <v>52</v>
      </c>
      <c r="B33" t="s">
        <v>53</v>
      </c>
      <c r="C33">
        <v>60</v>
      </c>
      <c r="D33" t="s">
        <v>211</v>
      </c>
      <c r="E33" t="s">
        <v>201</v>
      </c>
      <c r="F33" t="s">
        <v>202</v>
      </c>
      <c r="G33" t="s">
        <v>69</v>
      </c>
      <c r="H33" t="s">
        <v>203</v>
      </c>
      <c r="I33" t="b">
        <v>0</v>
      </c>
      <c r="K33" t="s">
        <v>52</v>
      </c>
      <c r="L33" t="s">
        <v>70</v>
      </c>
      <c r="M33" t="s">
        <v>80</v>
      </c>
      <c r="N33" t="s">
        <v>80</v>
      </c>
      <c r="O33" s="1">
        <v>46159</v>
      </c>
      <c r="P33" t="s">
        <v>212</v>
      </c>
      <c r="Q33" t="s">
        <v>213</v>
      </c>
      <c r="R33" t="s">
        <v>150</v>
      </c>
      <c r="S33" t="b">
        <v>0</v>
      </c>
      <c r="T33" t="b">
        <v>0</v>
      </c>
      <c r="U33" t="s">
        <v>213</v>
      </c>
      <c r="V33" t="s">
        <v>64</v>
      </c>
      <c r="W33" t="s">
        <v>65</v>
      </c>
      <c r="X33" t="s">
        <v>206</v>
      </c>
      <c r="Y33" t="s">
        <v>207</v>
      </c>
      <c r="Z33" t="s">
        <v>70</v>
      </c>
      <c r="AA33" t="b">
        <f>ISNUMBER(SEARCH(";"&amp;Lessons[[#This Row],[Instrument__c]]&amp;";",";"&amp;_xlfn.XLOOKUP(Lessons[[#This Row],[Instructor_External_Id__c]], Instructors[Id], Instructors[Instruments_Taught__c])&amp;";"))</f>
        <v>1</v>
      </c>
      <c r="AB33" t="str">
        <f>IF(LEFT(Lessons[[#This Row],[Status__c]],9)="Cancelled","",Lessons[[#This Row],[Instructor_External_Id__c]]&amp;"|"&amp;TEXT(Lessons[[#This Row],[Lesson_Date__c]],"yyyy-mm-dd")&amp;"|"&amp;Lessons[[#This Row],[Start_Time__c]])</f>
        <v>a06ak00000amzCJAAY|2026-05-17|11:00:00.000Z</v>
      </c>
      <c r="AC33">
        <f>IF(Lessons[[#This Row],[Double Booked Key]]="","",COUNTIF(Lessons[Double Booked Key],Lessons[[#This Row],[Double Booked Key]]))</f>
        <v>1</v>
      </c>
      <c r="AD33" s="6" t="str">
        <f>_xlfn.XLOOKUP(Lessons[[#This Row],[Location_External_Id__c]], Locations[Location Id], Locations[Location Name])</f>
        <v>Toms River</v>
      </c>
      <c r="AE33" s="6" t="str">
        <f>TEXT(Lessons[[#This Row],[Lesson_Date__c]], "yyyy-mm")</f>
        <v>2026-05</v>
      </c>
      <c r="AF33" s="6" t="str">
        <f>IF(Lessons[[#This Row],[Lesson_Date__c]]&lt;=Data_Audit!$F$1, "Yes", "No")</f>
        <v>Yes</v>
      </c>
    </row>
    <row r="34" spans="1:32">
      <c r="A34" t="s">
        <v>52</v>
      </c>
      <c r="B34" t="s">
        <v>53</v>
      </c>
      <c r="C34">
        <v>30</v>
      </c>
      <c r="D34" t="s">
        <v>214</v>
      </c>
      <c r="E34" t="s">
        <v>201</v>
      </c>
      <c r="F34" t="s">
        <v>202</v>
      </c>
      <c r="H34" t="s">
        <v>203</v>
      </c>
      <c r="I34" t="b">
        <v>0</v>
      </c>
      <c r="K34" t="s">
        <v>52</v>
      </c>
      <c r="L34" t="s">
        <v>70</v>
      </c>
      <c r="M34" t="s">
        <v>80</v>
      </c>
      <c r="N34" t="s">
        <v>80</v>
      </c>
      <c r="O34" s="1">
        <v>46195</v>
      </c>
      <c r="P34" t="s">
        <v>215</v>
      </c>
      <c r="Q34" t="s">
        <v>216</v>
      </c>
      <c r="R34" t="s">
        <v>150</v>
      </c>
      <c r="S34" t="b">
        <v>0</v>
      </c>
      <c r="T34" t="b">
        <v>0</v>
      </c>
      <c r="U34" t="s">
        <v>216</v>
      </c>
      <c r="V34" t="s">
        <v>110</v>
      </c>
      <c r="W34" t="s">
        <v>65</v>
      </c>
      <c r="X34" t="s">
        <v>206</v>
      </c>
      <c r="Y34" t="s">
        <v>207</v>
      </c>
      <c r="Z34" t="s">
        <v>70</v>
      </c>
      <c r="AA34" t="b">
        <f>ISNUMBER(SEARCH(";"&amp;Lessons[[#This Row],[Instrument__c]]&amp;";",";"&amp;_xlfn.XLOOKUP(Lessons[[#This Row],[Instructor_External_Id__c]], Instructors[Id], Instructors[Instruments_Taught__c])&amp;";"))</f>
        <v>1</v>
      </c>
      <c r="AB34" t="str">
        <f>IF(LEFT(Lessons[[#This Row],[Status__c]],9)="Cancelled","",Lessons[[#This Row],[Instructor_External_Id__c]]&amp;"|"&amp;TEXT(Lessons[[#This Row],[Lesson_Date__c]],"yyyy-mm-dd")&amp;"|"&amp;Lessons[[#This Row],[Start_Time__c]])</f>
        <v>a06ak00000amzCJAAY|2026-06-22|10:00:00.000Z</v>
      </c>
      <c r="AC34">
        <f>IF(Lessons[[#This Row],[Double Booked Key]]="","",COUNTIF(Lessons[Double Booked Key],Lessons[[#This Row],[Double Booked Key]]))</f>
        <v>1</v>
      </c>
      <c r="AD34" s="6" t="str">
        <f>_xlfn.XLOOKUP(Lessons[[#This Row],[Location_External_Id__c]], Locations[Location Id], Locations[Location Name])</f>
        <v>Toms River</v>
      </c>
      <c r="AE34" s="6" t="str">
        <f>TEXT(Lessons[[#This Row],[Lesson_Date__c]], "yyyy-mm")</f>
        <v>2026-06</v>
      </c>
      <c r="AF34" s="6" t="str">
        <f>IF(Lessons[[#This Row],[Lesson_Date__c]]&lt;=Data_Audit!$F$1, "Yes", "No")</f>
        <v>Yes</v>
      </c>
    </row>
    <row r="35" spans="1:32">
      <c r="A35" t="s">
        <v>52</v>
      </c>
      <c r="B35" t="s">
        <v>53</v>
      </c>
      <c r="C35">
        <v>30</v>
      </c>
      <c r="D35" t="s">
        <v>217</v>
      </c>
      <c r="E35" t="s">
        <v>104</v>
      </c>
      <c r="F35" t="s">
        <v>105</v>
      </c>
      <c r="G35" t="s">
        <v>57</v>
      </c>
      <c r="H35" t="s">
        <v>78</v>
      </c>
      <c r="I35" t="b">
        <v>0</v>
      </c>
      <c r="K35" t="s">
        <v>52</v>
      </c>
      <c r="L35" t="s">
        <v>70</v>
      </c>
      <c r="M35" t="s">
        <v>80</v>
      </c>
      <c r="N35" t="s">
        <v>80</v>
      </c>
      <c r="O35" s="1">
        <v>46183</v>
      </c>
      <c r="P35" t="s">
        <v>218</v>
      </c>
      <c r="Q35" t="s">
        <v>219</v>
      </c>
      <c r="R35" t="s">
        <v>83</v>
      </c>
      <c r="S35" t="b">
        <v>0</v>
      </c>
      <c r="T35" t="b">
        <v>0</v>
      </c>
      <c r="U35" t="s">
        <v>219</v>
      </c>
      <c r="V35" t="s">
        <v>140</v>
      </c>
      <c r="W35" t="s">
        <v>65</v>
      </c>
      <c r="X35" t="s">
        <v>220</v>
      </c>
      <c r="Y35" t="s">
        <v>221</v>
      </c>
      <c r="Z35" t="s">
        <v>70</v>
      </c>
      <c r="AA35" t="b">
        <f>ISNUMBER(SEARCH(";"&amp;Lessons[[#This Row],[Instrument__c]]&amp;";",";"&amp;_xlfn.XLOOKUP(Lessons[[#This Row],[Instructor_External_Id__c]], Instructors[Id], Instructors[Instruments_Taught__c])&amp;";"))</f>
        <v>1</v>
      </c>
      <c r="AB35" t="str">
        <f>IF(LEFT(Lessons[[#This Row],[Status__c]],9)="Cancelled","",Lessons[[#This Row],[Instructor_External_Id__c]]&amp;"|"&amp;TEXT(Lessons[[#This Row],[Lesson_Date__c]],"yyyy-mm-dd")&amp;"|"&amp;Lessons[[#This Row],[Start_Time__c]])</f>
        <v>a06ak00000amzBeAAI|2026-06-10|15:00:00.000Z</v>
      </c>
      <c r="AC35">
        <f>IF(Lessons[[#This Row],[Double Booked Key]]="","",COUNTIF(Lessons[Double Booked Key],Lessons[[#This Row],[Double Booked Key]]))</f>
        <v>1</v>
      </c>
      <c r="AD35" s="6" t="str">
        <f>_xlfn.XLOOKUP(Lessons[[#This Row],[Location_External_Id__c]], Locations[Location Id], Locations[Location Name])</f>
        <v>Brick</v>
      </c>
      <c r="AE35" s="6" t="str">
        <f>TEXT(Lessons[[#This Row],[Lesson_Date__c]], "yyyy-mm")</f>
        <v>2026-06</v>
      </c>
      <c r="AF35" s="6" t="str">
        <f>IF(Lessons[[#This Row],[Lesson_Date__c]]&lt;=Data_Audit!$F$1, "Yes", "No")</f>
        <v>Yes</v>
      </c>
    </row>
    <row r="36" spans="1:32">
      <c r="A36" t="s">
        <v>52</v>
      </c>
      <c r="B36" t="s">
        <v>53</v>
      </c>
      <c r="C36">
        <v>30</v>
      </c>
      <c r="D36" t="s">
        <v>222</v>
      </c>
      <c r="E36" t="s">
        <v>104</v>
      </c>
      <c r="F36" t="s">
        <v>105</v>
      </c>
      <c r="G36" t="s">
        <v>106</v>
      </c>
      <c r="H36" t="s">
        <v>78</v>
      </c>
      <c r="I36" t="b">
        <v>0</v>
      </c>
      <c r="K36" t="s">
        <v>52</v>
      </c>
      <c r="L36" t="s">
        <v>70</v>
      </c>
      <c r="M36" t="s">
        <v>80</v>
      </c>
      <c r="N36" t="s">
        <v>80</v>
      </c>
      <c r="O36" s="1">
        <v>46214</v>
      </c>
      <c r="P36" t="s">
        <v>223</v>
      </c>
      <c r="Q36" t="s">
        <v>224</v>
      </c>
      <c r="R36" t="s">
        <v>83</v>
      </c>
      <c r="S36" t="b">
        <v>0</v>
      </c>
      <c r="T36" t="b">
        <v>0</v>
      </c>
      <c r="U36" t="s">
        <v>224</v>
      </c>
      <c r="V36" t="s">
        <v>140</v>
      </c>
      <c r="W36" t="s">
        <v>65</v>
      </c>
      <c r="X36" t="s">
        <v>220</v>
      </c>
      <c r="Y36" t="s">
        <v>221</v>
      </c>
      <c r="Z36" t="s">
        <v>70</v>
      </c>
      <c r="AA36" t="b">
        <f>ISNUMBER(SEARCH(";"&amp;Lessons[[#This Row],[Instrument__c]]&amp;";",";"&amp;_xlfn.XLOOKUP(Lessons[[#This Row],[Instructor_External_Id__c]], Instructors[Id], Instructors[Instruments_Taught__c])&amp;";"))</f>
        <v>1</v>
      </c>
      <c r="AB36" t="str">
        <f>IF(LEFT(Lessons[[#This Row],[Status__c]],9)="Cancelled","",Lessons[[#This Row],[Instructor_External_Id__c]]&amp;"|"&amp;TEXT(Lessons[[#This Row],[Lesson_Date__c]],"yyyy-mm-dd")&amp;"|"&amp;Lessons[[#This Row],[Start_Time__c]])</f>
        <v>a06ak00000amzBeAAI|2026-07-11|15:00:00.000Z</v>
      </c>
      <c r="AC36">
        <f>IF(Lessons[[#This Row],[Double Booked Key]]="","",COUNTIF(Lessons[Double Booked Key],Lessons[[#This Row],[Double Booked Key]]))</f>
        <v>1</v>
      </c>
      <c r="AD36" s="6" t="str">
        <f>_xlfn.XLOOKUP(Lessons[[#This Row],[Location_External_Id__c]], Locations[Location Id], Locations[Location Name])</f>
        <v>Brick</v>
      </c>
      <c r="AE36" s="6" t="str">
        <f>TEXT(Lessons[[#This Row],[Lesson_Date__c]], "yyyy-mm")</f>
        <v>2026-07</v>
      </c>
      <c r="AF36" s="6" t="str">
        <f>IF(Lessons[[#This Row],[Lesson_Date__c]]&lt;=Data_Audit!$F$1, "Yes", "No")</f>
        <v>Yes</v>
      </c>
    </row>
    <row r="37" spans="1:32">
      <c r="A37" t="s">
        <v>52</v>
      </c>
      <c r="B37" t="s">
        <v>53</v>
      </c>
      <c r="C37">
        <v>30</v>
      </c>
      <c r="D37" t="s">
        <v>225</v>
      </c>
      <c r="E37" t="s">
        <v>104</v>
      </c>
      <c r="F37" t="s">
        <v>105</v>
      </c>
      <c r="H37" t="s">
        <v>78</v>
      </c>
      <c r="I37" t="b">
        <v>0</v>
      </c>
      <c r="K37" t="s">
        <v>52</v>
      </c>
      <c r="L37" t="s">
        <v>70</v>
      </c>
      <c r="M37" t="s">
        <v>80</v>
      </c>
      <c r="N37" t="s">
        <v>80</v>
      </c>
      <c r="O37" s="1">
        <v>46287</v>
      </c>
      <c r="P37" t="s">
        <v>226</v>
      </c>
      <c r="Q37" t="s">
        <v>227</v>
      </c>
      <c r="R37" t="s">
        <v>83</v>
      </c>
      <c r="S37" t="b">
        <v>1</v>
      </c>
      <c r="T37" t="b">
        <v>1</v>
      </c>
      <c r="U37" t="s">
        <v>227</v>
      </c>
      <c r="V37" t="s">
        <v>135</v>
      </c>
      <c r="W37" t="s">
        <v>136</v>
      </c>
      <c r="X37" t="s">
        <v>220</v>
      </c>
      <c r="Y37" t="s">
        <v>221</v>
      </c>
      <c r="Z37" t="s">
        <v>70</v>
      </c>
      <c r="AA37" t="b">
        <f>ISNUMBER(SEARCH(";"&amp;Lessons[[#This Row],[Instrument__c]]&amp;";",";"&amp;_xlfn.XLOOKUP(Lessons[[#This Row],[Instructor_External_Id__c]], Instructors[Id], Instructors[Instruments_Taught__c])&amp;";"))</f>
        <v>1</v>
      </c>
      <c r="AB37" t="str">
        <f>IF(LEFT(Lessons[[#This Row],[Status__c]],9)="Cancelled","",Lessons[[#This Row],[Instructor_External_Id__c]]&amp;"|"&amp;TEXT(Lessons[[#This Row],[Lesson_Date__c]],"yyyy-mm-dd")&amp;"|"&amp;Lessons[[#This Row],[Start_Time__c]])</f>
        <v/>
      </c>
      <c r="AC37" t="str">
        <f>IF(Lessons[[#This Row],[Double Booked Key]]="","",COUNTIF(Lessons[Double Booked Key],Lessons[[#This Row],[Double Booked Key]]))</f>
        <v/>
      </c>
      <c r="AD37" s="6" t="str">
        <f>_xlfn.XLOOKUP(Lessons[[#This Row],[Location_External_Id__c]], Locations[Location Id], Locations[Location Name])</f>
        <v>Brick</v>
      </c>
      <c r="AE37" s="6" t="str">
        <f>TEXT(Lessons[[#This Row],[Lesson_Date__c]], "yyyy-mm")</f>
        <v>2026-09</v>
      </c>
      <c r="AF37" s="6" t="str">
        <f>IF(Lessons[[#This Row],[Lesson_Date__c]]&lt;=Data_Audit!$F$1, "Yes", "No")</f>
        <v>Yes</v>
      </c>
    </row>
    <row r="38" spans="1:32">
      <c r="A38" t="s">
        <v>52</v>
      </c>
      <c r="B38" t="s">
        <v>53</v>
      </c>
      <c r="C38">
        <v>30</v>
      </c>
      <c r="D38" t="s">
        <v>228</v>
      </c>
      <c r="E38" t="s">
        <v>104</v>
      </c>
      <c r="F38" t="s">
        <v>105</v>
      </c>
      <c r="G38" t="s">
        <v>57</v>
      </c>
      <c r="H38" t="s">
        <v>78</v>
      </c>
      <c r="I38" t="b">
        <v>0</v>
      </c>
      <c r="K38" t="s">
        <v>52</v>
      </c>
      <c r="L38" t="s">
        <v>70</v>
      </c>
      <c r="M38" t="s">
        <v>80</v>
      </c>
      <c r="N38" t="s">
        <v>80</v>
      </c>
      <c r="O38" s="1">
        <v>46237</v>
      </c>
      <c r="P38" t="s">
        <v>229</v>
      </c>
      <c r="Q38" t="s">
        <v>230</v>
      </c>
      <c r="R38" t="s">
        <v>83</v>
      </c>
      <c r="S38" t="b">
        <v>0</v>
      </c>
      <c r="T38" t="b">
        <v>0</v>
      </c>
      <c r="U38" t="s">
        <v>230</v>
      </c>
      <c r="V38" t="s">
        <v>64</v>
      </c>
      <c r="W38" t="s">
        <v>65</v>
      </c>
      <c r="X38" t="s">
        <v>220</v>
      </c>
      <c r="Y38" t="s">
        <v>221</v>
      </c>
      <c r="Z38" t="s">
        <v>70</v>
      </c>
      <c r="AA38" t="b">
        <f>ISNUMBER(SEARCH(";"&amp;Lessons[[#This Row],[Instrument__c]]&amp;";",";"&amp;_xlfn.XLOOKUP(Lessons[[#This Row],[Instructor_External_Id__c]], Instructors[Id], Instructors[Instruments_Taught__c])&amp;";"))</f>
        <v>1</v>
      </c>
      <c r="AB38" t="str">
        <f>IF(LEFT(Lessons[[#This Row],[Status__c]],9)="Cancelled","",Lessons[[#This Row],[Instructor_External_Id__c]]&amp;"|"&amp;TEXT(Lessons[[#This Row],[Lesson_Date__c]],"yyyy-mm-dd")&amp;"|"&amp;Lessons[[#This Row],[Start_Time__c]])</f>
        <v>a06ak00000amzBeAAI|2026-08-03|11:00:00.000Z</v>
      </c>
      <c r="AC38">
        <f>IF(Lessons[[#This Row],[Double Booked Key]]="","",COUNTIF(Lessons[Double Booked Key],Lessons[[#This Row],[Double Booked Key]]))</f>
        <v>1</v>
      </c>
      <c r="AD38" s="6" t="str">
        <f>_xlfn.XLOOKUP(Lessons[[#This Row],[Location_External_Id__c]], Locations[Location Id], Locations[Location Name])</f>
        <v>Brick</v>
      </c>
      <c r="AE38" s="6" t="str">
        <f>TEXT(Lessons[[#This Row],[Lesson_Date__c]], "yyyy-mm")</f>
        <v>2026-08</v>
      </c>
      <c r="AF38" s="6" t="str">
        <f>IF(Lessons[[#This Row],[Lesson_Date__c]]&lt;=Data_Audit!$F$1, "Yes", "No")</f>
        <v>Yes</v>
      </c>
    </row>
    <row r="39" spans="1:32">
      <c r="A39" t="s">
        <v>52</v>
      </c>
      <c r="B39" t="s">
        <v>53</v>
      </c>
      <c r="C39">
        <v>30</v>
      </c>
      <c r="D39" t="s">
        <v>231</v>
      </c>
      <c r="E39" t="s">
        <v>104</v>
      </c>
      <c r="F39" t="s">
        <v>105</v>
      </c>
      <c r="G39" t="s">
        <v>164</v>
      </c>
      <c r="H39" t="s">
        <v>78</v>
      </c>
      <c r="I39" t="b">
        <v>0</v>
      </c>
      <c r="K39" t="s">
        <v>52</v>
      </c>
      <c r="L39" t="s">
        <v>70</v>
      </c>
      <c r="M39" t="s">
        <v>80</v>
      </c>
      <c r="N39" t="s">
        <v>80</v>
      </c>
      <c r="O39" s="1">
        <v>46170</v>
      </c>
      <c r="P39" t="s">
        <v>232</v>
      </c>
      <c r="Q39" t="s">
        <v>233</v>
      </c>
      <c r="R39" t="s">
        <v>83</v>
      </c>
      <c r="S39" t="b">
        <v>0</v>
      </c>
      <c r="T39" t="b">
        <v>0</v>
      </c>
      <c r="U39" t="s">
        <v>233</v>
      </c>
      <c r="V39" t="s">
        <v>94</v>
      </c>
      <c r="W39" t="s">
        <v>65</v>
      </c>
      <c r="X39" t="s">
        <v>220</v>
      </c>
      <c r="Y39" t="s">
        <v>221</v>
      </c>
      <c r="Z39" t="s">
        <v>70</v>
      </c>
      <c r="AA39" t="b">
        <f>ISNUMBER(SEARCH(";"&amp;Lessons[[#This Row],[Instrument__c]]&amp;";",";"&amp;_xlfn.XLOOKUP(Lessons[[#This Row],[Instructor_External_Id__c]], Instructors[Id], Instructors[Instruments_Taught__c])&amp;";"))</f>
        <v>1</v>
      </c>
      <c r="AB39" t="str">
        <f>IF(LEFT(Lessons[[#This Row],[Status__c]],9)="Cancelled","",Lessons[[#This Row],[Instructor_External_Id__c]]&amp;"|"&amp;TEXT(Lessons[[#This Row],[Lesson_Date__c]],"yyyy-mm-dd")&amp;"|"&amp;Lessons[[#This Row],[Start_Time__c]])</f>
        <v>a06ak00000amzBeAAI|2026-05-28|19:00:00.000Z</v>
      </c>
      <c r="AC39">
        <f>IF(Lessons[[#This Row],[Double Booked Key]]="","",COUNTIF(Lessons[Double Booked Key],Lessons[[#This Row],[Double Booked Key]]))</f>
        <v>1</v>
      </c>
      <c r="AD39" s="6" t="str">
        <f>_xlfn.XLOOKUP(Lessons[[#This Row],[Location_External_Id__c]], Locations[Location Id], Locations[Location Name])</f>
        <v>Brick</v>
      </c>
      <c r="AE39" s="6" t="str">
        <f>TEXT(Lessons[[#This Row],[Lesson_Date__c]], "yyyy-mm")</f>
        <v>2026-05</v>
      </c>
      <c r="AF39" s="6" t="str">
        <f>IF(Lessons[[#This Row],[Lesson_Date__c]]&lt;=Data_Audit!$F$1, "Yes", "No")</f>
        <v>Yes</v>
      </c>
    </row>
    <row r="40" spans="1:32">
      <c r="A40" t="s">
        <v>52</v>
      </c>
      <c r="B40" t="s">
        <v>53</v>
      </c>
      <c r="C40">
        <v>30</v>
      </c>
      <c r="D40" t="s">
        <v>234</v>
      </c>
      <c r="E40" t="s">
        <v>235</v>
      </c>
      <c r="F40" t="s">
        <v>236</v>
      </c>
      <c r="H40" t="s">
        <v>237</v>
      </c>
      <c r="I40" t="b">
        <v>0</v>
      </c>
      <c r="K40" t="s">
        <v>52</v>
      </c>
      <c r="L40" t="s">
        <v>70</v>
      </c>
      <c r="M40" t="s">
        <v>80</v>
      </c>
      <c r="N40" t="s">
        <v>80</v>
      </c>
      <c r="O40" s="1">
        <v>46087</v>
      </c>
      <c r="P40" t="s">
        <v>238</v>
      </c>
      <c r="Q40" t="s">
        <v>239</v>
      </c>
      <c r="R40" t="s">
        <v>83</v>
      </c>
      <c r="S40" t="b">
        <v>0</v>
      </c>
      <c r="T40" t="b">
        <v>0</v>
      </c>
      <c r="U40" t="s">
        <v>239</v>
      </c>
      <c r="V40" t="s">
        <v>120</v>
      </c>
      <c r="W40" t="s">
        <v>85</v>
      </c>
      <c r="X40" t="s">
        <v>240</v>
      </c>
      <c r="Y40" t="s">
        <v>241</v>
      </c>
      <c r="Z40" t="s">
        <v>70</v>
      </c>
      <c r="AA40" t="b">
        <f>ISNUMBER(SEARCH(";"&amp;Lessons[[#This Row],[Instrument__c]]&amp;";",";"&amp;_xlfn.XLOOKUP(Lessons[[#This Row],[Instructor_External_Id__c]], Instructors[Id], Instructors[Instruments_Taught__c])&amp;";"))</f>
        <v>1</v>
      </c>
      <c r="AB40" t="str">
        <f>IF(LEFT(Lessons[[#This Row],[Status__c]],9)="Cancelled","",Lessons[[#This Row],[Instructor_External_Id__c]]&amp;"|"&amp;TEXT(Lessons[[#This Row],[Lesson_Date__c]],"yyyy-mm-dd")&amp;"|"&amp;Lessons[[#This Row],[Start_Time__c]])</f>
        <v/>
      </c>
      <c r="AC40" t="str">
        <f>IF(Lessons[[#This Row],[Double Booked Key]]="","",COUNTIF(Lessons[Double Booked Key],Lessons[[#This Row],[Double Booked Key]]))</f>
        <v/>
      </c>
      <c r="AD40" s="6" t="str">
        <f>_xlfn.XLOOKUP(Lessons[[#This Row],[Location_External_Id__c]], Locations[Location Id], Locations[Location Name])</f>
        <v>Brick</v>
      </c>
      <c r="AE40" s="6" t="str">
        <f>TEXT(Lessons[[#This Row],[Lesson_Date__c]], "yyyy-mm")</f>
        <v>2026-03</v>
      </c>
      <c r="AF40" s="6" t="str">
        <f>IF(Lessons[[#This Row],[Lesson_Date__c]]&lt;=Data_Audit!$F$1, "Yes", "No")</f>
        <v>Yes</v>
      </c>
    </row>
    <row r="41" spans="1:32">
      <c r="A41" t="s">
        <v>52</v>
      </c>
      <c r="B41" t="s">
        <v>53</v>
      </c>
      <c r="C41">
        <v>30</v>
      </c>
      <c r="D41" t="s">
        <v>242</v>
      </c>
      <c r="E41" t="s">
        <v>243</v>
      </c>
      <c r="F41" t="s">
        <v>244</v>
      </c>
      <c r="G41" t="s">
        <v>99</v>
      </c>
      <c r="H41" t="s">
        <v>237</v>
      </c>
      <c r="I41" t="b">
        <v>0</v>
      </c>
      <c r="K41" t="s">
        <v>52</v>
      </c>
      <c r="L41" t="s">
        <v>79</v>
      </c>
      <c r="M41" t="s">
        <v>80</v>
      </c>
      <c r="N41" t="s">
        <v>80</v>
      </c>
      <c r="O41" s="1">
        <v>46294</v>
      </c>
      <c r="P41" t="s">
        <v>245</v>
      </c>
      <c r="Q41" t="s">
        <v>246</v>
      </c>
      <c r="R41" t="s">
        <v>83</v>
      </c>
      <c r="S41" t="b">
        <v>0</v>
      </c>
      <c r="T41" t="b">
        <v>0</v>
      </c>
      <c r="U41" t="s">
        <v>246</v>
      </c>
      <c r="V41" t="s">
        <v>102</v>
      </c>
      <c r="W41" t="s">
        <v>65</v>
      </c>
      <c r="X41" t="s">
        <v>240</v>
      </c>
      <c r="Y41" t="s">
        <v>241</v>
      </c>
      <c r="Z41" t="s">
        <v>79</v>
      </c>
      <c r="AA41" t="b">
        <f>ISNUMBER(SEARCH(";"&amp;Lessons[[#This Row],[Instrument__c]]&amp;";",";"&amp;_xlfn.XLOOKUP(Lessons[[#This Row],[Instructor_External_Id__c]], Instructors[Id], Instructors[Instruments_Taught__c])&amp;";"))</f>
        <v>1</v>
      </c>
      <c r="AB41" t="str">
        <f>IF(LEFT(Lessons[[#This Row],[Status__c]],9)="Cancelled","",Lessons[[#This Row],[Instructor_External_Id__c]]&amp;"|"&amp;TEXT(Lessons[[#This Row],[Lesson_Date__c]],"yyyy-mm-dd")&amp;"|"&amp;Lessons[[#This Row],[Start_Time__c]])</f>
        <v>a06ak00000amzC1AAI|2026-09-29|16:00:00.000Z</v>
      </c>
      <c r="AC41">
        <f>IF(Lessons[[#This Row],[Double Booked Key]]="","",COUNTIF(Lessons[Double Booked Key],Lessons[[#This Row],[Double Booked Key]]))</f>
        <v>1</v>
      </c>
      <c r="AD41" s="6" t="str">
        <f>_xlfn.XLOOKUP(Lessons[[#This Row],[Location_External_Id__c]], Locations[Location Id], Locations[Location Name])</f>
        <v>Brick</v>
      </c>
      <c r="AE41" s="6" t="str">
        <f>TEXT(Lessons[[#This Row],[Lesson_Date__c]], "yyyy-mm")</f>
        <v>2026-09</v>
      </c>
      <c r="AF41" s="6" t="str">
        <f>IF(Lessons[[#This Row],[Lesson_Date__c]]&lt;=Data_Audit!$F$1, "Yes", "No")</f>
        <v>Yes</v>
      </c>
    </row>
    <row r="42" spans="1:32">
      <c r="A42" t="s">
        <v>52</v>
      </c>
      <c r="B42" t="s">
        <v>53</v>
      </c>
      <c r="C42">
        <v>45</v>
      </c>
      <c r="D42" t="s">
        <v>247</v>
      </c>
      <c r="E42" t="s">
        <v>235</v>
      </c>
      <c r="F42" t="s">
        <v>236</v>
      </c>
      <c r="G42" t="s">
        <v>106</v>
      </c>
      <c r="H42" t="s">
        <v>237</v>
      </c>
      <c r="I42" t="b">
        <v>0</v>
      </c>
      <c r="K42" t="s">
        <v>52</v>
      </c>
      <c r="L42" t="s">
        <v>70</v>
      </c>
      <c r="M42" t="s">
        <v>80</v>
      </c>
      <c r="N42" t="s">
        <v>80</v>
      </c>
      <c r="O42" s="1">
        <v>46181</v>
      </c>
      <c r="P42" t="s">
        <v>248</v>
      </c>
      <c r="Q42" t="s">
        <v>249</v>
      </c>
      <c r="R42" t="s">
        <v>83</v>
      </c>
      <c r="S42" t="b">
        <v>0</v>
      </c>
      <c r="T42" t="b">
        <v>0</v>
      </c>
      <c r="U42" t="s">
        <v>249</v>
      </c>
      <c r="V42" t="s">
        <v>94</v>
      </c>
      <c r="W42" t="s">
        <v>65</v>
      </c>
      <c r="X42" t="s">
        <v>240</v>
      </c>
      <c r="Y42" t="s">
        <v>241</v>
      </c>
      <c r="Z42" t="s">
        <v>70</v>
      </c>
      <c r="AA42" t="b">
        <f>ISNUMBER(SEARCH(";"&amp;Lessons[[#This Row],[Instrument__c]]&amp;";",";"&amp;_xlfn.XLOOKUP(Lessons[[#This Row],[Instructor_External_Id__c]], Instructors[Id], Instructors[Instruments_Taught__c])&amp;";"))</f>
        <v>1</v>
      </c>
      <c r="AB42" t="str">
        <f>IF(LEFT(Lessons[[#This Row],[Status__c]],9)="Cancelled","",Lessons[[#This Row],[Instructor_External_Id__c]]&amp;"|"&amp;TEXT(Lessons[[#This Row],[Lesson_Date__c]],"yyyy-mm-dd")&amp;"|"&amp;Lessons[[#This Row],[Start_Time__c]])</f>
        <v>a06ak00000amzC5AAI|2026-06-08|19:00:00.000Z</v>
      </c>
      <c r="AC42">
        <f>IF(Lessons[[#This Row],[Double Booked Key]]="","",COUNTIF(Lessons[Double Booked Key],Lessons[[#This Row],[Double Booked Key]]))</f>
        <v>1</v>
      </c>
      <c r="AD42" s="6" t="str">
        <f>_xlfn.XLOOKUP(Lessons[[#This Row],[Location_External_Id__c]], Locations[Location Id], Locations[Location Name])</f>
        <v>Brick</v>
      </c>
      <c r="AE42" s="6" t="str">
        <f>TEXT(Lessons[[#This Row],[Lesson_Date__c]], "yyyy-mm")</f>
        <v>2026-06</v>
      </c>
      <c r="AF42" s="6" t="str">
        <f>IF(Lessons[[#This Row],[Lesson_Date__c]]&lt;=Data_Audit!$F$1, "Yes", "No")</f>
        <v>Yes</v>
      </c>
    </row>
    <row r="43" spans="1:32">
      <c r="A43" t="s">
        <v>52</v>
      </c>
      <c r="B43" t="s">
        <v>53</v>
      </c>
      <c r="C43">
        <v>45</v>
      </c>
      <c r="D43" t="s">
        <v>250</v>
      </c>
      <c r="E43" t="s">
        <v>235</v>
      </c>
      <c r="F43" t="s">
        <v>236</v>
      </c>
      <c r="H43" t="s">
        <v>237</v>
      </c>
      <c r="I43" t="b">
        <v>0</v>
      </c>
      <c r="K43" t="s">
        <v>52</v>
      </c>
      <c r="L43" t="s">
        <v>70</v>
      </c>
      <c r="M43" t="s">
        <v>80</v>
      </c>
      <c r="N43" t="s">
        <v>80</v>
      </c>
      <c r="O43" s="1">
        <v>46164</v>
      </c>
      <c r="P43" t="s">
        <v>251</v>
      </c>
      <c r="Q43" t="s">
        <v>252</v>
      </c>
      <c r="R43" t="s">
        <v>83</v>
      </c>
      <c r="S43" t="b">
        <v>0</v>
      </c>
      <c r="T43" t="b">
        <v>0</v>
      </c>
      <c r="U43" t="s">
        <v>252</v>
      </c>
      <c r="V43" t="s">
        <v>120</v>
      </c>
      <c r="W43" t="s">
        <v>85</v>
      </c>
      <c r="X43" t="s">
        <v>240</v>
      </c>
      <c r="Y43" t="s">
        <v>241</v>
      </c>
      <c r="Z43" t="s">
        <v>70</v>
      </c>
      <c r="AA43" t="b">
        <f>ISNUMBER(SEARCH(";"&amp;Lessons[[#This Row],[Instrument__c]]&amp;";",";"&amp;_xlfn.XLOOKUP(Lessons[[#This Row],[Instructor_External_Id__c]], Instructors[Id], Instructors[Instruments_Taught__c])&amp;";"))</f>
        <v>1</v>
      </c>
      <c r="AB43" t="str">
        <f>IF(LEFT(Lessons[[#This Row],[Status__c]],9)="Cancelled","",Lessons[[#This Row],[Instructor_External_Id__c]]&amp;"|"&amp;TEXT(Lessons[[#This Row],[Lesson_Date__c]],"yyyy-mm-dd")&amp;"|"&amp;Lessons[[#This Row],[Start_Time__c]])</f>
        <v/>
      </c>
      <c r="AC43" t="str">
        <f>IF(Lessons[[#This Row],[Double Booked Key]]="","",COUNTIF(Lessons[Double Booked Key],Lessons[[#This Row],[Double Booked Key]]))</f>
        <v/>
      </c>
      <c r="AD43" s="6" t="str">
        <f>_xlfn.XLOOKUP(Lessons[[#This Row],[Location_External_Id__c]], Locations[Location Id], Locations[Location Name])</f>
        <v>Brick</v>
      </c>
      <c r="AE43" s="6" t="str">
        <f>TEXT(Lessons[[#This Row],[Lesson_Date__c]], "yyyy-mm")</f>
        <v>2026-05</v>
      </c>
      <c r="AF43" s="6" t="str">
        <f>IF(Lessons[[#This Row],[Lesson_Date__c]]&lt;=Data_Audit!$F$1, "Yes", "No")</f>
        <v>Yes</v>
      </c>
    </row>
    <row r="44" spans="1:32">
      <c r="A44" t="s">
        <v>52</v>
      </c>
      <c r="B44" t="s">
        <v>53</v>
      </c>
      <c r="C44">
        <v>30</v>
      </c>
      <c r="D44" t="s">
        <v>253</v>
      </c>
      <c r="E44" t="s">
        <v>235</v>
      </c>
      <c r="F44" t="s">
        <v>236</v>
      </c>
      <c r="G44" t="s">
        <v>99</v>
      </c>
      <c r="H44" t="s">
        <v>237</v>
      </c>
      <c r="I44" t="b">
        <v>0</v>
      </c>
      <c r="K44" t="s">
        <v>52</v>
      </c>
      <c r="L44" t="s">
        <v>70</v>
      </c>
      <c r="M44" t="s">
        <v>80</v>
      </c>
      <c r="N44" t="s">
        <v>80</v>
      </c>
      <c r="O44" s="1">
        <v>46231</v>
      </c>
      <c r="P44" t="s">
        <v>254</v>
      </c>
      <c r="Q44" t="s">
        <v>255</v>
      </c>
      <c r="R44" t="s">
        <v>83</v>
      </c>
      <c r="S44" t="b">
        <v>0</v>
      </c>
      <c r="T44" t="b">
        <v>0</v>
      </c>
      <c r="U44" t="s">
        <v>255</v>
      </c>
      <c r="V44" t="s">
        <v>120</v>
      </c>
      <c r="W44" t="s">
        <v>65</v>
      </c>
      <c r="X44" t="s">
        <v>240</v>
      </c>
      <c r="Y44" t="s">
        <v>241</v>
      </c>
      <c r="Z44" t="s">
        <v>70</v>
      </c>
      <c r="AA44" t="b">
        <f>ISNUMBER(SEARCH(";"&amp;Lessons[[#This Row],[Instrument__c]]&amp;";",";"&amp;_xlfn.XLOOKUP(Lessons[[#This Row],[Instructor_External_Id__c]], Instructors[Id], Instructors[Instruments_Taught__c])&amp;";"))</f>
        <v>1</v>
      </c>
      <c r="AB44" t="str">
        <f>IF(LEFT(Lessons[[#This Row],[Status__c]],9)="Cancelled","",Lessons[[#This Row],[Instructor_External_Id__c]]&amp;"|"&amp;TEXT(Lessons[[#This Row],[Lesson_Date__c]],"yyyy-mm-dd")&amp;"|"&amp;Lessons[[#This Row],[Start_Time__c]])</f>
        <v>a06ak00000amzC5AAI|2026-07-28|18:00:00.000Z</v>
      </c>
      <c r="AC44">
        <f>IF(Lessons[[#This Row],[Double Booked Key]]="","",COUNTIF(Lessons[Double Booked Key],Lessons[[#This Row],[Double Booked Key]]))</f>
        <v>1</v>
      </c>
      <c r="AD44" s="6" t="str">
        <f>_xlfn.XLOOKUP(Lessons[[#This Row],[Location_External_Id__c]], Locations[Location Id], Locations[Location Name])</f>
        <v>Brick</v>
      </c>
      <c r="AE44" s="6" t="str">
        <f>TEXT(Lessons[[#This Row],[Lesson_Date__c]], "yyyy-mm")</f>
        <v>2026-07</v>
      </c>
      <c r="AF44" s="6" t="str">
        <f>IF(Lessons[[#This Row],[Lesson_Date__c]]&lt;=Data_Audit!$F$1, "Yes", "No")</f>
        <v>Yes</v>
      </c>
    </row>
    <row r="45" spans="1:32">
      <c r="A45" t="s">
        <v>52</v>
      </c>
      <c r="B45" t="s">
        <v>53</v>
      </c>
      <c r="C45">
        <v>45</v>
      </c>
      <c r="D45" t="s">
        <v>256</v>
      </c>
      <c r="E45" t="s">
        <v>235</v>
      </c>
      <c r="F45" t="s">
        <v>236</v>
      </c>
      <c r="H45" t="s">
        <v>237</v>
      </c>
      <c r="I45" t="b">
        <v>0</v>
      </c>
      <c r="K45" t="s">
        <v>52</v>
      </c>
      <c r="L45" t="s">
        <v>70</v>
      </c>
      <c r="M45" t="s">
        <v>257</v>
      </c>
      <c r="N45" t="s">
        <v>257</v>
      </c>
      <c r="O45" s="1">
        <v>46229</v>
      </c>
      <c r="P45" t="s">
        <v>258</v>
      </c>
      <c r="Q45" t="s">
        <v>259</v>
      </c>
      <c r="R45" t="s">
        <v>83</v>
      </c>
      <c r="S45" t="b">
        <v>0</v>
      </c>
      <c r="T45" t="b">
        <v>0</v>
      </c>
      <c r="U45" t="s">
        <v>259</v>
      </c>
      <c r="V45" t="s">
        <v>94</v>
      </c>
      <c r="W45" t="s">
        <v>65</v>
      </c>
      <c r="X45" t="s">
        <v>240</v>
      </c>
      <c r="Y45" t="s">
        <v>241</v>
      </c>
      <c r="Z45" t="s">
        <v>70</v>
      </c>
      <c r="AA45" t="b">
        <f>ISNUMBER(SEARCH(";"&amp;Lessons[[#This Row],[Instrument__c]]&amp;";",";"&amp;_xlfn.XLOOKUP(Lessons[[#This Row],[Instructor_External_Id__c]], Instructors[Id], Instructors[Instruments_Taught__c])&amp;";"))</f>
        <v>1</v>
      </c>
      <c r="AB45" t="str">
        <f>IF(LEFT(Lessons[[#This Row],[Status__c]],9)="Cancelled","",Lessons[[#This Row],[Instructor_External_Id__c]]&amp;"|"&amp;TEXT(Lessons[[#This Row],[Lesson_Date__c]],"yyyy-mm-dd")&amp;"|"&amp;Lessons[[#This Row],[Start_Time__c]])</f>
        <v>a06ak00000amzC5AAI|2026-07-26|19:00:00.000Z</v>
      </c>
      <c r="AC45">
        <f>IF(Lessons[[#This Row],[Double Booked Key]]="","",COUNTIF(Lessons[Double Booked Key],Lessons[[#This Row],[Double Booked Key]]))</f>
        <v>1</v>
      </c>
      <c r="AD45" s="6" t="str">
        <f>_xlfn.XLOOKUP(Lessons[[#This Row],[Location_External_Id__c]], Locations[Location Id], Locations[Location Name])</f>
        <v>Brick</v>
      </c>
      <c r="AE45" s="6" t="str">
        <f>TEXT(Lessons[[#This Row],[Lesson_Date__c]], "yyyy-mm")</f>
        <v>2026-07</v>
      </c>
      <c r="AF45" s="6" t="str">
        <f>IF(Lessons[[#This Row],[Lesson_Date__c]]&lt;=Data_Audit!$F$1, "Yes", "No")</f>
        <v>Yes</v>
      </c>
    </row>
    <row r="46" spans="1:32">
      <c r="A46" t="s">
        <v>52</v>
      </c>
      <c r="B46" t="s">
        <v>53</v>
      </c>
      <c r="C46">
        <v>60</v>
      </c>
      <c r="D46" t="s">
        <v>260</v>
      </c>
      <c r="E46" t="s">
        <v>261</v>
      </c>
      <c r="F46" t="s">
        <v>262</v>
      </c>
      <c r="H46" t="s">
        <v>263</v>
      </c>
      <c r="I46" t="b">
        <v>0</v>
      </c>
      <c r="K46" t="s">
        <v>52</v>
      </c>
      <c r="L46" t="s">
        <v>70</v>
      </c>
      <c r="M46" t="s">
        <v>264</v>
      </c>
      <c r="N46" t="s">
        <v>264</v>
      </c>
      <c r="O46" s="1">
        <v>46216</v>
      </c>
      <c r="P46" t="s">
        <v>265</v>
      </c>
      <c r="Q46" t="s">
        <v>266</v>
      </c>
      <c r="R46" t="s">
        <v>63</v>
      </c>
      <c r="S46" t="b">
        <v>0</v>
      </c>
      <c r="T46" t="b">
        <v>0</v>
      </c>
      <c r="U46" t="s">
        <v>266</v>
      </c>
      <c r="V46" t="s">
        <v>140</v>
      </c>
      <c r="W46" t="s">
        <v>85</v>
      </c>
      <c r="X46" t="s">
        <v>267</v>
      </c>
      <c r="Y46" t="s">
        <v>268</v>
      </c>
      <c r="Z46" t="s">
        <v>70</v>
      </c>
      <c r="AA46" t="b">
        <f>ISNUMBER(SEARCH(";"&amp;Lessons[[#This Row],[Instrument__c]]&amp;";",";"&amp;_xlfn.XLOOKUP(Lessons[[#This Row],[Instructor_External_Id__c]], Instructors[Id], Instructors[Instruments_Taught__c])&amp;";"))</f>
        <v>1</v>
      </c>
      <c r="AB46" t="str">
        <f>IF(LEFT(Lessons[[#This Row],[Status__c]],9)="Cancelled","",Lessons[[#This Row],[Instructor_External_Id__c]]&amp;"|"&amp;TEXT(Lessons[[#This Row],[Lesson_Date__c]],"yyyy-mm-dd")&amp;"|"&amp;Lessons[[#This Row],[Start_Time__c]])</f>
        <v/>
      </c>
      <c r="AC46" t="str">
        <f>IF(Lessons[[#This Row],[Double Booked Key]]="","",COUNTIF(Lessons[Double Booked Key],Lessons[[#This Row],[Double Booked Key]]))</f>
        <v/>
      </c>
      <c r="AD46" s="6" t="str">
        <f>_xlfn.XLOOKUP(Lessons[[#This Row],[Location_External_Id__c]], Locations[Location Id], Locations[Location Name])</f>
        <v>Red Bank</v>
      </c>
      <c r="AE46" s="6" t="str">
        <f>TEXT(Lessons[[#This Row],[Lesson_Date__c]], "yyyy-mm")</f>
        <v>2026-07</v>
      </c>
      <c r="AF46" s="6" t="str">
        <f>IF(Lessons[[#This Row],[Lesson_Date__c]]&lt;=Data_Audit!$F$1, "Yes", "No")</f>
        <v>Yes</v>
      </c>
    </row>
    <row r="47" spans="1:32">
      <c r="A47" t="s">
        <v>52</v>
      </c>
      <c r="B47" t="s">
        <v>53</v>
      </c>
      <c r="C47">
        <v>45</v>
      </c>
      <c r="D47" t="s">
        <v>269</v>
      </c>
      <c r="E47" t="s">
        <v>261</v>
      </c>
      <c r="F47" t="s">
        <v>262</v>
      </c>
      <c r="H47" t="s">
        <v>263</v>
      </c>
      <c r="I47" t="b">
        <v>0</v>
      </c>
      <c r="K47" t="s">
        <v>52</v>
      </c>
      <c r="L47" t="s">
        <v>70</v>
      </c>
      <c r="M47" t="s">
        <v>264</v>
      </c>
      <c r="N47" t="s">
        <v>264</v>
      </c>
      <c r="O47" s="1">
        <v>46189</v>
      </c>
      <c r="P47" t="s">
        <v>270</v>
      </c>
      <c r="Q47" t="s">
        <v>271</v>
      </c>
      <c r="R47" t="s">
        <v>63</v>
      </c>
      <c r="S47" t="b">
        <v>0</v>
      </c>
      <c r="T47" t="b">
        <v>0</v>
      </c>
      <c r="U47" t="s">
        <v>271</v>
      </c>
      <c r="V47" t="s">
        <v>140</v>
      </c>
      <c r="W47" t="s">
        <v>65</v>
      </c>
      <c r="X47" t="s">
        <v>267</v>
      </c>
      <c r="Y47" t="s">
        <v>268</v>
      </c>
      <c r="Z47" t="s">
        <v>70</v>
      </c>
      <c r="AA47" t="b">
        <f>ISNUMBER(SEARCH(";"&amp;Lessons[[#This Row],[Instrument__c]]&amp;";",";"&amp;_xlfn.XLOOKUP(Lessons[[#This Row],[Instructor_External_Id__c]], Instructors[Id], Instructors[Instruments_Taught__c])&amp;";"))</f>
        <v>1</v>
      </c>
      <c r="AB47" t="str">
        <f>IF(LEFT(Lessons[[#This Row],[Status__c]],9)="Cancelled","",Lessons[[#This Row],[Instructor_External_Id__c]]&amp;"|"&amp;TEXT(Lessons[[#This Row],[Lesson_Date__c]],"yyyy-mm-dd")&amp;"|"&amp;Lessons[[#This Row],[Start_Time__c]])</f>
        <v>a06ak00000amzBmAAI|2026-06-16|15:00:00.000Z</v>
      </c>
      <c r="AC47">
        <f>IF(Lessons[[#This Row],[Double Booked Key]]="","",COUNTIF(Lessons[Double Booked Key],Lessons[[#This Row],[Double Booked Key]]))</f>
        <v>1</v>
      </c>
      <c r="AD47" s="6" t="str">
        <f>_xlfn.XLOOKUP(Lessons[[#This Row],[Location_External_Id__c]], Locations[Location Id], Locations[Location Name])</f>
        <v>Red Bank</v>
      </c>
      <c r="AE47" s="6" t="str">
        <f>TEXT(Lessons[[#This Row],[Lesson_Date__c]], "yyyy-mm")</f>
        <v>2026-06</v>
      </c>
      <c r="AF47" s="6" t="str">
        <f>IF(Lessons[[#This Row],[Lesson_Date__c]]&lt;=Data_Audit!$F$1, "Yes", "No")</f>
        <v>Yes</v>
      </c>
    </row>
    <row r="48" spans="1:32">
      <c r="A48" t="s">
        <v>52</v>
      </c>
      <c r="B48" t="s">
        <v>53</v>
      </c>
      <c r="C48">
        <v>30</v>
      </c>
      <c r="D48" t="s">
        <v>272</v>
      </c>
      <c r="E48" t="s">
        <v>261</v>
      </c>
      <c r="F48" t="s">
        <v>262</v>
      </c>
      <c r="G48" t="s">
        <v>99</v>
      </c>
      <c r="H48" t="s">
        <v>263</v>
      </c>
      <c r="I48" t="b">
        <v>0</v>
      </c>
      <c r="K48" t="s">
        <v>52</v>
      </c>
      <c r="L48" t="s">
        <v>70</v>
      </c>
      <c r="M48" t="s">
        <v>264</v>
      </c>
      <c r="N48" t="s">
        <v>264</v>
      </c>
      <c r="O48" s="1">
        <v>46129</v>
      </c>
      <c r="P48" t="s">
        <v>273</v>
      </c>
      <c r="Q48" t="s">
        <v>274</v>
      </c>
      <c r="R48" t="s">
        <v>63</v>
      </c>
      <c r="S48" t="b">
        <v>0</v>
      </c>
      <c r="T48" t="b">
        <v>0</v>
      </c>
      <c r="U48" t="s">
        <v>274</v>
      </c>
      <c r="V48" t="s">
        <v>135</v>
      </c>
      <c r="W48" t="s">
        <v>65</v>
      </c>
      <c r="X48" t="s">
        <v>267</v>
      </c>
      <c r="Y48" t="s">
        <v>268</v>
      </c>
      <c r="Z48" t="s">
        <v>70</v>
      </c>
      <c r="AA48" t="b">
        <f>ISNUMBER(SEARCH(";"&amp;Lessons[[#This Row],[Instrument__c]]&amp;";",";"&amp;_xlfn.XLOOKUP(Lessons[[#This Row],[Instructor_External_Id__c]], Instructors[Id], Instructors[Instruments_Taught__c])&amp;";"))</f>
        <v>1</v>
      </c>
      <c r="AB48" t="str">
        <f>IF(LEFT(Lessons[[#This Row],[Status__c]],9)="Cancelled","",Lessons[[#This Row],[Instructor_External_Id__c]]&amp;"|"&amp;TEXT(Lessons[[#This Row],[Lesson_Date__c]],"yyyy-mm-dd")&amp;"|"&amp;Lessons[[#This Row],[Start_Time__c]])</f>
        <v>a06ak00000amzBmAAI|2026-04-17|15:30:00.000Z</v>
      </c>
      <c r="AC48">
        <f>IF(Lessons[[#This Row],[Double Booked Key]]="","",COUNTIF(Lessons[Double Booked Key],Lessons[[#This Row],[Double Booked Key]]))</f>
        <v>1</v>
      </c>
      <c r="AD48" s="6" t="str">
        <f>_xlfn.XLOOKUP(Lessons[[#This Row],[Location_External_Id__c]], Locations[Location Id], Locations[Location Name])</f>
        <v>Red Bank</v>
      </c>
      <c r="AE48" s="6" t="str">
        <f>TEXT(Lessons[[#This Row],[Lesson_Date__c]], "yyyy-mm")</f>
        <v>2026-04</v>
      </c>
      <c r="AF48" s="6" t="str">
        <f>IF(Lessons[[#This Row],[Lesson_Date__c]]&lt;=Data_Audit!$F$1, "Yes", "No")</f>
        <v>Yes</v>
      </c>
    </row>
    <row r="49" spans="1:32">
      <c r="A49" t="s">
        <v>52</v>
      </c>
      <c r="B49" t="s">
        <v>53</v>
      </c>
      <c r="C49">
        <v>30</v>
      </c>
      <c r="D49" t="s">
        <v>275</v>
      </c>
      <c r="E49" t="s">
        <v>261</v>
      </c>
      <c r="F49" t="s">
        <v>262</v>
      </c>
      <c r="G49" t="s">
        <v>106</v>
      </c>
      <c r="H49" t="s">
        <v>263</v>
      </c>
      <c r="I49" t="b">
        <v>0</v>
      </c>
      <c r="K49" t="s">
        <v>52</v>
      </c>
      <c r="L49" t="s">
        <v>70</v>
      </c>
      <c r="M49" t="s">
        <v>264</v>
      </c>
      <c r="N49" t="s">
        <v>264</v>
      </c>
      <c r="O49" s="1">
        <v>46147</v>
      </c>
      <c r="P49" t="s">
        <v>276</v>
      </c>
      <c r="Q49" t="s">
        <v>277</v>
      </c>
      <c r="R49" t="s">
        <v>63</v>
      </c>
      <c r="S49" t="b">
        <v>0</v>
      </c>
      <c r="T49" t="b">
        <v>0</v>
      </c>
      <c r="U49" t="s">
        <v>277</v>
      </c>
      <c r="V49" t="s">
        <v>135</v>
      </c>
      <c r="W49" t="s">
        <v>65</v>
      </c>
      <c r="X49" t="s">
        <v>267</v>
      </c>
      <c r="Y49" t="s">
        <v>268</v>
      </c>
      <c r="Z49" t="s">
        <v>70</v>
      </c>
      <c r="AA49" t="b">
        <f>ISNUMBER(SEARCH(";"&amp;Lessons[[#This Row],[Instrument__c]]&amp;";",";"&amp;_xlfn.XLOOKUP(Lessons[[#This Row],[Instructor_External_Id__c]], Instructors[Id], Instructors[Instruments_Taught__c])&amp;";"))</f>
        <v>1</v>
      </c>
      <c r="AB49" t="str">
        <f>IF(LEFT(Lessons[[#This Row],[Status__c]],9)="Cancelled","",Lessons[[#This Row],[Instructor_External_Id__c]]&amp;"|"&amp;TEXT(Lessons[[#This Row],[Lesson_Date__c]],"yyyy-mm-dd")&amp;"|"&amp;Lessons[[#This Row],[Start_Time__c]])</f>
        <v>a06ak00000amzBmAAI|2026-05-05|15:30:00.000Z</v>
      </c>
      <c r="AC49">
        <f>IF(Lessons[[#This Row],[Double Booked Key]]="","",COUNTIF(Lessons[Double Booked Key],Lessons[[#This Row],[Double Booked Key]]))</f>
        <v>1</v>
      </c>
      <c r="AD49" s="6" t="str">
        <f>_xlfn.XLOOKUP(Lessons[[#This Row],[Location_External_Id__c]], Locations[Location Id], Locations[Location Name])</f>
        <v>Red Bank</v>
      </c>
      <c r="AE49" s="6" t="str">
        <f>TEXT(Lessons[[#This Row],[Lesson_Date__c]], "yyyy-mm")</f>
        <v>2026-05</v>
      </c>
      <c r="AF49" s="6" t="str">
        <f>IF(Lessons[[#This Row],[Lesson_Date__c]]&lt;=Data_Audit!$F$1, "Yes", "No")</f>
        <v>Yes</v>
      </c>
    </row>
    <row r="50" spans="1:32">
      <c r="A50" t="s">
        <v>52</v>
      </c>
      <c r="B50" t="s">
        <v>53</v>
      </c>
      <c r="C50">
        <v>30</v>
      </c>
      <c r="D50" t="s">
        <v>278</v>
      </c>
      <c r="E50" t="s">
        <v>261</v>
      </c>
      <c r="F50" t="s">
        <v>262</v>
      </c>
      <c r="G50" t="s">
        <v>99</v>
      </c>
      <c r="H50" t="s">
        <v>263</v>
      </c>
      <c r="I50" t="b">
        <v>0</v>
      </c>
      <c r="K50" t="s">
        <v>52</v>
      </c>
      <c r="L50" t="s">
        <v>70</v>
      </c>
      <c r="M50" t="s">
        <v>264</v>
      </c>
      <c r="N50" t="s">
        <v>264</v>
      </c>
      <c r="O50" s="1">
        <v>46039</v>
      </c>
      <c r="P50" t="s">
        <v>279</v>
      </c>
      <c r="Q50" t="s">
        <v>280</v>
      </c>
      <c r="R50" t="s">
        <v>63</v>
      </c>
      <c r="S50" t="b">
        <v>0</v>
      </c>
      <c r="T50" t="b">
        <v>0</v>
      </c>
      <c r="U50" t="s">
        <v>280</v>
      </c>
      <c r="V50" t="s">
        <v>110</v>
      </c>
      <c r="W50" t="s">
        <v>65</v>
      </c>
      <c r="X50" t="s">
        <v>267</v>
      </c>
      <c r="Y50" t="s">
        <v>268</v>
      </c>
      <c r="Z50" t="s">
        <v>70</v>
      </c>
      <c r="AA50" t="b">
        <f>ISNUMBER(SEARCH(";"&amp;Lessons[[#This Row],[Instrument__c]]&amp;";",";"&amp;_xlfn.XLOOKUP(Lessons[[#This Row],[Instructor_External_Id__c]], Instructors[Id], Instructors[Instruments_Taught__c])&amp;";"))</f>
        <v>1</v>
      </c>
      <c r="AB50" t="str">
        <f>IF(LEFT(Lessons[[#This Row],[Status__c]],9)="Cancelled","",Lessons[[#This Row],[Instructor_External_Id__c]]&amp;"|"&amp;TEXT(Lessons[[#This Row],[Lesson_Date__c]],"yyyy-mm-dd")&amp;"|"&amp;Lessons[[#This Row],[Start_Time__c]])</f>
        <v>a06ak00000amzBmAAI|2026-01-17|10:00:00.000Z</v>
      </c>
      <c r="AC50">
        <f>IF(Lessons[[#This Row],[Double Booked Key]]="","",COUNTIF(Lessons[Double Booked Key],Lessons[[#This Row],[Double Booked Key]]))</f>
        <v>1</v>
      </c>
      <c r="AD50" s="6" t="str">
        <f>_xlfn.XLOOKUP(Lessons[[#This Row],[Location_External_Id__c]], Locations[Location Id], Locations[Location Name])</f>
        <v>Red Bank</v>
      </c>
      <c r="AE50" s="6" t="str">
        <f>TEXT(Lessons[[#This Row],[Lesson_Date__c]], "yyyy-mm")</f>
        <v>2026-01</v>
      </c>
      <c r="AF50" s="6" t="str">
        <f>IF(Lessons[[#This Row],[Lesson_Date__c]]&lt;=Data_Audit!$F$1, "Yes", "No")</f>
        <v>Yes</v>
      </c>
    </row>
    <row r="51" spans="1:32">
      <c r="A51" t="s">
        <v>52</v>
      </c>
      <c r="B51" t="s">
        <v>53</v>
      </c>
      <c r="C51">
        <v>60</v>
      </c>
      <c r="D51" t="s">
        <v>281</v>
      </c>
      <c r="E51" t="s">
        <v>282</v>
      </c>
      <c r="F51" t="s">
        <v>283</v>
      </c>
      <c r="G51" t="s">
        <v>106</v>
      </c>
      <c r="H51" t="s">
        <v>284</v>
      </c>
      <c r="I51" t="b">
        <v>0</v>
      </c>
      <c r="K51" t="s">
        <v>52</v>
      </c>
      <c r="L51" t="s">
        <v>70</v>
      </c>
      <c r="M51" t="s">
        <v>264</v>
      </c>
      <c r="N51" t="s">
        <v>264</v>
      </c>
      <c r="O51" s="1">
        <v>46147</v>
      </c>
      <c r="P51" t="s">
        <v>285</v>
      </c>
      <c r="Q51" t="s">
        <v>286</v>
      </c>
      <c r="R51" t="s">
        <v>83</v>
      </c>
      <c r="S51" t="b">
        <v>0</v>
      </c>
      <c r="T51" t="b">
        <v>0</v>
      </c>
      <c r="U51" t="s">
        <v>286</v>
      </c>
      <c r="V51" t="s">
        <v>74</v>
      </c>
      <c r="W51" t="s">
        <v>65</v>
      </c>
      <c r="X51" t="s">
        <v>287</v>
      </c>
      <c r="Y51" t="s">
        <v>288</v>
      </c>
      <c r="Z51" t="s">
        <v>70</v>
      </c>
      <c r="AA51" t="b">
        <f>ISNUMBER(SEARCH(";"&amp;Lessons[[#This Row],[Instrument__c]]&amp;";",";"&amp;_xlfn.XLOOKUP(Lessons[[#This Row],[Instructor_External_Id__c]], Instructors[Id], Instructors[Instruments_Taught__c])&amp;";"))</f>
        <v>1</v>
      </c>
      <c r="AB51" t="str">
        <f>IF(LEFT(Lessons[[#This Row],[Status__c]],9)="Cancelled","",Lessons[[#This Row],[Instructor_External_Id__c]]&amp;"|"&amp;TEXT(Lessons[[#This Row],[Lesson_Date__c]],"yyyy-mm-dd")&amp;"|"&amp;Lessons[[#This Row],[Start_Time__c]])</f>
        <v>a06ak00000amzBxAAI|2026-05-05|16:30:00.000Z</v>
      </c>
      <c r="AC51">
        <f>IF(Lessons[[#This Row],[Double Booked Key]]="","",COUNTIF(Lessons[Double Booked Key],Lessons[[#This Row],[Double Booked Key]]))</f>
        <v>1</v>
      </c>
      <c r="AD51" s="6" t="str">
        <f>_xlfn.XLOOKUP(Lessons[[#This Row],[Location_External_Id__c]], Locations[Location Id], Locations[Location Name])</f>
        <v>Brick</v>
      </c>
      <c r="AE51" s="6" t="str">
        <f>TEXT(Lessons[[#This Row],[Lesson_Date__c]], "yyyy-mm")</f>
        <v>2026-05</v>
      </c>
      <c r="AF51" s="6" t="str">
        <f>IF(Lessons[[#This Row],[Lesson_Date__c]]&lt;=Data_Audit!$F$1, "Yes", "No")</f>
        <v>Yes</v>
      </c>
    </row>
    <row r="52" spans="1:32">
      <c r="A52" t="s">
        <v>52</v>
      </c>
      <c r="B52" t="s">
        <v>53</v>
      </c>
      <c r="C52">
        <v>60</v>
      </c>
      <c r="D52" t="s">
        <v>289</v>
      </c>
      <c r="E52" t="s">
        <v>282</v>
      </c>
      <c r="F52" t="s">
        <v>283</v>
      </c>
      <c r="H52" t="s">
        <v>284</v>
      </c>
      <c r="I52" t="b">
        <v>0</v>
      </c>
      <c r="K52" t="s">
        <v>52</v>
      </c>
      <c r="L52" t="s">
        <v>70</v>
      </c>
      <c r="M52" t="s">
        <v>264</v>
      </c>
      <c r="N52" t="s">
        <v>264</v>
      </c>
      <c r="O52" s="1">
        <v>46136</v>
      </c>
      <c r="P52" t="s">
        <v>290</v>
      </c>
      <c r="Q52" t="s">
        <v>291</v>
      </c>
      <c r="R52" t="s">
        <v>83</v>
      </c>
      <c r="S52" t="b">
        <v>0</v>
      </c>
      <c r="T52" t="b">
        <v>0</v>
      </c>
      <c r="U52" t="s">
        <v>291</v>
      </c>
      <c r="V52" t="s">
        <v>94</v>
      </c>
      <c r="W52" t="s">
        <v>121</v>
      </c>
      <c r="X52" t="s">
        <v>287</v>
      </c>
      <c r="Y52" t="s">
        <v>288</v>
      </c>
      <c r="Z52" t="s">
        <v>70</v>
      </c>
      <c r="AA52" t="b">
        <f>ISNUMBER(SEARCH(";"&amp;Lessons[[#This Row],[Instrument__c]]&amp;";",";"&amp;_xlfn.XLOOKUP(Lessons[[#This Row],[Instructor_External_Id__c]], Instructors[Id], Instructors[Instruments_Taught__c])&amp;";"))</f>
        <v>1</v>
      </c>
      <c r="AB52" t="str">
        <f>IF(LEFT(Lessons[[#This Row],[Status__c]],9)="Cancelled","",Lessons[[#This Row],[Instructor_External_Id__c]]&amp;"|"&amp;TEXT(Lessons[[#This Row],[Lesson_Date__c]],"yyyy-mm-dd")&amp;"|"&amp;Lessons[[#This Row],[Start_Time__c]])</f>
        <v>a06ak00000amzBxAAI|2026-04-24|19:00:00.000Z</v>
      </c>
      <c r="AC52">
        <f>IF(Lessons[[#This Row],[Double Booked Key]]="","",COUNTIF(Lessons[Double Booked Key],Lessons[[#This Row],[Double Booked Key]]))</f>
        <v>1</v>
      </c>
      <c r="AD52" s="6" t="str">
        <f>_xlfn.XLOOKUP(Lessons[[#This Row],[Location_External_Id__c]], Locations[Location Id], Locations[Location Name])</f>
        <v>Brick</v>
      </c>
      <c r="AE52" s="6" t="str">
        <f>TEXT(Lessons[[#This Row],[Lesson_Date__c]], "yyyy-mm")</f>
        <v>2026-04</v>
      </c>
      <c r="AF52" s="6" t="str">
        <f>IF(Lessons[[#This Row],[Lesson_Date__c]]&lt;=Data_Audit!$F$1, "Yes", "No")</f>
        <v>Yes</v>
      </c>
    </row>
    <row r="53" spans="1:32">
      <c r="A53" t="s">
        <v>52</v>
      </c>
      <c r="B53" t="s">
        <v>53</v>
      </c>
      <c r="C53">
        <v>30</v>
      </c>
      <c r="D53" t="s">
        <v>292</v>
      </c>
      <c r="E53" t="s">
        <v>282</v>
      </c>
      <c r="F53" t="s">
        <v>283</v>
      </c>
      <c r="H53" t="s">
        <v>284</v>
      </c>
      <c r="I53" t="b">
        <v>0</v>
      </c>
      <c r="K53" t="s">
        <v>52</v>
      </c>
      <c r="L53" t="s">
        <v>70</v>
      </c>
      <c r="M53" t="s">
        <v>264</v>
      </c>
      <c r="N53" t="s">
        <v>264</v>
      </c>
      <c r="O53" s="1">
        <v>46294</v>
      </c>
      <c r="P53" t="s">
        <v>293</v>
      </c>
      <c r="Q53" t="s">
        <v>294</v>
      </c>
      <c r="R53" t="s">
        <v>83</v>
      </c>
      <c r="S53" t="b">
        <v>0</v>
      </c>
      <c r="T53" t="b">
        <v>0</v>
      </c>
      <c r="U53" t="s">
        <v>294</v>
      </c>
      <c r="V53" t="s">
        <v>74</v>
      </c>
      <c r="W53" t="s">
        <v>65</v>
      </c>
      <c r="X53" t="s">
        <v>287</v>
      </c>
      <c r="Y53" t="s">
        <v>288</v>
      </c>
      <c r="Z53" t="s">
        <v>70</v>
      </c>
      <c r="AA53" t="b">
        <f>ISNUMBER(SEARCH(";"&amp;Lessons[[#This Row],[Instrument__c]]&amp;";",";"&amp;_xlfn.XLOOKUP(Lessons[[#This Row],[Instructor_External_Id__c]], Instructors[Id], Instructors[Instruments_Taught__c])&amp;";"))</f>
        <v>1</v>
      </c>
      <c r="AB53" t="str">
        <f>IF(LEFT(Lessons[[#This Row],[Status__c]],9)="Cancelled","",Lessons[[#This Row],[Instructor_External_Id__c]]&amp;"|"&amp;TEXT(Lessons[[#This Row],[Lesson_Date__c]],"yyyy-mm-dd")&amp;"|"&amp;Lessons[[#This Row],[Start_Time__c]])</f>
        <v>a06ak00000amzBxAAI|2026-09-29|16:30:00.000Z</v>
      </c>
      <c r="AC53">
        <f>IF(Lessons[[#This Row],[Double Booked Key]]="","",COUNTIF(Lessons[Double Booked Key],Lessons[[#This Row],[Double Booked Key]]))</f>
        <v>1</v>
      </c>
      <c r="AD53" s="6" t="str">
        <f>_xlfn.XLOOKUP(Lessons[[#This Row],[Location_External_Id__c]], Locations[Location Id], Locations[Location Name])</f>
        <v>Brick</v>
      </c>
      <c r="AE53" s="6" t="str">
        <f>TEXT(Lessons[[#This Row],[Lesson_Date__c]], "yyyy-mm")</f>
        <v>2026-09</v>
      </c>
      <c r="AF53" s="6" t="str">
        <f>IF(Lessons[[#This Row],[Lesson_Date__c]]&lt;=Data_Audit!$F$1, "Yes", "No")</f>
        <v>Yes</v>
      </c>
    </row>
    <row r="54" spans="1:32">
      <c r="A54" t="s">
        <v>52</v>
      </c>
      <c r="B54" t="s">
        <v>53</v>
      </c>
      <c r="C54">
        <v>30</v>
      </c>
      <c r="D54" t="s">
        <v>295</v>
      </c>
      <c r="E54" t="s">
        <v>282</v>
      </c>
      <c r="F54" t="s">
        <v>283</v>
      </c>
      <c r="G54" t="s">
        <v>99</v>
      </c>
      <c r="H54" t="s">
        <v>284</v>
      </c>
      <c r="I54" t="b">
        <v>0</v>
      </c>
      <c r="K54" t="s">
        <v>52</v>
      </c>
      <c r="L54" t="s">
        <v>70</v>
      </c>
      <c r="M54" t="s">
        <v>264</v>
      </c>
      <c r="N54" t="s">
        <v>264</v>
      </c>
      <c r="O54" s="1">
        <v>46246</v>
      </c>
      <c r="P54" t="s">
        <v>296</v>
      </c>
      <c r="Q54" t="s">
        <v>297</v>
      </c>
      <c r="R54" t="s">
        <v>83</v>
      </c>
      <c r="S54" t="b">
        <v>0</v>
      </c>
      <c r="T54" t="b">
        <v>0</v>
      </c>
      <c r="U54" t="s">
        <v>297</v>
      </c>
      <c r="V54" t="s">
        <v>84</v>
      </c>
      <c r="W54" t="s">
        <v>65</v>
      </c>
      <c r="X54" t="s">
        <v>287</v>
      </c>
      <c r="Y54" t="s">
        <v>288</v>
      </c>
      <c r="Z54" t="s">
        <v>70</v>
      </c>
      <c r="AA54" t="b">
        <f>ISNUMBER(SEARCH(";"&amp;Lessons[[#This Row],[Instrument__c]]&amp;";",";"&amp;_xlfn.XLOOKUP(Lessons[[#This Row],[Instructor_External_Id__c]], Instructors[Id], Instructors[Instruments_Taught__c])&amp;";"))</f>
        <v>1</v>
      </c>
      <c r="AB54" t="str">
        <f>IF(LEFT(Lessons[[#This Row],[Status__c]],9)="Cancelled","",Lessons[[#This Row],[Instructor_External_Id__c]]&amp;"|"&amp;TEXT(Lessons[[#This Row],[Lesson_Date__c]],"yyyy-mm-dd")&amp;"|"&amp;Lessons[[#This Row],[Start_Time__c]])</f>
        <v>a06ak00000amzBxAAI|2026-08-12|17:00:00.000Z</v>
      </c>
      <c r="AC54">
        <f>IF(Lessons[[#This Row],[Double Booked Key]]="","",COUNTIF(Lessons[Double Booked Key],Lessons[[#This Row],[Double Booked Key]]))</f>
        <v>1</v>
      </c>
      <c r="AD54" s="6" t="str">
        <f>_xlfn.XLOOKUP(Lessons[[#This Row],[Location_External_Id__c]], Locations[Location Id], Locations[Location Name])</f>
        <v>Brick</v>
      </c>
      <c r="AE54" s="6" t="str">
        <f>TEXT(Lessons[[#This Row],[Lesson_Date__c]], "yyyy-mm")</f>
        <v>2026-08</v>
      </c>
      <c r="AF54" s="6" t="str">
        <f>IF(Lessons[[#This Row],[Lesson_Date__c]]&lt;=Data_Audit!$F$1, "Yes", "No")</f>
        <v>Yes</v>
      </c>
    </row>
    <row r="55" spans="1:32">
      <c r="A55" t="s">
        <v>52</v>
      </c>
      <c r="B55" t="s">
        <v>53</v>
      </c>
      <c r="C55">
        <v>45</v>
      </c>
      <c r="D55" t="s">
        <v>298</v>
      </c>
      <c r="E55" t="s">
        <v>282</v>
      </c>
      <c r="F55" t="s">
        <v>283</v>
      </c>
      <c r="G55" t="s">
        <v>164</v>
      </c>
      <c r="H55" t="s">
        <v>284</v>
      </c>
      <c r="I55" t="b">
        <v>0</v>
      </c>
      <c r="K55" t="s">
        <v>52</v>
      </c>
      <c r="L55" t="s">
        <v>70</v>
      </c>
      <c r="M55" t="s">
        <v>264</v>
      </c>
      <c r="N55" t="s">
        <v>264</v>
      </c>
      <c r="O55" s="1">
        <v>46223</v>
      </c>
      <c r="P55" t="s">
        <v>299</v>
      </c>
      <c r="Q55" t="s">
        <v>300</v>
      </c>
      <c r="R55" t="s">
        <v>83</v>
      </c>
      <c r="S55" t="b">
        <v>0</v>
      </c>
      <c r="T55" t="b">
        <v>0</v>
      </c>
      <c r="U55" t="s">
        <v>300</v>
      </c>
      <c r="V55" t="s">
        <v>102</v>
      </c>
      <c r="W55" t="s">
        <v>65</v>
      </c>
      <c r="X55" t="s">
        <v>287</v>
      </c>
      <c r="Y55" t="s">
        <v>288</v>
      </c>
      <c r="Z55" t="s">
        <v>70</v>
      </c>
      <c r="AA55" t="b">
        <f>ISNUMBER(SEARCH(";"&amp;Lessons[[#This Row],[Instrument__c]]&amp;";",";"&amp;_xlfn.XLOOKUP(Lessons[[#This Row],[Instructor_External_Id__c]], Instructors[Id], Instructors[Instruments_Taught__c])&amp;";"))</f>
        <v>1</v>
      </c>
      <c r="AB55" t="str">
        <f>IF(LEFT(Lessons[[#This Row],[Status__c]],9)="Cancelled","",Lessons[[#This Row],[Instructor_External_Id__c]]&amp;"|"&amp;TEXT(Lessons[[#This Row],[Lesson_Date__c]],"yyyy-mm-dd")&amp;"|"&amp;Lessons[[#This Row],[Start_Time__c]])</f>
        <v>a06ak00000amzBxAAI|2026-07-20|16:00:00.000Z</v>
      </c>
      <c r="AC55">
        <f>IF(Lessons[[#This Row],[Double Booked Key]]="","",COUNTIF(Lessons[Double Booked Key],Lessons[[#This Row],[Double Booked Key]]))</f>
        <v>1</v>
      </c>
      <c r="AD55" s="6" t="str">
        <f>_xlfn.XLOOKUP(Lessons[[#This Row],[Location_External_Id__c]], Locations[Location Id], Locations[Location Name])</f>
        <v>Brick</v>
      </c>
      <c r="AE55" s="6" t="str">
        <f>TEXT(Lessons[[#This Row],[Lesson_Date__c]], "yyyy-mm")</f>
        <v>2026-07</v>
      </c>
      <c r="AF55" s="6" t="str">
        <f>IF(Lessons[[#This Row],[Lesson_Date__c]]&lt;=Data_Audit!$F$1, "Yes", "No")</f>
        <v>Yes</v>
      </c>
    </row>
    <row r="56" spans="1:32">
      <c r="A56" t="s">
        <v>52</v>
      </c>
      <c r="B56" t="s">
        <v>53</v>
      </c>
      <c r="C56">
        <v>60</v>
      </c>
      <c r="D56" t="s">
        <v>301</v>
      </c>
      <c r="E56" t="s">
        <v>302</v>
      </c>
      <c r="F56" t="s">
        <v>303</v>
      </c>
      <c r="G56" t="s">
        <v>99</v>
      </c>
      <c r="H56" t="s">
        <v>58</v>
      </c>
      <c r="I56" t="b">
        <v>0</v>
      </c>
      <c r="K56" t="s">
        <v>52</v>
      </c>
      <c r="L56" t="s">
        <v>70</v>
      </c>
      <c r="M56" t="s">
        <v>264</v>
      </c>
      <c r="N56" t="s">
        <v>264</v>
      </c>
      <c r="O56" s="1">
        <v>46268</v>
      </c>
      <c r="P56" t="s">
        <v>304</v>
      </c>
      <c r="Q56" t="s">
        <v>305</v>
      </c>
      <c r="R56" t="s">
        <v>63</v>
      </c>
      <c r="S56" t="b">
        <v>0</v>
      </c>
      <c r="T56" t="b">
        <v>0</v>
      </c>
      <c r="U56" t="s">
        <v>305</v>
      </c>
      <c r="V56" t="s">
        <v>74</v>
      </c>
      <c r="W56" t="s">
        <v>65</v>
      </c>
      <c r="X56" t="s">
        <v>306</v>
      </c>
      <c r="Y56" t="s">
        <v>307</v>
      </c>
      <c r="Z56" t="s">
        <v>70</v>
      </c>
      <c r="AA56" t="b">
        <f>ISNUMBER(SEARCH(";"&amp;Lessons[[#This Row],[Instrument__c]]&amp;";",";"&amp;_xlfn.XLOOKUP(Lessons[[#This Row],[Instructor_External_Id__c]], Instructors[Id], Instructors[Instruments_Taught__c])&amp;";"))</f>
        <v>1</v>
      </c>
      <c r="AB56" t="str">
        <f>IF(LEFT(Lessons[[#This Row],[Status__c]],9)="Cancelled","",Lessons[[#This Row],[Instructor_External_Id__c]]&amp;"|"&amp;TEXT(Lessons[[#This Row],[Lesson_Date__c]],"yyyy-mm-dd")&amp;"|"&amp;Lessons[[#This Row],[Start_Time__c]])</f>
        <v>a06ak00000amzC3AAI|2026-09-03|16:30:00.000Z</v>
      </c>
      <c r="AC56">
        <f>IF(Lessons[[#This Row],[Double Booked Key]]="","",COUNTIF(Lessons[Double Booked Key],Lessons[[#This Row],[Double Booked Key]]))</f>
        <v>1</v>
      </c>
      <c r="AD56" s="6" t="str">
        <f>_xlfn.XLOOKUP(Lessons[[#This Row],[Location_External_Id__c]], Locations[Location Id], Locations[Location Name])</f>
        <v>Red Bank</v>
      </c>
      <c r="AE56" s="6" t="str">
        <f>TEXT(Lessons[[#This Row],[Lesson_Date__c]], "yyyy-mm")</f>
        <v>2026-09</v>
      </c>
      <c r="AF56" s="6" t="str">
        <f>IF(Lessons[[#This Row],[Lesson_Date__c]]&lt;=Data_Audit!$F$1, "Yes", "No")</f>
        <v>Yes</v>
      </c>
    </row>
    <row r="57" spans="1:32">
      <c r="A57" t="s">
        <v>52</v>
      </c>
      <c r="B57" t="s">
        <v>53</v>
      </c>
      <c r="C57">
        <v>60</v>
      </c>
      <c r="D57" t="s">
        <v>308</v>
      </c>
      <c r="E57" t="s">
        <v>302</v>
      </c>
      <c r="F57" t="s">
        <v>303</v>
      </c>
      <c r="G57" t="s">
        <v>57</v>
      </c>
      <c r="H57" t="s">
        <v>58</v>
      </c>
      <c r="I57" t="b">
        <v>0</v>
      </c>
      <c r="K57" t="s">
        <v>52</v>
      </c>
      <c r="L57" t="s">
        <v>70</v>
      </c>
      <c r="M57" t="s">
        <v>264</v>
      </c>
      <c r="N57" t="s">
        <v>264</v>
      </c>
      <c r="O57" s="1">
        <v>46274</v>
      </c>
      <c r="P57" t="s">
        <v>309</v>
      </c>
      <c r="Q57" t="s">
        <v>310</v>
      </c>
      <c r="R57" t="s">
        <v>63</v>
      </c>
      <c r="S57" t="b">
        <v>0</v>
      </c>
      <c r="T57" t="b">
        <v>0</v>
      </c>
      <c r="U57" t="s">
        <v>310</v>
      </c>
      <c r="V57" t="s">
        <v>140</v>
      </c>
      <c r="W57" t="s">
        <v>65</v>
      </c>
      <c r="X57" t="s">
        <v>306</v>
      </c>
      <c r="Y57" t="s">
        <v>307</v>
      </c>
      <c r="Z57" t="s">
        <v>70</v>
      </c>
      <c r="AA57" t="b">
        <f>ISNUMBER(SEARCH(";"&amp;Lessons[[#This Row],[Instrument__c]]&amp;";",";"&amp;_xlfn.XLOOKUP(Lessons[[#This Row],[Instructor_External_Id__c]], Instructors[Id], Instructors[Instruments_Taught__c])&amp;";"))</f>
        <v>1</v>
      </c>
      <c r="AB57" t="str">
        <f>IF(LEFT(Lessons[[#This Row],[Status__c]],9)="Cancelled","",Lessons[[#This Row],[Instructor_External_Id__c]]&amp;"|"&amp;TEXT(Lessons[[#This Row],[Lesson_Date__c]],"yyyy-mm-dd")&amp;"|"&amp;Lessons[[#This Row],[Start_Time__c]])</f>
        <v>a06ak00000amzC3AAI|2026-09-09|15:00:00.000Z</v>
      </c>
      <c r="AC57">
        <f>IF(Lessons[[#This Row],[Double Booked Key]]="","",COUNTIF(Lessons[Double Booked Key],Lessons[[#This Row],[Double Booked Key]]))</f>
        <v>1</v>
      </c>
      <c r="AD57" s="6" t="str">
        <f>_xlfn.XLOOKUP(Lessons[[#This Row],[Location_External_Id__c]], Locations[Location Id], Locations[Location Name])</f>
        <v>Red Bank</v>
      </c>
      <c r="AE57" s="6" t="str">
        <f>TEXT(Lessons[[#This Row],[Lesson_Date__c]], "yyyy-mm")</f>
        <v>2026-09</v>
      </c>
      <c r="AF57" s="6" t="str">
        <f>IF(Lessons[[#This Row],[Lesson_Date__c]]&lt;=Data_Audit!$F$1, "Yes", "No")</f>
        <v>Yes</v>
      </c>
    </row>
    <row r="58" spans="1:32">
      <c r="A58" t="s">
        <v>52</v>
      </c>
      <c r="B58" t="s">
        <v>53</v>
      </c>
      <c r="C58">
        <v>30</v>
      </c>
      <c r="D58" t="s">
        <v>311</v>
      </c>
      <c r="E58" t="s">
        <v>302</v>
      </c>
      <c r="F58" t="s">
        <v>303</v>
      </c>
      <c r="H58" t="s">
        <v>58</v>
      </c>
      <c r="I58" t="b">
        <v>0</v>
      </c>
      <c r="K58" t="s">
        <v>52</v>
      </c>
      <c r="L58" t="s">
        <v>70</v>
      </c>
      <c r="M58" t="s">
        <v>264</v>
      </c>
      <c r="N58" t="s">
        <v>264</v>
      </c>
      <c r="O58" s="1">
        <v>46274</v>
      </c>
      <c r="P58" t="s">
        <v>312</v>
      </c>
      <c r="Q58" t="s">
        <v>313</v>
      </c>
      <c r="R58" t="s">
        <v>63</v>
      </c>
      <c r="S58" t="b">
        <v>0</v>
      </c>
      <c r="T58" t="b">
        <v>0</v>
      </c>
      <c r="U58" t="s">
        <v>313</v>
      </c>
      <c r="V58" t="s">
        <v>120</v>
      </c>
      <c r="W58" t="s">
        <v>121</v>
      </c>
      <c r="X58" t="s">
        <v>306</v>
      </c>
      <c r="Y58" t="s">
        <v>307</v>
      </c>
      <c r="Z58" t="s">
        <v>70</v>
      </c>
      <c r="AA58" t="b">
        <f>ISNUMBER(SEARCH(";"&amp;Lessons[[#This Row],[Instrument__c]]&amp;";",";"&amp;_xlfn.XLOOKUP(Lessons[[#This Row],[Instructor_External_Id__c]], Instructors[Id], Instructors[Instruments_Taught__c])&amp;";"))</f>
        <v>1</v>
      </c>
      <c r="AB58" t="str">
        <f>IF(LEFT(Lessons[[#This Row],[Status__c]],9)="Cancelled","",Lessons[[#This Row],[Instructor_External_Id__c]]&amp;"|"&amp;TEXT(Lessons[[#This Row],[Lesson_Date__c]],"yyyy-mm-dd")&amp;"|"&amp;Lessons[[#This Row],[Start_Time__c]])</f>
        <v>a06ak00000amzC3AAI|2026-09-09|18:00:00.000Z</v>
      </c>
      <c r="AC58">
        <f>IF(Lessons[[#This Row],[Double Booked Key]]="","",COUNTIF(Lessons[Double Booked Key],Lessons[[#This Row],[Double Booked Key]]))</f>
        <v>1</v>
      </c>
      <c r="AD58" s="6" t="str">
        <f>_xlfn.XLOOKUP(Lessons[[#This Row],[Location_External_Id__c]], Locations[Location Id], Locations[Location Name])</f>
        <v>Red Bank</v>
      </c>
      <c r="AE58" s="6" t="str">
        <f>TEXT(Lessons[[#This Row],[Lesson_Date__c]], "yyyy-mm")</f>
        <v>2026-09</v>
      </c>
      <c r="AF58" s="6" t="str">
        <f>IF(Lessons[[#This Row],[Lesson_Date__c]]&lt;=Data_Audit!$F$1, "Yes", "No")</f>
        <v>Yes</v>
      </c>
    </row>
    <row r="59" spans="1:32">
      <c r="A59" t="s">
        <v>52</v>
      </c>
      <c r="B59" t="s">
        <v>53</v>
      </c>
      <c r="C59">
        <v>30</v>
      </c>
      <c r="D59" t="s">
        <v>314</v>
      </c>
      <c r="E59" t="s">
        <v>302</v>
      </c>
      <c r="F59" t="s">
        <v>303</v>
      </c>
      <c r="G59" t="s">
        <v>164</v>
      </c>
      <c r="H59" t="s">
        <v>58</v>
      </c>
      <c r="I59" t="b">
        <v>0</v>
      </c>
      <c r="K59" t="s">
        <v>52</v>
      </c>
      <c r="L59" t="s">
        <v>70</v>
      </c>
      <c r="M59" t="s">
        <v>264</v>
      </c>
      <c r="N59" t="s">
        <v>264</v>
      </c>
      <c r="O59" s="1">
        <v>46266</v>
      </c>
      <c r="P59" t="s">
        <v>315</v>
      </c>
      <c r="Q59" t="s">
        <v>316</v>
      </c>
      <c r="R59" t="s">
        <v>63</v>
      </c>
      <c r="S59" t="b">
        <v>0</v>
      </c>
      <c r="T59" t="b">
        <v>0</v>
      </c>
      <c r="U59" t="s">
        <v>316</v>
      </c>
      <c r="V59" t="s">
        <v>84</v>
      </c>
      <c r="W59" t="s">
        <v>65</v>
      </c>
      <c r="X59" t="s">
        <v>306</v>
      </c>
      <c r="Y59" t="s">
        <v>307</v>
      </c>
      <c r="Z59" t="s">
        <v>70</v>
      </c>
      <c r="AA59" t="b">
        <f>ISNUMBER(SEARCH(";"&amp;Lessons[[#This Row],[Instrument__c]]&amp;";",";"&amp;_xlfn.XLOOKUP(Lessons[[#This Row],[Instructor_External_Id__c]], Instructors[Id], Instructors[Instruments_Taught__c])&amp;";"))</f>
        <v>1</v>
      </c>
      <c r="AB59" t="str">
        <f>IF(LEFT(Lessons[[#This Row],[Status__c]],9)="Cancelled","",Lessons[[#This Row],[Instructor_External_Id__c]]&amp;"|"&amp;TEXT(Lessons[[#This Row],[Lesson_Date__c]],"yyyy-mm-dd")&amp;"|"&amp;Lessons[[#This Row],[Start_Time__c]])</f>
        <v>a06ak00000amzC3AAI|2026-09-01|17:00:00.000Z</v>
      </c>
      <c r="AC59">
        <f>IF(Lessons[[#This Row],[Double Booked Key]]="","",COUNTIF(Lessons[Double Booked Key],Lessons[[#This Row],[Double Booked Key]]))</f>
        <v>1</v>
      </c>
      <c r="AD59" s="6" t="str">
        <f>_xlfn.XLOOKUP(Lessons[[#This Row],[Location_External_Id__c]], Locations[Location Id], Locations[Location Name])</f>
        <v>Red Bank</v>
      </c>
      <c r="AE59" s="6" t="str">
        <f>TEXT(Lessons[[#This Row],[Lesson_Date__c]], "yyyy-mm")</f>
        <v>2026-09</v>
      </c>
      <c r="AF59" s="6" t="str">
        <f>IF(Lessons[[#This Row],[Lesson_Date__c]]&lt;=Data_Audit!$F$1, "Yes", "No")</f>
        <v>Yes</v>
      </c>
    </row>
    <row r="60" spans="1:32">
      <c r="A60" t="s">
        <v>52</v>
      </c>
      <c r="B60" t="s">
        <v>53</v>
      </c>
      <c r="C60">
        <v>45</v>
      </c>
      <c r="D60" t="s">
        <v>317</v>
      </c>
      <c r="E60" t="s">
        <v>318</v>
      </c>
      <c r="F60" t="s">
        <v>319</v>
      </c>
      <c r="H60" t="s">
        <v>58</v>
      </c>
      <c r="I60" t="b">
        <v>0</v>
      </c>
      <c r="K60" t="s">
        <v>52</v>
      </c>
      <c r="L60" t="s">
        <v>79</v>
      </c>
      <c r="M60" t="s">
        <v>264</v>
      </c>
      <c r="N60" t="s">
        <v>264</v>
      </c>
      <c r="O60" s="1">
        <v>46293</v>
      </c>
      <c r="P60" t="s">
        <v>320</v>
      </c>
      <c r="Q60" t="s">
        <v>321</v>
      </c>
      <c r="R60" t="s">
        <v>63</v>
      </c>
      <c r="S60" t="b">
        <v>0</v>
      </c>
      <c r="T60" t="b">
        <v>0</v>
      </c>
      <c r="U60" t="s">
        <v>321</v>
      </c>
      <c r="V60" t="s">
        <v>102</v>
      </c>
      <c r="W60" t="s">
        <v>121</v>
      </c>
      <c r="X60" t="s">
        <v>306</v>
      </c>
      <c r="Y60" t="s">
        <v>307</v>
      </c>
      <c r="Z60" t="s">
        <v>79</v>
      </c>
      <c r="AA60" t="b">
        <f>ISNUMBER(SEARCH(";"&amp;Lessons[[#This Row],[Instrument__c]]&amp;";",";"&amp;_xlfn.XLOOKUP(Lessons[[#This Row],[Instructor_External_Id__c]], Instructors[Id], Instructors[Instruments_Taught__c])&amp;";"))</f>
        <v>1</v>
      </c>
      <c r="AB60" t="str">
        <f>IF(LEFT(Lessons[[#This Row],[Status__c]],9)="Cancelled","",Lessons[[#This Row],[Instructor_External_Id__c]]&amp;"|"&amp;TEXT(Lessons[[#This Row],[Lesson_Date__c]],"yyyy-mm-dd")&amp;"|"&amp;Lessons[[#This Row],[Start_Time__c]])</f>
        <v>a06ak00000amzBzAAI|2026-09-28|16:00:00.000Z</v>
      </c>
      <c r="AC60">
        <f>IF(Lessons[[#This Row],[Double Booked Key]]="","",COUNTIF(Lessons[Double Booked Key],Lessons[[#This Row],[Double Booked Key]]))</f>
        <v>1</v>
      </c>
      <c r="AD60" s="6" t="str">
        <f>_xlfn.XLOOKUP(Lessons[[#This Row],[Location_External_Id__c]], Locations[Location Id], Locations[Location Name])</f>
        <v>Red Bank</v>
      </c>
      <c r="AE60" s="6" t="str">
        <f>TEXT(Lessons[[#This Row],[Lesson_Date__c]], "yyyy-mm")</f>
        <v>2026-09</v>
      </c>
      <c r="AF60" s="6" t="str">
        <f>IF(Lessons[[#This Row],[Lesson_Date__c]]&lt;=Data_Audit!$F$1, "Yes", "No")</f>
        <v>Yes</v>
      </c>
    </row>
    <row r="61" spans="1:32">
      <c r="A61" t="s">
        <v>52</v>
      </c>
      <c r="B61" t="s">
        <v>53</v>
      </c>
      <c r="C61">
        <v>30</v>
      </c>
      <c r="D61" t="s">
        <v>322</v>
      </c>
      <c r="E61" t="s">
        <v>243</v>
      </c>
      <c r="F61" t="s">
        <v>244</v>
      </c>
      <c r="G61" t="s">
        <v>106</v>
      </c>
      <c r="H61" t="s">
        <v>237</v>
      </c>
      <c r="I61" t="b">
        <v>0</v>
      </c>
      <c r="K61" t="s">
        <v>52</v>
      </c>
      <c r="L61" t="s">
        <v>70</v>
      </c>
      <c r="M61" t="s">
        <v>264</v>
      </c>
      <c r="N61" t="s">
        <v>264</v>
      </c>
      <c r="O61" s="1">
        <v>46098</v>
      </c>
      <c r="P61" t="s">
        <v>323</v>
      </c>
      <c r="Q61" t="s">
        <v>324</v>
      </c>
      <c r="R61" t="s">
        <v>150</v>
      </c>
      <c r="S61" t="b">
        <v>0</v>
      </c>
      <c r="T61" t="b">
        <v>0</v>
      </c>
      <c r="U61" t="s">
        <v>324</v>
      </c>
      <c r="V61" t="s">
        <v>64</v>
      </c>
      <c r="W61" t="s">
        <v>65</v>
      </c>
      <c r="X61" t="s">
        <v>325</v>
      </c>
      <c r="Y61" t="s">
        <v>326</v>
      </c>
      <c r="Z61" t="s">
        <v>70</v>
      </c>
      <c r="AA61" t="b">
        <f>ISNUMBER(SEARCH(";"&amp;Lessons[[#This Row],[Instrument__c]]&amp;";",";"&amp;_xlfn.XLOOKUP(Lessons[[#This Row],[Instructor_External_Id__c]], Instructors[Id], Instructors[Instruments_Taught__c])&amp;";"))</f>
        <v>1</v>
      </c>
      <c r="AB61" t="str">
        <f>IF(LEFT(Lessons[[#This Row],[Status__c]],9)="Cancelled","",Lessons[[#This Row],[Instructor_External_Id__c]]&amp;"|"&amp;TEXT(Lessons[[#This Row],[Lesson_Date__c]],"yyyy-mm-dd")&amp;"|"&amp;Lessons[[#This Row],[Start_Time__c]])</f>
        <v>a06ak00000amzC1AAI|2026-03-17|11:00:00.000Z</v>
      </c>
      <c r="AC61">
        <f>IF(Lessons[[#This Row],[Double Booked Key]]="","",COUNTIF(Lessons[Double Booked Key],Lessons[[#This Row],[Double Booked Key]]))</f>
        <v>1</v>
      </c>
      <c r="AD61" s="6" t="str">
        <f>_xlfn.XLOOKUP(Lessons[[#This Row],[Location_External_Id__c]], Locations[Location Id], Locations[Location Name])</f>
        <v>Toms River</v>
      </c>
      <c r="AE61" s="6" t="str">
        <f>TEXT(Lessons[[#This Row],[Lesson_Date__c]], "yyyy-mm")</f>
        <v>2026-03</v>
      </c>
      <c r="AF61" s="6" t="str">
        <f>IF(Lessons[[#This Row],[Lesson_Date__c]]&lt;=Data_Audit!$F$1, "Yes", "No")</f>
        <v>Yes</v>
      </c>
    </row>
    <row r="62" spans="1:32">
      <c r="A62" t="s">
        <v>52</v>
      </c>
      <c r="B62" t="s">
        <v>53</v>
      </c>
      <c r="C62">
        <v>30</v>
      </c>
      <c r="D62" t="s">
        <v>327</v>
      </c>
      <c r="E62" t="s">
        <v>243</v>
      </c>
      <c r="F62" t="s">
        <v>244</v>
      </c>
      <c r="H62" t="s">
        <v>237</v>
      </c>
      <c r="I62" t="b">
        <v>0</v>
      </c>
      <c r="K62" t="s">
        <v>52</v>
      </c>
      <c r="L62" t="s">
        <v>70</v>
      </c>
      <c r="M62" t="s">
        <v>264</v>
      </c>
      <c r="N62" t="s">
        <v>264</v>
      </c>
      <c r="O62" s="1">
        <v>46199</v>
      </c>
      <c r="P62" t="s">
        <v>328</v>
      </c>
      <c r="Q62" t="s">
        <v>329</v>
      </c>
      <c r="R62" t="s">
        <v>150</v>
      </c>
      <c r="S62" t="b">
        <v>0</v>
      </c>
      <c r="T62" t="b">
        <v>0</v>
      </c>
      <c r="U62" t="s">
        <v>329</v>
      </c>
      <c r="V62" t="s">
        <v>110</v>
      </c>
      <c r="W62" t="s">
        <v>65</v>
      </c>
      <c r="X62" t="s">
        <v>325</v>
      </c>
      <c r="Y62" t="s">
        <v>326</v>
      </c>
      <c r="Z62" t="s">
        <v>70</v>
      </c>
      <c r="AA62" t="b">
        <f>ISNUMBER(SEARCH(";"&amp;Lessons[[#This Row],[Instrument__c]]&amp;";",";"&amp;_xlfn.XLOOKUP(Lessons[[#This Row],[Instructor_External_Id__c]], Instructors[Id], Instructors[Instruments_Taught__c])&amp;";"))</f>
        <v>1</v>
      </c>
      <c r="AB62" t="str">
        <f>IF(LEFT(Lessons[[#This Row],[Status__c]],9)="Cancelled","",Lessons[[#This Row],[Instructor_External_Id__c]]&amp;"|"&amp;TEXT(Lessons[[#This Row],[Lesson_Date__c]],"yyyy-mm-dd")&amp;"|"&amp;Lessons[[#This Row],[Start_Time__c]])</f>
        <v>a06ak00000amzC1AAI|2026-06-26|10:00:00.000Z</v>
      </c>
      <c r="AC62">
        <f>IF(Lessons[[#This Row],[Double Booked Key]]="","",COUNTIF(Lessons[Double Booked Key],Lessons[[#This Row],[Double Booked Key]]))</f>
        <v>1</v>
      </c>
      <c r="AD62" s="6" t="str">
        <f>_xlfn.XLOOKUP(Lessons[[#This Row],[Location_External_Id__c]], Locations[Location Id], Locations[Location Name])</f>
        <v>Toms River</v>
      </c>
      <c r="AE62" s="6" t="str">
        <f>TEXT(Lessons[[#This Row],[Lesson_Date__c]], "yyyy-mm")</f>
        <v>2026-06</v>
      </c>
      <c r="AF62" s="6" t="str">
        <f>IF(Lessons[[#This Row],[Lesson_Date__c]]&lt;=Data_Audit!$F$1, "Yes", "No")</f>
        <v>Yes</v>
      </c>
    </row>
    <row r="63" spans="1:32">
      <c r="A63" t="s">
        <v>52</v>
      </c>
      <c r="B63" t="s">
        <v>53</v>
      </c>
      <c r="C63">
        <v>30</v>
      </c>
      <c r="D63" t="s">
        <v>330</v>
      </c>
      <c r="E63" t="s">
        <v>243</v>
      </c>
      <c r="F63" t="s">
        <v>244</v>
      </c>
      <c r="G63" t="s">
        <v>69</v>
      </c>
      <c r="H63" t="s">
        <v>237</v>
      </c>
      <c r="I63" t="b">
        <v>0</v>
      </c>
      <c r="K63" t="s">
        <v>52</v>
      </c>
      <c r="L63" t="s">
        <v>70</v>
      </c>
      <c r="M63" t="s">
        <v>264</v>
      </c>
      <c r="N63" t="s">
        <v>264</v>
      </c>
      <c r="O63" s="1">
        <v>46283</v>
      </c>
      <c r="P63" t="s">
        <v>331</v>
      </c>
      <c r="Q63" t="s">
        <v>332</v>
      </c>
      <c r="R63" t="s">
        <v>150</v>
      </c>
      <c r="S63" t="b">
        <v>0</v>
      </c>
      <c r="T63" t="b">
        <v>0</v>
      </c>
      <c r="U63" t="s">
        <v>332</v>
      </c>
      <c r="V63" t="s">
        <v>94</v>
      </c>
      <c r="W63" t="s">
        <v>65</v>
      </c>
      <c r="X63" t="s">
        <v>325</v>
      </c>
      <c r="Y63" t="s">
        <v>326</v>
      </c>
      <c r="Z63" t="s">
        <v>70</v>
      </c>
      <c r="AA63" t="b">
        <f>ISNUMBER(SEARCH(";"&amp;Lessons[[#This Row],[Instrument__c]]&amp;";",";"&amp;_xlfn.XLOOKUP(Lessons[[#This Row],[Instructor_External_Id__c]], Instructors[Id], Instructors[Instruments_Taught__c])&amp;";"))</f>
        <v>1</v>
      </c>
      <c r="AB63" t="str">
        <f>IF(LEFT(Lessons[[#This Row],[Status__c]],9)="Cancelled","",Lessons[[#This Row],[Instructor_External_Id__c]]&amp;"|"&amp;TEXT(Lessons[[#This Row],[Lesson_Date__c]],"yyyy-mm-dd")&amp;"|"&amp;Lessons[[#This Row],[Start_Time__c]])</f>
        <v>a06ak00000amzC1AAI|2026-09-18|19:00:00.000Z</v>
      </c>
      <c r="AC63">
        <f>IF(Lessons[[#This Row],[Double Booked Key]]="","",COUNTIF(Lessons[Double Booked Key],Lessons[[#This Row],[Double Booked Key]]))</f>
        <v>1</v>
      </c>
      <c r="AD63" s="6" t="str">
        <f>_xlfn.XLOOKUP(Lessons[[#This Row],[Location_External_Id__c]], Locations[Location Id], Locations[Location Name])</f>
        <v>Toms River</v>
      </c>
      <c r="AE63" s="6" t="str">
        <f>TEXT(Lessons[[#This Row],[Lesson_Date__c]], "yyyy-mm")</f>
        <v>2026-09</v>
      </c>
      <c r="AF63" s="6" t="str">
        <f>IF(Lessons[[#This Row],[Lesson_Date__c]]&lt;=Data_Audit!$F$1, "Yes", "No")</f>
        <v>Yes</v>
      </c>
    </row>
    <row r="64" spans="1:32">
      <c r="A64" t="s">
        <v>52</v>
      </c>
      <c r="B64" t="s">
        <v>53</v>
      </c>
      <c r="C64">
        <v>45</v>
      </c>
      <c r="D64" t="s">
        <v>333</v>
      </c>
      <c r="E64" t="s">
        <v>243</v>
      </c>
      <c r="F64" t="s">
        <v>244</v>
      </c>
      <c r="H64" t="s">
        <v>237</v>
      </c>
      <c r="I64" t="b">
        <v>0</v>
      </c>
      <c r="K64" t="s">
        <v>52</v>
      </c>
      <c r="L64" t="s">
        <v>70</v>
      </c>
      <c r="M64" t="s">
        <v>264</v>
      </c>
      <c r="N64" t="s">
        <v>264</v>
      </c>
      <c r="O64" s="1">
        <v>46261</v>
      </c>
      <c r="P64" t="s">
        <v>334</v>
      </c>
      <c r="Q64" t="s">
        <v>335</v>
      </c>
      <c r="R64" t="s">
        <v>150</v>
      </c>
      <c r="S64" t="b">
        <v>0</v>
      </c>
      <c r="T64" t="b">
        <v>0</v>
      </c>
      <c r="U64" t="s">
        <v>335</v>
      </c>
      <c r="V64" t="s">
        <v>84</v>
      </c>
      <c r="W64" t="s">
        <v>121</v>
      </c>
      <c r="X64" t="s">
        <v>325</v>
      </c>
      <c r="Y64" t="s">
        <v>326</v>
      </c>
      <c r="Z64" t="s">
        <v>70</v>
      </c>
      <c r="AA64" t="b">
        <f>ISNUMBER(SEARCH(";"&amp;Lessons[[#This Row],[Instrument__c]]&amp;";",";"&amp;_xlfn.XLOOKUP(Lessons[[#This Row],[Instructor_External_Id__c]], Instructors[Id], Instructors[Instruments_Taught__c])&amp;";"))</f>
        <v>1</v>
      </c>
      <c r="AB64" t="str">
        <f>IF(LEFT(Lessons[[#This Row],[Status__c]],9)="Cancelled","",Lessons[[#This Row],[Instructor_External_Id__c]]&amp;"|"&amp;TEXT(Lessons[[#This Row],[Lesson_Date__c]],"yyyy-mm-dd")&amp;"|"&amp;Lessons[[#This Row],[Start_Time__c]])</f>
        <v>a06ak00000amzC1AAI|2026-08-27|17:00:00.000Z</v>
      </c>
      <c r="AC64">
        <f>IF(Lessons[[#This Row],[Double Booked Key]]="","",COUNTIF(Lessons[Double Booked Key],Lessons[[#This Row],[Double Booked Key]]))</f>
        <v>1</v>
      </c>
      <c r="AD64" s="6" t="str">
        <f>_xlfn.XLOOKUP(Lessons[[#This Row],[Location_External_Id__c]], Locations[Location Id], Locations[Location Name])</f>
        <v>Toms River</v>
      </c>
      <c r="AE64" s="6" t="str">
        <f>TEXT(Lessons[[#This Row],[Lesson_Date__c]], "yyyy-mm")</f>
        <v>2026-08</v>
      </c>
      <c r="AF64" s="6" t="str">
        <f>IF(Lessons[[#This Row],[Lesson_Date__c]]&lt;=Data_Audit!$F$1, "Yes", "No")</f>
        <v>Yes</v>
      </c>
    </row>
    <row r="65" spans="1:32">
      <c r="A65" t="s">
        <v>52</v>
      </c>
      <c r="B65" t="s">
        <v>53</v>
      </c>
      <c r="C65">
        <v>30</v>
      </c>
      <c r="D65" t="s">
        <v>336</v>
      </c>
      <c r="E65" t="s">
        <v>337</v>
      </c>
      <c r="F65" t="s">
        <v>338</v>
      </c>
      <c r="H65" t="s">
        <v>284</v>
      </c>
      <c r="I65" t="b">
        <v>0</v>
      </c>
      <c r="K65" t="s">
        <v>52</v>
      </c>
      <c r="L65" t="s">
        <v>70</v>
      </c>
      <c r="M65" t="s">
        <v>80</v>
      </c>
      <c r="N65" t="s">
        <v>80</v>
      </c>
      <c r="O65" s="1">
        <v>46149</v>
      </c>
      <c r="P65" t="s">
        <v>339</v>
      </c>
      <c r="Q65" t="s">
        <v>340</v>
      </c>
      <c r="R65" t="s">
        <v>150</v>
      </c>
      <c r="S65" t="b">
        <v>0</v>
      </c>
      <c r="T65" t="b">
        <v>0</v>
      </c>
      <c r="U65" t="s">
        <v>340</v>
      </c>
      <c r="V65" t="s">
        <v>94</v>
      </c>
      <c r="W65" t="s">
        <v>65</v>
      </c>
      <c r="X65" t="s">
        <v>341</v>
      </c>
      <c r="Y65" t="s">
        <v>342</v>
      </c>
      <c r="Z65" t="s">
        <v>70</v>
      </c>
      <c r="AA65" t="b">
        <f>ISNUMBER(SEARCH(";"&amp;Lessons[[#This Row],[Instrument__c]]&amp;";",";"&amp;_xlfn.XLOOKUP(Lessons[[#This Row],[Instructor_External_Id__c]], Instructors[Id], Instructors[Instruments_Taught__c])&amp;";"))</f>
        <v>1</v>
      </c>
      <c r="AB65" t="str">
        <f>IF(LEFT(Lessons[[#This Row],[Status__c]],9)="Cancelled","",Lessons[[#This Row],[Instructor_External_Id__c]]&amp;"|"&amp;TEXT(Lessons[[#This Row],[Lesson_Date__c]],"yyyy-mm-dd")&amp;"|"&amp;Lessons[[#This Row],[Start_Time__c]])</f>
        <v>a06ak00000amzCIAAY|2026-05-07|19:00:00.000Z</v>
      </c>
      <c r="AC65">
        <f>IF(Lessons[[#This Row],[Double Booked Key]]="","",COUNTIF(Lessons[Double Booked Key],Lessons[[#This Row],[Double Booked Key]]))</f>
        <v>1</v>
      </c>
      <c r="AD65" s="6" t="str">
        <f>_xlfn.XLOOKUP(Lessons[[#This Row],[Location_External_Id__c]], Locations[Location Id], Locations[Location Name])</f>
        <v>Toms River</v>
      </c>
      <c r="AE65" s="6" t="str">
        <f>TEXT(Lessons[[#This Row],[Lesson_Date__c]], "yyyy-mm")</f>
        <v>2026-05</v>
      </c>
      <c r="AF65" s="6" t="str">
        <f>IF(Lessons[[#This Row],[Lesson_Date__c]]&lt;=Data_Audit!$F$1, "Yes", "No")</f>
        <v>Yes</v>
      </c>
    </row>
    <row r="66" spans="1:32">
      <c r="A66" t="s">
        <v>52</v>
      </c>
      <c r="B66" t="s">
        <v>53</v>
      </c>
      <c r="C66">
        <v>30</v>
      </c>
      <c r="D66" t="s">
        <v>343</v>
      </c>
      <c r="E66" t="s">
        <v>337</v>
      </c>
      <c r="F66" t="s">
        <v>338</v>
      </c>
      <c r="H66" t="s">
        <v>284</v>
      </c>
      <c r="I66" t="b">
        <v>0</v>
      </c>
      <c r="K66" t="s">
        <v>52</v>
      </c>
      <c r="L66" t="s">
        <v>70</v>
      </c>
      <c r="M66" t="s">
        <v>80</v>
      </c>
      <c r="N66" t="s">
        <v>80</v>
      </c>
      <c r="O66" s="1">
        <v>46266</v>
      </c>
      <c r="P66" t="s">
        <v>344</v>
      </c>
      <c r="Q66" t="s">
        <v>345</v>
      </c>
      <c r="R66" t="s">
        <v>150</v>
      </c>
      <c r="S66" t="b">
        <v>0</v>
      </c>
      <c r="T66" t="b">
        <v>0</v>
      </c>
      <c r="U66" t="s">
        <v>345</v>
      </c>
      <c r="V66" t="s">
        <v>140</v>
      </c>
      <c r="W66" t="s">
        <v>85</v>
      </c>
      <c r="X66" t="s">
        <v>341</v>
      </c>
      <c r="Y66" t="s">
        <v>342</v>
      </c>
      <c r="Z66" t="s">
        <v>70</v>
      </c>
      <c r="AA66" t="b">
        <f>ISNUMBER(SEARCH(";"&amp;Lessons[[#This Row],[Instrument__c]]&amp;";",";"&amp;_xlfn.XLOOKUP(Lessons[[#This Row],[Instructor_External_Id__c]], Instructors[Id], Instructors[Instruments_Taught__c])&amp;";"))</f>
        <v>1</v>
      </c>
      <c r="AB66" t="str">
        <f>IF(LEFT(Lessons[[#This Row],[Status__c]],9)="Cancelled","",Lessons[[#This Row],[Instructor_External_Id__c]]&amp;"|"&amp;TEXT(Lessons[[#This Row],[Lesson_Date__c]],"yyyy-mm-dd")&amp;"|"&amp;Lessons[[#This Row],[Start_Time__c]])</f>
        <v/>
      </c>
      <c r="AC66" t="str">
        <f>IF(Lessons[[#This Row],[Double Booked Key]]="","",COUNTIF(Lessons[Double Booked Key],Lessons[[#This Row],[Double Booked Key]]))</f>
        <v/>
      </c>
      <c r="AD66" s="6" t="str">
        <f>_xlfn.XLOOKUP(Lessons[[#This Row],[Location_External_Id__c]], Locations[Location Id], Locations[Location Name])</f>
        <v>Toms River</v>
      </c>
      <c r="AE66" s="6" t="str">
        <f>TEXT(Lessons[[#This Row],[Lesson_Date__c]], "yyyy-mm")</f>
        <v>2026-09</v>
      </c>
      <c r="AF66" s="6" t="str">
        <f>IF(Lessons[[#This Row],[Lesson_Date__c]]&lt;=Data_Audit!$F$1, "Yes", "No")</f>
        <v>Yes</v>
      </c>
    </row>
    <row r="67" spans="1:32">
      <c r="A67" t="s">
        <v>52</v>
      </c>
      <c r="B67" t="s">
        <v>53</v>
      </c>
      <c r="C67">
        <v>30</v>
      </c>
      <c r="D67" t="s">
        <v>346</v>
      </c>
      <c r="E67" t="s">
        <v>337</v>
      </c>
      <c r="F67" t="s">
        <v>338</v>
      </c>
      <c r="G67" t="s">
        <v>106</v>
      </c>
      <c r="H67" t="s">
        <v>284</v>
      </c>
      <c r="I67" t="b">
        <v>0</v>
      </c>
      <c r="K67" t="s">
        <v>52</v>
      </c>
      <c r="L67" t="s">
        <v>70</v>
      </c>
      <c r="M67" t="s">
        <v>80</v>
      </c>
      <c r="N67" t="s">
        <v>80</v>
      </c>
      <c r="O67" s="1">
        <v>46234</v>
      </c>
      <c r="P67" t="s">
        <v>347</v>
      </c>
      <c r="Q67" t="s">
        <v>348</v>
      </c>
      <c r="R67" t="s">
        <v>150</v>
      </c>
      <c r="S67" t="b">
        <v>0</v>
      </c>
      <c r="T67" t="b">
        <v>0</v>
      </c>
      <c r="U67" t="s">
        <v>348</v>
      </c>
      <c r="V67" t="s">
        <v>84</v>
      </c>
      <c r="W67" t="s">
        <v>65</v>
      </c>
      <c r="X67" t="s">
        <v>341</v>
      </c>
      <c r="Y67" t="s">
        <v>342</v>
      </c>
      <c r="Z67" t="s">
        <v>70</v>
      </c>
      <c r="AA67" t="b">
        <f>ISNUMBER(SEARCH(";"&amp;Lessons[[#This Row],[Instrument__c]]&amp;";",";"&amp;_xlfn.XLOOKUP(Lessons[[#This Row],[Instructor_External_Id__c]], Instructors[Id], Instructors[Instruments_Taught__c])&amp;";"))</f>
        <v>1</v>
      </c>
      <c r="AB67" t="str">
        <f>IF(LEFT(Lessons[[#This Row],[Status__c]],9)="Cancelled","",Lessons[[#This Row],[Instructor_External_Id__c]]&amp;"|"&amp;TEXT(Lessons[[#This Row],[Lesson_Date__c]],"yyyy-mm-dd")&amp;"|"&amp;Lessons[[#This Row],[Start_Time__c]])</f>
        <v>a06ak00000amzCIAAY|2026-07-31|17:00:00.000Z</v>
      </c>
      <c r="AC67">
        <f>IF(Lessons[[#This Row],[Double Booked Key]]="","",COUNTIF(Lessons[Double Booked Key],Lessons[[#This Row],[Double Booked Key]]))</f>
        <v>1</v>
      </c>
      <c r="AD67" s="6" t="str">
        <f>_xlfn.XLOOKUP(Lessons[[#This Row],[Location_External_Id__c]], Locations[Location Id], Locations[Location Name])</f>
        <v>Toms River</v>
      </c>
      <c r="AE67" s="6" t="str">
        <f>TEXT(Lessons[[#This Row],[Lesson_Date__c]], "yyyy-mm")</f>
        <v>2026-07</v>
      </c>
      <c r="AF67" s="6" t="str">
        <f>IF(Lessons[[#This Row],[Lesson_Date__c]]&lt;=Data_Audit!$F$1, "Yes", "No")</f>
        <v>Yes</v>
      </c>
    </row>
    <row r="68" spans="1:32">
      <c r="A68" t="s">
        <v>52</v>
      </c>
      <c r="B68" t="s">
        <v>53</v>
      </c>
      <c r="C68">
        <v>45</v>
      </c>
      <c r="D68" t="s">
        <v>349</v>
      </c>
      <c r="E68" t="s">
        <v>337</v>
      </c>
      <c r="F68" t="s">
        <v>338</v>
      </c>
      <c r="H68" t="s">
        <v>284</v>
      </c>
      <c r="I68" t="b">
        <v>0</v>
      </c>
      <c r="K68" t="s">
        <v>52</v>
      </c>
      <c r="L68" t="s">
        <v>70</v>
      </c>
      <c r="M68" t="s">
        <v>80</v>
      </c>
      <c r="N68" t="s">
        <v>80</v>
      </c>
      <c r="O68" s="1">
        <v>46292</v>
      </c>
      <c r="P68" t="s">
        <v>350</v>
      </c>
      <c r="Q68" t="s">
        <v>351</v>
      </c>
      <c r="R68" t="s">
        <v>150</v>
      </c>
      <c r="S68" t="b">
        <v>0</v>
      </c>
      <c r="T68" t="b">
        <v>0</v>
      </c>
      <c r="U68" t="s">
        <v>351</v>
      </c>
      <c r="V68" t="s">
        <v>94</v>
      </c>
      <c r="W68" t="s">
        <v>121</v>
      </c>
      <c r="X68" t="s">
        <v>341</v>
      </c>
      <c r="Y68" t="s">
        <v>342</v>
      </c>
      <c r="Z68" t="s">
        <v>70</v>
      </c>
      <c r="AA68" t="b">
        <f>ISNUMBER(SEARCH(";"&amp;Lessons[[#This Row],[Instrument__c]]&amp;";",";"&amp;_xlfn.XLOOKUP(Lessons[[#This Row],[Instructor_External_Id__c]], Instructors[Id], Instructors[Instruments_Taught__c])&amp;";"))</f>
        <v>1</v>
      </c>
      <c r="AB68" t="str">
        <f>IF(LEFT(Lessons[[#This Row],[Status__c]],9)="Cancelled","",Lessons[[#This Row],[Instructor_External_Id__c]]&amp;"|"&amp;TEXT(Lessons[[#This Row],[Lesson_Date__c]],"yyyy-mm-dd")&amp;"|"&amp;Lessons[[#This Row],[Start_Time__c]])</f>
        <v>a06ak00000amzCIAAY|2026-09-27|19:00:00.000Z</v>
      </c>
      <c r="AC68">
        <f>IF(Lessons[[#This Row],[Double Booked Key]]="","",COUNTIF(Lessons[Double Booked Key],Lessons[[#This Row],[Double Booked Key]]))</f>
        <v>1</v>
      </c>
      <c r="AD68" s="6" t="str">
        <f>_xlfn.XLOOKUP(Lessons[[#This Row],[Location_External_Id__c]], Locations[Location Id], Locations[Location Name])</f>
        <v>Toms River</v>
      </c>
      <c r="AE68" s="6" t="str">
        <f>TEXT(Lessons[[#This Row],[Lesson_Date__c]], "yyyy-mm")</f>
        <v>2026-09</v>
      </c>
      <c r="AF68" s="6" t="str">
        <f>IF(Lessons[[#This Row],[Lesson_Date__c]]&lt;=Data_Audit!$F$1, "Yes", "No")</f>
        <v>Yes</v>
      </c>
    </row>
    <row r="69" spans="1:32">
      <c r="A69" t="s">
        <v>52</v>
      </c>
      <c r="B69" t="s">
        <v>53</v>
      </c>
      <c r="C69">
        <v>30</v>
      </c>
      <c r="D69" t="s">
        <v>352</v>
      </c>
      <c r="E69" t="s">
        <v>337</v>
      </c>
      <c r="F69" t="s">
        <v>338</v>
      </c>
      <c r="G69" t="s">
        <v>69</v>
      </c>
      <c r="H69" t="s">
        <v>284</v>
      </c>
      <c r="I69" t="b">
        <v>0</v>
      </c>
      <c r="K69" t="s">
        <v>52</v>
      </c>
      <c r="L69" t="s">
        <v>70</v>
      </c>
      <c r="M69" t="s">
        <v>80</v>
      </c>
      <c r="N69" t="s">
        <v>80</v>
      </c>
      <c r="O69" s="1">
        <v>46138</v>
      </c>
      <c r="P69" t="s">
        <v>353</v>
      </c>
      <c r="Q69" t="s">
        <v>354</v>
      </c>
      <c r="R69" t="s">
        <v>150</v>
      </c>
      <c r="S69" t="b">
        <v>0</v>
      </c>
      <c r="T69" t="b">
        <v>0</v>
      </c>
      <c r="U69" t="s">
        <v>354</v>
      </c>
      <c r="V69" t="s">
        <v>64</v>
      </c>
      <c r="W69" t="s">
        <v>65</v>
      </c>
      <c r="X69" t="s">
        <v>341</v>
      </c>
      <c r="Y69" t="s">
        <v>342</v>
      </c>
      <c r="Z69" t="s">
        <v>70</v>
      </c>
      <c r="AA69" t="b">
        <f>ISNUMBER(SEARCH(";"&amp;Lessons[[#This Row],[Instrument__c]]&amp;";",";"&amp;_xlfn.XLOOKUP(Lessons[[#This Row],[Instructor_External_Id__c]], Instructors[Id], Instructors[Instruments_Taught__c])&amp;";"))</f>
        <v>1</v>
      </c>
      <c r="AB69" t="str">
        <f>IF(LEFT(Lessons[[#This Row],[Status__c]],9)="Cancelled","",Lessons[[#This Row],[Instructor_External_Id__c]]&amp;"|"&amp;TEXT(Lessons[[#This Row],[Lesson_Date__c]],"yyyy-mm-dd")&amp;"|"&amp;Lessons[[#This Row],[Start_Time__c]])</f>
        <v>a06ak00000amzCIAAY|2026-04-26|11:00:00.000Z</v>
      </c>
      <c r="AC69">
        <f>IF(Lessons[[#This Row],[Double Booked Key]]="","",COUNTIF(Lessons[Double Booked Key],Lessons[[#This Row],[Double Booked Key]]))</f>
        <v>1</v>
      </c>
      <c r="AD69" s="6" t="str">
        <f>_xlfn.XLOOKUP(Lessons[[#This Row],[Location_External_Id__c]], Locations[Location Id], Locations[Location Name])</f>
        <v>Toms River</v>
      </c>
      <c r="AE69" s="6" t="str">
        <f>TEXT(Lessons[[#This Row],[Lesson_Date__c]], "yyyy-mm")</f>
        <v>2026-04</v>
      </c>
      <c r="AF69" s="6" t="str">
        <f>IF(Lessons[[#This Row],[Lesson_Date__c]]&lt;=Data_Audit!$F$1, "Yes", "No")</f>
        <v>Yes</v>
      </c>
    </row>
    <row r="70" spans="1:32">
      <c r="A70" t="s">
        <v>52</v>
      </c>
      <c r="B70" t="s">
        <v>53</v>
      </c>
      <c r="C70">
        <v>30</v>
      </c>
      <c r="D70" t="s">
        <v>355</v>
      </c>
      <c r="E70" t="s">
        <v>337</v>
      </c>
      <c r="F70" t="s">
        <v>338</v>
      </c>
      <c r="G70" t="s">
        <v>69</v>
      </c>
      <c r="H70" t="s">
        <v>284</v>
      </c>
      <c r="I70" t="b">
        <v>0</v>
      </c>
      <c r="K70" t="s">
        <v>52</v>
      </c>
      <c r="L70" t="s">
        <v>70</v>
      </c>
      <c r="M70" t="s">
        <v>80</v>
      </c>
      <c r="N70" t="s">
        <v>80</v>
      </c>
      <c r="O70" s="1">
        <v>46042</v>
      </c>
      <c r="P70" t="s">
        <v>356</v>
      </c>
      <c r="Q70" t="s">
        <v>357</v>
      </c>
      <c r="R70" t="s">
        <v>150</v>
      </c>
      <c r="S70" t="b">
        <v>0</v>
      </c>
      <c r="T70" t="b">
        <v>0</v>
      </c>
      <c r="U70" t="s">
        <v>357</v>
      </c>
      <c r="V70" t="s">
        <v>74</v>
      </c>
      <c r="W70" t="s">
        <v>65</v>
      </c>
      <c r="X70" t="s">
        <v>341</v>
      </c>
      <c r="Y70" t="s">
        <v>342</v>
      </c>
      <c r="Z70" t="s">
        <v>70</v>
      </c>
      <c r="AA70" t="b">
        <f>ISNUMBER(SEARCH(";"&amp;Lessons[[#This Row],[Instrument__c]]&amp;";",";"&amp;_xlfn.XLOOKUP(Lessons[[#This Row],[Instructor_External_Id__c]], Instructors[Id], Instructors[Instruments_Taught__c])&amp;";"))</f>
        <v>1</v>
      </c>
      <c r="AB70" t="str">
        <f>IF(LEFT(Lessons[[#This Row],[Status__c]],9)="Cancelled","",Lessons[[#This Row],[Instructor_External_Id__c]]&amp;"|"&amp;TEXT(Lessons[[#This Row],[Lesson_Date__c]],"yyyy-mm-dd")&amp;"|"&amp;Lessons[[#This Row],[Start_Time__c]])</f>
        <v>a06ak00000amzCIAAY|2026-01-20|16:30:00.000Z</v>
      </c>
      <c r="AC70">
        <f>IF(Lessons[[#This Row],[Double Booked Key]]="","",COUNTIF(Lessons[Double Booked Key],Lessons[[#This Row],[Double Booked Key]]))</f>
        <v>1</v>
      </c>
      <c r="AD70" s="6" t="str">
        <f>_xlfn.XLOOKUP(Lessons[[#This Row],[Location_External_Id__c]], Locations[Location Id], Locations[Location Name])</f>
        <v>Toms River</v>
      </c>
      <c r="AE70" s="6" t="str">
        <f>TEXT(Lessons[[#This Row],[Lesson_Date__c]], "yyyy-mm")</f>
        <v>2026-01</v>
      </c>
      <c r="AF70" s="6" t="str">
        <f>IF(Lessons[[#This Row],[Lesson_Date__c]]&lt;=Data_Audit!$F$1, "Yes", "No")</f>
        <v>Yes</v>
      </c>
    </row>
    <row r="71" spans="1:32">
      <c r="A71" t="s">
        <v>52</v>
      </c>
      <c r="B71" t="s">
        <v>53</v>
      </c>
      <c r="C71">
        <v>45</v>
      </c>
      <c r="D71" t="s">
        <v>358</v>
      </c>
      <c r="E71" t="s">
        <v>359</v>
      </c>
      <c r="F71" t="s">
        <v>360</v>
      </c>
      <c r="H71" t="s">
        <v>78</v>
      </c>
      <c r="I71" t="b">
        <v>0</v>
      </c>
      <c r="K71" t="s">
        <v>52</v>
      </c>
      <c r="L71" t="s">
        <v>70</v>
      </c>
      <c r="M71" t="s">
        <v>80</v>
      </c>
      <c r="N71" t="s">
        <v>80</v>
      </c>
      <c r="O71" s="1">
        <v>46284</v>
      </c>
      <c r="P71" t="s">
        <v>361</v>
      </c>
      <c r="Q71" t="s">
        <v>362</v>
      </c>
      <c r="R71" t="s">
        <v>63</v>
      </c>
      <c r="S71" t="b">
        <v>0</v>
      </c>
      <c r="T71" t="b">
        <v>0</v>
      </c>
      <c r="U71" t="s">
        <v>362</v>
      </c>
      <c r="V71" t="s">
        <v>110</v>
      </c>
      <c r="W71" t="s">
        <v>65</v>
      </c>
      <c r="X71" t="s">
        <v>363</v>
      </c>
      <c r="Y71" t="s">
        <v>364</v>
      </c>
      <c r="Z71" t="s">
        <v>70</v>
      </c>
      <c r="AA71" t="b">
        <f>ISNUMBER(SEARCH(";"&amp;Lessons[[#This Row],[Instrument__c]]&amp;";",";"&amp;_xlfn.XLOOKUP(Lessons[[#This Row],[Instructor_External_Id__c]], Instructors[Id], Instructors[Instruments_Taught__c])&amp;";"))</f>
        <v>1</v>
      </c>
      <c r="AB71" t="str">
        <f>IF(LEFT(Lessons[[#This Row],[Status__c]],9)="Cancelled","",Lessons[[#This Row],[Instructor_External_Id__c]]&amp;"|"&amp;TEXT(Lessons[[#This Row],[Lesson_Date__c]],"yyyy-mm-dd")&amp;"|"&amp;Lessons[[#This Row],[Start_Time__c]])</f>
        <v>a06ak00000amzBiAAI|2026-09-19|10:00:00.000Z</v>
      </c>
      <c r="AC71">
        <f>IF(Lessons[[#This Row],[Double Booked Key]]="","",COUNTIF(Lessons[Double Booked Key],Lessons[[#This Row],[Double Booked Key]]))</f>
        <v>1</v>
      </c>
      <c r="AD71" s="6" t="str">
        <f>_xlfn.XLOOKUP(Lessons[[#This Row],[Location_External_Id__c]], Locations[Location Id], Locations[Location Name])</f>
        <v>Red Bank</v>
      </c>
      <c r="AE71" s="6" t="str">
        <f>TEXT(Lessons[[#This Row],[Lesson_Date__c]], "yyyy-mm")</f>
        <v>2026-09</v>
      </c>
      <c r="AF71" s="6" t="str">
        <f>IF(Lessons[[#This Row],[Lesson_Date__c]]&lt;=Data_Audit!$F$1, "Yes", "No")</f>
        <v>Yes</v>
      </c>
    </row>
    <row r="72" spans="1:32">
      <c r="A72" t="s">
        <v>52</v>
      </c>
      <c r="B72" t="s">
        <v>53</v>
      </c>
      <c r="C72">
        <v>60</v>
      </c>
      <c r="D72" t="s">
        <v>365</v>
      </c>
      <c r="E72" t="s">
        <v>359</v>
      </c>
      <c r="F72" t="s">
        <v>360</v>
      </c>
      <c r="G72" t="s">
        <v>106</v>
      </c>
      <c r="H72" t="s">
        <v>78</v>
      </c>
      <c r="I72" t="b">
        <v>0</v>
      </c>
      <c r="K72" t="s">
        <v>52</v>
      </c>
      <c r="L72" t="s">
        <v>70</v>
      </c>
      <c r="M72" t="s">
        <v>264</v>
      </c>
      <c r="N72" t="s">
        <v>264</v>
      </c>
      <c r="O72" s="1">
        <v>46056</v>
      </c>
      <c r="P72" t="s">
        <v>366</v>
      </c>
      <c r="Q72" t="s">
        <v>367</v>
      </c>
      <c r="R72" t="s">
        <v>63</v>
      </c>
      <c r="S72" t="b">
        <v>0</v>
      </c>
      <c r="T72" t="b">
        <v>0</v>
      </c>
      <c r="U72" t="s">
        <v>367</v>
      </c>
      <c r="V72" t="s">
        <v>84</v>
      </c>
      <c r="W72" t="s">
        <v>65</v>
      </c>
      <c r="X72" t="s">
        <v>363</v>
      </c>
      <c r="Y72" t="s">
        <v>364</v>
      </c>
      <c r="Z72" t="s">
        <v>70</v>
      </c>
      <c r="AA72" t="b">
        <f>ISNUMBER(SEARCH(";"&amp;Lessons[[#This Row],[Instrument__c]]&amp;";",";"&amp;_xlfn.XLOOKUP(Lessons[[#This Row],[Instructor_External_Id__c]], Instructors[Id], Instructors[Instruments_Taught__c])&amp;";"))</f>
        <v>1</v>
      </c>
      <c r="AB72" t="str">
        <f>IF(LEFT(Lessons[[#This Row],[Status__c]],9)="Cancelled","",Lessons[[#This Row],[Instructor_External_Id__c]]&amp;"|"&amp;TEXT(Lessons[[#This Row],[Lesson_Date__c]],"yyyy-mm-dd")&amp;"|"&amp;Lessons[[#This Row],[Start_Time__c]])</f>
        <v>a06ak00000amzBiAAI|2026-02-03|17:00:00.000Z</v>
      </c>
      <c r="AC72">
        <f>IF(Lessons[[#This Row],[Double Booked Key]]="","",COUNTIF(Lessons[Double Booked Key],Lessons[[#This Row],[Double Booked Key]]))</f>
        <v>1</v>
      </c>
      <c r="AD72" s="6" t="str">
        <f>_xlfn.XLOOKUP(Lessons[[#This Row],[Location_External_Id__c]], Locations[Location Id], Locations[Location Name])</f>
        <v>Red Bank</v>
      </c>
      <c r="AE72" s="6" t="str">
        <f>TEXT(Lessons[[#This Row],[Lesson_Date__c]], "yyyy-mm")</f>
        <v>2026-02</v>
      </c>
      <c r="AF72" s="6" t="str">
        <f>IF(Lessons[[#This Row],[Lesson_Date__c]]&lt;=Data_Audit!$F$1, "Yes", "No")</f>
        <v>Yes</v>
      </c>
    </row>
    <row r="73" spans="1:32">
      <c r="A73" t="s">
        <v>52</v>
      </c>
      <c r="B73" t="s">
        <v>53</v>
      </c>
      <c r="C73">
        <v>60</v>
      </c>
      <c r="D73" t="s">
        <v>368</v>
      </c>
      <c r="E73" t="s">
        <v>359</v>
      </c>
      <c r="F73" t="s">
        <v>360</v>
      </c>
      <c r="H73" t="s">
        <v>78</v>
      </c>
      <c r="I73" t="b">
        <v>0</v>
      </c>
      <c r="K73" t="s">
        <v>52</v>
      </c>
      <c r="L73" t="s">
        <v>70</v>
      </c>
      <c r="M73" t="s">
        <v>264</v>
      </c>
      <c r="N73" t="s">
        <v>264</v>
      </c>
      <c r="O73" s="1">
        <v>46049</v>
      </c>
      <c r="P73" t="s">
        <v>369</v>
      </c>
      <c r="Q73" t="s">
        <v>370</v>
      </c>
      <c r="R73" t="s">
        <v>63</v>
      </c>
      <c r="S73" t="b">
        <v>0</v>
      </c>
      <c r="T73" t="b">
        <v>0</v>
      </c>
      <c r="U73" t="s">
        <v>370</v>
      </c>
      <c r="V73" t="s">
        <v>94</v>
      </c>
      <c r="W73" t="s">
        <v>65</v>
      </c>
      <c r="X73" t="s">
        <v>363</v>
      </c>
      <c r="Y73" t="s">
        <v>364</v>
      </c>
      <c r="Z73" t="s">
        <v>70</v>
      </c>
      <c r="AA73" t="b">
        <f>ISNUMBER(SEARCH(";"&amp;Lessons[[#This Row],[Instrument__c]]&amp;";",";"&amp;_xlfn.XLOOKUP(Lessons[[#This Row],[Instructor_External_Id__c]], Instructors[Id], Instructors[Instruments_Taught__c])&amp;";"))</f>
        <v>1</v>
      </c>
      <c r="AB73" t="str">
        <f>IF(LEFT(Lessons[[#This Row],[Status__c]],9)="Cancelled","",Lessons[[#This Row],[Instructor_External_Id__c]]&amp;"|"&amp;TEXT(Lessons[[#This Row],[Lesson_Date__c]],"yyyy-mm-dd")&amp;"|"&amp;Lessons[[#This Row],[Start_Time__c]])</f>
        <v>a06ak00000amzBiAAI|2026-01-27|19:00:00.000Z</v>
      </c>
      <c r="AC73">
        <f>IF(Lessons[[#This Row],[Double Booked Key]]="","",COUNTIF(Lessons[Double Booked Key],Lessons[[#This Row],[Double Booked Key]]))</f>
        <v>1</v>
      </c>
      <c r="AD73" s="6" t="str">
        <f>_xlfn.XLOOKUP(Lessons[[#This Row],[Location_External_Id__c]], Locations[Location Id], Locations[Location Name])</f>
        <v>Red Bank</v>
      </c>
      <c r="AE73" s="6" t="str">
        <f>TEXT(Lessons[[#This Row],[Lesson_Date__c]], "yyyy-mm")</f>
        <v>2026-01</v>
      </c>
      <c r="AF73" s="6" t="str">
        <f>IF(Lessons[[#This Row],[Lesson_Date__c]]&lt;=Data_Audit!$F$1, "Yes", "No")</f>
        <v>Yes</v>
      </c>
    </row>
    <row r="74" spans="1:32">
      <c r="A74" t="s">
        <v>52</v>
      </c>
      <c r="B74" t="s">
        <v>53</v>
      </c>
      <c r="C74">
        <v>30</v>
      </c>
      <c r="D74" t="s">
        <v>371</v>
      </c>
      <c r="E74" t="s">
        <v>359</v>
      </c>
      <c r="F74" t="s">
        <v>360</v>
      </c>
      <c r="G74" t="s">
        <v>106</v>
      </c>
      <c r="H74" t="s">
        <v>78</v>
      </c>
      <c r="I74" t="b">
        <v>0</v>
      </c>
      <c r="K74" t="s">
        <v>52</v>
      </c>
      <c r="L74" t="s">
        <v>70</v>
      </c>
      <c r="M74" t="s">
        <v>264</v>
      </c>
      <c r="N74" t="s">
        <v>264</v>
      </c>
      <c r="O74" s="1">
        <v>46166</v>
      </c>
      <c r="P74" t="s">
        <v>372</v>
      </c>
      <c r="Q74" t="s">
        <v>373</v>
      </c>
      <c r="R74" t="s">
        <v>63</v>
      </c>
      <c r="S74" t="b">
        <v>0</v>
      </c>
      <c r="T74" t="b">
        <v>0</v>
      </c>
      <c r="U74" t="s">
        <v>373</v>
      </c>
      <c r="V74" t="s">
        <v>74</v>
      </c>
      <c r="W74" t="s">
        <v>65</v>
      </c>
      <c r="X74" t="s">
        <v>363</v>
      </c>
      <c r="Y74" t="s">
        <v>364</v>
      </c>
      <c r="Z74" t="s">
        <v>70</v>
      </c>
      <c r="AA74" t="b">
        <f>ISNUMBER(SEARCH(";"&amp;Lessons[[#This Row],[Instrument__c]]&amp;";",";"&amp;_xlfn.XLOOKUP(Lessons[[#This Row],[Instructor_External_Id__c]], Instructors[Id], Instructors[Instruments_Taught__c])&amp;";"))</f>
        <v>1</v>
      </c>
      <c r="AB74" t="str">
        <f>IF(LEFT(Lessons[[#This Row],[Status__c]],9)="Cancelled","",Lessons[[#This Row],[Instructor_External_Id__c]]&amp;"|"&amp;TEXT(Lessons[[#This Row],[Lesson_Date__c]],"yyyy-mm-dd")&amp;"|"&amp;Lessons[[#This Row],[Start_Time__c]])</f>
        <v>a06ak00000amzBiAAI|2026-05-24|16:30:00.000Z</v>
      </c>
      <c r="AC74">
        <f>IF(Lessons[[#This Row],[Double Booked Key]]="","",COUNTIF(Lessons[Double Booked Key],Lessons[[#This Row],[Double Booked Key]]))</f>
        <v>1</v>
      </c>
      <c r="AD74" s="6" t="str">
        <f>_xlfn.XLOOKUP(Lessons[[#This Row],[Location_External_Id__c]], Locations[Location Id], Locations[Location Name])</f>
        <v>Red Bank</v>
      </c>
      <c r="AE74" s="6" t="str">
        <f>TEXT(Lessons[[#This Row],[Lesson_Date__c]], "yyyy-mm")</f>
        <v>2026-05</v>
      </c>
      <c r="AF74" s="6" t="str">
        <f>IF(Lessons[[#This Row],[Lesson_Date__c]]&lt;=Data_Audit!$F$1, "Yes", "No")</f>
        <v>Yes</v>
      </c>
    </row>
    <row r="75" spans="1:32">
      <c r="A75" t="s">
        <v>52</v>
      </c>
      <c r="B75" t="s">
        <v>53</v>
      </c>
      <c r="C75">
        <v>30</v>
      </c>
      <c r="D75" t="s">
        <v>374</v>
      </c>
      <c r="E75" t="s">
        <v>359</v>
      </c>
      <c r="F75" t="s">
        <v>360</v>
      </c>
      <c r="H75" t="s">
        <v>78</v>
      </c>
      <c r="I75" t="b">
        <v>0</v>
      </c>
      <c r="K75" t="s">
        <v>52</v>
      </c>
      <c r="L75" t="s">
        <v>70</v>
      </c>
      <c r="M75" t="s">
        <v>264</v>
      </c>
      <c r="N75" t="s">
        <v>264</v>
      </c>
      <c r="O75" s="1">
        <v>46039</v>
      </c>
      <c r="P75" t="s">
        <v>375</v>
      </c>
      <c r="Q75" t="s">
        <v>376</v>
      </c>
      <c r="R75" t="s">
        <v>63</v>
      </c>
      <c r="S75" t="b">
        <v>0</v>
      </c>
      <c r="T75" t="b">
        <v>0</v>
      </c>
      <c r="U75" t="s">
        <v>376</v>
      </c>
      <c r="V75" t="s">
        <v>116</v>
      </c>
      <c r="W75" t="s">
        <v>65</v>
      </c>
      <c r="X75" t="s">
        <v>363</v>
      </c>
      <c r="Y75" t="s">
        <v>364</v>
      </c>
      <c r="Z75" t="s">
        <v>70</v>
      </c>
      <c r="AA75" t="b">
        <f>ISNUMBER(SEARCH(";"&amp;Lessons[[#This Row],[Instrument__c]]&amp;";",";"&amp;_xlfn.XLOOKUP(Lessons[[#This Row],[Instructor_External_Id__c]], Instructors[Id], Instructors[Instruments_Taught__c])&amp;";"))</f>
        <v>1</v>
      </c>
      <c r="AB75" t="str">
        <f>IF(LEFT(Lessons[[#This Row],[Status__c]],9)="Cancelled","",Lessons[[#This Row],[Instructor_External_Id__c]]&amp;"|"&amp;TEXT(Lessons[[#This Row],[Lesson_Date__c]],"yyyy-mm-dd")&amp;"|"&amp;Lessons[[#This Row],[Start_Time__c]])</f>
        <v>a06ak00000amzBiAAI|2026-01-17|17:30:00.000Z</v>
      </c>
      <c r="AC75">
        <f>IF(Lessons[[#This Row],[Double Booked Key]]="","",COUNTIF(Lessons[Double Booked Key],Lessons[[#This Row],[Double Booked Key]]))</f>
        <v>1</v>
      </c>
      <c r="AD75" s="6" t="str">
        <f>_xlfn.XLOOKUP(Lessons[[#This Row],[Location_External_Id__c]], Locations[Location Id], Locations[Location Name])</f>
        <v>Red Bank</v>
      </c>
      <c r="AE75" s="6" t="str">
        <f>TEXT(Lessons[[#This Row],[Lesson_Date__c]], "yyyy-mm")</f>
        <v>2026-01</v>
      </c>
      <c r="AF75" s="6" t="str">
        <f>IF(Lessons[[#This Row],[Lesson_Date__c]]&lt;=Data_Audit!$F$1, "Yes", "No")</f>
        <v>Yes</v>
      </c>
    </row>
    <row r="76" spans="1:32">
      <c r="A76" t="s">
        <v>52</v>
      </c>
      <c r="B76" t="s">
        <v>53</v>
      </c>
      <c r="C76">
        <v>30</v>
      </c>
      <c r="D76" t="s">
        <v>377</v>
      </c>
      <c r="E76" t="s">
        <v>359</v>
      </c>
      <c r="F76" t="s">
        <v>360</v>
      </c>
      <c r="G76" t="s">
        <v>99</v>
      </c>
      <c r="H76" t="s">
        <v>78</v>
      </c>
      <c r="I76" t="b">
        <v>0</v>
      </c>
      <c r="K76" t="s">
        <v>52</v>
      </c>
      <c r="L76" t="s">
        <v>70</v>
      </c>
      <c r="M76" t="s">
        <v>264</v>
      </c>
      <c r="N76" t="s">
        <v>264</v>
      </c>
      <c r="O76" s="1">
        <v>46201</v>
      </c>
      <c r="P76" t="s">
        <v>378</v>
      </c>
      <c r="Q76" t="s">
        <v>379</v>
      </c>
      <c r="R76" t="s">
        <v>63</v>
      </c>
      <c r="S76" t="b">
        <v>0</v>
      </c>
      <c r="T76" t="b">
        <v>0</v>
      </c>
      <c r="U76" t="s">
        <v>379</v>
      </c>
      <c r="V76" t="s">
        <v>94</v>
      </c>
      <c r="W76" t="s">
        <v>65</v>
      </c>
      <c r="X76" t="s">
        <v>363</v>
      </c>
      <c r="Y76" t="s">
        <v>364</v>
      </c>
      <c r="Z76" t="s">
        <v>70</v>
      </c>
      <c r="AA76" t="b">
        <f>ISNUMBER(SEARCH(";"&amp;Lessons[[#This Row],[Instrument__c]]&amp;";",";"&amp;_xlfn.XLOOKUP(Lessons[[#This Row],[Instructor_External_Id__c]], Instructors[Id], Instructors[Instruments_Taught__c])&amp;";"))</f>
        <v>1</v>
      </c>
      <c r="AB76" t="str">
        <f>IF(LEFT(Lessons[[#This Row],[Status__c]],9)="Cancelled","",Lessons[[#This Row],[Instructor_External_Id__c]]&amp;"|"&amp;TEXT(Lessons[[#This Row],[Lesson_Date__c]],"yyyy-mm-dd")&amp;"|"&amp;Lessons[[#This Row],[Start_Time__c]])</f>
        <v>a06ak00000amzBiAAI|2026-06-28|19:00:00.000Z</v>
      </c>
      <c r="AC76">
        <f>IF(Lessons[[#This Row],[Double Booked Key]]="","",COUNTIF(Lessons[Double Booked Key],Lessons[[#This Row],[Double Booked Key]]))</f>
        <v>1</v>
      </c>
      <c r="AD76" s="6" t="str">
        <f>_xlfn.XLOOKUP(Lessons[[#This Row],[Location_External_Id__c]], Locations[Location Id], Locations[Location Name])</f>
        <v>Red Bank</v>
      </c>
      <c r="AE76" s="6" t="str">
        <f>TEXT(Lessons[[#This Row],[Lesson_Date__c]], "yyyy-mm")</f>
        <v>2026-06</v>
      </c>
      <c r="AF76" s="6" t="str">
        <f>IF(Lessons[[#This Row],[Lesson_Date__c]]&lt;=Data_Audit!$F$1, "Yes", "No")</f>
        <v>Yes</v>
      </c>
    </row>
    <row r="77" spans="1:32">
      <c r="A77" t="s">
        <v>52</v>
      </c>
      <c r="B77" t="s">
        <v>53</v>
      </c>
      <c r="C77">
        <v>60</v>
      </c>
      <c r="D77" t="s">
        <v>380</v>
      </c>
      <c r="E77" t="s">
        <v>359</v>
      </c>
      <c r="F77" t="s">
        <v>360</v>
      </c>
      <c r="G77" t="s">
        <v>106</v>
      </c>
      <c r="H77" t="s">
        <v>78</v>
      </c>
      <c r="I77" t="b">
        <v>0</v>
      </c>
      <c r="K77" t="s">
        <v>52</v>
      </c>
      <c r="L77" t="s">
        <v>70</v>
      </c>
      <c r="M77" t="s">
        <v>264</v>
      </c>
      <c r="N77" t="s">
        <v>264</v>
      </c>
      <c r="O77" s="1">
        <v>46285</v>
      </c>
      <c r="P77" t="s">
        <v>381</v>
      </c>
      <c r="Q77" t="s">
        <v>382</v>
      </c>
      <c r="R77" t="s">
        <v>63</v>
      </c>
      <c r="S77" t="b">
        <v>0</v>
      </c>
      <c r="T77" t="b">
        <v>0</v>
      </c>
      <c r="U77" t="s">
        <v>382</v>
      </c>
      <c r="V77" t="s">
        <v>84</v>
      </c>
      <c r="W77" t="s">
        <v>65</v>
      </c>
      <c r="X77" t="s">
        <v>363</v>
      </c>
      <c r="Y77" t="s">
        <v>364</v>
      </c>
      <c r="Z77" t="s">
        <v>70</v>
      </c>
      <c r="AA77" t="b">
        <f>ISNUMBER(SEARCH(";"&amp;Lessons[[#This Row],[Instrument__c]]&amp;";",";"&amp;_xlfn.XLOOKUP(Lessons[[#This Row],[Instructor_External_Id__c]], Instructors[Id], Instructors[Instruments_Taught__c])&amp;";"))</f>
        <v>1</v>
      </c>
      <c r="AB77" t="str">
        <f>IF(LEFT(Lessons[[#This Row],[Status__c]],9)="Cancelled","",Lessons[[#This Row],[Instructor_External_Id__c]]&amp;"|"&amp;TEXT(Lessons[[#This Row],[Lesson_Date__c]],"yyyy-mm-dd")&amp;"|"&amp;Lessons[[#This Row],[Start_Time__c]])</f>
        <v>a06ak00000amzBiAAI|2026-09-20|17:00:00.000Z</v>
      </c>
      <c r="AC77">
        <f>IF(Lessons[[#This Row],[Double Booked Key]]="","",COUNTIF(Lessons[Double Booked Key],Lessons[[#This Row],[Double Booked Key]]))</f>
        <v>1</v>
      </c>
      <c r="AD77" s="6" t="str">
        <f>_xlfn.XLOOKUP(Lessons[[#This Row],[Location_External_Id__c]], Locations[Location Id], Locations[Location Name])</f>
        <v>Red Bank</v>
      </c>
      <c r="AE77" s="6" t="str">
        <f>TEXT(Lessons[[#This Row],[Lesson_Date__c]], "yyyy-mm")</f>
        <v>2026-09</v>
      </c>
      <c r="AF77" s="6" t="str">
        <f>IF(Lessons[[#This Row],[Lesson_Date__c]]&lt;=Data_Audit!$F$1, "Yes", "No")</f>
        <v>Yes</v>
      </c>
    </row>
    <row r="78" spans="1:32">
      <c r="A78" t="s">
        <v>52</v>
      </c>
      <c r="B78" t="s">
        <v>53</v>
      </c>
      <c r="C78">
        <v>30</v>
      </c>
      <c r="D78" t="s">
        <v>383</v>
      </c>
      <c r="E78" t="s">
        <v>359</v>
      </c>
      <c r="F78" t="s">
        <v>360</v>
      </c>
      <c r="G78" t="s">
        <v>99</v>
      </c>
      <c r="H78" t="s">
        <v>78</v>
      </c>
      <c r="I78" t="b">
        <v>0</v>
      </c>
      <c r="K78" t="s">
        <v>52</v>
      </c>
      <c r="L78" t="s">
        <v>70</v>
      </c>
      <c r="M78" t="s">
        <v>264</v>
      </c>
      <c r="N78" t="s">
        <v>264</v>
      </c>
      <c r="O78" s="1">
        <v>46264</v>
      </c>
      <c r="P78" t="s">
        <v>384</v>
      </c>
      <c r="Q78" t="s">
        <v>385</v>
      </c>
      <c r="R78" t="s">
        <v>63</v>
      </c>
      <c r="S78" t="b">
        <v>0</v>
      </c>
      <c r="T78" t="b">
        <v>0</v>
      </c>
      <c r="U78" t="s">
        <v>385</v>
      </c>
      <c r="V78" t="s">
        <v>116</v>
      </c>
      <c r="W78" t="s">
        <v>65</v>
      </c>
      <c r="X78" t="s">
        <v>363</v>
      </c>
      <c r="Y78" t="s">
        <v>364</v>
      </c>
      <c r="Z78" t="s">
        <v>70</v>
      </c>
      <c r="AA78" t="b">
        <f>ISNUMBER(SEARCH(";"&amp;Lessons[[#This Row],[Instrument__c]]&amp;";",";"&amp;_xlfn.XLOOKUP(Lessons[[#This Row],[Instructor_External_Id__c]], Instructors[Id], Instructors[Instruments_Taught__c])&amp;";"))</f>
        <v>1</v>
      </c>
      <c r="AB78" t="str">
        <f>IF(LEFT(Lessons[[#This Row],[Status__c]],9)="Cancelled","",Lessons[[#This Row],[Instructor_External_Id__c]]&amp;"|"&amp;TEXT(Lessons[[#This Row],[Lesson_Date__c]],"yyyy-mm-dd")&amp;"|"&amp;Lessons[[#This Row],[Start_Time__c]])</f>
        <v>a06ak00000amzBiAAI|2026-08-30|17:30:00.000Z</v>
      </c>
      <c r="AC78">
        <f>IF(Lessons[[#This Row],[Double Booked Key]]="","",COUNTIF(Lessons[Double Booked Key],Lessons[[#This Row],[Double Booked Key]]))</f>
        <v>1</v>
      </c>
      <c r="AD78" s="6" t="str">
        <f>_xlfn.XLOOKUP(Lessons[[#This Row],[Location_External_Id__c]], Locations[Location Id], Locations[Location Name])</f>
        <v>Red Bank</v>
      </c>
      <c r="AE78" s="6" t="str">
        <f>TEXT(Lessons[[#This Row],[Lesson_Date__c]], "yyyy-mm")</f>
        <v>2026-08</v>
      </c>
      <c r="AF78" s="6" t="str">
        <f>IF(Lessons[[#This Row],[Lesson_Date__c]]&lt;=Data_Audit!$F$1, "Yes", "No")</f>
        <v>Yes</v>
      </c>
    </row>
    <row r="79" spans="1:32">
      <c r="A79" t="s">
        <v>52</v>
      </c>
      <c r="B79" t="s">
        <v>53</v>
      </c>
      <c r="C79">
        <v>60</v>
      </c>
      <c r="D79" t="s">
        <v>386</v>
      </c>
      <c r="E79" t="s">
        <v>359</v>
      </c>
      <c r="F79" t="s">
        <v>360</v>
      </c>
      <c r="G79" t="s">
        <v>69</v>
      </c>
      <c r="H79" t="s">
        <v>78</v>
      </c>
      <c r="I79" t="b">
        <v>0</v>
      </c>
      <c r="K79" t="s">
        <v>52</v>
      </c>
      <c r="L79" t="s">
        <v>70</v>
      </c>
      <c r="M79" t="s">
        <v>264</v>
      </c>
      <c r="N79" t="s">
        <v>264</v>
      </c>
      <c r="O79" s="1">
        <v>46225</v>
      </c>
      <c r="P79" t="s">
        <v>387</v>
      </c>
      <c r="Q79" t="s">
        <v>388</v>
      </c>
      <c r="R79" t="s">
        <v>63</v>
      </c>
      <c r="S79" t="b">
        <v>0</v>
      </c>
      <c r="T79" t="b">
        <v>0</v>
      </c>
      <c r="U79" t="s">
        <v>388</v>
      </c>
      <c r="V79" t="s">
        <v>135</v>
      </c>
      <c r="W79" t="s">
        <v>65</v>
      </c>
      <c r="X79" t="s">
        <v>363</v>
      </c>
      <c r="Y79" t="s">
        <v>364</v>
      </c>
      <c r="Z79" t="s">
        <v>70</v>
      </c>
      <c r="AA79" t="b">
        <f>ISNUMBER(SEARCH(";"&amp;Lessons[[#This Row],[Instrument__c]]&amp;";",";"&amp;_xlfn.XLOOKUP(Lessons[[#This Row],[Instructor_External_Id__c]], Instructors[Id], Instructors[Instruments_Taught__c])&amp;";"))</f>
        <v>1</v>
      </c>
      <c r="AB79" t="str">
        <f>IF(LEFT(Lessons[[#This Row],[Status__c]],9)="Cancelled","",Lessons[[#This Row],[Instructor_External_Id__c]]&amp;"|"&amp;TEXT(Lessons[[#This Row],[Lesson_Date__c]],"yyyy-mm-dd")&amp;"|"&amp;Lessons[[#This Row],[Start_Time__c]])</f>
        <v>a06ak00000amzBiAAI|2026-07-22|15:30:00.000Z</v>
      </c>
      <c r="AC79">
        <f>IF(Lessons[[#This Row],[Double Booked Key]]="","",COUNTIF(Lessons[Double Booked Key],Lessons[[#This Row],[Double Booked Key]]))</f>
        <v>1</v>
      </c>
      <c r="AD79" s="6" t="str">
        <f>_xlfn.XLOOKUP(Lessons[[#This Row],[Location_External_Id__c]], Locations[Location Id], Locations[Location Name])</f>
        <v>Red Bank</v>
      </c>
      <c r="AE79" s="6" t="str">
        <f>TEXT(Lessons[[#This Row],[Lesson_Date__c]], "yyyy-mm")</f>
        <v>2026-07</v>
      </c>
      <c r="AF79" s="6" t="str">
        <f>IF(Lessons[[#This Row],[Lesson_Date__c]]&lt;=Data_Audit!$F$1, "Yes", "No")</f>
        <v>Yes</v>
      </c>
    </row>
    <row r="80" spans="1:32">
      <c r="A80" t="s">
        <v>52</v>
      </c>
      <c r="B80" t="s">
        <v>53</v>
      </c>
      <c r="C80">
        <v>30</v>
      </c>
      <c r="D80" t="s">
        <v>389</v>
      </c>
      <c r="E80" t="s">
        <v>390</v>
      </c>
      <c r="F80" t="s">
        <v>391</v>
      </c>
      <c r="H80" t="s">
        <v>392</v>
      </c>
      <c r="I80" t="b">
        <v>0</v>
      </c>
      <c r="K80" t="s">
        <v>52</v>
      </c>
      <c r="L80" t="s">
        <v>70</v>
      </c>
      <c r="M80" t="s">
        <v>264</v>
      </c>
      <c r="N80" t="s">
        <v>264</v>
      </c>
      <c r="O80" s="1">
        <v>46225</v>
      </c>
      <c r="P80" t="s">
        <v>393</v>
      </c>
      <c r="Q80" t="s">
        <v>394</v>
      </c>
      <c r="R80" t="s">
        <v>83</v>
      </c>
      <c r="S80" t="b">
        <v>0</v>
      </c>
      <c r="T80" t="b">
        <v>0</v>
      </c>
      <c r="U80" t="s">
        <v>394</v>
      </c>
      <c r="V80" t="s">
        <v>84</v>
      </c>
      <c r="W80" t="s">
        <v>85</v>
      </c>
      <c r="X80" t="s">
        <v>395</v>
      </c>
      <c r="Y80" t="s">
        <v>396</v>
      </c>
      <c r="Z80" t="s">
        <v>70</v>
      </c>
      <c r="AA80" t="b">
        <f>ISNUMBER(SEARCH(";"&amp;Lessons[[#This Row],[Instrument__c]]&amp;";",";"&amp;_xlfn.XLOOKUP(Lessons[[#This Row],[Instructor_External_Id__c]], Instructors[Id], Instructors[Instruments_Taught__c])&amp;";"))</f>
        <v>1</v>
      </c>
      <c r="AB80" t="str">
        <f>IF(LEFT(Lessons[[#This Row],[Status__c]],9)="Cancelled","",Lessons[[#This Row],[Instructor_External_Id__c]]&amp;"|"&amp;TEXT(Lessons[[#This Row],[Lesson_Date__c]],"yyyy-mm-dd")&amp;"|"&amp;Lessons[[#This Row],[Start_Time__c]])</f>
        <v/>
      </c>
      <c r="AC80" t="str">
        <f>IF(Lessons[[#This Row],[Double Booked Key]]="","",COUNTIF(Lessons[Double Booked Key],Lessons[[#This Row],[Double Booked Key]]))</f>
        <v/>
      </c>
      <c r="AD80" s="6" t="str">
        <f>_xlfn.XLOOKUP(Lessons[[#This Row],[Location_External_Id__c]], Locations[Location Id], Locations[Location Name])</f>
        <v>Brick</v>
      </c>
      <c r="AE80" s="6" t="str">
        <f>TEXT(Lessons[[#This Row],[Lesson_Date__c]], "yyyy-mm")</f>
        <v>2026-07</v>
      </c>
      <c r="AF80" s="6" t="str">
        <f>IF(Lessons[[#This Row],[Lesson_Date__c]]&lt;=Data_Audit!$F$1, "Yes", "No")</f>
        <v>Yes</v>
      </c>
    </row>
    <row r="81" spans="1:32">
      <c r="A81" t="s">
        <v>52</v>
      </c>
      <c r="B81" t="s">
        <v>53</v>
      </c>
      <c r="C81">
        <v>30</v>
      </c>
      <c r="D81" t="s">
        <v>397</v>
      </c>
      <c r="E81" t="s">
        <v>390</v>
      </c>
      <c r="F81" t="s">
        <v>391</v>
      </c>
      <c r="G81" t="s">
        <v>106</v>
      </c>
      <c r="H81" t="s">
        <v>392</v>
      </c>
      <c r="I81" t="b">
        <v>0</v>
      </c>
      <c r="K81" t="s">
        <v>52</v>
      </c>
      <c r="L81" t="s">
        <v>70</v>
      </c>
      <c r="M81" t="s">
        <v>264</v>
      </c>
      <c r="N81" t="s">
        <v>264</v>
      </c>
      <c r="O81" s="1">
        <v>46224</v>
      </c>
      <c r="P81" t="s">
        <v>398</v>
      </c>
      <c r="Q81" t="s">
        <v>399</v>
      </c>
      <c r="R81" t="s">
        <v>83</v>
      </c>
      <c r="S81" t="b">
        <v>0</v>
      </c>
      <c r="T81" t="b">
        <v>0</v>
      </c>
      <c r="U81" t="s">
        <v>399</v>
      </c>
      <c r="V81" t="s">
        <v>116</v>
      </c>
      <c r="W81" t="s">
        <v>65</v>
      </c>
      <c r="X81" t="s">
        <v>395</v>
      </c>
      <c r="Y81" t="s">
        <v>396</v>
      </c>
      <c r="Z81" t="s">
        <v>70</v>
      </c>
      <c r="AA81" t="b">
        <f>ISNUMBER(SEARCH(";"&amp;Lessons[[#This Row],[Instrument__c]]&amp;";",";"&amp;_xlfn.XLOOKUP(Lessons[[#This Row],[Instructor_External_Id__c]], Instructors[Id], Instructors[Instruments_Taught__c])&amp;";"))</f>
        <v>1</v>
      </c>
      <c r="AB81" t="str">
        <f>IF(LEFT(Lessons[[#This Row],[Status__c]],9)="Cancelled","",Lessons[[#This Row],[Instructor_External_Id__c]]&amp;"|"&amp;TEXT(Lessons[[#This Row],[Lesson_Date__c]],"yyyy-mm-dd")&amp;"|"&amp;Lessons[[#This Row],[Start_Time__c]])</f>
        <v>a06ak00000amzBpAAI|2026-07-21|17:30:00.000Z</v>
      </c>
      <c r="AC81">
        <f>IF(Lessons[[#This Row],[Double Booked Key]]="","",COUNTIF(Lessons[Double Booked Key],Lessons[[#This Row],[Double Booked Key]]))</f>
        <v>1</v>
      </c>
      <c r="AD81" s="6" t="str">
        <f>_xlfn.XLOOKUP(Lessons[[#This Row],[Location_External_Id__c]], Locations[Location Id], Locations[Location Name])</f>
        <v>Brick</v>
      </c>
      <c r="AE81" s="6" t="str">
        <f>TEXT(Lessons[[#This Row],[Lesson_Date__c]], "yyyy-mm")</f>
        <v>2026-07</v>
      </c>
      <c r="AF81" s="6" t="str">
        <f>IF(Lessons[[#This Row],[Lesson_Date__c]]&lt;=Data_Audit!$F$1, "Yes", "No")</f>
        <v>Yes</v>
      </c>
    </row>
    <row r="82" spans="1:32">
      <c r="A82" t="s">
        <v>52</v>
      </c>
      <c r="B82" t="s">
        <v>53</v>
      </c>
      <c r="C82">
        <v>30</v>
      </c>
      <c r="D82" t="s">
        <v>400</v>
      </c>
      <c r="E82" t="s">
        <v>401</v>
      </c>
      <c r="F82" t="s">
        <v>402</v>
      </c>
      <c r="G82" t="s">
        <v>99</v>
      </c>
      <c r="H82" t="s">
        <v>263</v>
      </c>
      <c r="I82" t="b">
        <v>0</v>
      </c>
      <c r="K82" t="s">
        <v>52</v>
      </c>
      <c r="L82" t="s">
        <v>70</v>
      </c>
      <c r="M82" t="s">
        <v>264</v>
      </c>
      <c r="N82" t="s">
        <v>264</v>
      </c>
      <c r="O82" s="1">
        <v>46196</v>
      </c>
      <c r="P82" t="s">
        <v>403</v>
      </c>
      <c r="Q82" t="s">
        <v>404</v>
      </c>
      <c r="R82" t="s">
        <v>150</v>
      </c>
      <c r="S82" t="b">
        <v>0</v>
      </c>
      <c r="T82" t="b">
        <v>0</v>
      </c>
      <c r="U82" t="s">
        <v>404</v>
      </c>
      <c r="V82" t="s">
        <v>74</v>
      </c>
      <c r="W82" t="s">
        <v>65</v>
      </c>
      <c r="X82" t="s">
        <v>405</v>
      </c>
      <c r="Y82" t="s">
        <v>406</v>
      </c>
      <c r="Z82" t="s">
        <v>70</v>
      </c>
      <c r="AA82" t="b">
        <f>ISNUMBER(SEARCH(";"&amp;Lessons[[#This Row],[Instrument__c]]&amp;";",";"&amp;_xlfn.XLOOKUP(Lessons[[#This Row],[Instructor_External_Id__c]], Instructors[Id], Instructors[Instruments_Taught__c])&amp;";"))</f>
        <v>1</v>
      </c>
      <c r="AB82" t="str">
        <f>IF(LEFT(Lessons[[#This Row],[Status__c]],9)="Cancelled","",Lessons[[#This Row],[Instructor_External_Id__c]]&amp;"|"&amp;TEXT(Lessons[[#This Row],[Lesson_Date__c]],"yyyy-mm-dd")&amp;"|"&amp;Lessons[[#This Row],[Start_Time__c]])</f>
        <v>a06ak00000amzBfAAI|2026-06-23|16:30:00.000Z</v>
      </c>
      <c r="AC82">
        <f>IF(Lessons[[#This Row],[Double Booked Key]]="","",COUNTIF(Lessons[Double Booked Key],Lessons[[#This Row],[Double Booked Key]]))</f>
        <v>1</v>
      </c>
      <c r="AD82" s="6" t="str">
        <f>_xlfn.XLOOKUP(Lessons[[#This Row],[Location_External_Id__c]], Locations[Location Id], Locations[Location Name])</f>
        <v>Toms River</v>
      </c>
      <c r="AE82" s="6" t="str">
        <f>TEXT(Lessons[[#This Row],[Lesson_Date__c]], "yyyy-mm")</f>
        <v>2026-06</v>
      </c>
      <c r="AF82" s="6" t="str">
        <f>IF(Lessons[[#This Row],[Lesson_Date__c]]&lt;=Data_Audit!$F$1, "Yes", "No")</f>
        <v>Yes</v>
      </c>
    </row>
    <row r="83" spans="1:32">
      <c r="A83" t="s">
        <v>52</v>
      </c>
      <c r="B83" t="s">
        <v>53</v>
      </c>
      <c r="C83">
        <v>30</v>
      </c>
      <c r="D83" t="s">
        <v>407</v>
      </c>
      <c r="E83" t="s">
        <v>401</v>
      </c>
      <c r="F83" t="s">
        <v>402</v>
      </c>
      <c r="G83" t="s">
        <v>69</v>
      </c>
      <c r="H83" t="s">
        <v>263</v>
      </c>
      <c r="I83" t="b">
        <v>0</v>
      </c>
      <c r="K83" t="s">
        <v>52</v>
      </c>
      <c r="L83" t="s">
        <v>70</v>
      </c>
      <c r="M83" t="s">
        <v>264</v>
      </c>
      <c r="N83" t="s">
        <v>264</v>
      </c>
      <c r="O83" s="1">
        <v>46123</v>
      </c>
      <c r="P83" t="s">
        <v>408</v>
      </c>
      <c r="Q83" t="s">
        <v>409</v>
      </c>
      <c r="R83" t="s">
        <v>150</v>
      </c>
      <c r="S83" t="b">
        <v>0</v>
      </c>
      <c r="T83" t="b">
        <v>0</v>
      </c>
      <c r="U83" t="s">
        <v>409</v>
      </c>
      <c r="V83" t="s">
        <v>102</v>
      </c>
      <c r="W83" t="s">
        <v>65</v>
      </c>
      <c r="X83" t="s">
        <v>405</v>
      </c>
      <c r="Y83" t="s">
        <v>406</v>
      </c>
      <c r="Z83" t="s">
        <v>70</v>
      </c>
      <c r="AA83" t="b">
        <f>ISNUMBER(SEARCH(";"&amp;Lessons[[#This Row],[Instrument__c]]&amp;";",";"&amp;_xlfn.XLOOKUP(Lessons[[#This Row],[Instructor_External_Id__c]], Instructors[Id], Instructors[Instruments_Taught__c])&amp;";"))</f>
        <v>1</v>
      </c>
      <c r="AB83" t="str">
        <f>IF(LEFT(Lessons[[#This Row],[Status__c]],9)="Cancelled","",Lessons[[#This Row],[Instructor_External_Id__c]]&amp;"|"&amp;TEXT(Lessons[[#This Row],[Lesson_Date__c]],"yyyy-mm-dd")&amp;"|"&amp;Lessons[[#This Row],[Start_Time__c]])</f>
        <v>a06ak00000amzBfAAI|2026-04-11|16:00:00.000Z</v>
      </c>
      <c r="AC83">
        <f>IF(Lessons[[#This Row],[Double Booked Key]]="","",COUNTIF(Lessons[Double Booked Key],Lessons[[#This Row],[Double Booked Key]]))</f>
        <v>1</v>
      </c>
      <c r="AD83" s="6" t="str">
        <f>_xlfn.XLOOKUP(Lessons[[#This Row],[Location_External_Id__c]], Locations[Location Id], Locations[Location Name])</f>
        <v>Toms River</v>
      </c>
      <c r="AE83" s="6" t="str">
        <f>TEXT(Lessons[[#This Row],[Lesson_Date__c]], "yyyy-mm")</f>
        <v>2026-04</v>
      </c>
      <c r="AF83" s="6" t="str">
        <f>IF(Lessons[[#This Row],[Lesson_Date__c]]&lt;=Data_Audit!$F$1, "Yes", "No")</f>
        <v>Yes</v>
      </c>
    </row>
    <row r="84" spans="1:32">
      <c r="A84" t="s">
        <v>52</v>
      </c>
      <c r="B84" t="s">
        <v>53</v>
      </c>
      <c r="C84">
        <v>60</v>
      </c>
      <c r="D84" t="s">
        <v>410</v>
      </c>
      <c r="E84" t="s">
        <v>401</v>
      </c>
      <c r="F84" t="s">
        <v>402</v>
      </c>
      <c r="G84" t="s">
        <v>99</v>
      </c>
      <c r="H84" t="s">
        <v>263</v>
      </c>
      <c r="I84" t="b">
        <v>0</v>
      </c>
      <c r="K84" t="s">
        <v>52</v>
      </c>
      <c r="L84" t="s">
        <v>70</v>
      </c>
      <c r="M84" t="s">
        <v>264</v>
      </c>
      <c r="N84" t="s">
        <v>264</v>
      </c>
      <c r="O84" s="1">
        <v>46253</v>
      </c>
      <c r="P84" t="s">
        <v>411</v>
      </c>
      <c r="Q84" t="s">
        <v>412</v>
      </c>
      <c r="R84" t="s">
        <v>150</v>
      </c>
      <c r="S84" t="b">
        <v>0</v>
      </c>
      <c r="T84" t="b">
        <v>0</v>
      </c>
      <c r="U84" t="s">
        <v>412</v>
      </c>
      <c r="V84" t="s">
        <v>128</v>
      </c>
      <c r="W84" t="s">
        <v>65</v>
      </c>
      <c r="X84" t="s">
        <v>405</v>
      </c>
      <c r="Y84" t="s">
        <v>406</v>
      </c>
      <c r="Z84" t="s">
        <v>70</v>
      </c>
      <c r="AA84" t="b">
        <f>ISNUMBER(SEARCH(";"&amp;Lessons[[#This Row],[Instrument__c]]&amp;";",";"&amp;_xlfn.XLOOKUP(Lessons[[#This Row],[Instructor_External_Id__c]], Instructors[Id], Instructors[Instruments_Taught__c])&amp;";"))</f>
        <v>1</v>
      </c>
      <c r="AB84" t="str">
        <f>IF(LEFT(Lessons[[#This Row],[Status__c]],9)="Cancelled","",Lessons[[#This Row],[Instructor_External_Id__c]]&amp;"|"&amp;TEXT(Lessons[[#This Row],[Lesson_Date__c]],"yyyy-mm-dd")&amp;"|"&amp;Lessons[[#This Row],[Start_Time__c]])</f>
        <v>a06ak00000amzBfAAI|2026-08-19|18:30:00.000Z</v>
      </c>
      <c r="AC84">
        <f>IF(Lessons[[#This Row],[Double Booked Key]]="","",COUNTIF(Lessons[Double Booked Key],Lessons[[#This Row],[Double Booked Key]]))</f>
        <v>1</v>
      </c>
      <c r="AD84" s="6" t="str">
        <f>_xlfn.XLOOKUP(Lessons[[#This Row],[Location_External_Id__c]], Locations[Location Id], Locations[Location Name])</f>
        <v>Toms River</v>
      </c>
      <c r="AE84" s="6" t="str">
        <f>TEXT(Lessons[[#This Row],[Lesson_Date__c]], "yyyy-mm")</f>
        <v>2026-08</v>
      </c>
      <c r="AF84" s="6" t="str">
        <f>IF(Lessons[[#This Row],[Lesson_Date__c]]&lt;=Data_Audit!$F$1, "Yes", "No")</f>
        <v>Yes</v>
      </c>
    </row>
    <row r="85" spans="1:32">
      <c r="A85" t="s">
        <v>52</v>
      </c>
      <c r="B85" t="s">
        <v>53</v>
      </c>
      <c r="C85">
        <v>45</v>
      </c>
      <c r="D85" t="s">
        <v>413</v>
      </c>
      <c r="E85" t="s">
        <v>235</v>
      </c>
      <c r="F85" t="s">
        <v>236</v>
      </c>
      <c r="H85" t="s">
        <v>237</v>
      </c>
      <c r="I85" t="b">
        <v>0</v>
      </c>
      <c r="K85" t="s">
        <v>52</v>
      </c>
      <c r="L85" t="s">
        <v>171</v>
      </c>
      <c r="M85" t="s">
        <v>264</v>
      </c>
      <c r="N85" t="s">
        <v>264</v>
      </c>
      <c r="O85" s="1">
        <v>46272</v>
      </c>
      <c r="P85" t="s">
        <v>414</v>
      </c>
      <c r="Q85" t="s">
        <v>415</v>
      </c>
      <c r="R85" t="s">
        <v>150</v>
      </c>
      <c r="S85" t="b">
        <v>1</v>
      </c>
      <c r="T85" t="b">
        <v>0</v>
      </c>
      <c r="U85" t="s">
        <v>415</v>
      </c>
      <c r="V85" t="s">
        <v>74</v>
      </c>
      <c r="W85" t="s">
        <v>136</v>
      </c>
      <c r="X85" t="s">
        <v>416</v>
      </c>
      <c r="Y85" t="s">
        <v>417</v>
      </c>
      <c r="Z85" t="s">
        <v>171</v>
      </c>
      <c r="AA85" t="b">
        <f>ISNUMBER(SEARCH(";"&amp;Lessons[[#This Row],[Instrument__c]]&amp;";",";"&amp;_xlfn.XLOOKUP(Lessons[[#This Row],[Instructor_External_Id__c]], Instructors[Id], Instructors[Instruments_Taught__c])&amp;";"))</f>
        <v>1</v>
      </c>
      <c r="AB85" t="str">
        <f>IF(LEFT(Lessons[[#This Row],[Status__c]],9)="Cancelled","",Lessons[[#This Row],[Instructor_External_Id__c]]&amp;"|"&amp;TEXT(Lessons[[#This Row],[Lesson_Date__c]],"yyyy-mm-dd")&amp;"|"&amp;Lessons[[#This Row],[Start_Time__c]])</f>
        <v/>
      </c>
      <c r="AC85" t="str">
        <f>IF(Lessons[[#This Row],[Double Booked Key]]="","",COUNTIF(Lessons[Double Booked Key],Lessons[[#This Row],[Double Booked Key]]))</f>
        <v/>
      </c>
      <c r="AD85" s="6" t="str">
        <f>_xlfn.XLOOKUP(Lessons[[#This Row],[Location_External_Id__c]], Locations[Location Id], Locations[Location Name])</f>
        <v>Toms River</v>
      </c>
      <c r="AE85" s="6" t="str">
        <f>TEXT(Lessons[[#This Row],[Lesson_Date__c]], "yyyy-mm")</f>
        <v>2026-09</v>
      </c>
      <c r="AF85" s="6" t="str">
        <f>IF(Lessons[[#This Row],[Lesson_Date__c]]&lt;=Data_Audit!$F$1, "Yes", "No")</f>
        <v>Yes</v>
      </c>
    </row>
    <row r="86" spans="1:32">
      <c r="A86" t="s">
        <v>52</v>
      </c>
      <c r="B86" t="s">
        <v>53</v>
      </c>
      <c r="C86">
        <v>45</v>
      </c>
      <c r="D86" t="s">
        <v>418</v>
      </c>
      <c r="E86" t="s">
        <v>235</v>
      </c>
      <c r="F86" t="s">
        <v>236</v>
      </c>
      <c r="H86" t="s">
        <v>237</v>
      </c>
      <c r="I86" t="b">
        <v>0</v>
      </c>
      <c r="K86" t="s">
        <v>52</v>
      </c>
      <c r="L86" t="s">
        <v>70</v>
      </c>
      <c r="M86" t="s">
        <v>264</v>
      </c>
      <c r="N86" t="s">
        <v>264</v>
      </c>
      <c r="O86" s="1">
        <v>46065</v>
      </c>
      <c r="P86" t="s">
        <v>419</v>
      </c>
      <c r="Q86" t="s">
        <v>420</v>
      </c>
      <c r="R86" t="s">
        <v>150</v>
      </c>
      <c r="S86" t="b">
        <v>0</v>
      </c>
      <c r="T86" t="b">
        <v>0</v>
      </c>
      <c r="U86" t="s">
        <v>420</v>
      </c>
      <c r="V86" t="s">
        <v>102</v>
      </c>
      <c r="W86" t="s">
        <v>85</v>
      </c>
      <c r="X86" t="s">
        <v>416</v>
      </c>
      <c r="Y86" t="s">
        <v>417</v>
      </c>
      <c r="Z86" t="s">
        <v>70</v>
      </c>
      <c r="AA86" t="b">
        <f>ISNUMBER(SEARCH(";"&amp;Lessons[[#This Row],[Instrument__c]]&amp;";",";"&amp;_xlfn.XLOOKUP(Lessons[[#This Row],[Instructor_External_Id__c]], Instructors[Id], Instructors[Instruments_Taught__c])&amp;";"))</f>
        <v>1</v>
      </c>
      <c r="AB86" t="str">
        <f>IF(LEFT(Lessons[[#This Row],[Status__c]],9)="Cancelled","",Lessons[[#This Row],[Instructor_External_Id__c]]&amp;"|"&amp;TEXT(Lessons[[#This Row],[Lesson_Date__c]],"yyyy-mm-dd")&amp;"|"&amp;Lessons[[#This Row],[Start_Time__c]])</f>
        <v/>
      </c>
      <c r="AC86" t="str">
        <f>IF(Lessons[[#This Row],[Double Booked Key]]="","",COUNTIF(Lessons[Double Booked Key],Lessons[[#This Row],[Double Booked Key]]))</f>
        <v/>
      </c>
      <c r="AD86" s="6" t="str">
        <f>_xlfn.XLOOKUP(Lessons[[#This Row],[Location_External_Id__c]], Locations[Location Id], Locations[Location Name])</f>
        <v>Toms River</v>
      </c>
      <c r="AE86" s="6" t="str">
        <f>TEXT(Lessons[[#This Row],[Lesson_Date__c]], "yyyy-mm")</f>
        <v>2026-02</v>
      </c>
      <c r="AF86" s="6" t="str">
        <f>IF(Lessons[[#This Row],[Lesson_Date__c]]&lt;=Data_Audit!$F$1, "Yes", "No")</f>
        <v>Yes</v>
      </c>
    </row>
    <row r="87" spans="1:32">
      <c r="A87" t="s">
        <v>52</v>
      </c>
      <c r="B87" t="s">
        <v>53</v>
      </c>
      <c r="C87">
        <v>45</v>
      </c>
      <c r="D87" t="s">
        <v>421</v>
      </c>
      <c r="E87" t="s">
        <v>235</v>
      </c>
      <c r="F87" t="s">
        <v>236</v>
      </c>
      <c r="G87" t="s">
        <v>57</v>
      </c>
      <c r="H87" t="s">
        <v>237</v>
      </c>
      <c r="I87" t="b">
        <v>0</v>
      </c>
      <c r="K87" t="s">
        <v>52</v>
      </c>
      <c r="L87" t="s">
        <v>70</v>
      </c>
      <c r="M87" t="s">
        <v>264</v>
      </c>
      <c r="N87" t="s">
        <v>264</v>
      </c>
      <c r="O87" s="1">
        <v>46160</v>
      </c>
      <c r="P87" t="s">
        <v>422</v>
      </c>
      <c r="Q87" t="s">
        <v>423</v>
      </c>
      <c r="R87" t="s">
        <v>150</v>
      </c>
      <c r="S87" t="b">
        <v>0</v>
      </c>
      <c r="T87" t="b">
        <v>0</v>
      </c>
      <c r="U87" t="s">
        <v>423</v>
      </c>
      <c r="V87" t="s">
        <v>110</v>
      </c>
      <c r="W87" t="s">
        <v>65</v>
      </c>
      <c r="X87" t="s">
        <v>416</v>
      </c>
      <c r="Y87" t="s">
        <v>417</v>
      </c>
      <c r="Z87" t="s">
        <v>70</v>
      </c>
      <c r="AA87" t="b">
        <f>ISNUMBER(SEARCH(";"&amp;Lessons[[#This Row],[Instrument__c]]&amp;";",";"&amp;_xlfn.XLOOKUP(Lessons[[#This Row],[Instructor_External_Id__c]], Instructors[Id], Instructors[Instruments_Taught__c])&amp;";"))</f>
        <v>1</v>
      </c>
      <c r="AB87" t="str">
        <f>IF(LEFT(Lessons[[#This Row],[Status__c]],9)="Cancelled","",Lessons[[#This Row],[Instructor_External_Id__c]]&amp;"|"&amp;TEXT(Lessons[[#This Row],[Lesson_Date__c]],"yyyy-mm-dd")&amp;"|"&amp;Lessons[[#This Row],[Start_Time__c]])</f>
        <v>a06ak00000amzC5AAI|2026-05-18|10:00:00.000Z</v>
      </c>
      <c r="AC87">
        <f>IF(Lessons[[#This Row],[Double Booked Key]]="","",COUNTIF(Lessons[Double Booked Key],Lessons[[#This Row],[Double Booked Key]]))</f>
        <v>1</v>
      </c>
      <c r="AD87" s="6" t="str">
        <f>_xlfn.XLOOKUP(Lessons[[#This Row],[Location_External_Id__c]], Locations[Location Id], Locations[Location Name])</f>
        <v>Toms River</v>
      </c>
      <c r="AE87" s="6" t="str">
        <f>TEXT(Lessons[[#This Row],[Lesson_Date__c]], "yyyy-mm")</f>
        <v>2026-05</v>
      </c>
      <c r="AF87" s="6" t="str">
        <f>IF(Lessons[[#This Row],[Lesson_Date__c]]&lt;=Data_Audit!$F$1, "Yes", "No")</f>
        <v>Yes</v>
      </c>
    </row>
    <row r="88" spans="1:32">
      <c r="A88" t="s">
        <v>52</v>
      </c>
      <c r="B88" t="s">
        <v>53</v>
      </c>
      <c r="C88">
        <v>30</v>
      </c>
      <c r="D88" t="s">
        <v>424</v>
      </c>
      <c r="E88" t="s">
        <v>235</v>
      </c>
      <c r="F88" t="s">
        <v>236</v>
      </c>
      <c r="G88" t="s">
        <v>99</v>
      </c>
      <c r="H88" t="s">
        <v>237</v>
      </c>
      <c r="I88" t="b">
        <v>0</v>
      </c>
      <c r="K88" t="s">
        <v>52</v>
      </c>
      <c r="L88" t="s">
        <v>70</v>
      </c>
      <c r="M88" t="s">
        <v>264</v>
      </c>
      <c r="N88" t="s">
        <v>264</v>
      </c>
      <c r="O88" s="1">
        <v>46253</v>
      </c>
      <c r="P88" t="s">
        <v>425</v>
      </c>
      <c r="Q88" t="s">
        <v>426</v>
      </c>
      <c r="R88" t="s">
        <v>150</v>
      </c>
      <c r="S88" t="b">
        <v>0</v>
      </c>
      <c r="T88" t="b">
        <v>0</v>
      </c>
      <c r="U88" t="s">
        <v>426</v>
      </c>
      <c r="V88" t="s">
        <v>102</v>
      </c>
      <c r="W88" t="s">
        <v>65</v>
      </c>
      <c r="X88" t="s">
        <v>416</v>
      </c>
      <c r="Y88" t="s">
        <v>417</v>
      </c>
      <c r="Z88" t="s">
        <v>70</v>
      </c>
      <c r="AA88" t="b">
        <f>ISNUMBER(SEARCH(";"&amp;Lessons[[#This Row],[Instrument__c]]&amp;";",";"&amp;_xlfn.XLOOKUP(Lessons[[#This Row],[Instructor_External_Id__c]], Instructors[Id], Instructors[Instruments_Taught__c])&amp;";"))</f>
        <v>1</v>
      </c>
      <c r="AB88" t="str">
        <f>IF(LEFT(Lessons[[#This Row],[Status__c]],9)="Cancelled","",Lessons[[#This Row],[Instructor_External_Id__c]]&amp;"|"&amp;TEXT(Lessons[[#This Row],[Lesson_Date__c]],"yyyy-mm-dd")&amp;"|"&amp;Lessons[[#This Row],[Start_Time__c]])</f>
        <v>a06ak00000amzC5AAI|2026-08-19|16:00:00.000Z</v>
      </c>
      <c r="AC88">
        <f>IF(Lessons[[#This Row],[Double Booked Key]]="","",COUNTIF(Lessons[Double Booked Key],Lessons[[#This Row],[Double Booked Key]]))</f>
        <v>1</v>
      </c>
      <c r="AD88" s="6" t="str">
        <f>_xlfn.XLOOKUP(Lessons[[#This Row],[Location_External_Id__c]], Locations[Location Id], Locations[Location Name])</f>
        <v>Toms River</v>
      </c>
      <c r="AE88" s="6" t="str">
        <f>TEXT(Lessons[[#This Row],[Lesson_Date__c]], "yyyy-mm")</f>
        <v>2026-08</v>
      </c>
      <c r="AF88" s="6" t="str">
        <f>IF(Lessons[[#This Row],[Lesson_Date__c]]&lt;=Data_Audit!$F$1, "Yes", "No")</f>
        <v>Yes</v>
      </c>
    </row>
    <row r="89" spans="1:32">
      <c r="A89" t="s">
        <v>52</v>
      </c>
      <c r="B89" t="s">
        <v>53</v>
      </c>
      <c r="C89">
        <v>45</v>
      </c>
      <c r="D89" t="s">
        <v>427</v>
      </c>
      <c r="E89" t="s">
        <v>235</v>
      </c>
      <c r="F89" t="s">
        <v>236</v>
      </c>
      <c r="G89" t="s">
        <v>69</v>
      </c>
      <c r="H89" t="s">
        <v>237</v>
      </c>
      <c r="I89" t="b">
        <v>0</v>
      </c>
      <c r="K89" t="s">
        <v>52</v>
      </c>
      <c r="L89" t="s">
        <v>70</v>
      </c>
      <c r="M89" t="s">
        <v>264</v>
      </c>
      <c r="N89" t="s">
        <v>264</v>
      </c>
      <c r="O89" s="1">
        <v>46131</v>
      </c>
      <c r="P89" t="s">
        <v>428</v>
      </c>
      <c r="Q89" t="s">
        <v>429</v>
      </c>
      <c r="R89" t="s">
        <v>150</v>
      </c>
      <c r="S89" t="b">
        <v>0</v>
      </c>
      <c r="T89" t="b">
        <v>0</v>
      </c>
      <c r="U89" t="s">
        <v>429</v>
      </c>
      <c r="V89" t="s">
        <v>102</v>
      </c>
      <c r="W89" t="s">
        <v>65</v>
      </c>
      <c r="X89" t="s">
        <v>416</v>
      </c>
      <c r="Y89" t="s">
        <v>417</v>
      </c>
      <c r="Z89" t="s">
        <v>70</v>
      </c>
      <c r="AA89" t="b">
        <f>ISNUMBER(SEARCH(";"&amp;Lessons[[#This Row],[Instrument__c]]&amp;";",";"&amp;_xlfn.XLOOKUP(Lessons[[#This Row],[Instructor_External_Id__c]], Instructors[Id], Instructors[Instruments_Taught__c])&amp;";"))</f>
        <v>1</v>
      </c>
      <c r="AB89" t="str">
        <f>IF(LEFT(Lessons[[#This Row],[Status__c]],9)="Cancelled","",Lessons[[#This Row],[Instructor_External_Id__c]]&amp;"|"&amp;TEXT(Lessons[[#This Row],[Lesson_Date__c]],"yyyy-mm-dd")&amp;"|"&amp;Lessons[[#This Row],[Start_Time__c]])</f>
        <v>a06ak00000amzC5AAI|2026-04-19|16:00:00.000Z</v>
      </c>
      <c r="AC89">
        <f>IF(Lessons[[#This Row],[Double Booked Key]]="","",COUNTIF(Lessons[Double Booked Key],Lessons[[#This Row],[Double Booked Key]]))</f>
        <v>1</v>
      </c>
      <c r="AD89" s="6" t="str">
        <f>_xlfn.XLOOKUP(Lessons[[#This Row],[Location_External_Id__c]], Locations[Location Id], Locations[Location Name])</f>
        <v>Toms River</v>
      </c>
      <c r="AE89" s="6" t="str">
        <f>TEXT(Lessons[[#This Row],[Lesson_Date__c]], "yyyy-mm")</f>
        <v>2026-04</v>
      </c>
      <c r="AF89" s="6" t="str">
        <f>IF(Lessons[[#This Row],[Lesson_Date__c]]&lt;=Data_Audit!$F$1, "Yes", "No")</f>
        <v>Yes</v>
      </c>
    </row>
    <row r="90" spans="1:32">
      <c r="A90" t="s">
        <v>52</v>
      </c>
      <c r="B90" t="s">
        <v>53</v>
      </c>
      <c r="C90">
        <v>45</v>
      </c>
      <c r="D90" t="s">
        <v>430</v>
      </c>
      <c r="E90" t="s">
        <v>431</v>
      </c>
      <c r="F90" t="s">
        <v>432</v>
      </c>
      <c r="G90" t="s">
        <v>69</v>
      </c>
      <c r="H90" t="s">
        <v>237</v>
      </c>
      <c r="I90" t="b">
        <v>0</v>
      </c>
      <c r="K90" t="s">
        <v>52</v>
      </c>
      <c r="L90" t="s">
        <v>91</v>
      </c>
      <c r="M90" t="s">
        <v>264</v>
      </c>
      <c r="N90" t="s">
        <v>264</v>
      </c>
      <c r="O90" s="1">
        <v>46092</v>
      </c>
      <c r="P90" t="s">
        <v>433</v>
      </c>
      <c r="Q90" t="s">
        <v>434</v>
      </c>
      <c r="R90" t="s">
        <v>150</v>
      </c>
      <c r="S90" t="b">
        <v>0</v>
      </c>
      <c r="T90" t="b">
        <v>0</v>
      </c>
      <c r="U90" t="s">
        <v>434</v>
      </c>
      <c r="V90" t="s">
        <v>74</v>
      </c>
      <c r="W90" t="s">
        <v>95</v>
      </c>
      <c r="X90" t="s">
        <v>416</v>
      </c>
      <c r="Y90" t="s">
        <v>417</v>
      </c>
      <c r="Z90" t="s">
        <v>91</v>
      </c>
      <c r="AA90" t="b">
        <f>ISNUMBER(SEARCH(";"&amp;Lessons[[#This Row],[Instrument__c]]&amp;";",";"&amp;_xlfn.XLOOKUP(Lessons[[#This Row],[Instructor_External_Id__c]], Instructors[Id], Instructors[Instruments_Taught__c])&amp;";"))</f>
        <v>0</v>
      </c>
      <c r="AB90" t="str">
        <f>IF(LEFT(Lessons[[#This Row],[Status__c]],9)="Cancelled","",Lessons[[#This Row],[Instructor_External_Id__c]]&amp;"|"&amp;TEXT(Lessons[[#This Row],[Lesson_Date__c]],"yyyy-mm-dd")&amp;"|"&amp;Lessons[[#This Row],[Start_Time__c]])</f>
        <v>a06ak00000amzCDAAY|2026-03-11|16:30:00.000Z</v>
      </c>
      <c r="AC90">
        <f>IF(Lessons[[#This Row],[Double Booked Key]]="","",COUNTIF(Lessons[Double Booked Key],Lessons[[#This Row],[Double Booked Key]]))</f>
        <v>1</v>
      </c>
      <c r="AD90" s="6" t="str">
        <f>_xlfn.XLOOKUP(Lessons[[#This Row],[Location_External_Id__c]], Locations[Location Id], Locations[Location Name])</f>
        <v>Toms River</v>
      </c>
      <c r="AE90" s="6" t="str">
        <f>TEXT(Lessons[[#This Row],[Lesson_Date__c]], "yyyy-mm")</f>
        <v>2026-03</v>
      </c>
      <c r="AF90" s="6" t="str">
        <f>IF(Lessons[[#This Row],[Lesson_Date__c]]&lt;=Data_Audit!$F$1, "Yes", "No")</f>
        <v>Yes</v>
      </c>
    </row>
    <row r="91" spans="1:32">
      <c r="A91" t="s">
        <v>52</v>
      </c>
      <c r="B91" t="s">
        <v>53</v>
      </c>
      <c r="C91">
        <v>45</v>
      </c>
      <c r="D91" t="s">
        <v>435</v>
      </c>
      <c r="E91" t="s">
        <v>436</v>
      </c>
      <c r="F91" t="s">
        <v>437</v>
      </c>
      <c r="G91" t="s">
        <v>99</v>
      </c>
      <c r="H91" t="s">
        <v>263</v>
      </c>
      <c r="I91" t="b">
        <v>0</v>
      </c>
      <c r="K91" t="s">
        <v>52</v>
      </c>
      <c r="L91" t="s">
        <v>70</v>
      </c>
      <c r="M91" t="s">
        <v>438</v>
      </c>
      <c r="N91" t="s">
        <v>438</v>
      </c>
      <c r="O91" s="1">
        <v>46290</v>
      </c>
      <c r="P91" t="s">
        <v>439</v>
      </c>
      <c r="Q91" t="s">
        <v>440</v>
      </c>
      <c r="R91" t="s">
        <v>63</v>
      </c>
      <c r="S91" t="b">
        <v>0</v>
      </c>
      <c r="T91" t="b">
        <v>0</v>
      </c>
      <c r="U91" t="s">
        <v>440</v>
      </c>
      <c r="V91" t="s">
        <v>102</v>
      </c>
      <c r="W91" t="s">
        <v>65</v>
      </c>
      <c r="X91" t="s">
        <v>441</v>
      </c>
      <c r="Y91" t="s">
        <v>442</v>
      </c>
      <c r="Z91" t="s">
        <v>70</v>
      </c>
      <c r="AA91" t="b">
        <f>ISNUMBER(SEARCH(";"&amp;Lessons[[#This Row],[Instrument__c]]&amp;";",";"&amp;_xlfn.XLOOKUP(Lessons[[#This Row],[Instructor_External_Id__c]], Instructors[Id], Instructors[Instruments_Taught__c])&amp;";"))</f>
        <v>1</v>
      </c>
      <c r="AB91" t="str">
        <f>IF(LEFT(Lessons[[#This Row],[Status__c]],9)="Cancelled","",Lessons[[#This Row],[Instructor_External_Id__c]]&amp;"|"&amp;TEXT(Lessons[[#This Row],[Lesson_Date__c]],"yyyy-mm-dd")&amp;"|"&amp;Lessons[[#This Row],[Start_Time__c]])</f>
        <v>a06ak00000amzC0AAI|2026-09-25|16:00:00.000Z</v>
      </c>
      <c r="AC91">
        <f>IF(Lessons[[#This Row],[Double Booked Key]]="","",COUNTIF(Lessons[Double Booked Key],Lessons[[#This Row],[Double Booked Key]]))</f>
        <v>1</v>
      </c>
      <c r="AD91" s="6" t="str">
        <f>_xlfn.XLOOKUP(Lessons[[#This Row],[Location_External_Id__c]], Locations[Location Id], Locations[Location Name])</f>
        <v>Red Bank</v>
      </c>
      <c r="AE91" s="6" t="str">
        <f>TEXT(Lessons[[#This Row],[Lesson_Date__c]], "yyyy-mm")</f>
        <v>2026-09</v>
      </c>
      <c r="AF91" s="6" t="str">
        <f>IF(Lessons[[#This Row],[Lesson_Date__c]]&lt;=Data_Audit!$F$1, "Yes", "No")</f>
        <v>Yes</v>
      </c>
    </row>
    <row r="92" spans="1:32">
      <c r="A92" t="s">
        <v>52</v>
      </c>
      <c r="B92" t="s">
        <v>53</v>
      </c>
      <c r="C92">
        <v>30</v>
      </c>
      <c r="D92" t="s">
        <v>443</v>
      </c>
      <c r="E92" t="s">
        <v>436</v>
      </c>
      <c r="F92" t="s">
        <v>437</v>
      </c>
      <c r="G92" t="s">
        <v>69</v>
      </c>
      <c r="H92" t="s">
        <v>263</v>
      </c>
      <c r="I92" t="b">
        <v>0</v>
      </c>
      <c r="K92" t="s">
        <v>52</v>
      </c>
      <c r="L92" t="s">
        <v>70</v>
      </c>
      <c r="M92" t="s">
        <v>264</v>
      </c>
      <c r="N92" t="s">
        <v>264</v>
      </c>
      <c r="O92" s="1">
        <v>46050</v>
      </c>
      <c r="P92" t="s">
        <v>444</v>
      </c>
      <c r="Q92" t="s">
        <v>445</v>
      </c>
      <c r="R92" t="s">
        <v>63</v>
      </c>
      <c r="S92" t="b">
        <v>0</v>
      </c>
      <c r="T92" t="b">
        <v>0</v>
      </c>
      <c r="U92" t="s">
        <v>445</v>
      </c>
      <c r="V92" t="s">
        <v>128</v>
      </c>
      <c r="W92" t="s">
        <v>65</v>
      </c>
      <c r="X92" t="s">
        <v>441</v>
      </c>
      <c r="Y92" t="s">
        <v>442</v>
      </c>
      <c r="Z92" t="s">
        <v>70</v>
      </c>
      <c r="AA92" t="b">
        <f>ISNUMBER(SEARCH(";"&amp;Lessons[[#This Row],[Instrument__c]]&amp;";",";"&amp;_xlfn.XLOOKUP(Lessons[[#This Row],[Instructor_External_Id__c]], Instructors[Id], Instructors[Instruments_Taught__c])&amp;";"))</f>
        <v>1</v>
      </c>
      <c r="AB92" t="str">
        <f>IF(LEFT(Lessons[[#This Row],[Status__c]],9)="Cancelled","",Lessons[[#This Row],[Instructor_External_Id__c]]&amp;"|"&amp;TEXT(Lessons[[#This Row],[Lesson_Date__c]],"yyyy-mm-dd")&amp;"|"&amp;Lessons[[#This Row],[Start_Time__c]])</f>
        <v>a06ak00000amzC0AAI|2026-01-28|18:30:00.000Z</v>
      </c>
      <c r="AC92">
        <f>IF(Lessons[[#This Row],[Double Booked Key]]="","",COUNTIF(Lessons[Double Booked Key],Lessons[[#This Row],[Double Booked Key]]))</f>
        <v>1</v>
      </c>
      <c r="AD92" s="6" t="str">
        <f>_xlfn.XLOOKUP(Lessons[[#This Row],[Location_External_Id__c]], Locations[Location Id], Locations[Location Name])</f>
        <v>Red Bank</v>
      </c>
      <c r="AE92" s="6" t="str">
        <f>TEXT(Lessons[[#This Row],[Lesson_Date__c]], "yyyy-mm")</f>
        <v>2026-01</v>
      </c>
      <c r="AF92" s="6" t="str">
        <f>IF(Lessons[[#This Row],[Lesson_Date__c]]&lt;=Data_Audit!$F$1, "Yes", "No")</f>
        <v>Yes</v>
      </c>
    </row>
    <row r="93" spans="1:32">
      <c r="A93" t="s">
        <v>52</v>
      </c>
      <c r="B93" t="s">
        <v>53</v>
      </c>
      <c r="C93">
        <v>30</v>
      </c>
      <c r="D93" t="s">
        <v>446</v>
      </c>
      <c r="E93" t="s">
        <v>436</v>
      </c>
      <c r="F93" t="s">
        <v>437</v>
      </c>
      <c r="G93" t="s">
        <v>164</v>
      </c>
      <c r="H93" t="s">
        <v>263</v>
      </c>
      <c r="I93" t="b">
        <v>0</v>
      </c>
      <c r="K93" t="s">
        <v>52</v>
      </c>
      <c r="L93" t="s">
        <v>70</v>
      </c>
      <c r="M93" t="s">
        <v>264</v>
      </c>
      <c r="N93" t="s">
        <v>264</v>
      </c>
      <c r="O93" s="1">
        <v>46040</v>
      </c>
      <c r="P93" t="s">
        <v>447</v>
      </c>
      <c r="Q93" t="s">
        <v>448</v>
      </c>
      <c r="R93" t="s">
        <v>63</v>
      </c>
      <c r="S93" t="b">
        <v>0</v>
      </c>
      <c r="T93" t="b">
        <v>0</v>
      </c>
      <c r="U93" t="s">
        <v>448</v>
      </c>
      <c r="V93" t="s">
        <v>94</v>
      </c>
      <c r="W93" t="s">
        <v>65</v>
      </c>
      <c r="X93" t="s">
        <v>441</v>
      </c>
      <c r="Y93" t="s">
        <v>442</v>
      </c>
      <c r="Z93" t="s">
        <v>70</v>
      </c>
      <c r="AA93" t="b">
        <f>ISNUMBER(SEARCH(";"&amp;Lessons[[#This Row],[Instrument__c]]&amp;";",";"&amp;_xlfn.XLOOKUP(Lessons[[#This Row],[Instructor_External_Id__c]], Instructors[Id], Instructors[Instruments_Taught__c])&amp;";"))</f>
        <v>1</v>
      </c>
      <c r="AB93" t="str">
        <f>IF(LEFT(Lessons[[#This Row],[Status__c]],9)="Cancelled","",Lessons[[#This Row],[Instructor_External_Id__c]]&amp;"|"&amp;TEXT(Lessons[[#This Row],[Lesson_Date__c]],"yyyy-mm-dd")&amp;"|"&amp;Lessons[[#This Row],[Start_Time__c]])</f>
        <v>a06ak00000amzC0AAI|2026-01-18|19:00:00.000Z</v>
      </c>
      <c r="AC93">
        <f>IF(Lessons[[#This Row],[Double Booked Key]]="","",COUNTIF(Lessons[Double Booked Key],Lessons[[#This Row],[Double Booked Key]]))</f>
        <v>1</v>
      </c>
      <c r="AD93" s="6" t="str">
        <f>_xlfn.XLOOKUP(Lessons[[#This Row],[Location_External_Id__c]], Locations[Location Id], Locations[Location Name])</f>
        <v>Red Bank</v>
      </c>
      <c r="AE93" s="6" t="str">
        <f>TEXT(Lessons[[#This Row],[Lesson_Date__c]], "yyyy-mm")</f>
        <v>2026-01</v>
      </c>
      <c r="AF93" s="6" t="str">
        <f>IF(Lessons[[#This Row],[Lesson_Date__c]]&lt;=Data_Audit!$F$1, "Yes", "No")</f>
        <v>Yes</v>
      </c>
    </row>
    <row r="94" spans="1:32">
      <c r="A94" t="s">
        <v>52</v>
      </c>
      <c r="B94" t="s">
        <v>53</v>
      </c>
      <c r="C94">
        <v>30</v>
      </c>
      <c r="D94" t="s">
        <v>449</v>
      </c>
      <c r="E94" t="s">
        <v>436</v>
      </c>
      <c r="F94" t="s">
        <v>437</v>
      </c>
      <c r="G94" t="s">
        <v>69</v>
      </c>
      <c r="H94" t="s">
        <v>263</v>
      </c>
      <c r="I94" t="b">
        <v>0</v>
      </c>
      <c r="K94" t="s">
        <v>52</v>
      </c>
      <c r="L94" t="s">
        <v>70</v>
      </c>
      <c r="M94" t="s">
        <v>264</v>
      </c>
      <c r="N94" t="s">
        <v>264</v>
      </c>
      <c r="O94" s="1">
        <v>46256</v>
      </c>
      <c r="P94" t="s">
        <v>450</v>
      </c>
      <c r="Q94" t="s">
        <v>451</v>
      </c>
      <c r="R94" t="s">
        <v>63</v>
      </c>
      <c r="S94" t="b">
        <v>0</v>
      </c>
      <c r="T94" t="b">
        <v>0</v>
      </c>
      <c r="U94" t="s">
        <v>451</v>
      </c>
      <c r="V94" t="s">
        <v>74</v>
      </c>
      <c r="W94" t="s">
        <v>65</v>
      </c>
      <c r="X94" t="s">
        <v>441</v>
      </c>
      <c r="Y94" t="s">
        <v>442</v>
      </c>
      <c r="Z94" t="s">
        <v>70</v>
      </c>
      <c r="AA94" t="b">
        <f>ISNUMBER(SEARCH(";"&amp;Lessons[[#This Row],[Instrument__c]]&amp;";",";"&amp;_xlfn.XLOOKUP(Lessons[[#This Row],[Instructor_External_Id__c]], Instructors[Id], Instructors[Instruments_Taught__c])&amp;";"))</f>
        <v>1</v>
      </c>
      <c r="AB94" t="str">
        <f>IF(LEFT(Lessons[[#This Row],[Status__c]],9)="Cancelled","",Lessons[[#This Row],[Instructor_External_Id__c]]&amp;"|"&amp;TEXT(Lessons[[#This Row],[Lesson_Date__c]],"yyyy-mm-dd")&amp;"|"&amp;Lessons[[#This Row],[Start_Time__c]])</f>
        <v>a06ak00000amzC0AAI|2026-08-22|16:30:00.000Z</v>
      </c>
      <c r="AC94">
        <f>IF(Lessons[[#This Row],[Double Booked Key]]="","",COUNTIF(Lessons[Double Booked Key],Lessons[[#This Row],[Double Booked Key]]))</f>
        <v>1</v>
      </c>
      <c r="AD94" s="6" t="str">
        <f>_xlfn.XLOOKUP(Lessons[[#This Row],[Location_External_Id__c]], Locations[Location Id], Locations[Location Name])</f>
        <v>Red Bank</v>
      </c>
      <c r="AE94" s="6" t="str">
        <f>TEXT(Lessons[[#This Row],[Lesson_Date__c]], "yyyy-mm")</f>
        <v>2026-08</v>
      </c>
      <c r="AF94" s="6" t="str">
        <f>IF(Lessons[[#This Row],[Lesson_Date__c]]&lt;=Data_Audit!$F$1, "Yes", "No")</f>
        <v>Yes</v>
      </c>
    </row>
    <row r="95" spans="1:32">
      <c r="A95" t="s">
        <v>52</v>
      </c>
      <c r="B95" t="s">
        <v>53</v>
      </c>
      <c r="C95">
        <v>60</v>
      </c>
      <c r="D95" t="s">
        <v>452</v>
      </c>
      <c r="E95" t="s">
        <v>436</v>
      </c>
      <c r="F95" t="s">
        <v>437</v>
      </c>
      <c r="G95" t="s">
        <v>57</v>
      </c>
      <c r="H95" t="s">
        <v>263</v>
      </c>
      <c r="I95" t="b">
        <v>0</v>
      </c>
      <c r="K95" t="s">
        <v>52</v>
      </c>
      <c r="L95" t="s">
        <v>70</v>
      </c>
      <c r="M95" t="s">
        <v>264</v>
      </c>
      <c r="N95" t="s">
        <v>264</v>
      </c>
      <c r="O95" s="1">
        <v>46243</v>
      </c>
      <c r="P95" t="s">
        <v>453</v>
      </c>
      <c r="Q95" t="s">
        <v>454</v>
      </c>
      <c r="R95" t="s">
        <v>63</v>
      </c>
      <c r="S95" t="b">
        <v>0</v>
      </c>
      <c r="T95" t="b">
        <v>0</v>
      </c>
      <c r="U95" t="s">
        <v>454</v>
      </c>
      <c r="V95" t="s">
        <v>120</v>
      </c>
      <c r="W95" t="s">
        <v>65</v>
      </c>
      <c r="X95" t="s">
        <v>441</v>
      </c>
      <c r="Y95" t="s">
        <v>442</v>
      </c>
      <c r="Z95" t="s">
        <v>70</v>
      </c>
      <c r="AA95" t="b">
        <f>ISNUMBER(SEARCH(";"&amp;Lessons[[#This Row],[Instrument__c]]&amp;";",";"&amp;_xlfn.XLOOKUP(Lessons[[#This Row],[Instructor_External_Id__c]], Instructors[Id], Instructors[Instruments_Taught__c])&amp;";"))</f>
        <v>1</v>
      </c>
      <c r="AB95" t="str">
        <f>IF(LEFT(Lessons[[#This Row],[Status__c]],9)="Cancelled","",Lessons[[#This Row],[Instructor_External_Id__c]]&amp;"|"&amp;TEXT(Lessons[[#This Row],[Lesson_Date__c]],"yyyy-mm-dd")&amp;"|"&amp;Lessons[[#This Row],[Start_Time__c]])</f>
        <v>a06ak00000amzC0AAI|2026-08-09|18:00:00.000Z</v>
      </c>
      <c r="AC95">
        <f>IF(Lessons[[#This Row],[Double Booked Key]]="","",COUNTIF(Lessons[Double Booked Key],Lessons[[#This Row],[Double Booked Key]]))</f>
        <v>1</v>
      </c>
      <c r="AD95" s="6" t="str">
        <f>_xlfn.XLOOKUP(Lessons[[#This Row],[Location_External_Id__c]], Locations[Location Id], Locations[Location Name])</f>
        <v>Red Bank</v>
      </c>
      <c r="AE95" s="6" t="str">
        <f>TEXT(Lessons[[#This Row],[Lesson_Date__c]], "yyyy-mm")</f>
        <v>2026-08</v>
      </c>
      <c r="AF95" s="6" t="str">
        <f>IF(Lessons[[#This Row],[Lesson_Date__c]]&lt;=Data_Audit!$F$1, "Yes", "No")</f>
        <v>Yes</v>
      </c>
    </row>
    <row r="96" spans="1:32">
      <c r="A96" t="s">
        <v>52</v>
      </c>
      <c r="B96" t="s">
        <v>53</v>
      </c>
      <c r="C96">
        <v>30</v>
      </c>
      <c r="D96" t="s">
        <v>455</v>
      </c>
      <c r="E96" t="s">
        <v>436</v>
      </c>
      <c r="F96" t="s">
        <v>437</v>
      </c>
      <c r="G96" t="s">
        <v>106</v>
      </c>
      <c r="H96" t="s">
        <v>263</v>
      </c>
      <c r="I96" t="b">
        <v>0</v>
      </c>
      <c r="K96" t="s">
        <v>52</v>
      </c>
      <c r="L96" t="s">
        <v>70</v>
      </c>
      <c r="M96" t="s">
        <v>264</v>
      </c>
      <c r="N96" t="s">
        <v>264</v>
      </c>
      <c r="O96" s="1">
        <v>46104</v>
      </c>
      <c r="P96" t="s">
        <v>456</v>
      </c>
      <c r="Q96" t="s">
        <v>457</v>
      </c>
      <c r="R96" t="s">
        <v>63</v>
      </c>
      <c r="S96" t="b">
        <v>0</v>
      </c>
      <c r="T96" t="b">
        <v>0</v>
      </c>
      <c r="U96" t="s">
        <v>457</v>
      </c>
      <c r="V96" t="s">
        <v>64</v>
      </c>
      <c r="W96" t="s">
        <v>65</v>
      </c>
      <c r="X96" t="s">
        <v>441</v>
      </c>
      <c r="Y96" t="s">
        <v>442</v>
      </c>
      <c r="Z96" t="s">
        <v>70</v>
      </c>
      <c r="AA96" t="b">
        <f>ISNUMBER(SEARCH(";"&amp;Lessons[[#This Row],[Instrument__c]]&amp;";",";"&amp;_xlfn.XLOOKUP(Lessons[[#This Row],[Instructor_External_Id__c]], Instructors[Id], Instructors[Instruments_Taught__c])&amp;";"))</f>
        <v>1</v>
      </c>
      <c r="AB96" t="str">
        <f>IF(LEFT(Lessons[[#This Row],[Status__c]],9)="Cancelled","",Lessons[[#This Row],[Instructor_External_Id__c]]&amp;"|"&amp;TEXT(Lessons[[#This Row],[Lesson_Date__c]],"yyyy-mm-dd")&amp;"|"&amp;Lessons[[#This Row],[Start_Time__c]])</f>
        <v>a06ak00000amzC0AAI|2026-03-23|11:00:00.000Z</v>
      </c>
      <c r="AC96">
        <f>IF(Lessons[[#This Row],[Double Booked Key]]="","",COUNTIF(Lessons[Double Booked Key],Lessons[[#This Row],[Double Booked Key]]))</f>
        <v>1</v>
      </c>
      <c r="AD96" s="6" t="str">
        <f>_xlfn.XLOOKUP(Lessons[[#This Row],[Location_External_Id__c]], Locations[Location Id], Locations[Location Name])</f>
        <v>Red Bank</v>
      </c>
      <c r="AE96" s="6" t="str">
        <f>TEXT(Lessons[[#This Row],[Lesson_Date__c]], "yyyy-mm")</f>
        <v>2026-03</v>
      </c>
      <c r="AF96" s="6" t="str">
        <f>IF(Lessons[[#This Row],[Lesson_Date__c]]&lt;=Data_Audit!$F$1, "Yes", "No")</f>
        <v>Yes</v>
      </c>
    </row>
    <row r="97" spans="1:32">
      <c r="A97" t="s">
        <v>52</v>
      </c>
      <c r="B97" t="s">
        <v>53</v>
      </c>
      <c r="C97">
        <v>30</v>
      </c>
      <c r="D97" t="s">
        <v>458</v>
      </c>
      <c r="E97" t="s">
        <v>459</v>
      </c>
      <c r="F97" t="s">
        <v>460</v>
      </c>
      <c r="G97" t="s">
        <v>69</v>
      </c>
      <c r="H97" t="s">
        <v>461</v>
      </c>
      <c r="I97" t="b">
        <v>0</v>
      </c>
      <c r="K97" t="s">
        <v>52</v>
      </c>
      <c r="L97" t="s">
        <v>70</v>
      </c>
      <c r="M97" t="s">
        <v>264</v>
      </c>
      <c r="N97" t="s">
        <v>264</v>
      </c>
      <c r="O97" s="1">
        <v>46185</v>
      </c>
      <c r="P97" t="s">
        <v>462</v>
      </c>
      <c r="Q97" t="s">
        <v>463</v>
      </c>
      <c r="R97" t="s">
        <v>150</v>
      </c>
      <c r="S97" t="b">
        <v>0</v>
      </c>
      <c r="T97" t="b">
        <v>0</v>
      </c>
      <c r="U97" t="s">
        <v>463</v>
      </c>
      <c r="V97" t="s">
        <v>140</v>
      </c>
      <c r="W97" t="s">
        <v>65</v>
      </c>
      <c r="X97" t="s">
        <v>464</v>
      </c>
      <c r="Y97" t="s">
        <v>465</v>
      </c>
      <c r="Z97" t="s">
        <v>70</v>
      </c>
      <c r="AA97" t="b">
        <f>ISNUMBER(SEARCH(";"&amp;Lessons[[#This Row],[Instrument__c]]&amp;";",";"&amp;_xlfn.XLOOKUP(Lessons[[#This Row],[Instructor_External_Id__c]], Instructors[Id], Instructors[Instruments_Taught__c])&amp;";"))</f>
        <v>1</v>
      </c>
      <c r="AB97" t="str">
        <f>IF(LEFT(Lessons[[#This Row],[Status__c]],9)="Cancelled","",Lessons[[#This Row],[Instructor_External_Id__c]]&amp;"|"&amp;TEXT(Lessons[[#This Row],[Lesson_Date__c]],"yyyy-mm-dd")&amp;"|"&amp;Lessons[[#This Row],[Start_Time__c]])</f>
        <v>a06ak00000amzC8AAI|2026-06-12|15:00:00.000Z</v>
      </c>
      <c r="AC97">
        <f>IF(Lessons[[#This Row],[Double Booked Key]]="","",COUNTIF(Lessons[Double Booked Key],Lessons[[#This Row],[Double Booked Key]]))</f>
        <v>1</v>
      </c>
      <c r="AD97" s="6" t="str">
        <f>_xlfn.XLOOKUP(Lessons[[#This Row],[Location_External_Id__c]], Locations[Location Id], Locations[Location Name])</f>
        <v>Toms River</v>
      </c>
      <c r="AE97" s="6" t="str">
        <f>TEXT(Lessons[[#This Row],[Lesson_Date__c]], "yyyy-mm")</f>
        <v>2026-06</v>
      </c>
      <c r="AF97" s="6" t="str">
        <f>IF(Lessons[[#This Row],[Lesson_Date__c]]&lt;=Data_Audit!$F$1, "Yes", "No")</f>
        <v>Yes</v>
      </c>
    </row>
    <row r="98" spans="1:32">
      <c r="A98" t="s">
        <v>52</v>
      </c>
      <c r="B98" t="s">
        <v>53</v>
      </c>
      <c r="C98">
        <v>30</v>
      </c>
      <c r="D98" t="s">
        <v>466</v>
      </c>
      <c r="E98" t="s">
        <v>459</v>
      </c>
      <c r="F98" t="s">
        <v>460</v>
      </c>
      <c r="G98" t="s">
        <v>164</v>
      </c>
      <c r="H98" t="s">
        <v>461</v>
      </c>
      <c r="I98" t="b">
        <v>0</v>
      </c>
      <c r="K98" t="s">
        <v>52</v>
      </c>
      <c r="L98" t="s">
        <v>70</v>
      </c>
      <c r="M98" t="s">
        <v>264</v>
      </c>
      <c r="N98" t="s">
        <v>264</v>
      </c>
      <c r="O98" s="1">
        <v>46256</v>
      </c>
      <c r="P98" t="s">
        <v>467</v>
      </c>
      <c r="Q98" t="s">
        <v>468</v>
      </c>
      <c r="R98" t="s">
        <v>150</v>
      </c>
      <c r="S98" t="b">
        <v>0</v>
      </c>
      <c r="T98" t="b">
        <v>0</v>
      </c>
      <c r="U98" t="s">
        <v>468</v>
      </c>
      <c r="V98" t="s">
        <v>74</v>
      </c>
      <c r="W98" t="s">
        <v>65</v>
      </c>
      <c r="X98" t="s">
        <v>464</v>
      </c>
      <c r="Y98" t="s">
        <v>465</v>
      </c>
      <c r="Z98" t="s">
        <v>70</v>
      </c>
      <c r="AA98" t="b">
        <f>ISNUMBER(SEARCH(";"&amp;Lessons[[#This Row],[Instrument__c]]&amp;";",";"&amp;_xlfn.XLOOKUP(Lessons[[#This Row],[Instructor_External_Id__c]], Instructors[Id], Instructors[Instruments_Taught__c])&amp;";"))</f>
        <v>1</v>
      </c>
      <c r="AB98" t="str">
        <f>IF(LEFT(Lessons[[#This Row],[Status__c]],9)="Cancelled","",Lessons[[#This Row],[Instructor_External_Id__c]]&amp;"|"&amp;TEXT(Lessons[[#This Row],[Lesson_Date__c]],"yyyy-mm-dd")&amp;"|"&amp;Lessons[[#This Row],[Start_Time__c]])</f>
        <v>a06ak00000amzC8AAI|2026-08-22|16:30:00.000Z</v>
      </c>
      <c r="AC98">
        <f>IF(Lessons[[#This Row],[Double Booked Key]]="","",COUNTIF(Lessons[Double Booked Key],Lessons[[#This Row],[Double Booked Key]]))</f>
        <v>1</v>
      </c>
      <c r="AD98" s="6" t="str">
        <f>_xlfn.XLOOKUP(Lessons[[#This Row],[Location_External_Id__c]], Locations[Location Id], Locations[Location Name])</f>
        <v>Toms River</v>
      </c>
      <c r="AE98" s="6" t="str">
        <f>TEXT(Lessons[[#This Row],[Lesson_Date__c]], "yyyy-mm")</f>
        <v>2026-08</v>
      </c>
      <c r="AF98" s="6" t="str">
        <f>IF(Lessons[[#This Row],[Lesson_Date__c]]&lt;=Data_Audit!$F$1, "Yes", "No")</f>
        <v>Yes</v>
      </c>
    </row>
    <row r="99" spans="1:32">
      <c r="A99" t="s">
        <v>52</v>
      </c>
      <c r="B99" t="s">
        <v>53</v>
      </c>
      <c r="C99">
        <v>45</v>
      </c>
      <c r="D99" t="s">
        <v>469</v>
      </c>
      <c r="E99" t="s">
        <v>459</v>
      </c>
      <c r="F99" t="s">
        <v>460</v>
      </c>
      <c r="G99" t="s">
        <v>164</v>
      </c>
      <c r="H99" t="s">
        <v>461</v>
      </c>
      <c r="I99" t="b">
        <v>0</v>
      </c>
      <c r="K99" t="s">
        <v>52</v>
      </c>
      <c r="L99" t="s">
        <v>70</v>
      </c>
      <c r="M99" t="s">
        <v>264</v>
      </c>
      <c r="N99" t="s">
        <v>264</v>
      </c>
      <c r="O99" s="1">
        <v>46265</v>
      </c>
      <c r="P99" t="s">
        <v>470</v>
      </c>
      <c r="Q99" t="s">
        <v>471</v>
      </c>
      <c r="R99" t="s">
        <v>150</v>
      </c>
      <c r="S99" t="b">
        <v>0</v>
      </c>
      <c r="T99" t="b">
        <v>0</v>
      </c>
      <c r="U99" t="s">
        <v>471</v>
      </c>
      <c r="V99" t="s">
        <v>94</v>
      </c>
      <c r="W99" t="s">
        <v>65</v>
      </c>
      <c r="X99" t="s">
        <v>464</v>
      </c>
      <c r="Y99" t="s">
        <v>465</v>
      </c>
      <c r="Z99" t="s">
        <v>70</v>
      </c>
      <c r="AA99" t="b">
        <f>ISNUMBER(SEARCH(";"&amp;Lessons[[#This Row],[Instrument__c]]&amp;";",";"&amp;_xlfn.XLOOKUP(Lessons[[#This Row],[Instructor_External_Id__c]], Instructors[Id], Instructors[Instruments_Taught__c])&amp;";"))</f>
        <v>1</v>
      </c>
      <c r="AB99" t="str">
        <f>IF(LEFT(Lessons[[#This Row],[Status__c]],9)="Cancelled","",Lessons[[#This Row],[Instructor_External_Id__c]]&amp;"|"&amp;TEXT(Lessons[[#This Row],[Lesson_Date__c]],"yyyy-mm-dd")&amp;"|"&amp;Lessons[[#This Row],[Start_Time__c]])</f>
        <v>a06ak00000amzC8AAI|2026-08-31|19:00:00.000Z</v>
      </c>
      <c r="AC99">
        <f>IF(Lessons[[#This Row],[Double Booked Key]]="","",COUNTIF(Lessons[Double Booked Key],Lessons[[#This Row],[Double Booked Key]]))</f>
        <v>1</v>
      </c>
      <c r="AD99" s="6" t="str">
        <f>_xlfn.XLOOKUP(Lessons[[#This Row],[Location_External_Id__c]], Locations[Location Id], Locations[Location Name])</f>
        <v>Toms River</v>
      </c>
      <c r="AE99" s="6" t="str">
        <f>TEXT(Lessons[[#This Row],[Lesson_Date__c]], "yyyy-mm")</f>
        <v>2026-08</v>
      </c>
      <c r="AF99" s="6" t="str">
        <f>IF(Lessons[[#This Row],[Lesson_Date__c]]&lt;=Data_Audit!$F$1, "Yes", "No")</f>
        <v>Yes</v>
      </c>
    </row>
    <row r="100" spans="1:32">
      <c r="A100" t="s">
        <v>52</v>
      </c>
      <c r="B100" t="s">
        <v>53</v>
      </c>
      <c r="C100">
        <v>30</v>
      </c>
      <c r="D100" t="s">
        <v>472</v>
      </c>
      <c r="E100" t="s">
        <v>459</v>
      </c>
      <c r="F100" t="s">
        <v>460</v>
      </c>
      <c r="G100" t="s">
        <v>99</v>
      </c>
      <c r="H100" t="s">
        <v>461</v>
      </c>
      <c r="I100" t="b">
        <v>0</v>
      </c>
      <c r="K100" t="s">
        <v>52</v>
      </c>
      <c r="L100" t="s">
        <v>70</v>
      </c>
      <c r="M100" t="s">
        <v>264</v>
      </c>
      <c r="N100" t="s">
        <v>264</v>
      </c>
      <c r="O100" s="1">
        <v>46201</v>
      </c>
      <c r="P100" t="s">
        <v>473</v>
      </c>
      <c r="Q100" t="s">
        <v>474</v>
      </c>
      <c r="R100" t="s">
        <v>150</v>
      </c>
      <c r="S100" t="b">
        <v>0</v>
      </c>
      <c r="T100" t="b">
        <v>0</v>
      </c>
      <c r="U100" t="s">
        <v>474</v>
      </c>
      <c r="V100" t="s">
        <v>135</v>
      </c>
      <c r="W100" t="s">
        <v>65</v>
      </c>
      <c r="X100" t="s">
        <v>464</v>
      </c>
      <c r="Y100" t="s">
        <v>465</v>
      </c>
      <c r="Z100" t="s">
        <v>70</v>
      </c>
      <c r="AA100" t="b">
        <f>ISNUMBER(SEARCH(";"&amp;Lessons[[#This Row],[Instrument__c]]&amp;";",";"&amp;_xlfn.XLOOKUP(Lessons[[#This Row],[Instructor_External_Id__c]], Instructors[Id], Instructors[Instruments_Taught__c])&amp;";"))</f>
        <v>1</v>
      </c>
      <c r="AB100" t="str">
        <f>IF(LEFT(Lessons[[#This Row],[Status__c]],9)="Cancelled","",Lessons[[#This Row],[Instructor_External_Id__c]]&amp;"|"&amp;TEXT(Lessons[[#This Row],[Lesson_Date__c]],"yyyy-mm-dd")&amp;"|"&amp;Lessons[[#This Row],[Start_Time__c]])</f>
        <v>a06ak00000amzC8AAI|2026-06-28|15:30:00.000Z</v>
      </c>
      <c r="AC100">
        <f>IF(Lessons[[#This Row],[Double Booked Key]]="","",COUNTIF(Lessons[Double Booked Key],Lessons[[#This Row],[Double Booked Key]]))</f>
        <v>1</v>
      </c>
      <c r="AD100" s="6" t="str">
        <f>_xlfn.XLOOKUP(Lessons[[#This Row],[Location_External_Id__c]], Locations[Location Id], Locations[Location Name])</f>
        <v>Toms River</v>
      </c>
      <c r="AE100" s="6" t="str">
        <f>TEXT(Lessons[[#This Row],[Lesson_Date__c]], "yyyy-mm")</f>
        <v>2026-06</v>
      </c>
      <c r="AF100" s="6" t="str">
        <f>IF(Lessons[[#This Row],[Lesson_Date__c]]&lt;=Data_Audit!$F$1, "Yes", "No")</f>
        <v>Yes</v>
      </c>
    </row>
    <row r="101" spans="1:32">
      <c r="A101" t="s">
        <v>52</v>
      </c>
      <c r="B101" t="s">
        <v>53</v>
      </c>
      <c r="C101">
        <v>30</v>
      </c>
      <c r="D101" t="s">
        <v>475</v>
      </c>
      <c r="E101" t="s">
        <v>476</v>
      </c>
      <c r="F101" t="s">
        <v>477</v>
      </c>
      <c r="G101" t="s">
        <v>164</v>
      </c>
      <c r="H101" t="s">
        <v>78</v>
      </c>
      <c r="I101" t="b">
        <v>0</v>
      </c>
      <c r="K101" t="s">
        <v>52</v>
      </c>
      <c r="L101" t="s">
        <v>70</v>
      </c>
      <c r="M101" t="s">
        <v>478</v>
      </c>
      <c r="N101" t="s">
        <v>478</v>
      </c>
      <c r="O101" s="1">
        <v>46196</v>
      </c>
      <c r="P101" t="s">
        <v>479</v>
      </c>
      <c r="Q101" t="s">
        <v>480</v>
      </c>
      <c r="R101" t="s">
        <v>63</v>
      </c>
      <c r="S101" t="b">
        <v>0</v>
      </c>
      <c r="T101" t="b">
        <v>0</v>
      </c>
      <c r="U101" t="s">
        <v>480</v>
      </c>
      <c r="V101" t="s">
        <v>116</v>
      </c>
      <c r="W101" t="s">
        <v>65</v>
      </c>
      <c r="X101" t="s">
        <v>481</v>
      </c>
      <c r="Y101" t="s">
        <v>482</v>
      </c>
      <c r="Z101" t="s">
        <v>70</v>
      </c>
      <c r="AA101" t="b">
        <f>ISNUMBER(SEARCH(";"&amp;Lessons[[#This Row],[Instrument__c]]&amp;";",";"&amp;_xlfn.XLOOKUP(Lessons[[#This Row],[Instructor_External_Id__c]], Instructors[Id], Instructors[Instruments_Taught__c])&amp;";"))</f>
        <v>1</v>
      </c>
      <c r="AB101" t="str">
        <f>IF(LEFT(Lessons[[#This Row],[Status__c]],9)="Cancelled","",Lessons[[#This Row],[Instructor_External_Id__c]]&amp;"|"&amp;TEXT(Lessons[[#This Row],[Lesson_Date__c]],"yyyy-mm-dd")&amp;"|"&amp;Lessons[[#This Row],[Start_Time__c]])</f>
        <v>a06ak00000amzBqAAI|2026-06-23|17:30:00.000Z</v>
      </c>
      <c r="AC101">
        <f>IF(Lessons[[#This Row],[Double Booked Key]]="","",COUNTIF(Lessons[Double Booked Key],Lessons[[#This Row],[Double Booked Key]]))</f>
        <v>1</v>
      </c>
      <c r="AD101" s="6" t="str">
        <f>_xlfn.XLOOKUP(Lessons[[#This Row],[Location_External_Id__c]], Locations[Location Id], Locations[Location Name])</f>
        <v>Red Bank</v>
      </c>
      <c r="AE101" s="6" t="str">
        <f>TEXT(Lessons[[#This Row],[Lesson_Date__c]], "yyyy-mm")</f>
        <v>2026-06</v>
      </c>
      <c r="AF101" s="6" t="str">
        <f>IF(Lessons[[#This Row],[Lesson_Date__c]]&lt;=Data_Audit!$F$1, "Yes", "No")</f>
        <v>Yes</v>
      </c>
    </row>
    <row r="102" spans="1:32">
      <c r="A102" t="s">
        <v>52</v>
      </c>
      <c r="B102" t="s">
        <v>53</v>
      </c>
      <c r="C102">
        <v>30</v>
      </c>
      <c r="D102" t="s">
        <v>483</v>
      </c>
      <c r="E102" t="s">
        <v>476</v>
      </c>
      <c r="F102" t="s">
        <v>477</v>
      </c>
      <c r="G102" t="s">
        <v>57</v>
      </c>
      <c r="H102" t="s">
        <v>78</v>
      </c>
      <c r="I102" t="b">
        <v>0</v>
      </c>
      <c r="K102" t="s">
        <v>52</v>
      </c>
      <c r="L102" t="s">
        <v>70</v>
      </c>
      <c r="M102" t="s">
        <v>478</v>
      </c>
      <c r="N102" t="s">
        <v>478</v>
      </c>
      <c r="O102" s="1">
        <v>46029</v>
      </c>
      <c r="P102" t="s">
        <v>484</v>
      </c>
      <c r="Q102" t="s">
        <v>485</v>
      </c>
      <c r="R102" t="s">
        <v>63</v>
      </c>
      <c r="S102" t="b">
        <v>0</v>
      </c>
      <c r="T102" t="b">
        <v>0</v>
      </c>
      <c r="U102" t="s">
        <v>485</v>
      </c>
      <c r="V102" t="s">
        <v>84</v>
      </c>
      <c r="W102" t="s">
        <v>65</v>
      </c>
      <c r="X102" t="s">
        <v>481</v>
      </c>
      <c r="Y102" t="s">
        <v>482</v>
      </c>
      <c r="Z102" t="s">
        <v>70</v>
      </c>
      <c r="AA102" t="b">
        <f>ISNUMBER(SEARCH(";"&amp;Lessons[[#This Row],[Instrument__c]]&amp;";",";"&amp;_xlfn.XLOOKUP(Lessons[[#This Row],[Instructor_External_Id__c]], Instructors[Id], Instructors[Instruments_Taught__c])&amp;";"))</f>
        <v>1</v>
      </c>
      <c r="AB102" t="str">
        <f>IF(LEFT(Lessons[[#This Row],[Status__c]],9)="Cancelled","",Lessons[[#This Row],[Instructor_External_Id__c]]&amp;"|"&amp;TEXT(Lessons[[#This Row],[Lesson_Date__c]],"yyyy-mm-dd")&amp;"|"&amp;Lessons[[#This Row],[Start_Time__c]])</f>
        <v>a06ak00000amzBqAAI|2026-01-07|17:00:00.000Z</v>
      </c>
      <c r="AC102">
        <f>IF(Lessons[[#This Row],[Double Booked Key]]="","",COUNTIF(Lessons[Double Booked Key],Lessons[[#This Row],[Double Booked Key]]))</f>
        <v>1</v>
      </c>
      <c r="AD102" s="6" t="str">
        <f>_xlfn.XLOOKUP(Lessons[[#This Row],[Location_External_Id__c]], Locations[Location Id], Locations[Location Name])</f>
        <v>Red Bank</v>
      </c>
      <c r="AE102" s="6" t="str">
        <f>TEXT(Lessons[[#This Row],[Lesson_Date__c]], "yyyy-mm")</f>
        <v>2026-01</v>
      </c>
      <c r="AF102" s="6" t="str">
        <f>IF(Lessons[[#This Row],[Lesson_Date__c]]&lt;=Data_Audit!$F$1, "Yes", "No")</f>
        <v>Yes</v>
      </c>
    </row>
    <row r="103" spans="1:32">
      <c r="A103" t="s">
        <v>52</v>
      </c>
      <c r="B103" t="s">
        <v>53</v>
      </c>
      <c r="C103">
        <v>30</v>
      </c>
      <c r="D103" t="s">
        <v>486</v>
      </c>
      <c r="E103" t="s">
        <v>476</v>
      </c>
      <c r="F103" t="s">
        <v>477</v>
      </c>
      <c r="G103" t="s">
        <v>57</v>
      </c>
      <c r="H103" t="s">
        <v>78</v>
      </c>
      <c r="I103" t="b">
        <v>0</v>
      </c>
      <c r="K103" t="s">
        <v>52</v>
      </c>
      <c r="L103" t="s">
        <v>70</v>
      </c>
      <c r="M103" t="s">
        <v>478</v>
      </c>
      <c r="N103" t="s">
        <v>478</v>
      </c>
      <c r="O103" s="1">
        <v>46144</v>
      </c>
      <c r="P103" t="s">
        <v>487</v>
      </c>
      <c r="Q103" t="s">
        <v>488</v>
      </c>
      <c r="R103" t="s">
        <v>63</v>
      </c>
      <c r="S103" t="b">
        <v>0</v>
      </c>
      <c r="T103" t="b">
        <v>0</v>
      </c>
      <c r="U103" t="s">
        <v>488</v>
      </c>
      <c r="V103" t="s">
        <v>135</v>
      </c>
      <c r="W103" t="s">
        <v>65</v>
      </c>
      <c r="X103" t="s">
        <v>481</v>
      </c>
      <c r="Y103" t="s">
        <v>482</v>
      </c>
      <c r="Z103" t="s">
        <v>70</v>
      </c>
      <c r="AA103" t="b">
        <f>ISNUMBER(SEARCH(";"&amp;Lessons[[#This Row],[Instrument__c]]&amp;";",";"&amp;_xlfn.XLOOKUP(Lessons[[#This Row],[Instructor_External_Id__c]], Instructors[Id], Instructors[Instruments_Taught__c])&amp;";"))</f>
        <v>1</v>
      </c>
      <c r="AB103" t="str">
        <f>IF(LEFT(Lessons[[#This Row],[Status__c]],9)="Cancelled","",Lessons[[#This Row],[Instructor_External_Id__c]]&amp;"|"&amp;TEXT(Lessons[[#This Row],[Lesson_Date__c]],"yyyy-mm-dd")&amp;"|"&amp;Lessons[[#This Row],[Start_Time__c]])</f>
        <v>a06ak00000amzBqAAI|2026-05-02|15:30:00.000Z</v>
      </c>
      <c r="AC103">
        <f>IF(Lessons[[#This Row],[Double Booked Key]]="","",COUNTIF(Lessons[Double Booked Key],Lessons[[#This Row],[Double Booked Key]]))</f>
        <v>1</v>
      </c>
      <c r="AD103" s="6" t="str">
        <f>_xlfn.XLOOKUP(Lessons[[#This Row],[Location_External_Id__c]], Locations[Location Id], Locations[Location Name])</f>
        <v>Red Bank</v>
      </c>
      <c r="AE103" s="6" t="str">
        <f>TEXT(Lessons[[#This Row],[Lesson_Date__c]], "yyyy-mm")</f>
        <v>2026-05</v>
      </c>
      <c r="AF103" s="6" t="str">
        <f>IF(Lessons[[#This Row],[Lesson_Date__c]]&lt;=Data_Audit!$F$1, "Yes", "No")</f>
        <v>Yes</v>
      </c>
    </row>
    <row r="104" spans="1:32">
      <c r="A104" t="s">
        <v>52</v>
      </c>
      <c r="B104" t="s">
        <v>53</v>
      </c>
      <c r="C104">
        <v>30</v>
      </c>
      <c r="D104" t="s">
        <v>489</v>
      </c>
      <c r="E104" t="s">
        <v>490</v>
      </c>
      <c r="F104" t="s">
        <v>491</v>
      </c>
      <c r="H104" t="s">
        <v>78</v>
      </c>
      <c r="I104" t="b">
        <v>0</v>
      </c>
      <c r="K104" t="s">
        <v>52</v>
      </c>
      <c r="L104" t="s">
        <v>91</v>
      </c>
      <c r="M104" t="s">
        <v>478</v>
      </c>
      <c r="N104" t="s">
        <v>478</v>
      </c>
      <c r="O104" s="1">
        <v>46280</v>
      </c>
      <c r="P104" t="s">
        <v>492</v>
      </c>
      <c r="Q104" t="s">
        <v>493</v>
      </c>
      <c r="R104" t="s">
        <v>63</v>
      </c>
      <c r="S104" t="b">
        <v>1</v>
      </c>
      <c r="T104" t="b">
        <v>1</v>
      </c>
      <c r="U104" t="s">
        <v>493</v>
      </c>
      <c r="V104" t="s">
        <v>102</v>
      </c>
      <c r="W104" t="s">
        <v>136</v>
      </c>
      <c r="X104" t="s">
        <v>481</v>
      </c>
      <c r="Y104" t="s">
        <v>482</v>
      </c>
      <c r="Z104" t="s">
        <v>91</v>
      </c>
      <c r="AA104" t="b">
        <f>ISNUMBER(SEARCH(";"&amp;Lessons[[#This Row],[Instrument__c]]&amp;";",";"&amp;_xlfn.XLOOKUP(Lessons[[#This Row],[Instructor_External_Id__c]], Instructors[Id], Instructors[Instruments_Taught__c])&amp;";"))</f>
        <v>0</v>
      </c>
      <c r="AB104" t="str">
        <f>IF(LEFT(Lessons[[#This Row],[Status__c]],9)="Cancelled","",Lessons[[#This Row],[Instructor_External_Id__c]]&amp;"|"&amp;TEXT(Lessons[[#This Row],[Lesson_Date__c]],"yyyy-mm-dd")&amp;"|"&amp;Lessons[[#This Row],[Start_Time__c]])</f>
        <v/>
      </c>
      <c r="AC104" t="str">
        <f>IF(Lessons[[#This Row],[Double Booked Key]]="","",COUNTIF(Lessons[Double Booked Key],Lessons[[#This Row],[Double Booked Key]]))</f>
        <v/>
      </c>
      <c r="AD104" s="6" t="str">
        <f>_xlfn.XLOOKUP(Lessons[[#This Row],[Location_External_Id__c]], Locations[Location Id], Locations[Location Name])</f>
        <v>Red Bank</v>
      </c>
      <c r="AE104" s="6" t="str">
        <f>TEXT(Lessons[[#This Row],[Lesson_Date__c]], "yyyy-mm")</f>
        <v>2026-09</v>
      </c>
      <c r="AF104" s="6" t="str">
        <f>IF(Lessons[[#This Row],[Lesson_Date__c]]&lt;=Data_Audit!$F$1, "Yes", "No")</f>
        <v>Yes</v>
      </c>
    </row>
    <row r="105" spans="1:32">
      <c r="A105" t="s">
        <v>52</v>
      </c>
      <c r="B105" t="s">
        <v>53</v>
      </c>
      <c r="C105">
        <v>60</v>
      </c>
      <c r="D105" t="s">
        <v>494</v>
      </c>
      <c r="E105" t="s">
        <v>390</v>
      </c>
      <c r="F105" t="s">
        <v>391</v>
      </c>
      <c r="H105" t="s">
        <v>392</v>
      </c>
      <c r="I105" t="b">
        <v>0</v>
      </c>
      <c r="K105" t="s">
        <v>52</v>
      </c>
      <c r="L105" t="s">
        <v>70</v>
      </c>
      <c r="M105" t="s">
        <v>478</v>
      </c>
      <c r="N105" t="s">
        <v>478</v>
      </c>
      <c r="O105" s="1">
        <v>46130</v>
      </c>
      <c r="P105" t="s">
        <v>495</v>
      </c>
      <c r="Q105" t="s">
        <v>496</v>
      </c>
      <c r="R105" t="s">
        <v>83</v>
      </c>
      <c r="S105" t="b">
        <v>0</v>
      </c>
      <c r="T105" t="b">
        <v>0</v>
      </c>
      <c r="U105" t="s">
        <v>496</v>
      </c>
      <c r="V105" t="s">
        <v>135</v>
      </c>
      <c r="W105" t="s">
        <v>65</v>
      </c>
      <c r="X105" t="s">
        <v>497</v>
      </c>
      <c r="Y105" t="s">
        <v>498</v>
      </c>
      <c r="Z105" t="s">
        <v>70</v>
      </c>
      <c r="AA105" t="b">
        <f>ISNUMBER(SEARCH(";"&amp;Lessons[[#This Row],[Instrument__c]]&amp;";",";"&amp;_xlfn.XLOOKUP(Lessons[[#This Row],[Instructor_External_Id__c]], Instructors[Id], Instructors[Instruments_Taught__c])&amp;";"))</f>
        <v>1</v>
      </c>
      <c r="AB105" t="str">
        <f>IF(LEFT(Lessons[[#This Row],[Status__c]],9)="Cancelled","",Lessons[[#This Row],[Instructor_External_Id__c]]&amp;"|"&amp;TEXT(Lessons[[#This Row],[Lesson_Date__c]],"yyyy-mm-dd")&amp;"|"&amp;Lessons[[#This Row],[Start_Time__c]])</f>
        <v>a06ak00000amzBpAAI|2026-04-18|15:30:00.000Z</v>
      </c>
      <c r="AC105">
        <f>IF(Lessons[[#This Row],[Double Booked Key]]="","",COUNTIF(Lessons[Double Booked Key],Lessons[[#This Row],[Double Booked Key]]))</f>
        <v>1</v>
      </c>
      <c r="AD105" s="6" t="str">
        <f>_xlfn.XLOOKUP(Lessons[[#This Row],[Location_External_Id__c]], Locations[Location Id], Locations[Location Name])</f>
        <v>Brick</v>
      </c>
      <c r="AE105" s="6" t="str">
        <f>TEXT(Lessons[[#This Row],[Lesson_Date__c]], "yyyy-mm")</f>
        <v>2026-04</v>
      </c>
      <c r="AF105" s="6" t="str">
        <f>IF(Lessons[[#This Row],[Lesson_Date__c]]&lt;=Data_Audit!$F$1, "Yes", "No")</f>
        <v>Yes</v>
      </c>
    </row>
    <row r="106" spans="1:32">
      <c r="A106" t="s">
        <v>52</v>
      </c>
      <c r="B106" t="s">
        <v>53</v>
      </c>
      <c r="C106">
        <v>45</v>
      </c>
      <c r="D106" t="s">
        <v>499</v>
      </c>
      <c r="E106" t="s">
        <v>390</v>
      </c>
      <c r="F106" t="s">
        <v>391</v>
      </c>
      <c r="G106" t="s">
        <v>99</v>
      </c>
      <c r="H106" t="s">
        <v>392</v>
      </c>
      <c r="I106" t="b">
        <v>0</v>
      </c>
      <c r="K106" t="s">
        <v>52</v>
      </c>
      <c r="L106" t="s">
        <v>70</v>
      </c>
      <c r="M106" t="s">
        <v>478</v>
      </c>
      <c r="N106" t="s">
        <v>478</v>
      </c>
      <c r="O106" s="1">
        <v>46032</v>
      </c>
      <c r="P106" t="s">
        <v>500</v>
      </c>
      <c r="Q106" t="s">
        <v>501</v>
      </c>
      <c r="R106" t="s">
        <v>83</v>
      </c>
      <c r="S106" t="b">
        <v>0</v>
      </c>
      <c r="T106" t="b">
        <v>0</v>
      </c>
      <c r="U106" t="s">
        <v>501</v>
      </c>
      <c r="V106" t="s">
        <v>140</v>
      </c>
      <c r="W106" t="s">
        <v>65</v>
      </c>
      <c r="X106" t="s">
        <v>497</v>
      </c>
      <c r="Y106" t="s">
        <v>498</v>
      </c>
      <c r="Z106" t="s">
        <v>70</v>
      </c>
      <c r="AA106" t="b">
        <f>ISNUMBER(SEARCH(";"&amp;Lessons[[#This Row],[Instrument__c]]&amp;";",";"&amp;_xlfn.XLOOKUP(Lessons[[#This Row],[Instructor_External_Id__c]], Instructors[Id], Instructors[Instruments_Taught__c])&amp;";"))</f>
        <v>1</v>
      </c>
      <c r="AB106" t="str">
        <f>IF(LEFT(Lessons[[#This Row],[Status__c]],9)="Cancelled","",Lessons[[#This Row],[Instructor_External_Id__c]]&amp;"|"&amp;TEXT(Lessons[[#This Row],[Lesson_Date__c]],"yyyy-mm-dd")&amp;"|"&amp;Lessons[[#This Row],[Start_Time__c]])</f>
        <v>a06ak00000amzBpAAI|2026-01-10|15:00:00.000Z</v>
      </c>
      <c r="AC106">
        <f>IF(Lessons[[#This Row],[Double Booked Key]]="","",COUNTIF(Lessons[Double Booked Key],Lessons[[#This Row],[Double Booked Key]]))</f>
        <v>1</v>
      </c>
      <c r="AD106" s="6" t="str">
        <f>_xlfn.XLOOKUP(Lessons[[#This Row],[Location_External_Id__c]], Locations[Location Id], Locations[Location Name])</f>
        <v>Brick</v>
      </c>
      <c r="AE106" s="6" t="str">
        <f>TEXT(Lessons[[#This Row],[Lesson_Date__c]], "yyyy-mm")</f>
        <v>2026-01</v>
      </c>
      <c r="AF106" s="6" t="str">
        <f>IF(Lessons[[#This Row],[Lesson_Date__c]]&lt;=Data_Audit!$F$1, "Yes", "No")</f>
        <v>Yes</v>
      </c>
    </row>
    <row r="107" spans="1:32">
      <c r="A107" t="s">
        <v>52</v>
      </c>
      <c r="B107" t="s">
        <v>53</v>
      </c>
      <c r="C107">
        <v>60</v>
      </c>
      <c r="D107" t="s">
        <v>502</v>
      </c>
      <c r="E107" t="s">
        <v>503</v>
      </c>
      <c r="F107" t="s">
        <v>504</v>
      </c>
      <c r="G107" t="s">
        <v>164</v>
      </c>
      <c r="H107" t="s">
        <v>461</v>
      </c>
      <c r="I107" t="b">
        <v>0</v>
      </c>
      <c r="K107" t="s">
        <v>52</v>
      </c>
      <c r="L107" t="s">
        <v>70</v>
      </c>
      <c r="M107" t="s">
        <v>478</v>
      </c>
      <c r="N107" t="s">
        <v>478</v>
      </c>
      <c r="O107" s="1">
        <v>46230</v>
      </c>
      <c r="P107" t="s">
        <v>505</v>
      </c>
      <c r="Q107" t="s">
        <v>506</v>
      </c>
      <c r="R107" t="s">
        <v>63</v>
      </c>
      <c r="S107" t="b">
        <v>0</v>
      </c>
      <c r="T107" t="b">
        <v>0</v>
      </c>
      <c r="U107" t="s">
        <v>506</v>
      </c>
      <c r="V107" t="s">
        <v>84</v>
      </c>
      <c r="W107" t="s">
        <v>65</v>
      </c>
      <c r="X107" t="s">
        <v>507</v>
      </c>
      <c r="Y107" t="s">
        <v>508</v>
      </c>
      <c r="Z107" t="s">
        <v>70</v>
      </c>
      <c r="AA107" t="b">
        <f>ISNUMBER(SEARCH(";"&amp;Lessons[[#This Row],[Instrument__c]]&amp;";",";"&amp;_xlfn.XLOOKUP(Lessons[[#This Row],[Instructor_External_Id__c]], Instructors[Id], Instructors[Instruments_Taught__c])&amp;";"))</f>
        <v>1</v>
      </c>
      <c r="AB107" t="str">
        <f>IF(LEFT(Lessons[[#This Row],[Status__c]],9)="Cancelled","",Lessons[[#This Row],[Instructor_External_Id__c]]&amp;"|"&amp;TEXT(Lessons[[#This Row],[Lesson_Date__c]],"yyyy-mm-dd")&amp;"|"&amp;Lessons[[#This Row],[Start_Time__c]])</f>
        <v>a06ak00000amzBjAAI|2026-07-27|17:00:00.000Z</v>
      </c>
      <c r="AC107">
        <f>IF(Lessons[[#This Row],[Double Booked Key]]="","",COUNTIF(Lessons[Double Booked Key],Lessons[[#This Row],[Double Booked Key]]))</f>
        <v>1</v>
      </c>
      <c r="AD107" s="6" t="str">
        <f>_xlfn.XLOOKUP(Lessons[[#This Row],[Location_External_Id__c]], Locations[Location Id], Locations[Location Name])</f>
        <v>Red Bank</v>
      </c>
      <c r="AE107" s="6" t="str">
        <f>TEXT(Lessons[[#This Row],[Lesson_Date__c]], "yyyy-mm")</f>
        <v>2026-07</v>
      </c>
      <c r="AF107" s="6" t="str">
        <f>IF(Lessons[[#This Row],[Lesson_Date__c]]&lt;=Data_Audit!$F$1, "Yes", "No")</f>
        <v>Yes</v>
      </c>
    </row>
    <row r="108" spans="1:32">
      <c r="A108" t="s">
        <v>52</v>
      </c>
      <c r="B108" t="s">
        <v>53</v>
      </c>
      <c r="C108">
        <v>30</v>
      </c>
      <c r="D108" t="s">
        <v>509</v>
      </c>
      <c r="E108" t="s">
        <v>503</v>
      </c>
      <c r="F108" t="s">
        <v>504</v>
      </c>
      <c r="G108" t="s">
        <v>164</v>
      </c>
      <c r="H108" t="s">
        <v>461</v>
      </c>
      <c r="I108" t="b">
        <v>0</v>
      </c>
      <c r="K108" t="s">
        <v>52</v>
      </c>
      <c r="L108" t="s">
        <v>70</v>
      </c>
      <c r="M108" t="s">
        <v>478</v>
      </c>
      <c r="N108" t="s">
        <v>478</v>
      </c>
      <c r="O108" s="1">
        <v>46071</v>
      </c>
      <c r="P108" t="s">
        <v>510</v>
      </c>
      <c r="Q108" t="s">
        <v>511</v>
      </c>
      <c r="R108" t="s">
        <v>63</v>
      </c>
      <c r="S108" t="b">
        <v>0</v>
      </c>
      <c r="T108" t="b">
        <v>0</v>
      </c>
      <c r="U108" t="s">
        <v>511</v>
      </c>
      <c r="V108" t="s">
        <v>128</v>
      </c>
      <c r="W108" t="s">
        <v>65</v>
      </c>
      <c r="X108" t="s">
        <v>507</v>
      </c>
      <c r="Y108" t="s">
        <v>508</v>
      </c>
      <c r="Z108" t="s">
        <v>70</v>
      </c>
      <c r="AA108" t="b">
        <f>ISNUMBER(SEARCH(";"&amp;Lessons[[#This Row],[Instrument__c]]&amp;";",";"&amp;_xlfn.XLOOKUP(Lessons[[#This Row],[Instructor_External_Id__c]], Instructors[Id], Instructors[Instruments_Taught__c])&amp;";"))</f>
        <v>1</v>
      </c>
      <c r="AB108" t="str">
        <f>IF(LEFT(Lessons[[#This Row],[Status__c]],9)="Cancelled","",Lessons[[#This Row],[Instructor_External_Id__c]]&amp;"|"&amp;TEXT(Lessons[[#This Row],[Lesson_Date__c]],"yyyy-mm-dd")&amp;"|"&amp;Lessons[[#This Row],[Start_Time__c]])</f>
        <v>a06ak00000amzBjAAI|2026-02-18|18:30:00.000Z</v>
      </c>
      <c r="AC108">
        <f>IF(Lessons[[#This Row],[Double Booked Key]]="","",COUNTIF(Lessons[Double Booked Key],Lessons[[#This Row],[Double Booked Key]]))</f>
        <v>1</v>
      </c>
      <c r="AD108" s="6" t="str">
        <f>_xlfn.XLOOKUP(Lessons[[#This Row],[Location_External_Id__c]], Locations[Location Id], Locations[Location Name])</f>
        <v>Red Bank</v>
      </c>
      <c r="AE108" s="6" t="str">
        <f>TEXT(Lessons[[#This Row],[Lesson_Date__c]], "yyyy-mm")</f>
        <v>2026-02</v>
      </c>
      <c r="AF108" s="6" t="str">
        <f>IF(Lessons[[#This Row],[Lesson_Date__c]]&lt;=Data_Audit!$F$1, "Yes", "No")</f>
        <v>Yes</v>
      </c>
    </row>
    <row r="109" spans="1:32">
      <c r="A109" t="s">
        <v>52</v>
      </c>
      <c r="B109" t="s">
        <v>53</v>
      </c>
      <c r="C109">
        <v>60</v>
      </c>
      <c r="D109" t="s">
        <v>512</v>
      </c>
      <c r="E109" t="s">
        <v>503</v>
      </c>
      <c r="F109" t="s">
        <v>504</v>
      </c>
      <c r="G109" t="s">
        <v>57</v>
      </c>
      <c r="H109" t="s">
        <v>461</v>
      </c>
      <c r="I109" t="b">
        <v>0</v>
      </c>
      <c r="K109" t="s">
        <v>52</v>
      </c>
      <c r="L109" t="s">
        <v>70</v>
      </c>
      <c r="M109" t="s">
        <v>478</v>
      </c>
      <c r="N109" t="s">
        <v>478</v>
      </c>
      <c r="O109" s="1">
        <v>46249</v>
      </c>
      <c r="P109" t="s">
        <v>513</v>
      </c>
      <c r="Q109" t="s">
        <v>514</v>
      </c>
      <c r="R109" t="s">
        <v>63</v>
      </c>
      <c r="S109" t="b">
        <v>0</v>
      </c>
      <c r="T109" t="b">
        <v>0</v>
      </c>
      <c r="U109" t="s">
        <v>514</v>
      </c>
      <c r="V109" t="s">
        <v>84</v>
      </c>
      <c r="W109" t="s">
        <v>65</v>
      </c>
      <c r="X109" t="s">
        <v>507</v>
      </c>
      <c r="Y109" t="s">
        <v>508</v>
      </c>
      <c r="Z109" t="s">
        <v>70</v>
      </c>
      <c r="AA109" t="b">
        <f>ISNUMBER(SEARCH(";"&amp;Lessons[[#This Row],[Instrument__c]]&amp;";",";"&amp;_xlfn.XLOOKUP(Lessons[[#This Row],[Instructor_External_Id__c]], Instructors[Id], Instructors[Instruments_Taught__c])&amp;";"))</f>
        <v>1</v>
      </c>
      <c r="AB109" t="str">
        <f>IF(LEFT(Lessons[[#This Row],[Status__c]],9)="Cancelled","",Lessons[[#This Row],[Instructor_External_Id__c]]&amp;"|"&amp;TEXT(Lessons[[#This Row],[Lesson_Date__c]],"yyyy-mm-dd")&amp;"|"&amp;Lessons[[#This Row],[Start_Time__c]])</f>
        <v>a06ak00000amzBjAAI|2026-08-15|17:00:00.000Z</v>
      </c>
      <c r="AC109">
        <f>IF(Lessons[[#This Row],[Double Booked Key]]="","",COUNTIF(Lessons[Double Booked Key],Lessons[[#This Row],[Double Booked Key]]))</f>
        <v>1</v>
      </c>
      <c r="AD109" s="6" t="str">
        <f>_xlfn.XLOOKUP(Lessons[[#This Row],[Location_External_Id__c]], Locations[Location Id], Locations[Location Name])</f>
        <v>Red Bank</v>
      </c>
      <c r="AE109" s="6" t="str">
        <f>TEXT(Lessons[[#This Row],[Lesson_Date__c]], "yyyy-mm")</f>
        <v>2026-08</v>
      </c>
      <c r="AF109" s="6" t="str">
        <f>IF(Lessons[[#This Row],[Lesson_Date__c]]&lt;=Data_Audit!$F$1, "Yes", "No")</f>
        <v>Yes</v>
      </c>
    </row>
    <row r="110" spans="1:32">
      <c r="A110" t="s">
        <v>52</v>
      </c>
      <c r="B110" t="s">
        <v>53</v>
      </c>
      <c r="C110">
        <v>60</v>
      </c>
      <c r="D110" t="s">
        <v>515</v>
      </c>
      <c r="E110" t="s">
        <v>503</v>
      </c>
      <c r="F110" t="s">
        <v>504</v>
      </c>
      <c r="G110" t="s">
        <v>57</v>
      </c>
      <c r="H110" t="s">
        <v>461</v>
      </c>
      <c r="I110" t="b">
        <v>0</v>
      </c>
      <c r="K110" t="s">
        <v>52</v>
      </c>
      <c r="L110" t="s">
        <v>70</v>
      </c>
      <c r="M110" t="s">
        <v>478</v>
      </c>
      <c r="N110" t="s">
        <v>478</v>
      </c>
      <c r="O110" s="1">
        <v>46271</v>
      </c>
      <c r="P110" t="s">
        <v>516</v>
      </c>
      <c r="Q110" t="s">
        <v>517</v>
      </c>
      <c r="R110" t="s">
        <v>63</v>
      </c>
      <c r="S110" t="b">
        <v>0</v>
      </c>
      <c r="T110" t="b">
        <v>0</v>
      </c>
      <c r="U110" t="s">
        <v>517</v>
      </c>
      <c r="V110" t="s">
        <v>84</v>
      </c>
      <c r="W110" t="s">
        <v>65</v>
      </c>
      <c r="X110" t="s">
        <v>507</v>
      </c>
      <c r="Y110" t="s">
        <v>508</v>
      </c>
      <c r="Z110" t="s">
        <v>70</v>
      </c>
      <c r="AA110" t="b">
        <f>ISNUMBER(SEARCH(";"&amp;Lessons[[#This Row],[Instrument__c]]&amp;";",";"&amp;_xlfn.XLOOKUP(Lessons[[#This Row],[Instructor_External_Id__c]], Instructors[Id], Instructors[Instruments_Taught__c])&amp;";"))</f>
        <v>1</v>
      </c>
      <c r="AB110" t="str">
        <f>IF(LEFT(Lessons[[#This Row],[Status__c]],9)="Cancelled","",Lessons[[#This Row],[Instructor_External_Id__c]]&amp;"|"&amp;TEXT(Lessons[[#This Row],[Lesson_Date__c]],"yyyy-mm-dd")&amp;"|"&amp;Lessons[[#This Row],[Start_Time__c]])</f>
        <v>a06ak00000amzBjAAI|2026-09-06|17:00:00.000Z</v>
      </c>
      <c r="AC110">
        <f>IF(Lessons[[#This Row],[Double Booked Key]]="","",COUNTIF(Lessons[Double Booked Key],Lessons[[#This Row],[Double Booked Key]]))</f>
        <v>1</v>
      </c>
      <c r="AD110" s="6" t="str">
        <f>_xlfn.XLOOKUP(Lessons[[#This Row],[Location_External_Id__c]], Locations[Location Id], Locations[Location Name])</f>
        <v>Red Bank</v>
      </c>
      <c r="AE110" s="6" t="str">
        <f>TEXT(Lessons[[#This Row],[Lesson_Date__c]], "yyyy-mm")</f>
        <v>2026-09</v>
      </c>
      <c r="AF110" s="6" t="str">
        <f>IF(Lessons[[#This Row],[Lesson_Date__c]]&lt;=Data_Audit!$F$1, "Yes", "No")</f>
        <v>Yes</v>
      </c>
    </row>
    <row r="111" spans="1:32">
      <c r="A111" t="s">
        <v>52</v>
      </c>
      <c r="B111" t="s">
        <v>53</v>
      </c>
      <c r="C111">
        <v>30</v>
      </c>
      <c r="D111" t="s">
        <v>518</v>
      </c>
      <c r="E111" t="s">
        <v>503</v>
      </c>
      <c r="F111" t="s">
        <v>504</v>
      </c>
      <c r="G111" t="s">
        <v>106</v>
      </c>
      <c r="H111" t="s">
        <v>461</v>
      </c>
      <c r="I111" t="b">
        <v>0</v>
      </c>
      <c r="K111" t="s">
        <v>52</v>
      </c>
      <c r="L111" t="s">
        <v>70</v>
      </c>
      <c r="M111" t="s">
        <v>478</v>
      </c>
      <c r="N111" t="s">
        <v>478</v>
      </c>
      <c r="O111" s="1">
        <v>46193</v>
      </c>
      <c r="P111" t="s">
        <v>519</v>
      </c>
      <c r="Q111" t="s">
        <v>520</v>
      </c>
      <c r="R111" t="s">
        <v>63</v>
      </c>
      <c r="S111" t="b">
        <v>0</v>
      </c>
      <c r="T111" t="b">
        <v>0</v>
      </c>
      <c r="U111" t="s">
        <v>520</v>
      </c>
      <c r="V111" t="s">
        <v>116</v>
      </c>
      <c r="W111" t="s">
        <v>65</v>
      </c>
      <c r="X111" t="s">
        <v>507</v>
      </c>
      <c r="Y111" t="s">
        <v>508</v>
      </c>
      <c r="Z111" t="s">
        <v>70</v>
      </c>
      <c r="AA111" t="b">
        <f>ISNUMBER(SEARCH(";"&amp;Lessons[[#This Row],[Instrument__c]]&amp;";",";"&amp;_xlfn.XLOOKUP(Lessons[[#This Row],[Instructor_External_Id__c]], Instructors[Id], Instructors[Instruments_Taught__c])&amp;";"))</f>
        <v>1</v>
      </c>
      <c r="AB111" t="str">
        <f>IF(LEFT(Lessons[[#This Row],[Status__c]],9)="Cancelled","",Lessons[[#This Row],[Instructor_External_Id__c]]&amp;"|"&amp;TEXT(Lessons[[#This Row],[Lesson_Date__c]],"yyyy-mm-dd")&amp;"|"&amp;Lessons[[#This Row],[Start_Time__c]])</f>
        <v>a06ak00000amzBjAAI|2026-06-20|17:30:00.000Z</v>
      </c>
      <c r="AC111">
        <f>IF(Lessons[[#This Row],[Double Booked Key]]="","",COUNTIF(Lessons[Double Booked Key],Lessons[[#This Row],[Double Booked Key]]))</f>
        <v>1</v>
      </c>
      <c r="AD111" s="6" t="str">
        <f>_xlfn.XLOOKUP(Lessons[[#This Row],[Location_External_Id__c]], Locations[Location Id], Locations[Location Name])</f>
        <v>Red Bank</v>
      </c>
      <c r="AE111" s="6" t="str">
        <f>TEXT(Lessons[[#This Row],[Lesson_Date__c]], "yyyy-mm")</f>
        <v>2026-06</v>
      </c>
      <c r="AF111" s="6" t="str">
        <f>IF(Lessons[[#This Row],[Lesson_Date__c]]&lt;=Data_Audit!$F$1, "Yes", "No")</f>
        <v>Yes</v>
      </c>
    </row>
    <row r="112" spans="1:32">
      <c r="A112" t="s">
        <v>52</v>
      </c>
      <c r="B112" t="s">
        <v>53</v>
      </c>
      <c r="C112">
        <v>60</v>
      </c>
      <c r="D112" t="s">
        <v>521</v>
      </c>
      <c r="E112" t="s">
        <v>503</v>
      </c>
      <c r="F112" t="s">
        <v>504</v>
      </c>
      <c r="H112" t="s">
        <v>461</v>
      </c>
      <c r="I112" t="b">
        <v>0</v>
      </c>
      <c r="K112" t="s">
        <v>52</v>
      </c>
      <c r="L112" t="s">
        <v>70</v>
      </c>
      <c r="M112" t="s">
        <v>478</v>
      </c>
      <c r="N112" t="s">
        <v>478</v>
      </c>
      <c r="O112" s="1">
        <v>46107</v>
      </c>
      <c r="P112" t="s">
        <v>522</v>
      </c>
      <c r="Q112" t="s">
        <v>523</v>
      </c>
      <c r="R112" t="s">
        <v>63</v>
      </c>
      <c r="S112" t="b">
        <v>0</v>
      </c>
      <c r="T112" t="b">
        <v>0</v>
      </c>
      <c r="U112" t="s">
        <v>523</v>
      </c>
      <c r="V112" t="s">
        <v>128</v>
      </c>
      <c r="W112" t="s">
        <v>121</v>
      </c>
      <c r="X112" t="s">
        <v>507</v>
      </c>
      <c r="Y112" t="s">
        <v>508</v>
      </c>
      <c r="Z112" t="s">
        <v>70</v>
      </c>
      <c r="AA112" t="b">
        <f>ISNUMBER(SEARCH(";"&amp;Lessons[[#This Row],[Instrument__c]]&amp;";",";"&amp;_xlfn.XLOOKUP(Lessons[[#This Row],[Instructor_External_Id__c]], Instructors[Id], Instructors[Instruments_Taught__c])&amp;";"))</f>
        <v>1</v>
      </c>
      <c r="AB112" t="str">
        <f>IF(LEFT(Lessons[[#This Row],[Status__c]],9)="Cancelled","",Lessons[[#This Row],[Instructor_External_Id__c]]&amp;"|"&amp;TEXT(Lessons[[#This Row],[Lesson_Date__c]],"yyyy-mm-dd")&amp;"|"&amp;Lessons[[#This Row],[Start_Time__c]])</f>
        <v>a06ak00000amzBjAAI|2026-03-26|18:30:00.000Z</v>
      </c>
      <c r="AC112">
        <f>IF(Lessons[[#This Row],[Double Booked Key]]="","",COUNTIF(Lessons[Double Booked Key],Lessons[[#This Row],[Double Booked Key]]))</f>
        <v>1</v>
      </c>
      <c r="AD112" s="6" t="str">
        <f>_xlfn.XLOOKUP(Lessons[[#This Row],[Location_External_Id__c]], Locations[Location Id], Locations[Location Name])</f>
        <v>Red Bank</v>
      </c>
      <c r="AE112" s="6" t="str">
        <f>TEXT(Lessons[[#This Row],[Lesson_Date__c]], "yyyy-mm")</f>
        <v>2026-03</v>
      </c>
      <c r="AF112" s="6" t="str">
        <f>IF(Lessons[[#This Row],[Lesson_Date__c]]&lt;=Data_Audit!$F$1, "Yes", "No")</f>
        <v>Yes</v>
      </c>
    </row>
    <row r="113" spans="1:32">
      <c r="A113" t="s">
        <v>52</v>
      </c>
      <c r="B113" t="s">
        <v>53</v>
      </c>
      <c r="C113">
        <v>30</v>
      </c>
      <c r="D113" t="s">
        <v>524</v>
      </c>
      <c r="E113" t="s">
        <v>525</v>
      </c>
      <c r="F113" t="s">
        <v>526</v>
      </c>
      <c r="G113" t="s">
        <v>106</v>
      </c>
      <c r="H113" t="s">
        <v>527</v>
      </c>
      <c r="I113" t="b">
        <v>0</v>
      </c>
      <c r="K113" t="s">
        <v>52</v>
      </c>
      <c r="L113" t="s">
        <v>70</v>
      </c>
      <c r="M113" t="s">
        <v>478</v>
      </c>
      <c r="N113" t="s">
        <v>478</v>
      </c>
      <c r="O113" s="1">
        <v>46248</v>
      </c>
      <c r="P113" t="s">
        <v>528</v>
      </c>
      <c r="Q113" t="s">
        <v>529</v>
      </c>
      <c r="R113" t="s">
        <v>63</v>
      </c>
      <c r="S113" t="b">
        <v>0</v>
      </c>
      <c r="T113" t="b">
        <v>0</v>
      </c>
      <c r="U113" t="s">
        <v>529</v>
      </c>
      <c r="V113" t="s">
        <v>120</v>
      </c>
      <c r="W113" t="s">
        <v>65</v>
      </c>
      <c r="X113" t="s">
        <v>530</v>
      </c>
      <c r="Y113" t="s">
        <v>531</v>
      </c>
      <c r="Z113" t="s">
        <v>70</v>
      </c>
      <c r="AA113" t="b">
        <f>ISNUMBER(SEARCH(";"&amp;Lessons[[#This Row],[Instrument__c]]&amp;";",";"&amp;_xlfn.XLOOKUP(Lessons[[#This Row],[Instructor_External_Id__c]], Instructors[Id], Instructors[Instruments_Taught__c])&amp;";"))</f>
        <v>1</v>
      </c>
      <c r="AB113" t="str">
        <f>IF(LEFT(Lessons[[#This Row],[Status__c]],9)="Cancelled","",Lessons[[#This Row],[Instructor_External_Id__c]]&amp;"|"&amp;TEXT(Lessons[[#This Row],[Lesson_Date__c]],"yyyy-mm-dd")&amp;"|"&amp;Lessons[[#This Row],[Start_Time__c]])</f>
        <v>a06ak00000amzC7AAI|2026-08-14|18:00:00.000Z</v>
      </c>
      <c r="AC113">
        <f>IF(Lessons[[#This Row],[Double Booked Key]]="","",COUNTIF(Lessons[Double Booked Key],Lessons[[#This Row],[Double Booked Key]]))</f>
        <v>1</v>
      </c>
      <c r="AD113" s="6" t="str">
        <f>_xlfn.XLOOKUP(Lessons[[#This Row],[Location_External_Id__c]], Locations[Location Id], Locations[Location Name])</f>
        <v>Red Bank</v>
      </c>
      <c r="AE113" s="6" t="str">
        <f>TEXT(Lessons[[#This Row],[Lesson_Date__c]], "yyyy-mm")</f>
        <v>2026-08</v>
      </c>
      <c r="AF113" s="6" t="str">
        <f>IF(Lessons[[#This Row],[Lesson_Date__c]]&lt;=Data_Audit!$F$1, "Yes", "No")</f>
        <v>Yes</v>
      </c>
    </row>
    <row r="114" spans="1:32">
      <c r="A114" t="s">
        <v>52</v>
      </c>
      <c r="B114" t="s">
        <v>53</v>
      </c>
      <c r="C114">
        <v>30</v>
      </c>
      <c r="D114" t="s">
        <v>532</v>
      </c>
      <c r="E114" t="s">
        <v>525</v>
      </c>
      <c r="F114" t="s">
        <v>526</v>
      </c>
      <c r="G114" t="s">
        <v>99</v>
      </c>
      <c r="H114" t="s">
        <v>527</v>
      </c>
      <c r="I114" t="b">
        <v>0</v>
      </c>
      <c r="K114" t="s">
        <v>52</v>
      </c>
      <c r="L114" t="s">
        <v>70</v>
      </c>
      <c r="M114" t="s">
        <v>478</v>
      </c>
      <c r="N114" t="s">
        <v>478</v>
      </c>
      <c r="O114" s="1">
        <v>46217</v>
      </c>
      <c r="P114" t="s">
        <v>533</v>
      </c>
      <c r="Q114" t="s">
        <v>534</v>
      </c>
      <c r="R114" t="s">
        <v>63</v>
      </c>
      <c r="S114" t="b">
        <v>0</v>
      </c>
      <c r="T114" t="b">
        <v>0</v>
      </c>
      <c r="U114" t="s">
        <v>534</v>
      </c>
      <c r="V114" t="s">
        <v>94</v>
      </c>
      <c r="W114" t="s">
        <v>65</v>
      </c>
      <c r="X114" t="s">
        <v>530</v>
      </c>
      <c r="Y114" t="s">
        <v>531</v>
      </c>
      <c r="Z114" t="s">
        <v>70</v>
      </c>
      <c r="AA114" t="b">
        <f>ISNUMBER(SEARCH(";"&amp;Lessons[[#This Row],[Instrument__c]]&amp;";",";"&amp;_xlfn.XLOOKUP(Lessons[[#This Row],[Instructor_External_Id__c]], Instructors[Id], Instructors[Instruments_Taught__c])&amp;";"))</f>
        <v>1</v>
      </c>
      <c r="AB114" t="str">
        <f>IF(LEFT(Lessons[[#This Row],[Status__c]],9)="Cancelled","",Lessons[[#This Row],[Instructor_External_Id__c]]&amp;"|"&amp;TEXT(Lessons[[#This Row],[Lesson_Date__c]],"yyyy-mm-dd")&amp;"|"&amp;Lessons[[#This Row],[Start_Time__c]])</f>
        <v>a06ak00000amzC7AAI|2026-07-14|19:00:00.000Z</v>
      </c>
      <c r="AC114">
        <f>IF(Lessons[[#This Row],[Double Booked Key]]="","",COUNTIF(Lessons[Double Booked Key],Lessons[[#This Row],[Double Booked Key]]))</f>
        <v>1</v>
      </c>
      <c r="AD114" s="6" t="str">
        <f>_xlfn.XLOOKUP(Lessons[[#This Row],[Location_External_Id__c]], Locations[Location Id], Locations[Location Name])</f>
        <v>Red Bank</v>
      </c>
      <c r="AE114" s="6" t="str">
        <f>TEXT(Lessons[[#This Row],[Lesson_Date__c]], "yyyy-mm")</f>
        <v>2026-07</v>
      </c>
      <c r="AF114" s="6" t="str">
        <f>IF(Lessons[[#This Row],[Lesson_Date__c]]&lt;=Data_Audit!$F$1, "Yes", "No")</f>
        <v>Yes</v>
      </c>
    </row>
    <row r="115" spans="1:32">
      <c r="A115" t="s">
        <v>52</v>
      </c>
      <c r="B115" t="s">
        <v>53</v>
      </c>
      <c r="C115">
        <v>30</v>
      </c>
      <c r="D115" t="s">
        <v>535</v>
      </c>
      <c r="E115" t="s">
        <v>525</v>
      </c>
      <c r="F115" t="s">
        <v>526</v>
      </c>
      <c r="H115" t="s">
        <v>527</v>
      </c>
      <c r="I115" t="b">
        <v>0</v>
      </c>
      <c r="K115" t="s">
        <v>52</v>
      </c>
      <c r="L115" t="s">
        <v>70</v>
      </c>
      <c r="M115" t="s">
        <v>478</v>
      </c>
      <c r="N115" t="s">
        <v>478</v>
      </c>
      <c r="O115" s="1">
        <v>46249</v>
      </c>
      <c r="P115" t="s">
        <v>536</v>
      </c>
      <c r="Q115" t="s">
        <v>537</v>
      </c>
      <c r="R115" t="s">
        <v>63</v>
      </c>
      <c r="S115" t="b">
        <v>0</v>
      </c>
      <c r="T115" t="b">
        <v>0</v>
      </c>
      <c r="U115" t="s">
        <v>537</v>
      </c>
      <c r="V115" t="s">
        <v>116</v>
      </c>
      <c r="W115" t="s">
        <v>121</v>
      </c>
      <c r="X115" t="s">
        <v>530</v>
      </c>
      <c r="Y115" t="s">
        <v>531</v>
      </c>
      <c r="Z115" t="s">
        <v>70</v>
      </c>
      <c r="AA115" t="b">
        <f>ISNUMBER(SEARCH(";"&amp;Lessons[[#This Row],[Instrument__c]]&amp;";",";"&amp;_xlfn.XLOOKUP(Lessons[[#This Row],[Instructor_External_Id__c]], Instructors[Id], Instructors[Instruments_Taught__c])&amp;";"))</f>
        <v>1</v>
      </c>
      <c r="AB115" t="str">
        <f>IF(LEFT(Lessons[[#This Row],[Status__c]],9)="Cancelled","",Lessons[[#This Row],[Instructor_External_Id__c]]&amp;"|"&amp;TEXT(Lessons[[#This Row],[Lesson_Date__c]],"yyyy-mm-dd")&amp;"|"&amp;Lessons[[#This Row],[Start_Time__c]])</f>
        <v>a06ak00000amzC7AAI|2026-08-15|17:30:00.000Z</v>
      </c>
      <c r="AC115">
        <f>IF(Lessons[[#This Row],[Double Booked Key]]="","",COUNTIF(Lessons[Double Booked Key],Lessons[[#This Row],[Double Booked Key]]))</f>
        <v>1</v>
      </c>
      <c r="AD115" s="6" t="str">
        <f>_xlfn.XLOOKUP(Lessons[[#This Row],[Location_External_Id__c]], Locations[Location Id], Locations[Location Name])</f>
        <v>Red Bank</v>
      </c>
      <c r="AE115" s="6" t="str">
        <f>TEXT(Lessons[[#This Row],[Lesson_Date__c]], "yyyy-mm")</f>
        <v>2026-08</v>
      </c>
      <c r="AF115" s="6" t="str">
        <f>IF(Lessons[[#This Row],[Lesson_Date__c]]&lt;=Data_Audit!$F$1, "Yes", "No")</f>
        <v>Yes</v>
      </c>
    </row>
    <row r="116" spans="1:32">
      <c r="A116" t="s">
        <v>52</v>
      </c>
      <c r="B116" t="s">
        <v>53</v>
      </c>
      <c r="C116">
        <v>60</v>
      </c>
      <c r="D116" t="s">
        <v>538</v>
      </c>
      <c r="E116" t="s">
        <v>525</v>
      </c>
      <c r="F116" t="s">
        <v>526</v>
      </c>
      <c r="G116" t="s">
        <v>99</v>
      </c>
      <c r="H116" t="s">
        <v>527</v>
      </c>
      <c r="I116" t="b">
        <v>0</v>
      </c>
      <c r="K116" t="s">
        <v>52</v>
      </c>
      <c r="L116" t="s">
        <v>70</v>
      </c>
      <c r="M116" t="s">
        <v>478</v>
      </c>
      <c r="N116" t="s">
        <v>478</v>
      </c>
      <c r="O116" s="1">
        <v>46233</v>
      </c>
      <c r="P116" t="s">
        <v>539</v>
      </c>
      <c r="Q116" t="s">
        <v>540</v>
      </c>
      <c r="R116" t="s">
        <v>63</v>
      </c>
      <c r="S116" t="b">
        <v>0</v>
      </c>
      <c r="T116" t="b">
        <v>0</v>
      </c>
      <c r="U116" t="s">
        <v>540</v>
      </c>
      <c r="V116" t="s">
        <v>140</v>
      </c>
      <c r="W116" t="s">
        <v>65</v>
      </c>
      <c r="X116" t="s">
        <v>530</v>
      </c>
      <c r="Y116" t="s">
        <v>531</v>
      </c>
      <c r="Z116" t="s">
        <v>70</v>
      </c>
      <c r="AA116" t="b">
        <f>ISNUMBER(SEARCH(";"&amp;Lessons[[#This Row],[Instrument__c]]&amp;";",";"&amp;_xlfn.XLOOKUP(Lessons[[#This Row],[Instructor_External_Id__c]], Instructors[Id], Instructors[Instruments_Taught__c])&amp;";"))</f>
        <v>1</v>
      </c>
      <c r="AB116" t="str">
        <f>IF(LEFT(Lessons[[#This Row],[Status__c]],9)="Cancelled","",Lessons[[#This Row],[Instructor_External_Id__c]]&amp;"|"&amp;TEXT(Lessons[[#This Row],[Lesson_Date__c]],"yyyy-mm-dd")&amp;"|"&amp;Lessons[[#This Row],[Start_Time__c]])</f>
        <v>a06ak00000amzC7AAI|2026-07-30|15:00:00.000Z</v>
      </c>
      <c r="AC116">
        <f>IF(Lessons[[#This Row],[Double Booked Key]]="","",COUNTIF(Lessons[Double Booked Key],Lessons[[#This Row],[Double Booked Key]]))</f>
        <v>1</v>
      </c>
      <c r="AD116" s="6" t="str">
        <f>_xlfn.XLOOKUP(Lessons[[#This Row],[Location_External_Id__c]], Locations[Location Id], Locations[Location Name])</f>
        <v>Red Bank</v>
      </c>
      <c r="AE116" s="6" t="str">
        <f>TEXT(Lessons[[#This Row],[Lesson_Date__c]], "yyyy-mm")</f>
        <v>2026-07</v>
      </c>
      <c r="AF116" s="6" t="str">
        <f>IF(Lessons[[#This Row],[Lesson_Date__c]]&lt;=Data_Audit!$F$1, "Yes", "No")</f>
        <v>Yes</v>
      </c>
    </row>
    <row r="117" spans="1:32">
      <c r="A117" t="s">
        <v>52</v>
      </c>
      <c r="B117" t="s">
        <v>53</v>
      </c>
      <c r="C117">
        <v>45</v>
      </c>
      <c r="D117" t="s">
        <v>541</v>
      </c>
      <c r="E117" t="s">
        <v>525</v>
      </c>
      <c r="F117" t="s">
        <v>526</v>
      </c>
      <c r="G117" t="s">
        <v>164</v>
      </c>
      <c r="H117" t="s">
        <v>527</v>
      </c>
      <c r="I117" t="b">
        <v>0</v>
      </c>
      <c r="K117" t="s">
        <v>52</v>
      </c>
      <c r="L117" t="s">
        <v>70</v>
      </c>
      <c r="M117" t="s">
        <v>478</v>
      </c>
      <c r="N117" t="s">
        <v>478</v>
      </c>
      <c r="O117" s="1">
        <v>46150</v>
      </c>
      <c r="P117" t="s">
        <v>542</v>
      </c>
      <c r="Q117" t="s">
        <v>543</v>
      </c>
      <c r="R117" t="s">
        <v>63</v>
      </c>
      <c r="S117" t="b">
        <v>0</v>
      </c>
      <c r="T117" t="b">
        <v>0</v>
      </c>
      <c r="U117" t="s">
        <v>543</v>
      </c>
      <c r="V117" t="s">
        <v>64</v>
      </c>
      <c r="W117" t="s">
        <v>65</v>
      </c>
      <c r="X117" t="s">
        <v>530</v>
      </c>
      <c r="Y117" t="s">
        <v>531</v>
      </c>
      <c r="Z117" t="s">
        <v>70</v>
      </c>
      <c r="AA117" t="b">
        <f>ISNUMBER(SEARCH(";"&amp;Lessons[[#This Row],[Instrument__c]]&amp;";",";"&amp;_xlfn.XLOOKUP(Lessons[[#This Row],[Instructor_External_Id__c]], Instructors[Id], Instructors[Instruments_Taught__c])&amp;";"))</f>
        <v>1</v>
      </c>
      <c r="AB117" t="str">
        <f>IF(LEFT(Lessons[[#This Row],[Status__c]],9)="Cancelled","",Lessons[[#This Row],[Instructor_External_Id__c]]&amp;"|"&amp;TEXT(Lessons[[#This Row],[Lesson_Date__c]],"yyyy-mm-dd")&amp;"|"&amp;Lessons[[#This Row],[Start_Time__c]])</f>
        <v>a06ak00000amzC7AAI|2026-05-08|11:00:00.000Z</v>
      </c>
      <c r="AC117">
        <f>IF(Lessons[[#This Row],[Double Booked Key]]="","",COUNTIF(Lessons[Double Booked Key],Lessons[[#This Row],[Double Booked Key]]))</f>
        <v>1</v>
      </c>
      <c r="AD117" s="6" t="str">
        <f>_xlfn.XLOOKUP(Lessons[[#This Row],[Location_External_Id__c]], Locations[Location Id], Locations[Location Name])</f>
        <v>Red Bank</v>
      </c>
      <c r="AE117" s="6" t="str">
        <f>TEXT(Lessons[[#This Row],[Lesson_Date__c]], "yyyy-mm")</f>
        <v>2026-05</v>
      </c>
      <c r="AF117" s="6" t="str">
        <f>IF(Lessons[[#This Row],[Lesson_Date__c]]&lt;=Data_Audit!$F$1, "Yes", "No")</f>
        <v>Yes</v>
      </c>
    </row>
    <row r="118" spans="1:32">
      <c r="A118" t="s">
        <v>52</v>
      </c>
      <c r="B118" t="s">
        <v>53</v>
      </c>
      <c r="C118">
        <v>45</v>
      </c>
      <c r="D118" t="s">
        <v>544</v>
      </c>
      <c r="E118" t="s">
        <v>525</v>
      </c>
      <c r="F118" t="s">
        <v>526</v>
      </c>
      <c r="H118" t="s">
        <v>527</v>
      </c>
      <c r="I118" t="b">
        <v>0</v>
      </c>
      <c r="K118" t="s">
        <v>52</v>
      </c>
      <c r="L118" t="s">
        <v>70</v>
      </c>
      <c r="M118" t="s">
        <v>478</v>
      </c>
      <c r="N118" t="s">
        <v>478</v>
      </c>
      <c r="O118" s="1">
        <v>46122</v>
      </c>
      <c r="P118" t="s">
        <v>545</v>
      </c>
      <c r="Q118" t="s">
        <v>546</v>
      </c>
      <c r="R118" t="s">
        <v>63</v>
      </c>
      <c r="S118" t="b">
        <v>0</v>
      </c>
      <c r="T118" t="b">
        <v>0</v>
      </c>
      <c r="U118" t="s">
        <v>546</v>
      </c>
      <c r="V118" t="s">
        <v>116</v>
      </c>
      <c r="W118" t="s">
        <v>121</v>
      </c>
      <c r="X118" t="s">
        <v>530</v>
      </c>
      <c r="Y118" t="s">
        <v>531</v>
      </c>
      <c r="Z118" t="s">
        <v>70</v>
      </c>
      <c r="AA118" t="b">
        <f>ISNUMBER(SEARCH(";"&amp;Lessons[[#This Row],[Instrument__c]]&amp;";",";"&amp;_xlfn.XLOOKUP(Lessons[[#This Row],[Instructor_External_Id__c]], Instructors[Id], Instructors[Instruments_Taught__c])&amp;";"))</f>
        <v>1</v>
      </c>
      <c r="AB118" t="str">
        <f>IF(LEFT(Lessons[[#This Row],[Status__c]],9)="Cancelled","",Lessons[[#This Row],[Instructor_External_Id__c]]&amp;"|"&amp;TEXT(Lessons[[#This Row],[Lesson_Date__c]],"yyyy-mm-dd")&amp;"|"&amp;Lessons[[#This Row],[Start_Time__c]])</f>
        <v>a06ak00000amzC7AAI|2026-04-10|17:30:00.000Z</v>
      </c>
      <c r="AC118">
        <f>IF(Lessons[[#This Row],[Double Booked Key]]="","",COUNTIF(Lessons[Double Booked Key],Lessons[[#This Row],[Double Booked Key]]))</f>
        <v>1</v>
      </c>
      <c r="AD118" s="6" t="str">
        <f>_xlfn.XLOOKUP(Lessons[[#This Row],[Location_External_Id__c]], Locations[Location Id], Locations[Location Name])</f>
        <v>Red Bank</v>
      </c>
      <c r="AE118" s="6" t="str">
        <f>TEXT(Lessons[[#This Row],[Lesson_Date__c]], "yyyy-mm")</f>
        <v>2026-04</v>
      </c>
      <c r="AF118" s="6" t="str">
        <f>IF(Lessons[[#This Row],[Lesson_Date__c]]&lt;=Data_Audit!$F$1, "Yes", "No")</f>
        <v>Yes</v>
      </c>
    </row>
    <row r="119" spans="1:32">
      <c r="A119" t="s">
        <v>52</v>
      </c>
      <c r="B119" t="s">
        <v>53</v>
      </c>
      <c r="C119">
        <v>45</v>
      </c>
      <c r="D119" t="s">
        <v>547</v>
      </c>
      <c r="E119" t="s">
        <v>548</v>
      </c>
      <c r="F119" t="s">
        <v>549</v>
      </c>
      <c r="G119" t="s">
        <v>164</v>
      </c>
      <c r="H119" t="s">
        <v>203</v>
      </c>
      <c r="I119" t="b">
        <v>0</v>
      </c>
      <c r="K119" t="s">
        <v>52</v>
      </c>
      <c r="L119" t="s">
        <v>70</v>
      </c>
      <c r="M119" t="s">
        <v>478</v>
      </c>
      <c r="N119" t="s">
        <v>478</v>
      </c>
      <c r="O119" s="1">
        <v>46223</v>
      </c>
      <c r="P119" t="s">
        <v>550</v>
      </c>
      <c r="Q119" t="s">
        <v>551</v>
      </c>
      <c r="R119" t="s">
        <v>83</v>
      </c>
      <c r="S119" t="b">
        <v>0</v>
      </c>
      <c r="T119" t="b">
        <v>0</v>
      </c>
      <c r="U119" t="s">
        <v>551</v>
      </c>
      <c r="V119" t="s">
        <v>140</v>
      </c>
      <c r="W119" t="s">
        <v>65</v>
      </c>
      <c r="X119" t="s">
        <v>552</v>
      </c>
      <c r="Y119" t="s">
        <v>553</v>
      </c>
      <c r="Z119" t="s">
        <v>70</v>
      </c>
      <c r="AA119" t="b">
        <f>ISNUMBER(SEARCH(";"&amp;Lessons[[#This Row],[Instrument__c]]&amp;";",";"&amp;_xlfn.XLOOKUP(Lessons[[#This Row],[Instructor_External_Id__c]], Instructors[Id], Instructors[Instruments_Taught__c])&amp;";"))</f>
        <v>1</v>
      </c>
      <c r="AB119" t="str">
        <f>IF(LEFT(Lessons[[#This Row],[Status__c]],9)="Cancelled","",Lessons[[#This Row],[Instructor_External_Id__c]]&amp;"|"&amp;TEXT(Lessons[[#This Row],[Lesson_Date__c]],"yyyy-mm-dd")&amp;"|"&amp;Lessons[[#This Row],[Start_Time__c]])</f>
        <v>a06ak00000amzCHAAY|2026-07-20|15:00:00.000Z</v>
      </c>
      <c r="AC119">
        <f>IF(Lessons[[#This Row],[Double Booked Key]]="","",COUNTIF(Lessons[Double Booked Key],Lessons[[#This Row],[Double Booked Key]]))</f>
        <v>1</v>
      </c>
      <c r="AD119" s="6" t="str">
        <f>_xlfn.XLOOKUP(Lessons[[#This Row],[Location_External_Id__c]], Locations[Location Id], Locations[Location Name])</f>
        <v>Brick</v>
      </c>
      <c r="AE119" s="6" t="str">
        <f>TEXT(Lessons[[#This Row],[Lesson_Date__c]], "yyyy-mm")</f>
        <v>2026-07</v>
      </c>
      <c r="AF119" s="6" t="str">
        <f>IF(Lessons[[#This Row],[Lesson_Date__c]]&lt;=Data_Audit!$F$1, "Yes", "No")</f>
        <v>Yes</v>
      </c>
    </row>
    <row r="120" spans="1:32">
      <c r="A120" t="s">
        <v>52</v>
      </c>
      <c r="B120" t="s">
        <v>53</v>
      </c>
      <c r="C120">
        <v>30</v>
      </c>
      <c r="D120" t="s">
        <v>554</v>
      </c>
      <c r="E120" t="s">
        <v>548</v>
      </c>
      <c r="F120" t="s">
        <v>549</v>
      </c>
      <c r="H120" t="s">
        <v>203</v>
      </c>
      <c r="I120" t="b">
        <v>0</v>
      </c>
      <c r="K120" t="s">
        <v>52</v>
      </c>
      <c r="L120" t="s">
        <v>70</v>
      </c>
      <c r="M120" t="s">
        <v>478</v>
      </c>
      <c r="N120" t="s">
        <v>478</v>
      </c>
      <c r="O120" s="1">
        <v>46183</v>
      </c>
      <c r="P120" t="s">
        <v>555</v>
      </c>
      <c r="Q120" t="s">
        <v>556</v>
      </c>
      <c r="R120" t="s">
        <v>83</v>
      </c>
      <c r="S120" t="b">
        <v>0</v>
      </c>
      <c r="T120" t="b">
        <v>0</v>
      </c>
      <c r="U120" t="s">
        <v>556</v>
      </c>
      <c r="V120" t="s">
        <v>135</v>
      </c>
      <c r="W120" t="s">
        <v>85</v>
      </c>
      <c r="X120" t="s">
        <v>552</v>
      </c>
      <c r="Y120" t="s">
        <v>553</v>
      </c>
      <c r="Z120" t="s">
        <v>70</v>
      </c>
      <c r="AA120" t="b">
        <f>ISNUMBER(SEARCH(";"&amp;Lessons[[#This Row],[Instrument__c]]&amp;";",";"&amp;_xlfn.XLOOKUP(Lessons[[#This Row],[Instructor_External_Id__c]], Instructors[Id], Instructors[Instruments_Taught__c])&amp;";"))</f>
        <v>1</v>
      </c>
      <c r="AB120" t="str">
        <f>IF(LEFT(Lessons[[#This Row],[Status__c]],9)="Cancelled","",Lessons[[#This Row],[Instructor_External_Id__c]]&amp;"|"&amp;TEXT(Lessons[[#This Row],[Lesson_Date__c]],"yyyy-mm-dd")&amp;"|"&amp;Lessons[[#This Row],[Start_Time__c]])</f>
        <v/>
      </c>
      <c r="AC120" t="str">
        <f>IF(Lessons[[#This Row],[Double Booked Key]]="","",COUNTIF(Lessons[Double Booked Key],Lessons[[#This Row],[Double Booked Key]]))</f>
        <v/>
      </c>
      <c r="AD120" s="6" t="str">
        <f>_xlfn.XLOOKUP(Lessons[[#This Row],[Location_External_Id__c]], Locations[Location Id], Locations[Location Name])</f>
        <v>Brick</v>
      </c>
      <c r="AE120" s="6" t="str">
        <f>TEXT(Lessons[[#This Row],[Lesson_Date__c]], "yyyy-mm")</f>
        <v>2026-06</v>
      </c>
      <c r="AF120" s="6" t="str">
        <f>IF(Lessons[[#This Row],[Lesson_Date__c]]&lt;=Data_Audit!$F$1, "Yes", "No")</f>
        <v>Yes</v>
      </c>
    </row>
    <row r="121" spans="1:32">
      <c r="A121" t="s">
        <v>52</v>
      </c>
      <c r="B121" t="s">
        <v>53</v>
      </c>
      <c r="C121">
        <v>45</v>
      </c>
      <c r="D121" t="s">
        <v>557</v>
      </c>
      <c r="E121" t="s">
        <v>548</v>
      </c>
      <c r="F121" t="s">
        <v>549</v>
      </c>
      <c r="G121" t="s">
        <v>57</v>
      </c>
      <c r="H121" t="s">
        <v>203</v>
      </c>
      <c r="I121" t="b">
        <v>0</v>
      </c>
      <c r="K121" t="s">
        <v>52</v>
      </c>
      <c r="L121" t="s">
        <v>70</v>
      </c>
      <c r="M121" t="s">
        <v>478</v>
      </c>
      <c r="N121" t="s">
        <v>478</v>
      </c>
      <c r="O121" s="1">
        <v>46276</v>
      </c>
      <c r="P121" t="s">
        <v>558</v>
      </c>
      <c r="Q121" t="s">
        <v>559</v>
      </c>
      <c r="R121" t="s">
        <v>83</v>
      </c>
      <c r="S121" t="b">
        <v>0</v>
      </c>
      <c r="T121" t="b">
        <v>0</v>
      </c>
      <c r="U121" t="s">
        <v>559</v>
      </c>
      <c r="V121" t="s">
        <v>128</v>
      </c>
      <c r="W121" t="s">
        <v>65</v>
      </c>
      <c r="X121" t="s">
        <v>552</v>
      </c>
      <c r="Y121" t="s">
        <v>553</v>
      </c>
      <c r="Z121" t="s">
        <v>70</v>
      </c>
      <c r="AA121" t="b">
        <f>ISNUMBER(SEARCH(";"&amp;Lessons[[#This Row],[Instrument__c]]&amp;";",";"&amp;_xlfn.XLOOKUP(Lessons[[#This Row],[Instructor_External_Id__c]], Instructors[Id], Instructors[Instruments_Taught__c])&amp;";"))</f>
        <v>1</v>
      </c>
      <c r="AB121" t="str">
        <f>IF(LEFT(Lessons[[#This Row],[Status__c]],9)="Cancelled","",Lessons[[#This Row],[Instructor_External_Id__c]]&amp;"|"&amp;TEXT(Lessons[[#This Row],[Lesson_Date__c]],"yyyy-mm-dd")&amp;"|"&amp;Lessons[[#This Row],[Start_Time__c]])</f>
        <v>a06ak00000amzCHAAY|2026-09-11|18:30:00.000Z</v>
      </c>
      <c r="AC121">
        <f>IF(Lessons[[#This Row],[Double Booked Key]]="","",COUNTIF(Lessons[Double Booked Key],Lessons[[#This Row],[Double Booked Key]]))</f>
        <v>1</v>
      </c>
      <c r="AD121" s="6" t="str">
        <f>_xlfn.XLOOKUP(Lessons[[#This Row],[Location_External_Id__c]], Locations[Location Id], Locations[Location Name])</f>
        <v>Brick</v>
      </c>
      <c r="AE121" s="6" t="str">
        <f>TEXT(Lessons[[#This Row],[Lesson_Date__c]], "yyyy-mm")</f>
        <v>2026-09</v>
      </c>
      <c r="AF121" s="6" t="str">
        <f>IF(Lessons[[#This Row],[Lesson_Date__c]]&lt;=Data_Audit!$F$1, "Yes", "No")</f>
        <v>Yes</v>
      </c>
    </row>
    <row r="122" spans="1:32">
      <c r="A122" t="s">
        <v>52</v>
      </c>
      <c r="B122" t="s">
        <v>53</v>
      </c>
      <c r="C122">
        <v>30</v>
      </c>
      <c r="D122" t="s">
        <v>560</v>
      </c>
      <c r="E122" t="s">
        <v>548</v>
      </c>
      <c r="F122" t="s">
        <v>549</v>
      </c>
      <c r="G122" t="s">
        <v>99</v>
      </c>
      <c r="H122" t="s">
        <v>203</v>
      </c>
      <c r="I122" t="b">
        <v>0</v>
      </c>
      <c r="K122" t="s">
        <v>52</v>
      </c>
      <c r="L122" t="s">
        <v>70</v>
      </c>
      <c r="M122" t="s">
        <v>478</v>
      </c>
      <c r="N122" t="s">
        <v>478</v>
      </c>
      <c r="O122" s="1">
        <v>46089</v>
      </c>
      <c r="P122" t="s">
        <v>561</v>
      </c>
      <c r="Q122" t="s">
        <v>562</v>
      </c>
      <c r="R122" t="s">
        <v>83</v>
      </c>
      <c r="S122" t="b">
        <v>0</v>
      </c>
      <c r="T122" t="b">
        <v>0</v>
      </c>
      <c r="U122" t="s">
        <v>562</v>
      </c>
      <c r="V122" t="s">
        <v>94</v>
      </c>
      <c r="W122" t="s">
        <v>65</v>
      </c>
      <c r="X122" t="s">
        <v>552</v>
      </c>
      <c r="Y122" t="s">
        <v>553</v>
      </c>
      <c r="Z122" t="s">
        <v>70</v>
      </c>
      <c r="AA122" t="b">
        <f>ISNUMBER(SEARCH(";"&amp;Lessons[[#This Row],[Instrument__c]]&amp;";",";"&amp;_xlfn.XLOOKUP(Lessons[[#This Row],[Instructor_External_Id__c]], Instructors[Id], Instructors[Instruments_Taught__c])&amp;";"))</f>
        <v>1</v>
      </c>
      <c r="AB122" t="str">
        <f>IF(LEFT(Lessons[[#This Row],[Status__c]],9)="Cancelled","",Lessons[[#This Row],[Instructor_External_Id__c]]&amp;"|"&amp;TEXT(Lessons[[#This Row],[Lesson_Date__c]],"yyyy-mm-dd")&amp;"|"&amp;Lessons[[#This Row],[Start_Time__c]])</f>
        <v>a06ak00000amzCHAAY|2026-03-08|19:00:00.000Z</v>
      </c>
      <c r="AC122">
        <f>IF(Lessons[[#This Row],[Double Booked Key]]="","",COUNTIF(Lessons[Double Booked Key],Lessons[[#This Row],[Double Booked Key]]))</f>
        <v>1</v>
      </c>
      <c r="AD122" s="6" t="str">
        <f>_xlfn.XLOOKUP(Lessons[[#This Row],[Location_External_Id__c]], Locations[Location Id], Locations[Location Name])</f>
        <v>Brick</v>
      </c>
      <c r="AE122" s="6" t="str">
        <f>TEXT(Lessons[[#This Row],[Lesson_Date__c]], "yyyy-mm")</f>
        <v>2026-03</v>
      </c>
      <c r="AF122" s="6" t="str">
        <f>IF(Lessons[[#This Row],[Lesson_Date__c]]&lt;=Data_Audit!$F$1, "Yes", "No")</f>
        <v>Yes</v>
      </c>
    </row>
    <row r="123" spans="1:32">
      <c r="A123" t="s">
        <v>52</v>
      </c>
      <c r="B123" t="s">
        <v>53</v>
      </c>
      <c r="C123">
        <v>30</v>
      </c>
      <c r="D123" t="s">
        <v>563</v>
      </c>
      <c r="E123" t="s">
        <v>548</v>
      </c>
      <c r="F123" t="s">
        <v>549</v>
      </c>
      <c r="H123" t="s">
        <v>203</v>
      </c>
      <c r="I123" t="b">
        <v>0</v>
      </c>
      <c r="K123" t="s">
        <v>52</v>
      </c>
      <c r="L123" t="s">
        <v>70</v>
      </c>
      <c r="M123" t="s">
        <v>478</v>
      </c>
      <c r="N123" t="s">
        <v>478</v>
      </c>
      <c r="O123" s="1">
        <v>46132</v>
      </c>
      <c r="P123" t="s">
        <v>564</v>
      </c>
      <c r="Q123" t="s">
        <v>565</v>
      </c>
      <c r="R123" t="s">
        <v>83</v>
      </c>
      <c r="S123" t="b">
        <v>0</v>
      </c>
      <c r="T123" t="b">
        <v>0</v>
      </c>
      <c r="U123" t="s">
        <v>565</v>
      </c>
      <c r="V123" t="s">
        <v>116</v>
      </c>
      <c r="W123" t="s">
        <v>85</v>
      </c>
      <c r="X123" t="s">
        <v>552</v>
      </c>
      <c r="Y123" t="s">
        <v>553</v>
      </c>
      <c r="Z123" t="s">
        <v>70</v>
      </c>
      <c r="AA123" t="b">
        <f>ISNUMBER(SEARCH(";"&amp;Lessons[[#This Row],[Instrument__c]]&amp;";",";"&amp;_xlfn.XLOOKUP(Lessons[[#This Row],[Instructor_External_Id__c]], Instructors[Id], Instructors[Instruments_Taught__c])&amp;";"))</f>
        <v>1</v>
      </c>
      <c r="AB123" t="str">
        <f>IF(LEFT(Lessons[[#This Row],[Status__c]],9)="Cancelled","",Lessons[[#This Row],[Instructor_External_Id__c]]&amp;"|"&amp;TEXT(Lessons[[#This Row],[Lesson_Date__c]],"yyyy-mm-dd")&amp;"|"&amp;Lessons[[#This Row],[Start_Time__c]])</f>
        <v/>
      </c>
      <c r="AC123" t="str">
        <f>IF(Lessons[[#This Row],[Double Booked Key]]="","",COUNTIF(Lessons[Double Booked Key],Lessons[[#This Row],[Double Booked Key]]))</f>
        <v/>
      </c>
      <c r="AD123" s="6" t="str">
        <f>_xlfn.XLOOKUP(Lessons[[#This Row],[Location_External_Id__c]], Locations[Location Id], Locations[Location Name])</f>
        <v>Brick</v>
      </c>
      <c r="AE123" s="6" t="str">
        <f>TEXT(Lessons[[#This Row],[Lesson_Date__c]], "yyyy-mm")</f>
        <v>2026-04</v>
      </c>
      <c r="AF123" s="6" t="str">
        <f>IF(Lessons[[#This Row],[Lesson_Date__c]]&lt;=Data_Audit!$F$1, "Yes", "No")</f>
        <v>Yes</v>
      </c>
    </row>
    <row r="124" spans="1:32">
      <c r="A124" t="s">
        <v>52</v>
      </c>
      <c r="B124" t="s">
        <v>53</v>
      </c>
      <c r="C124">
        <v>30</v>
      </c>
      <c r="D124" t="s">
        <v>566</v>
      </c>
      <c r="E124" t="s">
        <v>548</v>
      </c>
      <c r="F124" t="s">
        <v>549</v>
      </c>
      <c r="G124" t="s">
        <v>69</v>
      </c>
      <c r="H124" t="s">
        <v>203</v>
      </c>
      <c r="I124" t="b">
        <v>0</v>
      </c>
      <c r="K124" t="s">
        <v>52</v>
      </c>
      <c r="L124" t="s">
        <v>70</v>
      </c>
      <c r="M124" t="s">
        <v>478</v>
      </c>
      <c r="N124" t="s">
        <v>478</v>
      </c>
      <c r="O124" s="1">
        <v>46262</v>
      </c>
      <c r="P124" t="s">
        <v>567</v>
      </c>
      <c r="Q124" t="s">
        <v>568</v>
      </c>
      <c r="R124" t="s">
        <v>83</v>
      </c>
      <c r="S124" t="b">
        <v>0</v>
      </c>
      <c r="T124" t="b">
        <v>0</v>
      </c>
      <c r="U124" t="s">
        <v>568</v>
      </c>
      <c r="V124" t="s">
        <v>74</v>
      </c>
      <c r="W124" t="s">
        <v>65</v>
      </c>
      <c r="X124" t="s">
        <v>552</v>
      </c>
      <c r="Y124" t="s">
        <v>553</v>
      </c>
      <c r="Z124" t="s">
        <v>70</v>
      </c>
      <c r="AA124" t="b">
        <f>ISNUMBER(SEARCH(";"&amp;Lessons[[#This Row],[Instrument__c]]&amp;";",";"&amp;_xlfn.XLOOKUP(Lessons[[#This Row],[Instructor_External_Id__c]], Instructors[Id], Instructors[Instruments_Taught__c])&amp;";"))</f>
        <v>1</v>
      </c>
      <c r="AB124" t="str">
        <f>IF(LEFT(Lessons[[#This Row],[Status__c]],9)="Cancelled","",Lessons[[#This Row],[Instructor_External_Id__c]]&amp;"|"&amp;TEXT(Lessons[[#This Row],[Lesson_Date__c]],"yyyy-mm-dd")&amp;"|"&amp;Lessons[[#This Row],[Start_Time__c]])</f>
        <v>a06ak00000amzCHAAY|2026-08-28|16:30:00.000Z</v>
      </c>
      <c r="AC124">
        <f>IF(Lessons[[#This Row],[Double Booked Key]]="","",COUNTIF(Lessons[Double Booked Key],Lessons[[#This Row],[Double Booked Key]]))</f>
        <v>1</v>
      </c>
      <c r="AD124" s="6" t="str">
        <f>_xlfn.XLOOKUP(Lessons[[#This Row],[Location_External_Id__c]], Locations[Location Id], Locations[Location Name])</f>
        <v>Brick</v>
      </c>
      <c r="AE124" s="6" t="str">
        <f>TEXT(Lessons[[#This Row],[Lesson_Date__c]], "yyyy-mm")</f>
        <v>2026-08</v>
      </c>
      <c r="AF124" s="6" t="str">
        <f>IF(Lessons[[#This Row],[Lesson_Date__c]]&lt;=Data_Audit!$F$1, "Yes", "No")</f>
        <v>Yes</v>
      </c>
    </row>
    <row r="125" spans="1:32">
      <c r="A125" t="s">
        <v>52</v>
      </c>
      <c r="B125" t="s">
        <v>53</v>
      </c>
      <c r="C125">
        <v>30</v>
      </c>
      <c r="D125" t="s">
        <v>569</v>
      </c>
      <c r="E125" t="s">
        <v>548</v>
      </c>
      <c r="F125" t="s">
        <v>549</v>
      </c>
      <c r="H125" t="s">
        <v>203</v>
      </c>
      <c r="I125" t="b">
        <v>0</v>
      </c>
      <c r="K125" t="s">
        <v>52</v>
      </c>
      <c r="L125" t="s">
        <v>70</v>
      </c>
      <c r="M125" t="s">
        <v>478</v>
      </c>
      <c r="N125" t="s">
        <v>478</v>
      </c>
      <c r="O125" s="1">
        <v>46189</v>
      </c>
      <c r="P125" t="s">
        <v>570</v>
      </c>
      <c r="Q125" t="s">
        <v>571</v>
      </c>
      <c r="R125" t="s">
        <v>83</v>
      </c>
      <c r="S125" t="b">
        <v>0</v>
      </c>
      <c r="T125" t="b">
        <v>0</v>
      </c>
      <c r="U125" t="s">
        <v>571</v>
      </c>
      <c r="V125" t="s">
        <v>135</v>
      </c>
      <c r="W125" t="s">
        <v>85</v>
      </c>
      <c r="X125" t="s">
        <v>552</v>
      </c>
      <c r="Y125" t="s">
        <v>553</v>
      </c>
      <c r="Z125" t="s">
        <v>70</v>
      </c>
      <c r="AA125" t="b">
        <f>ISNUMBER(SEARCH(";"&amp;Lessons[[#This Row],[Instrument__c]]&amp;";",";"&amp;_xlfn.XLOOKUP(Lessons[[#This Row],[Instructor_External_Id__c]], Instructors[Id], Instructors[Instruments_Taught__c])&amp;";"))</f>
        <v>1</v>
      </c>
      <c r="AB125" t="str">
        <f>IF(LEFT(Lessons[[#This Row],[Status__c]],9)="Cancelled","",Lessons[[#This Row],[Instructor_External_Id__c]]&amp;"|"&amp;TEXT(Lessons[[#This Row],[Lesson_Date__c]],"yyyy-mm-dd")&amp;"|"&amp;Lessons[[#This Row],[Start_Time__c]])</f>
        <v/>
      </c>
      <c r="AC125" t="str">
        <f>IF(Lessons[[#This Row],[Double Booked Key]]="","",COUNTIF(Lessons[Double Booked Key],Lessons[[#This Row],[Double Booked Key]]))</f>
        <v/>
      </c>
      <c r="AD125" s="6" t="str">
        <f>_xlfn.XLOOKUP(Lessons[[#This Row],[Location_External_Id__c]], Locations[Location Id], Locations[Location Name])</f>
        <v>Brick</v>
      </c>
      <c r="AE125" s="6" t="str">
        <f>TEXT(Lessons[[#This Row],[Lesson_Date__c]], "yyyy-mm")</f>
        <v>2026-06</v>
      </c>
      <c r="AF125" s="6" t="str">
        <f>IF(Lessons[[#This Row],[Lesson_Date__c]]&lt;=Data_Audit!$F$1, "Yes", "No")</f>
        <v>Yes</v>
      </c>
    </row>
    <row r="126" spans="1:32">
      <c r="A126" t="s">
        <v>52</v>
      </c>
      <c r="B126" t="s">
        <v>53</v>
      </c>
      <c r="C126">
        <v>60</v>
      </c>
      <c r="D126" t="s">
        <v>572</v>
      </c>
      <c r="E126" t="s">
        <v>573</v>
      </c>
      <c r="F126" t="s">
        <v>574</v>
      </c>
      <c r="G126" t="s">
        <v>99</v>
      </c>
      <c r="H126" t="s">
        <v>147</v>
      </c>
      <c r="I126" t="b">
        <v>0</v>
      </c>
      <c r="K126" t="s">
        <v>52</v>
      </c>
      <c r="L126" t="s">
        <v>70</v>
      </c>
      <c r="O126" s="1">
        <v>46205</v>
      </c>
      <c r="P126" t="s">
        <v>575</v>
      </c>
      <c r="Q126" t="s">
        <v>576</v>
      </c>
      <c r="R126" t="s">
        <v>83</v>
      </c>
      <c r="S126" t="b">
        <v>0</v>
      </c>
      <c r="T126" t="b">
        <v>0</v>
      </c>
      <c r="U126" t="s">
        <v>576</v>
      </c>
      <c r="V126" t="s">
        <v>128</v>
      </c>
      <c r="W126" t="s">
        <v>65</v>
      </c>
      <c r="X126" t="s">
        <v>577</v>
      </c>
      <c r="Y126" t="s">
        <v>578</v>
      </c>
      <c r="Z126" t="s">
        <v>70</v>
      </c>
      <c r="AA126" t="b">
        <f>ISNUMBER(SEARCH(";"&amp;Lessons[[#This Row],[Instrument__c]]&amp;";",";"&amp;_xlfn.XLOOKUP(Lessons[[#This Row],[Instructor_External_Id__c]], Instructors[Id], Instructors[Instruments_Taught__c])&amp;";"))</f>
        <v>1</v>
      </c>
      <c r="AB126" t="str">
        <f>IF(LEFT(Lessons[[#This Row],[Status__c]],9)="Cancelled","",Lessons[[#This Row],[Instructor_External_Id__c]]&amp;"|"&amp;TEXT(Lessons[[#This Row],[Lesson_Date__c]],"yyyy-mm-dd")&amp;"|"&amp;Lessons[[#This Row],[Start_Time__c]])</f>
        <v>a06ak00000amzCCAAY|2026-07-02|18:30:00.000Z</v>
      </c>
      <c r="AC126">
        <f>IF(Lessons[[#This Row],[Double Booked Key]]="","",COUNTIF(Lessons[Double Booked Key],Lessons[[#This Row],[Double Booked Key]]))</f>
        <v>1</v>
      </c>
      <c r="AD126" s="6" t="str">
        <f>_xlfn.XLOOKUP(Lessons[[#This Row],[Location_External_Id__c]], Locations[Location Id], Locations[Location Name])</f>
        <v>Brick</v>
      </c>
      <c r="AE126" s="6" t="str">
        <f>TEXT(Lessons[[#This Row],[Lesson_Date__c]], "yyyy-mm")</f>
        <v>2026-07</v>
      </c>
      <c r="AF126" s="6" t="str">
        <f>IF(Lessons[[#This Row],[Lesson_Date__c]]&lt;=Data_Audit!$F$1, "Yes", "No")</f>
        <v>Yes</v>
      </c>
    </row>
    <row r="127" spans="1:32">
      <c r="A127" t="s">
        <v>52</v>
      </c>
      <c r="B127" t="s">
        <v>53</v>
      </c>
      <c r="C127">
        <v>60</v>
      </c>
      <c r="D127" t="s">
        <v>579</v>
      </c>
      <c r="E127" t="s">
        <v>573</v>
      </c>
      <c r="F127" t="s">
        <v>574</v>
      </c>
      <c r="G127" t="s">
        <v>164</v>
      </c>
      <c r="H127" t="s">
        <v>147</v>
      </c>
      <c r="I127" t="b">
        <v>0</v>
      </c>
      <c r="K127" t="s">
        <v>52</v>
      </c>
      <c r="L127" t="s">
        <v>70</v>
      </c>
      <c r="M127" t="s">
        <v>264</v>
      </c>
      <c r="N127" t="s">
        <v>264</v>
      </c>
      <c r="O127" s="1">
        <v>46131</v>
      </c>
      <c r="P127" t="s">
        <v>580</v>
      </c>
      <c r="Q127" t="s">
        <v>581</v>
      </c>
      <c r="R127" t="s">
        <v>83</v>
      </c>
      <c r="S127" t="b">
        <v>0</v>
      </c>
      <c r="T127" t="b">
        <v>0</v>
      </c>
      <c r="U127" t="s">
        <v>581</v>
      </c>
      <c r="V127" t="s">
        <v>128</v>
      </c>
      <c r="W127" t="s">
        <v>65</v>
      </c>
      <c r="X127" t="s">
        <v>577</v>
      </c>
      <c r="Y127" t="s">
        <v>578</v>
      </c>
      <c r="Z127" t="s">
        <v>70</v>
      </c>
      <c r="AA127" t="b">
        <f>ISNUMBER(SEARCH(";"&amp;Lessons[[#This Row],[Instrument__c]]&amp;";",";"&amp;_xlfn.XLOOKUP(Lessons[[#This Row],[Instructor_External_Id__c]], Instructors[Id], Instructors[Instruments_Taught__c])&amp;";"))</f>
        <v>1</v>
      </c>
      <c r="AB127" t="str">
        <f>IF(LEFT(Lessons[[#This Row],[Status__c]],9)="Cancelled","",Lessons[[#This Row],[Instructor_External_Id__c]]&amp;"|"&amp;TEXT(Lessons[[#This Row],[Lesson_Date__c]],"yyyy-mm-dd")&amp;"|"&amp;Lessons[[#This Row],[Start_Time__c]])</f>
        <v>a06ak00000amzCCAAY|2026-04-19|18:30:00.000Z</v>
      </c>
      <c r="AC127">
        <f>IF(Lessons[[#This Row],[Double Booked Key]]="","",COUNTIF(Lessons[Double Booked Key],Lessons[[#This Row],[Double Booked Key]]))</f>
        <v>1</v>
      </c>
      <c r="AD127" s="6" t="str">
        <f>_xlfn.XLOOKUP(Lessons[[#This Row],[Location_External_Id__c]], Locations[Location Id], Locations[Location Name])</f>
        <v>Brick</v>
      </c>
      <c r="AE127" s="6" t="str">
        <f>TEXT(Lessons[[#This Row],[Lesson_Date__c]], "yyyy-mm")</f>
        <v>2026-04</v>
      </c>
      <c r="AF127" s="6" t="str">
        <f>IF(Lessons[[#This Row],[Lesson_Date__c]]&lt;=Data_Audit!$F$1, "Yes", "No")</f>
        <v>Yes</v>
      </c>
    </row>
    <row r="128" spans="1:32">
      <c r="A128" t="s">
        <v>52</v>
      </c>
      <c r="B128" t="s">
        <v>53</v>
      </c>
      <c r="C128">
        <v>30</v>
      </c>
      <c r="D128" t="s">
        <v>582</v>
      </c>
      <c r="E128" t="s">
        <v>431</v>
      </c>
      <c r="F128" t="s">
        <v>432</v>
      </c>
      <c r="G128" t="s">
        <v>164</v>
      </c>
      <c r="H128" t="s">
        <v>461</v>
      </c>
      <c r="I128" t="b">
        <v>0</v>
      </c>
      <c r="K128" t="s">
        <v>52</v>
      </c>
      <c r="L128" t="s">
        <v>70</v>
      </c>
      <c r="M128" t="s">
        <v>478</v>
      </c>
      <c r="N128" t="s">
        <v>478</v>
      </c>
      <c r="O128" s="1">
        <v>46125</v>
      </c>
      <c r="P128" t="s">
        <v>583</v>
      </c>
      <c r="Q128" t="s">
        <v>584</v>
      </c>
      <c r="R128" t="s">
        <v>63</v>
      </c>
      <c r="S128" t="b">
        <v>0</v>
      </c>
      <c r="T128" t="b">
        <v>0</v>
      </c>
      <c r="U128" t="s">
        <v>584</v>
      </c>
      <c r="V128" t="s">
        <v>110</v>
      </c>
      <c r="W128" t="s">
        <v>65</v>
      </c>
      <c r="X128" t="s">
        <v>585</v>
      </c>
      <c r="Y128" t="s">
        <v>586</v>
      </c>
      <c r="Z128" t="s">
        <v>70</v>
      </c>
      <c r="AA128" t="b">
        <f>ISNUMBER(SEARCH(";"&amp;Lessons[[#This Row],[Instrument__c]]&amp;";",";"&amp;_xlfn.XLOOKUP(Lessons[[#This Row],[Instructor_External_Id__c]], Instructors[Id], Instructors[Instruments_Taught__c])&amp;";"))</f>
        <v>1</v>
      </c>
      <c r="AB128" t="str">
        <f>IF(LEFT(Lessons[[#This Row],[Status__c]],9)="Cancelled","",Lessons[[#This Row],[Instructor_External_Id__c]]&amp;"|"&amp;TEXT(Lessons[[#This Row],[Lesson_Date__c]],"yyyy-mm-dd")&amp;"|"&amp;Lessons[[#This Row],[Start_Time__c]])</f>
        <v>a06ak00000amzCDAAY|2026-04-13|10:00:00.000Z</v>
      </c>
      <c r="AC128">
        <f>IF(Lessons[[#This Row],[Double Booked Key]]="","",COUNTIF(Lessons[Double Booked Key],Lessons[[#This Row],[Double Booked Key]]))</f>
        <v>1</v>
      </c>
      <c r="AD128" s="6" t="str">
        <f>_xlfn.XLOOKUP(Lessons[[#This Row],[Location_External_Id__c]], Locations[Location Id], Locations[Location Name])</f>
        <v>Red Bank</v>
      </c>
      <c r="AE128" s="6" t="str">
        <f>TEXT(Lessons[[#This Row],[Lesson_Date__c]], "yyyy-mm")</f>
        <v>2026-04</v>
      </c>
      <c r="AF128" s="6" t="str">
        <f>IF(Lessons[[#This Row],[Lesson_Date__c]]&lt;=Data_Audit!$F$1, "Yes", "No")</f>
        <v>Yes</v>
      </c>
    </row>
    <row r="129" spans="1:32">
      <c r="A129" t="s">
        <v>52</v>
      </c>
      <c r="B129" t="s">
        <v>53</v>
      </c>
      <c r="C129">
        <v>30</v>
      </c>
      <c r="D129" t="s">
        <v>587</v>
      </c>
      <c r="E129" t="s">
        <v>431</v>
      </c>
      <c r="F129" t="s">
        <v>432</v>
      </c>
      <c r="G129" t="s">
        <v>106</v>
      </c>
      <c r="H129" t="s">
        <v>461</v>
      </c>
      <c r="I129" t="b">
        <v>0</v>
      </c>
      <c r="K129" t="s">
        <v>52</v>
      </c>
      <c r="L129" t="s">
        <v>70</v>
      </c>
      <c r="M129" t="s">
        <v>478</v>
      </c>
      <c r="N129" t="s">
        <v>478</v>
      </c>
      <c r="O129" s="1">
        <v>46224</v>
      </c>
      <c r="P129" t="s">
        <v>588</v>
      </c>
      <c r="Q129" t="s">
        <v>589</v>
      </c>
      <c r="R129" t="s">
        <v>63</v>
      </c>
      <c r="S129" t="b">
        <v>0</v>
      </c>
      <c r="T129" t="b">
        <v>0</v>
      </c>
      <c r="U129" t="s">
        <v>589</v>
      </c>
      <c r="V129" t="s">
        <v>128</v>
      </c>
      <c r="W129" t="s">
        <v>65</v>
      </c>
      <c r="X129" t="s">
        <v>585</v>
      </c>
      <c r="Y129" t="s">
        <v>586</v>
      </c>
      <c r="Z129" t="s">
        <v>70</v>
      </c>
      <c r="AA129" t="b">
        <f>ISNUMBER(SEARCH(";"&amp;Lessons[[#This Row],[Instrument__c]]&amp;";",";"&amp;_xlfn.XLOOKUP(Lessons[[#This Row],[Instructor_External_Id__c]], Instructors[Id], Instructors[Instruments_Taught__c])&amp;";"))</f>
        <v>1</v>
      </c>
      <c r="AB129" t="str">
        <f>IF(LEFT(Lessons[[#This Row],[Status__c]],9)="Cancelled","",Lessons[[#This Row],[Instructor_External_Id__c]]&amp;"|"&amp;TEXT(Lessons[[#This Row],[Lesson_Date__c]],"yyyy-mm-dd")&amp;"|"&amp;Lessons[[#This Row],[Start_Time__c]])</f>
        <v>a06ak00000amzCDAAY|2026-07-21|18:30:00.000Z</v>
      </c>
      <c r="AC129">
        <f>IF(Lessons[[#This Row],[Double Booked Key]]="","",COUNTIF(Lessons[Double Booked Key],Lessons[[#This Row],[Double Booked Key]]))</f>
        <v>1</v>
      </c>
      <c r="AD129" s="6" t="str">
        <f>_xlfn.XLOOKUP(Lessons[[#This Row],[Location_External_Id__c]], Locations[Location Id], Locations[Location Name])</f>
        <v>Red Bank</v>
      </c>
      <c r="AE129" s="6" t="str">
        <f>TEXT(Lessons[[#This Row],[Lesson_Date__c]], "yyyy-mm")</f>
        <v>2026-07</v>
      </c>
      <c r="AF129" s="6" t="str">
        <f>IF(Lessons[[#This Row],[Lesson_Date__c]]&lt;=Data_Audit!$F$1, "Yes", "No")</f>
        <v>Yes</v>
      </c>
    </row>
    <row r="130" spans="1:32">
      <c r="A130" t="s">
        <v>52</v>
      </c>
      <c r="B130" t="s">
        <v>53</v>
      </c>
      <c r="C130">
        <v>45</v>
      </c>
      <c r="D130" t="s">
        <v>590</v>
      </c>
      <c r="E130" t="s">
        <v>431</v>
      </c>
      <c r="F130" t="s">
        <v>432</v>
      </c>
      <c r="G130" t="s">
        <v>164</v>
      </c>
      <c r="H130" t="s">
        <v>461</v>
      </c>
      <c r="I130" t="b">
        <v>0</v>
      </c>
      <c r="K130" t="s">
        <v>52</v>
      </c>
      <c r="L130" t="s">
        <v>70</v>
      </c>
      <c r="M130" t="s">
        <v>478</v>
      </c>
      <c r="N130" t="s">
        <v>478</v>
      </c>
      <c r="O130" s="1">
        <v>46077</v>
      </c>
      <c r="P130" t="s">
        <v>591</v>
      </c>
      <c r="Q130" t="s">
        <v>592</v>
      </c>
      <c r="R130" t="s">
        <v>63</v>
      </c>
      <c r="S130" t="b">
        <v>0</v>
      </c>
      <c r="T130" t="b">
        <v>0</v>
      </c>
      <c r="U130" t="s">
        <v>592</v>
      </c>
      <c r="V130" t="s">
        <v>120</v>
      </c>
      <c r="W130" t="s">
        <v>65</v>
      </c>
      <c r="X130" t="s">
        <v>585</v>
      </c>
      <c r="Y130" t="s">
        <v>586</v>
      </c>
      <c r="Z130" t="s">
        <v>70</v>
      </c>
      <c r="AA130" t="b">
        <f>ISNUMBER(SEARCH(";"&amp;Lessons[[#This Row],[Instrument__c]]&amp;";",";"&amp;_xlfn.XLOOKUP(Lessons[[#This Row],[Instructor_External_Id__c]], Instructors[Id], Instructors[Instruments_Taught__c])&amp;";"))</f>
        <v>1</v>
      </c>
      <c r="AB130" t="str">
        <f>IF(LEFT(Lessons[[#This Row],[Status__c]],9)="Cancelled","",Lessons[[#This Row],[Instructor_External_Id__c]]&amp;"|"&amp;TEXT(Lessons[[#This Row],[Lesson_Date__c]],"yyyy-mm-dd")&amp;"|"&amp;Lessons[[#This Row],[Start_Time__c]])</f>
        <v>a06ak00000amzCDAAY|2026-02-24|18:00:00.000Z</v>
      </c>
      <c r="AC130">
        <f>IF(Lessons[[#This Row],[Double Booked Key]]="","",COUNTIF(Lessons[Double Booked Key],Lessons[[#This Row],[Double Booked Key]]))</f>
        <v>1</v>
      </c>
      <c r="AD130" s="6" t="str">
        <f>_xlfn.XLOOKUP(Lessons[[#This Row],[Location_External_Id__c]], Locations[Location Id], Locations[Location Name])</f>
        <v>Red Bank</v>
      </c>
      <c r="AE130" s="6" t="str">
        <f>TEXT(Lessons[[#This Row],[Lesson_Date__c]], "yyyy-mm")</f>
        <v>2026-02</v>
      </c>
      <c r="AF130" s="6" t="str">
        <f>IF(Lessons[[#This Row],[Lesson_Date__c]]&lt;=Data_Audit!$F$1, "Yes", "No")</f>
        <v>Yes</v>
      </c>
    </row>
    <row r="131" spans="1:32">
      <c r="A131" t="s">
        <v>52</v>
      </c>
      <c r="B131" t="s">
        <v>53</v>
      </c>
      <c r="C131">
        <v>60</v>
      </c>
      <c r="D131" t="s">
        <v>593</v>
      </c>
      <c r="E131" t="s">
        <v>431</v>
      </c>
      <c r="F131" t="s">
        <v>432</v>
      </c>
      <c r="G131" t="s">
        <v>69</v>
      </c>
      <c r="H131" t="s">
        <v>461</v>
      </c>
      <c r="I131" t="b">
        <v>0</v>
      </c>
      <c r="K131" t="s">
        <v>52</v>
      </c>
      <c r="L131" t="s">
        <v>70</v>
      </c>
      <c r="M131" t="s">
        <v>478</v>
      </c>
      <c r="N131" t="s">
        <v>478</v>
      </c>
      <c r="O131" s="1">
        <v>46150</v>
      </c>
      <c r="P131" t="s">
        <v>594</v>
      </c>
      <c r="Q131" t="s">
        <v>595</v>
      </c>
      <c r="R131" t="s">
        <v>63</v>
      </c>
      <c r="S131" t="b">
        <v>0</v>
      </c>
      <c r="T131" t="b">
        <v>0</v>
      </c>
      <c r="U131" t="s">
        <v>595</v>
      </c>
      <c r="V131" t="s">
        <v>64</v>
      </c>
      <c r="W131" t="s">
        <v>65</v>
      </c>
      <c r="X131" t="s">
        <v>585</v>
      </c>
      <c r="Y131" t="s">
        <v>586</v>
      </c>
      <c r="Z131" t="s">
        <v>70</v>
      </c>
      <c r="AA131" t="b">
        <f>ISNUMBER(SEARCH(";"&amp;Lessons[[#This Row],[Instrument__c]]&amp;";",";"&amp;_xlfn.XLOOKUP(Lessons[[#This Row],[Instructor_External_Id__c]], Instructors[Id], Instructors[Instruments_Taught__c])&amp;";"))</f>
        <v>1</v>
      </c>
      <c r="AB131" t="str">
        <f>IF(LEFT(Lessons[[#This Row],[Status__c]],9)="Cancelled","",Lessons[[#This Row],[Instructor_External_Id__c]]&amp;"|"&amp;TEXT(Lessons[[#This Row],[Lesson_Date__c]],"yyyy-mm-dd")&amp;"|"&amp;Lessons[[#This Row],[Start_Time__c]])</f>
        <v>a06ak00000amzCDAAY|2026-05-08|11:00:00.000Z</v>
      </c>
      <c r="AC131">
        <f>IF(Lessons[[#This Row],[Double Booked Key]]="","",COUNTIF(Lessons[Double Booked Key],Lessons[[#This Row],[Double Booked Key]]))</f>
        <v>1</v>
      </c>
      <c r="AD131" s="6" t="str">
        <f>_xlfn.XLOOKUP(Lessons[[#This Row],[Location_External_Id__c]], Locations[Location Id], Locations[Location Name])</f>
        <v>Red Bank</v>
      </c>
      <c r="AE131" s="6" t="str">
        <f>TEXT(Lessons[[#This Row],[Lesson_Date__c]], "yyyy-mm")</f>
        <v>2026-05</v>
      </c>
      <c r="AF131" s="6" t="str">
        <f>IF(Lessons[[#This Row],[Lesson_Date__c]]&lt;=Data_Audit!$F$1, "Yes", "No")</f>
        <v>Yes</v>
      </c>
    </row>
    <row r="132" spans="1:32">
      <c r="A132" t="s">
        <v>52</v>
      </c>
      <c r="B132" t="s">
        <v>53</v>
      </c>
      <c r="C132">
        <v>30</v>
      </c>
      <c r="D132" t="s">
        <v>596</v>
      </c>
      <c r="E132" t="s">
        <v>436</v>
      </c>
      <c r="F132" t="s">
        <v>437</v>
      </c>
      <c r="G132" t="s">
        <v>69</v>
      </c>
      <c r="H132" t="s">
        <v>461</v>
      </c>
      <c r="I132" t="b">
        <v>0</v>
      </c>
      <c r="K132" t="s">
        <v>52</v>
      </c>
      <c r="L132" t="s">
        <v>79</v>
      </c>
      <c r="M132" t="s">
        <v>478</v>
      </c>
      <c r="N132" t="s">
        <v>478</v>
      </c>
      <c r="O132" s="1">
        <v>46292</v>
      </c>
      <c r="P132" t="s">
        <v>597</v>
      </c>
      <c r="Q132" t="s">
        <v>598</v>
      </c>
      <c r="R132" t="s">
        <v>63</v>
      </c>
      <c r="S132" t="b">
        <v>0</v>
      </c>
      <c r="T132" t="b">
        <v>0</v>
      </c>
      <c r="U132" t="s">
        <v>598</v>
      </c>
      <c r="V132" t="s">
        <v>140</v>
      </c>
      <c r="W132" t="s">
        <v>65</v>
      </c>
      <c r="X132" t="s">
        <v>585</v>
      </c>
      <c r="Y132" t="s">
        <v>586</v>
      </c>
      <c r="Z132" t="s">
        <v>79</v>
      </c>
      <c r="AA132" t="b">
        <f>ISNUMBER(SEARCH(";"&amp;Lessons[[#This Row],[Instrument__c]]&amp;";",";"&amp;_xlfn.XLOOKUP(Lessons[[#This Row],[Instructor_External_Id__c]], Instructors[Id], Instructors[Instruments_Taught__c])&amp;";"))</f>
        <v>1</v>
      </c>
      <c r="AB132" t="str">
        <f>IF(LEFT(Lessons[[#This Row],[Status__c]],9)="Cancelled","",Lessons[[#This Row],[Instructor_External_Id__c]]&amp;"|"&amp;TEXT(Lessons[[#This Row],[Lesson_Date__c]],"yyyy-mm-dd")&amp;"|"&amp;Lessons[[#This Row],[Start_Time__c]])</f>
        <v>a06ak00000amzC0AAI|2026-09-27|15:00:00.000Z</v>
      </c>
      <c r="AC132">
        <f>IF(Lessons[[#This Row],[Double Booked Key]]="","",COUNTIF(Lessons[Double Booked Key],Lessons[[#This Row],[Double Booked Key]]))</f>
        <v>1</v>
      </c>
      <c r="AD132" s="6" t="str">
        <f>_xlfn.XLOOKUP(Lessons[[#This Row],[Location_External_Id__c]], Locations[Location Id], Locations[Location Name])</f>
        <v>Red Bank</v>
      </c>
      <c r="AE132" s="6" t="str">
        <f>TEXT(Lessons[[#This Row],[Lesson_Date__c]], "yyyy-mm")</f>
        <v>2026-09</v>
      </c>
      <c r="AF132" s="6" t="str">
        <f>IF(Lessons[[#This Row],[Lesson_Date__c]]&lt;=Data_Audit!$F$1, "Yes", "No")</f>
        <v>Yes</v>
      </c>
    </row>
    <row r="133" spans="1:32">
      <c r="A133" t="s">
        <v>52</v>
      </c>
      <c r="B133" t="s">
        <v>53</v>
      </c>
      <c r="C133">
        <v>30</v>
      </c>
      <c r="D133" t="s">
        <v>599</v>
      </c>
      <c r="E133" t="s">
        <v>431</v>
      </c>
      <c r="F133" t="s">
        <v>432</v>
      </c>
      <c r="H133" t="s">
        <v>461</v>
      </c>
      <c r="I133" t="b">
        <v>0</v>
      </c>
      <c r="K133" t="s">
        <v>52</v>
      </c>
      <c r="L133" t="s">
        <v>70</v>
      </c>
      <c r="M133" t="s">
        <v>478</v>
      </c>
      <c r="N133" t="s">
        <v>478</v>
      </c>
      <c r="O133" s="1">
        <v>46072</v>
      </c>
      <c r="P133" t="s">
        <v>600</v>
      </c>
      <c r="Q133" t="s">
        <v>601</v>
      </c>
      <c r="R133" t="s">
        <v>63</v>
      </c>
      <c r="S133" t="b">
        <v>0</v>
      </c>
      <c r="T133" t="b">
        <v>0</v>
      </c>
      <c r="U133" t="s">
        <v>601</v>
      </c>
      <c r="V133" t="s">
        <v>64</v>
      </c>
      <c r="W133" t="s">
        <v>65</v>
      </c>
      <c r="X133" t="s">
        <v>585</v>
      </c>
      <c r="Y133" t="s">
        <v>586</v>
      </c>
      <c r="Z133" t="s">
        <v>70</v>
      </c>
      <c r="AA133" t="b">
        <f>ISNUMBER(SEARCH(";"&amp;Lessons[[#This Row],[Instrument__c]]&amp;";",";"&amp;_xlfn.XLOOKUP(Lessons[[#This Row],[Instructor_External_Id__c]], Instructors[Id], Instructors[Instruments_Taught__c])&amp;";"))</f>
        <v>1</v>
      </c>
      <c r="AB133" t="str">
        <f>IF(LEFT(Lessons[[#This Row],[Status__c]],9)="Cancelled","",Lessons[[#This Row],[Instructor_External_Id__c]]&amp;"|"&amp;TEXT(Lessons[[#This Row],[Lesson_Date__c]],"yyyy-mm-dd")&amp;"|"&amp;Lessons[[#This Row],[Start_Time__c]])</f>
        <v>a06ak00000amzCDAAY|2026-02-19|11:00:00.000Z</v>
      </c>
      <c r="AC133">
        <f>IF(Lessons[[#This Row],[Double Booked Key]]="","",COUNTIF(Lessons[Double Booked Key],Lessons[[#This Row],[Double Booked Key]]))</f>
        <v>1</v>
      </c>
      <c r="AD133" s="6" t="str">
        <f>_xlfn.XLOOKUP(Lessons[[#This Row],[Location_External_Id__c]], Locations[Location Id], Locations[Location Name])</f>
        <v>Red Bank</v>
      </c>
      <c r="AE133" s="6" t="str">
        <f>TEXT(Lessons[[#This Row],[Lesson_Date__c]], "yyyy-mm")</f>
        <v>2026-02</v>
      </c>
      <c r="AF133" s="6" t="str">
        <f>IF(Lessons[[#This Row],[Lesson_Date__c]]&lt;=Data_Audit!$F$1, "Yes", "No")</f>
        <v>Yes</v>
      </c>
    </row>
    <row r="134" spans="1:32">
      <c r="A134" t="s">
        <v>52</v>
      </c>
      <c r="B134" t="s">
        <v>53</v>
      </c>
      <c r="C134">
        <v>30</v>
      </c>
      <c r="D134" t="s">
        <v>602</v>
      </c>
      <c r="E134" t="s">
        <v>431</v>
      </c>
      <c r="F134" t="s">
        <v>432</v>
      </c>
      <c r="G134" t="s">
        <v>57</v>
      </c>
      <c r="H134" t="s">
        <v>461</v>
      </c>
      <c r="I134" t="b">
        <v>0</v>
      </c>
      <c r="K134" t="s">
        <v>52</v>
      </c>
      <c r="L134" t="s">
        <v>70</v>
      </c>
      <c r="M134" t="s">
        <v>478</v>
      </c>
      <c r="N134" t="s">
        <v>478</v>
      </c>
      <c r="O134" s="1">
        <v>46203</v>
      </c>
      <c r="P134" t="s">
        <v>603</v>
      </c>
      <c r="Q134" t="s">
        <v>604</v>
      </c>
      <c r="R134" t="s">
        <v>63</v>
      </c>
      <c r="S134" t="b">
        <v>0</v>
      </c>
      <c r="T134" t="b">
        <v>0</v>
      </c>
      <c r="U134" t="s">
        <v>604</v>
      </c>
      <c r="V134" t="s">
        <v>110</v>
      </c>
      <c r="W134" t="s">
        <v>65</v>
      </c>
      <c r="X134" t="s">
        <v>585</v>
      </c>
      <c r="Y134" t="s">
        <v>586</v>
      </c>
      <c r="Z134" t="s">
        <v>70</v>
      </c>
      <c r="AA134" t="b">
        <f>ISNUMBER(SEARCH(";"&amp;Lessons[[#This Row],[Instrument__c]]&amp;";",";"&amp;_xlfn.XLOOKUP(Lessons[[#This Row],[Instructor_External_Id__c]], Instructors[Id], Instructors[Instruments_Taught__c])&amp;";"))</f>
        <v>1</v>
      </c>
      <c r="AB134" t="str">
        <f>IF(LEFT(Lessons[[#This Row],[Status__c]],9)="Cancelled","",Lessons[[#This Row],[Instructor_External_Id__c]]&amp;"|"&amp;TEXT(Lessons[[#This Row],[Lesson_Date__c]],"yyyy-mm-dd")&amp;"|"&amp;Lessons[[#This Row],[Start_Time__c]])</f>
        <v>a06ak00000amzCDAAY|2026-06-30|10:00:00.000Z</v>
      </c>
      <c r="AC134">
        <f>IF(Lessons[[#This Row],[Double Booked Key]]="","",COUNTIF(Lessons[Double Booked Key],Lessons[[#This Row],[Double Booked Key]]))</f>
        <v>1</v>
      </c>
      <c r="AD134" s="6" t="str">
        <f>_xlfn.XLOOKUP(Lessons[[#This Row],[Location_External_Id__c]], Locations[Location Id], Locations[Location Name])</f>
        <v>Red Bank</v>
      </c>
      <c r="AE134" s="6" t="str">
        <f>TEXT(Lessons[[#This Row],[Lesson_Date__c]], "yyyy-mm")</f>
        <v>2026-06</v>
      </c>
      <c r="AF134" s="6" t="str">
        <f>IF(Lessons[[#This Row],[Lesson_Date__c]]&lt;=Data_Audit!$F$1, "Yes", "No")</f>
        <v>Yes</v>
      </c>
    </row>
    <row r="135" spans="1:32">
      <c r="A135" t="s">
        <v>52</v>
      </c>
      <c r="B135" t="s">
        <v>53</v>
      </c>
      <c r="C135">
        <v>30</v>
      </c>
      <c r="D135" t="s">
        <v>605</v>
      </c>
      <c r="E135" t="s">
        <v>431</v>
      </c>
      <c r="F135" t="s">
        <v>432</v>
      </c>
      <c r="G135" t="s">
        <v>99</v>
      </c>
      <c r="H135" t="s">
        <v>461</v>
      </c>
      <c r="I135" t="b">
        <v>0</v>
      </c>
      <c r="K135" t="s">
        <v>52</v>
      </c>
      <c r="L135" t="s">
        <v>70</v>
      </c>
      <c r="M135" t="s">
        <v>478</v>
      </c>
      <c r="N135" t="s">
        <v>478</v>
      </c>
      <c r="O135" s="1">
        <v>46169</v>
      </c>
      <c r="P135" t="s">
        <v>606</v>
      </c>
      <c r="Q135" t="s">
        <v>607</v>
      </c>
      <c r="R135" t="s">
        <v>63</v>
      </c>
      <c r="S135" t="b">
        <v>0</v>
      </c>
      <c r="T135" t="b">
        <v>0</v>
      </c>
      <c r="U135" t="s">
        <v>607</v>
      </c>
      <c r="V135" t="s">
        <v>140</v>
      </c>
      <c r="W135" t="s">
        <v>65</v>
      </c>
      <c r="X135" t="s">
        <v>585</v>
      </c>
      <c r="Y135" t="s">
        <v>586</v>
      </c>
      <c r="Z135" t="s">
        <v>70</v>
      </c>
      <c r="AA135" t="b">
        <f>ISNUMBER(SEARCH(";"&amp;Lessons[[#This Row],[Instrument__c]]&amp;";",";"&amp;_xlfn.XLOOKUP(Lessons[[#This Row],[Instructor_External_Id__c]], Instructors[Id], Instructors[Instruments_Taught__c])&amp;";"))</f>
        <v>1</v>
      </c>
      <c r="AB135" t="str">
        <f>IF(LEFT(Lessons[[#This Row],[Status__c]],9)="Cancelled","",Lessons[[#This Row],[Instructor_External_Id__c]]&amp;"|"&amp;TEXT(Lessons[[#This Row],[Lesson_Date__c]],"yyyy-mm-dd")&amp;"|"&amp;Lessons[[#This Row],[Start_Time__c]])</f>
        <v>a06ak00000amzCDAAY|2026-05-27|15:00:00.000Z</v>
      </c>
      <c r="AC135">
        <f>IF(Lessons[[#This Row],[Double Booked Key]]="","",COUNTIF(Lessons[Double Booked Key],Lessons[[#This Row],[Double Booked Key]]))</f>
        <v>1</v>
      </c>
      <c r="AD135" s="6" t="str">
        <f>_xlfn.XLOOKUP(Lessons[[#This Row],[Location_External_Id__c]], Locations[Location Id], Locations[Location Name])</f>
        <v>Red Bank</v>
      </c>
      <c r="AE135" s="6" t="str">
        <f>TEXT(Lessons[[#This Row],[Lesson_Date__c]], "yyyy-mm")</f>
        <v>2026-05</v>
      </c>
      <c r="AF135" s="6" t="str">
        <f>IF(Lessons[[#This Row],[Lesson_Date__c]]&lt;=Data_Audit!$F$1, "Yes", "No")</f>
        <v>Yes</v>
      </c>
    </row>
    <row r="136" spans="1:32">
      <c r="A136" t="s">
        <v>52</v>
      </c>
      <c r="B136" t="s">
        <v>53</v>
      </c>
      <c r="C136">
        <v>30</v>
      </c>
      <c r="D136" t="s">
        <v>608</v>
      </c>
      <c r="E136" t="s">
        <v>337</v>
      </c>
      <c r="F136" t="s">
        <v>338</v>
      </c>
      <c r="G136" t="s">
        <v>69</v>
      </c>
      <c r="H136" t="s">
        <v>284</v>
      </c>
      <c r="I136" t="b">
        <v>0</v>
      </c>
      <c r="K136" t="s">
        <v>52</v>
      </c>
      <c r="L136" t="s">
        <v>70</v>
      </c>
      <c r="M136" t="s">
        <v>478</v>
      </c>
      <c r="N136" t="s">
        <v>478</v>
      </c>
      <c r="O136" s="1">
        <v>46242</v>
      </c>
      <c r="P136" t="s">
        <v>609</v>
      </c>
      <c r="Q136" t="s">
        <v>610</v>
      </c>
      <c r="R136" t="s">
        <v>150</v>
      </c>
      <c r="S136" t="b">
        <v>0</v>
      </c>
      <c r="T136" t="b">
        <v>0</v>
      </c>
      <c r="U136" t="s">
        <v>610</v>
      </c>
      <c r="V136" t="s">
        <v>84</v>
      </c>
      <c r="W136" t="s">
        <v>65</v>
      </c>
      <c r="X136" t="s">
        <v>611</v>
      </c>
      <c r="Y136" t="s">
        <v>612</v>
      </c>
      <c r="Z136" t="s">
        <v>70</v>
      </c>
      <c r="AA136" t="b">
        <f>ISNUMBER(SEARCH(";"&amp;Lessons[[#This Row],[Instrument__c]]&amp;";",";"&amp;_xlfn.XLOOKUP(Lessons[[#This Row],[Instructor_External_Id__c]], Instructors[Id], Instructors[Instruments_Taught__c])&amp;";"))</f>
        <v>1</v>
      </c>
      <c r="AB136" t="str">
        <f>IF(LEFT(Lessons[[#This Row],[Status__c]],9)="Cancelled","",Lessons[[#This Row],[Instructor_External_Id__c]]&amp;"|"&amp;TEXT(Lessons[[#This Row],[Lesson_Date__c]],"yyyy-mm-dd")&amp;"|"&amp;Lessons[[#This Row],[Start_Time__c]])</f>
        <v>a06ak00000amzCIAAY|2026-08-08|17:00:00.000Z</v>
      </c>
      <c r="AC136">
        <f>IF(Lessons[[#This Row],[Double Booked Key]]="","",COUNTIF(Lessons[Double Booked Key],Lessons[[#This Row],[Double Booked Key]]))</f>
        <v>1</v>
      </c>
      <c r="AD136" s="6" t="str">
        <f>_xlfn.XLOOKUP(Lessons[[#This Row],[Location_External_Id__c]], Locations[Location Id], Locations[Location Name])</f>
        <v>Toms River</v>
      </c>
      <c r="AE136" s="6" t="str">
        <f>TEXT(Lessons[[#This Row],[Lesson_Date__c]], "yyyy-mm")</f>
        <v>2026-08</v>
      </c>
      <c r="AF136" s="6" t="str">
        <f>IF(Lessons[[#This Row],[Lesson_Date__c]]&lt;=Data_Audit!$F$1, "Yes", "No")</f>
        <v>Yes</v>
      </c>
    </row>
    <row r="137" spans="1:32">
      <c r="A137" t="s">
        <v>52</v>
      </c>
      <c r="B137" t="s">
        <v>53</v>
      </c>
      <c r="C137">
        <v>60</v>
      </c>
      <c r="D137" t="s">
        <v>613</v>
      </c>
      <c r="E137" t="s">
        <v>337</v>
      </c>
      <c r="F137" t="s">
        <v>338</v>
      </c>
      <c r="G137" t="s">
        <v>69</v>
      </c>
      <c r="H137" t="s">
        <v>284</v>
      </c>
      <c r="I137" t="b">
        <v>0</v>
      </c>
      <c r="K137" t="s">
        <v>52</v>
      </c>
      <c r="L137" t="s">
        <v>70</v>
      </c>
      <c r="M137" t="s">
        <v>478</v>
      </c>
      <c r="N137" t="s">
        <v>478</v>
      </c>
      <c r="O137" s="1">
        <v>46222</v>
      </c>
      <c r="P137" t="s">
        <v>614</v>
      </c>
      <c r="Q137" t="s">
        <v>615</v>
      </c>
      <c r="R137" t="s">
        <v>150</v>
      </c>
      <c r="S137" t="b">
        <v>0</v>
      </c>
      <c r="T137" t="b">
        <v>0</v>
      </c>
      <c r="U137" t="s">
        <v>615</v>
      </c>
      <c r="V137" t="s">
        <v>102</v>
      </c>
      <c r="W137" t="s">
        <v>65</v>
      </c>
      <c r="X137" t="s">
        <v>611</v>
      </c>
      <c r="Y137" t="s">
        <v>612</v>
      </c>
      <c r="Z137" t="s">
        <v>70</v>
      </c>
      <c r="AA137" t="b">
        <f>ISNUMBER(SEARCH(";"&amp;Lessons[[#This Row],[Instrument__c]]&amp;";",";"&amp;_xlfn.XLOOKUP(Lessons[[#This Row],[Instructor_External_Id__c]], Instructors[Id], Instructors[Instruments_Taught__c])&amp;";"))</f>
        <v>1</v>
      </c>
      <c r="AB137" t="str">
        <f>IF(LEFT(Lessons[[#This Row],[Status__c]],9)="Cancelled","",Lessons[[#This Row],[Instructor_External_Id__c]]&amp;"|"&amp;TEXT(Lessons[[#This Row],[Lesson_Date__c]],"yyyy-mm-dd")&amp;"|"&amp;Lessons[[#This Row],[Start_Time__c]])</f>
        <v>a06ak00000amzCIAAY|2026-07-19|16:00:00.000Z</v>
      </c>
      <c r="AC137">
        <f>IF(Lessons[[#This Row],[Double Booked Key]]="","",COUNTIF(Lessons[Double Booked Key],Lessons[[#This Row],[Double Booked Key]]))</f>
        <v>1</v>
      </c>
      <c r="AD137" s="6" t="str">
        <f>_xlfn.XLOOKUP(Lessons[[#This Row],[Location_External_Id__c]], Locations[Location Id], Locations[Location Name])</f>
        <v>Toms River</v>
      </c>
      <c r="AE137" s="6" t="str">
        <f>TEXT(Lessons[[#This Row],[Lesson_Date__c]], "yyyy-mm")</f>
        <v>2026-07</v>
      </c>
      <c r="AF137" s="6" t="str">
        <f>IF(Lessons[[#This Row],[Lesson_Date__c]]&lt;=Data_Audit!$F$1, "Yes", "No")</f>
        <v>Yes</v>
      </c>
    </row>
    <row r="138" spans="1:32">
      <c r="A138" t="s">
        <v>52</v>
      </c>
      <c r="B138" t="s">
        <v>53</v>
      </c>
      <c r="C138">
        <v>30</v>
      </c>
      <c r="D138" t="s">
        <v>616</v>
      </c>
      <c r="E138" t="s">
        <v>617</v>
      </c>
      <c r="F138" t="s">
        <v>618</v>
      </c>
      <c r="G138" t="s">
        <v>99</v>
      </c>
      <c r="H138" t="s">
        <v>461</v>
      </c>
      <c r="I138" t="b">
        <v>0</v>
      </c>
      <c r="K138" t="s">
        <v>52</v>
      </c>
      <c r="L138" t="s">
        <v>70</v>
      </c>
      <c r="M138" t="s">
        <v>478</v>
      </c>
      <c r="N138" t="s">
        <v>478</v>
      </c>
      <c r="O138" s="1">
        <v>46241</v>
      </c>
      <c r="P138" t="s">
        <v>619</v>
      </c>
      <c r="Q138" t="s">
        <v>620</v>
      </c>
      <c r="R138" t="s">
        <v>63</v>
      </c>
      <c r="S138" t="b">
        <v>0</v>
      </c>
      <c r="T138" t="b">
        <v>0</v>
      </c>
      <c r="U138" t="s">
        <v>620</v>
      </c>
      <c r="V138" t="s">
        <v>84</v>
      </c>
      <c r="W138" t="s">
        <v>65</v>
      </c>
      <c r="X138" t="s">
        <v>621</v>
      </c>
      <c r="Y138" t="s">
        <v>622</v>
      </c>
      <c r="Z138" t="s">
        <v>70</v>
      </c>
      <c r="AA138" t="b">
        <f>ISNUMBER(SEARCH(";"&amp;Lessons[[#This Row],[Instrument__c]]&amp;";",";"&amp;_xlfn.XLOOKUP(Lessons[[#This Row],[Instructor_External_Id__c]], Instructors[Id], Instructors[Instruments_Taught__c])&amp;";"))</f>
        <v>1</v>
      </c>
      <c r="AB138" t="str">
        <f>IF(LEFT(Lessons[[#This Row],[Status__c]],9)="Cancelled","",Lessons[[#This Row],[Instructor_External_Id__c]]&amp;"|"&amp;TEXT(Lessons[[#This Row],[Lesson_Date__c]],"yyyy-mm-dd")&amp;"|"&amp;Lessons[[#This Row],[Start_Time__c]])</f>
        <v>a06ak00000amzC2AAI|2026-08-07|17:00:00.000Z</v>
      </c>
      <c r="AC138">
        <f>IF(Lessons[[#This Row],[Double Booked Key]]="","",COUNTIF(Lessons[Double Booked Key],Lessons[[#This Row],[Double Booked Key]]))</f>
        <v>1</v>
      </c>
      <c r="AD138" s="6" t="str">
        <f>_xlfn.XLOOKUP(Lessons[[#This Row],[Location_External_Id__c]], Locations[Location Id], Locations[Location Name])</f>
        <v>Red Bank</v>
      </c>
      <c r="AE138" s="6" t="str">
        <f>TEXT(Lessons[[#This Row],[Lesson_Date__c]], "yyyy-mm")</f>
        <v>2026-08</v>
      </c>
      <c r="AF138" s="6" t="str">
        <f>IF(Lessons[[#This Row],[Lesson_Date__c]]&lt;=Data_Audit!$F$1, "Yes", "No")</f>
        <v>Yes</v>
      </c>
    </row>
    <row r="139" spans="1:32">
      <c r="A139" t="s">
        <v>52</v>
      </c>
      <c r="B139" t="s">
        <v>53</v>
      </c>
      <c r="C139">
        <v>30</v>
      </c>
      <c r="D139" t="s">
        <v>623</v>
      </c>
      <c r="E139" t="s">
        <v>617</v>
      </c>
      <c r="F139" t="s">
        <v>618</v>
      </c>
      <c r="G139" t="s">
        <v>99</v>
      </c>
      <c r="H139" t="s">
        <v>461</v>
      </c>
      <c r="I139" t="b">
        <v>0</v>
      </c>
      <c r="K139" t="s">
        <v>52</v>
      </c>
      <c r="L139" t="s">
        <v>70</v>
      </c>
      <c r="M139" t="s">
        <v>478</v>
      </c>
      <c r="N139" t="s">
        <v>478</v>
      </c>
      <c r="O139" s="1">
        <v>46266</v>
      </c>
      <c r="P139" t="s">
        <v>624</v>
      </c>
      <c r="Q139" t="s">
        <v>625</v>
      </c>
      <c r="R139" t="s">
        <v>63</v>
      </c>
      <c r="S139" t="b">
        <v>0</v>
      </c>
      <c r="T139" t="b">
        <v>0</v>
      </c>
      <c r="U139" t="s">
        <v>625</v>
      </c>
      <c r="V139" t="s">
        <v>135</v>
      </c>
      <c r="W139" t="s">
        <v>65</v>
      </c>
      <c r="X139" t="s">
        <v>621</v>
      </c>
      <c r="Y139" t="s">
        <v>622</v>
      </c>
      <c r="Z139" t="s">
        <v>70</v>
      </c>
      <c r="AA139" t="b">
        <f>ISNUMBER(SEARCH(";"&amp;Lessons[[#This Row],[Instrument__c]]&amp;";",";"&amp;_xlfn.XLOOKUP(Lessons[[#This Row],[Instructor_External_Id__c]], Instructors[Id], Instructors[Instruments_Taught__c])&amp;";"))</f>
        <v>1</v>
      </c>
      <c r="AB139" t="str">
        <f>IF(LEFT(Lessons[[#This Row],[Status__c]],9)="Cancelled","",Lessons[[#This Row],[Instructor_External_Id__c]]&amp;"|"&amp;TEXT(Lessons[[#This Row],[Lesson_Date__c]],"yyyy-mm-dd")&amp;"|"&amp;Lessons[[#This Row],[Start_Time__c]])</f>
        <v>a06ak00000amzC2AAI|2026-09-01|15:30:00.000Z</v>
      </c>
      <c r="AC139">
        <f>IF(Lessons[[#This Row],[Double Booked Key]]="","",COUNTIF(Lessons[Double Booked Key],Lessons[[#This Row],[Double Booked Key]]))</f>
        <v>1</v>
      </c>
      <c r="AD139" s="6" t="str">
        <f>_xlfn.XLOOKUP(Lessons[[#This Row],[Location_External_Id__c]], Locations[Location Id], Locations[Location Name])</f>
        <v>Red Bank</v>
      </c>
      <c r="AE139" s="6" t="str">
        <f>TEXT(Lessons[[#This Row],[Lesson_Date__c]], "yyyy-mm")</f>
        <v>2026-09</v>
      </c>
      <c r="AF139" s="6" t="str">
        <f>IF(Lessons[[#This Row],[Lesson_Date__c]]&lt;=Data_Audit!$F$1, "Yes", "No")</f>
        <v>Yes</v>
      </c>
    </row>
    <row r="140" spans="1:32">
      <c r="A140" t="s">
        <v>52</v>
      </c>
      <c r="B140" t="s">
        <v>53</v>
      </c>
      <c r="C140">
        <v>30</v>
      </c>
      <c r="D140" t="s">
        <v>626</v>
      </c>
      <c r="E140" t="s">
        <v>617</v>
      </c>
      <c r="F140" t="s">
        <v>618</v>
      </c>
      <c r="H140" t="s">
        <v>461</v>
      </c>
      <c r="I140" t="b">
        <v>0</v>
      </c>
      <c r="K140" t="s">
        <v>52</v>
      </c>
      <c r="L140" t="s">
        <v>70</v>
      </c>
      <c r="M140" t="s">
        <v>478</v>
      </c>
      <c r="N140" t="s">
        <v>478</v>
      </c>
      <c r="O140" s="1">
        <v>46147</v>
      </c>
      <c r="P140" t="s">
        <v>627</v>
      </c>
      <c r="Q140" t="s">
        <v>628</v>
      </c>
      <c r="R140" t="s">
        <v>63</v>
      </c>
      <c r="S140" t="b">
        <v>0</v>
      </c>
      <c r="T140" t="b">
        <v>0</v>
      </c>
      <c r="U140" t="s">
        <v>628</v>
      </c>
      <c r="V140" t="s">
        <v>120</v>
      </c>
      <c r="W140" t="s">
        <v>121</v>
      </c>
      <c r="X140" t="s">
        <v>621</v>
      </c>
      <c r="Y140" t="s">
        <v>622</v>
      </c>
      <c r="Z140" t="s">
        <v>70</v>
      </c>
      <c r="AA140" t="b">
        <f>ISNUMBER(SEARCH(";"&amp;Lessons[[#This Row],[Instrument__c]]&amp;";",";"&amp;_xlfn.XLOOKUP(Lessons[[#This Row],[Instructor_External_Id__c]], Instructors[Id], Instructors[Instruments_Taught__c])&amp;";"))</f>
        <v>1</v>
      </c>
      <c r="AB140" t="str">
        <f>IF(LEFT(Lessons[[#This Row],[Status__c]],9)="Cancelled","",Lessons[[#This Row],[Instructor_External_Id__c]]&amp;"|"&amp;TEXT(Lessons[[#This Row],[Lesson_Date__c]],"yyyy-mm-dd")&amp;"|"&amp;Lessons[[#This Row],[Start_Time__c]])</f>
        <v>a06ak00000amzC2AAI|2026-05-05|18:00:00.000Z</v>
      </c>
      <c r="AC140">
        <f>IF(Lessons[[#This Row],[Double Booked Key]]="","",COUNTIF(Lessons[Double Booked Key],Lessons[[#This Row],[Double Booked Key]]))</f>
        <v>1</v>
      </c>
      <c r="AD140" s="6" t="str">
        <f>_xlfn.XLOOKUP(Lessons[[#This Row],[Location_External_Id__c]], Locations[Location Id], Locations[Location Name])</f>
        <v>Red Bank</v>
      </c>
      <c r="AE140" s="6" t="str">
        <f>TEXT(Lessons[[#This Row],[Lesson_Date__c]], "yyyy-mm")</f>
        <v>2026-05</v>
      </c>
      <c r="AF140" s="6" t="str">
        <f>IF(Lessons[[#This Row],[Lesson_Date__c]]&lt;=Data_Audit!$F$1, "Yes", "No")</f>
        <v>Yes</v>
      </c>
    </row>
    <row r="141" spans="1:32">
      <c r="A141" t="s">
        <v>52</v>
      </c>
      <c r="B141" t="s">
        <v>53</v>
      </c>
      <c r="C141">
        <v>60</v>
      </c>
      <c r="D141" t="s">
        <v>629</v>
      </c>
      <c r="E141" t="s">
        <v>76</v>
      </c>
      <c r="F141" t="s">
        <v>77</v>
      </c>
      <c r="H141" t="s">
        <v>78</v>
      </c>
      <c r="I141" t="b">
        <v>0</v>
      </c>
      <c r="K141" t="s">
        <v>52</v>
      </c>
      <c r="L141" t="s">
        <v>70</v>
      </c>
      <c r="M141" t="s">
        <v>478</v>
      </c>
      <c r="N141" t="s">
        <v>478</v>
      </c>
      <c r="O141" s="1">
        <v>46086</v>
      </c>
      <c r="P141" t="s">
        <v>630</v>
      </c>
      <c r="Q141" t="s">
        <v>631</v>
      </c>
      <c r="R141" t="s">
        <v>83</v>
      </c>
      <c r="S141" t="b">
        <v>0</v>
      </c>
      <c r="T141" t="b">
        <v>0</v>
      </c>
      <c r="U141" t="s">
        <v>631</v>
      </c>
      <c r="V141" t="s">
        <v>140</v>
      </c>
      <c r="W141" t="s">
        <v>121</v>
      </c>
      <c r="X141" t="s">
        <v>632</v>
      </c>
      <c r="Y141" t="s">
        <v>633</v>
      </c>
      <c r="Z141" t="s">
        <v>70</v>
      </c>
      <c r="AA141" t="b">
        <f>ISNUMBER(SEARCH(";"&amp;Lessons[[#This Row],[Instrument__c]]&amp;";",";"&amp;_xlfn.XLOOKUP(Lessons[[#This Row],[Instructor_External_Id__c]], Instructors[Id], Instructors[Instruments_Taught__c])&amp;";"))</f>
        <v>1</v>
      </c>
      <c r="AB141" t="str">
        <f>IF(LEFT(Lessons[[#This Row],[Status__c]],9)="Cancelled","",Lessons[[#This Row],[Instructor_External_Id__c]]&amp;"|"&amp;TEXT(Lessons[[#This Row],[Lesson_Date__c]],"yyyy-mm-dd")&amp;"|"&amp;Lessons[[#This Row],[Start_Time__c]])</f>
        <v>a06ak00000amzBgAAI|2026-03-05|15:00:00.000Z</v>
      </c>
      <c r="AC141">
        <f>IF(Lessons[[#This Row],[Double Booked Key]]="","",COUNTIF(Lessons[Double Booked Key],Lessons[[#This Row],[Double Booked Key]]))</f>
        <v>1</v>
      </c>
      <c r="AD141" s="6" t="str">
        <f>_xlfn.XLOOKUP(Lessons[[#This Row],[Location_External_Id__c]], Locations[Location Id], Locations[Location Name])</f>
        <v>Brick</v>
      </c>
      <c r="AE141" s="6" t="str">
        <f>TEXT(Lessons[[#This Row],[Lesson_Date__c]], "yyyy-mm")</f>
        <v>2026-03</v>
      </c>
      <c r="AF141" s="6" t="str">
        <f>IF(Lessons[[#This Row],[Lesson_Date__c]]&lt;=Data_Audit!$F$1, "Yes", "No")</f>
        <v>Yes</v>
      </c>
    </row>
    <row r="142" spans="1:32">
      <c r="A142" t="s">
        <v>52</v>
      </c>
      <c r="B142" t="s">
        <v>53</v>
      </c>
      <c r="C142">
        <v>60</v>
      </c>
      <c r="D142" t="s">
        <v>634</v>
      </c>
      <c r="E142" t="s">
        <v>76</v>
      </c>
      <c r="F142" t="s">
        <v>77</v>
      </c>
      <c r="H142" t="s">
        <v>78</v>
      </c>
      <c r="I142" t="b">
        <v>0</v>
      </c>
      <c r="K142" t="s">
        <v>52</v>
      </c>
      <c r="L142" t="s">
        <v>70</v>
      </c>
      <c r="M142" t="s">
        <v>478</v>
      </c>
      <c r="N142" t="s">
        <v>478</v>
      </c>
      <c r="O142" s="1">
        <v>46059</v>
      </c>
      <c r="P142" t="s">
        <v>635</v>
      </c>
      <c r="Q142" t="s">
        <v>636</v>
      </c>
      <c r="R142" t="s">
        <v>83</v>
      </c>
      <c r="S142" t="b">
        <v>0</v>
      </c>
      <c r="T142" t="b">
        <v>0</v>
      </c>
      <c r="U142" t="s">
        <v>636</v>
      </c>
      <c r="V142" t="s">
        <v>128</v>
      </c>
      <c r="W142" t="s">
        <v>85</v>
      </c>
      <c r="X142" t="s">
        <v>632</v>
      </c>
      <c r="Y142" t="s">
        <v>633</v>
      </c>
      <c r="Z142" t="s">
        <v>70</v>
      </c>
      <c r="AA142" t="b">
        <f>ISNUMBER(SEARCH(";"&amp;Lessons[[#This Row],[Instrument__c]]&amp;";",";"&amp;_xlfn.XLOOKUP(Lessons[[#This Row],[Instructor_External_Id__c]], Instructors[Id], Instructors[Instruments_Taught__c])&amp;";"))</f>
        <v>1</v>
      </c>
      <c r="AB142" t="str">
        <f>IF(LEFT(Lessons[[#This Row],[Status__c]],9)="Cancelled","",Lessons[[#This Row],[Instructor_External_Id__c]]&amp;"|"&amp;TEXT(Lessons[[#This Row],[Lesson_Date__c]],"yyyy-mm-dd")&amp;"|"&amp;Lessons[[#This Row],[Start_Time__c]])</f>
        <v/>
      </c>
      <c r="AC142" t="str">
        <f>IF(Lessons[[#This Row],[Double Booked Key]]="","",COUNTIF(Lessons[Double Booked Key],Lessons[[#This Row],[Double Booked Key]]))</f>
        <v/>
      </c>
      <c r="AD142" s="6" t="str">
        <f>_xlfn.XLOOKUP(Lessons[[#This Row],[Location_External_Id__c]], Locations[Location Id], Locations[Location Name])</f>
        <v>Brick</v>
      </c>
      <c r="AE142" s="6" t="str">
        <f>TEXT(Lessons[[#This Row],[Lesson_Date__c]], "yyyy-mm")</f>
        <v>2026-02</v>
      </c>
      <c r="AF142" s="6" t="str">
        <f>IF(Lessons[[#This Row],[Lesson_Date__c]]&lt;=Data_Audit!$F$1, "Yes", "No")</f>
        <v>Yes</v>
      </c>
    </row>
    <row r="143" spans="1:32">
      <c r="A143" t="s">
        <v>52</v>
      </c>
      <c r="B143" t="s">
        <v>53</v>
      </c>
      <c r="C143">
        <v>30</v>
      </c>
      <c r="D143" t="s">
        <v>637</v>
      </c>
      <c r="E143" t="s">
        <v>76</v>
      </c>
      <c r="F143" t="s">
        <v>77</v>
      </c>
      <c r="H143" t="s">
        <v>78</v>
      </c>
      <c r="I143" t="b">
        <v>0</v>
      </c>
      <c r="K143" t="s">
        <v>52</v>
      </c>
      <c r="L143" t="s">
        <v>70</v>
      </c>
      <c r="M143" t="s">
        <v>478</v>
      </c>
      <c r="N143" t="s">
        <v>478</v>
      </c>
      <c r="O143" s="1">
        <v>46149</v>
      </c>
      <c r="P143" t="s">
        <v>638</v>
      </c>
      <c r="Q143" t="s">
        <v>639</v>
      </c>
      <c r="R143" t="s">
        <v>83</v>
      </c>
      <c r="S143" t="b">
        <v>0</v>
      </c>
      <c r="T143" t="b">
        <v>0</v>
      </c>
      <c r="U143" t="s">
        <v>639</v>
      </c>
      <c r="V143" t="s">
        <v>102</v>
      </c>
      <c r="W143" t="s">
        <v>85</v>
      </c>
      <c r="X143" t="s">
        <v>632</v>
      </c>
      <c r="Y143" t="s">
        <v>633</v>
      </c>
      <c r="Z143" t="s">
        <v>70</v>
      </c>
      <c r="AA143" t="b">
        <f>ISNUMBER(SEARCH(";"&amp;Lessons[[#This Row],[Instrument__c]]&amp;";",";"&amp;_xlfn.XLOOKUP(Lessons[[#This Row],[Instructor_External_Id__c]], Instructors[Id], Instructors[Instruments_Taught__c])&amp;";"))</f>
        <v>1</v>
      </c>
      <c r="AB143" t="str">
        <f>IF(LEFT(Lessons[[#This Row],[Status__c]],9)="Cancelled","",Lessons[[#This Row],[Instructor_External_Id__c]]&amp;"|"&amp;TEXT(Lessons[[#This Row],[Lesson_Date__c]],"yyyy-mm-dd")&amp;"|"&amp;Lessons[[#This Row],[Start_Time__c]])</f>
        <v/>
      </c>
      <c r="AC143" t="str">
        <f>IF(Lessons[[#This Row],[Double Booked Key]]="","",COUNTIF(Lessons[Double Booked Key],Lessons[[#This Row],[Double Booked Key]]))</f>
        <v/>
      </c>
      <c r="AD143" s="6" t="str">
        <f>_xlfn.XLOOKUP(Lessons[[#This Row],[Location_External_Id__c]], Locations[Location Id], Locations[Location Name])</f>
        <v>Brick</v>
      </c>
      <c r="AE143" s="6" t="str">
        <f>TEXT(Lessons[[#This Row],[Lesson_Date__c]], "yyyy-mm")</f>
        <v>2026-05</v>
      </c>
      <c r="AF143" s="6" t="str">
        <f>IF(Lessons[[#This Row],[Lesson_Date__c]]&lt;=Data_Audit!$F$1, "Yes", "No")</f>
        <v>Yes</v>
      </c>
    </row>
    <row r="144" spans="1:32">
      <c r="A144" t="s">
        <v>52</v>
      </c>
      <c r="B144" t="s">
        <v>53</v>
      </c>
      <c r="C144">
        <v>60</v>
      </c>
      <c r="D144" t="s">
        <v>640</v>
      </c>
      <c r="E144" t="s">
        <v>76</v>
      </c>
      <c r="F144" t="s">
        <v>77</v>
      </c>
      <c r="H144" t="s">
        <v>78</v>
      </c>
      <c r="I144" t="b">
        <v>0</v>
      </c>
      <c r="K144" t="s">
        <v>52</v>
      </c>
      <c r="L144" t="s">
        <v>70</v>
      </c>
      <c r="M144" t="s">
        <v>478</v>
      </c>
      <c r="N144" t="s">
        <v>478</v>
      </c>
      <c r="O144" s="1">
        <v>46222</v>
      </c>
      <c r="P144" t="s">
        <v>641</v>
      </c>
      <c r="Q144" t="s">
        <v>642</v>
      </c>
      <c r="R144" t="s">
        <v>83</v>
      </c>
      <c r="S144" t="b">
        <v>0</v>
      </c>
      <c r="T144" t="b">
        <v>0</v>
      </c>
      <c r="U144" t="s">
        <v>642</v>
      </c>
      <c r="V144" t="s">
        <v>116</v>
      </c>
      <c r="W144" t="s">
        <v>65</v>
      </c>
      <c r="X144" t="s">
        <v>632</v>
      </c>
      <c r="Y144" t="s">
        <v>633</v>
      </c>
      <c r="Z144" t="s">
        <v>70</v>
      </c>
      <c r="AA144" t="b">
        <f>ISNUMBER(SEARCH(";"&amp;Lessons[[#This Row],[Instrument__c]]&amp;";",";"&amp;_xlfn.XLOOKUP(Lessons[[#This Row],[Instructor_External_Id__c]], Instructors[Id], Instructors[Instruments_Taught__c])&amp;";"))</f>
        <v>1</v>
      </c>
      <c r="AB144" t="str">
        <f>IF(LEFT(Lessons[[#This Row],[Status__c]],9)="Cancelled","",Lessons[[#This Row],[Instructor_External_Id__c]]&amp;"|"&amp;TEXT(Lessons[[#This Row],[Lesson_Date__c]],"yyyy-mm-dd")&amp;"|"&amp;Lessons[[#This Row],[Start_Time__c]])</f>
        <v>a06ak00000amzBgAAI|2026-07-19|17:30:00.000Z</v>
      </c>
      <c r="AC144">
        <f>IF(Lessons[[#This Row],[Double Booked Key]]="","",COUNTIF(Lessons[Double Booked Key],Lessons[[#This Row],[Double Booked Key]]))</f>
        <v>1</v>
      </c>
      <c r="AD144" s="6" t="str">
        <f>_xlfn.XLOOKUP(Lessons[[#This Row],[Location_External_Id__c]], Locations[Location Id], Locations[Location Name])</f>
        <v>Brick</v>
      </c>
      <c r="AE144" s="6" t="str">
        <f>TEXT(Lessons[[#This Row],[Lesson_Date__c]], "yyyy-mm")</f>
        <v>2026-07</v>
      </c>
      <c r="AF144" s="6" t="str">
        <f>IF(Lessons[[#This Row],[Lesson_Date__c]]&lt;=Data_Audit!$F$1, "Yes", "No")</f>
        <v>Yes</v>
      </c>
    </row>
    <row r="145" spans="1:32">
      <c r="A145" t="s">
        <v>52</v>
      </c>
      <c r="B145" t="s">
        <v>53</v>
      </c>
      <c r="C145">
        <v>60</v>
      </c>
      <c r="D145" t="s">
        <v>643</v>
      </c>
      <c r="E145" t="s">
        <v>76</v>
      </c>
      <c r="F145" t="s">
        <v>77</v>
      </c>
      <c r="G145" t="s">
        <v>106</v>
      </c>
      <c r="H145" t="s">
        <v>78</v>
      </c>
      <c r="I145" t="b">
        <v>0</v>
      </c>
      <c r="K145" t="s">
        <v>52</v>
      </c>
      <c r="L145" t="s">
        <v>70</v>
      </c>
      <c r="M145" t="s">
        <v>478</v>
      </c>
      <c r="N145" t="s">
        <v>478</v>
      </c>
      <c r="O145" s="1">
        <v>46177</v>
      </c>
      <c r="P145" t="s">
        <v>644</v>
      </c>
      <c r="Q145" t="s">
        <v>645</v>
      </c>
      <c r="R145" t="s">
        <v>83</v>
      </c>
      <c r="S145" t="b">
        <v>0</v>
      </c>
      <c r="T145" t="b">
        <v>0</v>
      </c>
      <c r="U145" t="s">
        <v>645</v>
      </c>
      <c r="V145" t="s">
        <v>64</v>
      </c>
      <c r="W145" t="s">
        <v>65</v>
      </c>
      <c r="X145" t="s">
        <v>632</v>
      </c>
      <c r="Y145" t="s">
        <v>633</v>
      </c>
      <c r="Z145" t="s">
        <v>70</v>
      </c>
      <c r="AA145" t="b">
        <f>ISNUMBER(SEARCH(";"&amp;Lessons[[#This Row],[Instrument__c]]&amp;";",";"&amp;_xlfn.XLOOKUP(Lessons[[#This Row],[Instructor_External_Id__c]], Instructors[Id], Instructors[Instruments_Taught__c])&amp;";"))</f>
        <v>1</v>
      </c>
      <c r="AB145" t="str">
        <f>IF(LEFT(Lessons[[#This Row],[Status__c]],9)="Cancelled","",Lessons[[#This Row],[Instructor_External_Id__c]]&amp;"|"&amp;TEXT(Lessons[[#This Row],[Lesson_Date__c]],"yyyy-mm-dd")&amp;"|"&amp;Lessons[[#This Row],[Start_Time__c]])</f>
        <v>a06ak00000amzBgAAI|2026-06-04|11:00:00.000Z</v>
      </c>
      <c r="AC145">
        <f>IF(Lessons[[#This Row],[Double Booked Key]]="","",COUNTIF(Lessons[Double Booked Key],Lessons[[#This Row],[Double Booked Key]]))</f>
        <v>1</v>
      </c>
      <c r="AD145" s="6" t="str">
        <f>_xlfn.XLOOKUP(Lessons[[#This Row],[Location_External_Id__c]], Locations[Location Id], Locations[Location Name])</f>
        <v>Brick</v>
      </c>
      <c r="AE145" s="6" t="str">
        <f>TEXT(Lessons[[#This Row],[Lesson_Date__c]], "yyyy-mm")</f>
        <v>2026-06</v>
      </c>
      <c r="AF145" s="6" t="str">
        <f>IF(Lessons[[#This Row],[Lesson_Date__c]]&lt;=Data_Audit!$F$1, "Yes", "No")</f>
        <v>Yes</v>
      </c>
    </row>
    <row r="146" spans="1:32">
      <c r="A146" t="s">
        <v>52</v>
      </c>
      <c r="B146" t="s">
        <v>53</v>
      </c>
      <c r="C146">
        <v>60</v>
      </c>
      <c r="D146" t="s">
        <v>646</v>
      </c>
      <c r="E146" t="s">
        <v>76</v>
      </c>
      <c r="F146" t="s">
        <v>77</v>
      </c>
      <c r="G146" t="s">
        <v>164</v>
      </c>
      <c r="H146" t="s">
        <v>78</v>
      </c>
      <c r="I146" t="b">
        <v>0</v>
      </c>
      <c r="K146" t="s">
        <v>52</v>
      </c>
      <c r="L146" t="s">
        <v>70</v>
      </c>
      <c r="M146" t="s">
        <v>478</v>
      </c>
      <c r="N146" t="s">
        <v>478</v>
      </c>
      <c r="O146" s="1">
        <v>46189</v>
      </c>
      <c r="P146" t="s">
        <v>647</v>
      </c>
      <c r="Q146" t="s">
        <v>648</v>
      </c>
      <c r="R146" t="s">
        <v>83</v>
      </c>
      <c r="S146" t="b">
        <v>0</v>
      </c>
      <c r="T146" t="b">
        <v>0</v>
      </c>
      <c r="U146" t="s">
        <v>648</v>
      </c>
      <c r="V146" t="s">
        <v>140</v>
      </c>
      <c r="W146" t="s">
        <v>65</v>
      </c>
      <c r="X146" t="s">
        <v>632</v>
      </c>
      <c r="Y146" t="s">
        <v>633</v>
      </c>
      <c r="Z146" t="s">
        <v>70</v>
      </c>
      <c r="AA146" t="b">
        <f>ISNUMBER(SEARCH(";"&amp;Lessons[[#This Row],[Instrument__c]]&amp;";",";"&amp;_xlfn.XLOOKUP(Lessons[[#This Row],[Instructor_External_Id__c]], Instructors[Id], Instructors[Instruments_Taught__c])&amp;";"))</f>
        <v>1</v>
      </c>
      <c r="AB146" t="str">
        <f>IF(LEFT(Lessons[[#This Row],[Status__c]],9)="Cancelled","",Lessons[[#This Row],[Instructor_External_Id__c]]&amp;"|"&amp;TEXT(Lessons[[#This Row],[Lesson_Date__c]],"yyyy-mm-dd")&amp;"|"&amp;Lessons[[#This Row],[Start_Time__c]])</f>
        <v>a06ak00000amzBgAAI|2026-06-16|15:00:00.000Z</v>
      </c>
      <c r="AC146">
        <f>IF(Lessons[[#This Row],[Double Booked Key]]="","",COUNTIF(Lessons[Double Booked Key],Lessons[[#This Row],[Double Booked Key]]))</f>
        <v>1</v>
      </c>
      <c r="AD146" s="6" t="str">
        <f>_xlfn.XLOOKUP(Lessons[[#This Row],[Location_External_Id__c]], Locations[Location Id], Locations[Location Name])</f>
        <v>Brick</v>
      </c>
      <c r="AE146" s="6" t="str">
        <f>TEXT(Lessons[[#This Row],[Lesson_Date__c]], "yyyy-mm")</f>
        <v>2026-06</v>
      </c>
      <c r="AF146" s="6" t="str">
        <f>IF(Lessons[[#This Row],[Lesson_Date__c]]&lt;=Data_Audit!$F$1, "Yes", "No")</f>
        <v>Yes</v>
      </c>
    </row>
    <row r="147" spans="1:32">
      <c r="A147" t="s">
        <v>52</v>
      </c>
      <c r="B147" t="s">
        <v>53</v>
      </c>
      <c r="C147">
        <v>60</v>
      </c>
      <c r="D147" t="s">
        <v>649</v>
      </c>
      <c r="E147" t="s">
        <v>318</v>
      </c>
      <c r="F147" t="s">
        <v>319</v>
      </c>
      <c r="G147" t="s">
        <v>57</v>
      </c>
      <c r="H147" t="s">
        <v>650</v>
      </c>
      <c r="I147" t="b">
        <v>0</v>
      </c>
      <c r="K147" t="s">
        <v>52</v>
      </c>
      <c r="L147" t="s">
        <v>79</v>
      </c>
      <c r="M147" t="s">
        <v>478</v>
      </c>
      <c r="N147" t="s">
        <v>478</v>
      </c>
      <c r="O147" s="1">
        <v>46300</v>
      </c>
      <c r="P147" t="s">
        <v>651</v>
      </c>
      <c r="Q147" t="s">
        <v>652</v>
      </c>
      <c r="R147" t="s">
        <v>63</v>
      </c>
      <c r="S147" t="b">
        <v>0</v>
      </c>
      <c r="T147" t="b">
        <v>0</v>
      </c>
      <c r="U147" t="s">
        <v>652</v>
      </c>
      <c r="V147" t="s">
        <v>116</v>
      </c>
      <c r="W147" t="s">
        <v>65</v>
      </c>
      <c r="X147" t="s">
        <v>653</v>
      </c>
      <c r="Y147" t="s">
        <v>654</v>
      </c>
      <c r="Z147" t="s">
        <v>79</v>
      </c>
      <c r="AA147" t="b">
        <f>ISNUMBER(SEARCH(";"&amp;Lessons[[#This Row],[Instrument__c]]&amp;";",";"&amp;_xlfn.XLOOKUP(Lessons[[#This Row],[Instructor_External_Id__c]], Instructors[Id], Instructors[Instruments_Taught__c])&amp;";"))</f>
        <v>1</v>
      </c>
      <c r="AB147" t="str">
        <f>IF(LEFT(Lessons[[#This Row],[Status__c]],9)="Cancelled","",Lessons[[#This Row],[Instructor_External_Id__c]]&amp;"|"&amp;TEXT(Lessons[[#This Row],[Lesson_Date__c]],"yyyy-mm-dd")&amp;"|"&amp;Lessons[[#This Row],[Start_Time__c]])</f>
        <v>a06ak00000amzBzAAI|2026-10-05|17:30:00.000Z</v>
      </c>
      <c r="AC147">
        <f>IF(Lessons[[#This Row],[Double Booked Key]]="","",COUNTIF(Lessons[Double Booked Key],Lessons[[#This Row],[Double Booked Key]]))</f>
        <v>1</v>
      </c>
      <c r="AD147" s="6" t="str">
        <f>_xlfn.XLOOKUP(Lessons[[#This Row],[Location_External_Id__c]], Locations[Location Id], Locations[Location Name])</f>
        <v>Red Bank</v>
      </c>
      <c r="AE147" s="6" t="str">
        <f>TEXT(Lessons[[#This Row],[Lesson_Date__c]], "yyyy-mm")</f>
        <v>2026-10</v>
      </c>
      <c r="AF147" s="6" t="str">
        <f>IF(Lessons[[#This Row],[Lesson_Date__c]]&lt;=Data_Audit!$F$1, "Yes", "No")</f>
        <v>Yes</v>
      </c>
    </row>
    <row r="148" spans="1:32">
      <c r="A148" t="s">
        <v>52</v>
      </c>
      <c r="B148" t="s">
        <v>53</v>
      </c>
      <c r="C148">
        <v>30</v>
      </c>
      <c r="D148" t="s">
        <v>655</v>
      </c>
      <c r="E148" t="s">
        <v>525</v>
      </c>
      <c r="F148" t="s">
        <v>526</v>
      </c>
      <c r="G148" t="s">
        <v>57</v>
      </c>
      <c r="H148" t="s">
        <v>650</v>
      </c>
      <c r="I148" t="b">
        <v>0</v>
      </c>
      <c r="K148" t="s">
        <v>52</v>
      </c>
      <c r="L148" t="s">
        <v>70</v>
      </c>
      <c r="M148" t="s">
        <v>478</v>
      </c>
      <c r="N148" t="s">
        <v>478</v>
      </c>
      <c r="O148" s="1">
        <v>46163</v>
      </c>
      <c r="P148" t="s">
        <v>656</v>
      </c>
      <c r="Q148" t="s">
        <v>657</v>
      </c>
      <c r="R148" t="s">
        <v>63</v>
      </c>
      <c r="S148" t="b">
        <v>0</v>
      </c>
      <c r="T148" t="b">
        <v>0</v>
      </c>
      <c r="U148" t="s">
        <v>657</v>
      </c>
      <c r="V148" t="s">
        <v>102</v>
      </c>
      <c r="W148" t="s">
        <v>65</v>
      </c>
      <c r="X148" t="s">
        <v>653</v>
      </c>
      <c r="Y148" t="s">
        <v>654</v>
      </c>
      <c r="Z148" t="s">
        <v>70</v>
      </c>
      <c r="AA148" t="b">
        <f>ISNUMBER(SEARCH(";"&amp;Lessons[[#This Row],[Instrument__c]]&amp;";",";"&amp;_xlfn.XLOOKUP(Lessons[[#This Row],[Instructor_External_Id__c]], Instructors[Id], Instructors[Instruments_Taught__c])&amp;";"))</f>
        <v>1</v>
      </c>
      <c r="AB148" t="str">
        <f>IF(LEFT(Lessons[[#This Row],[Status__c]],9)="Cancelled","",Lessons[[#This Row],[Instructor_External_Id__c]]&amp;"|"&amp;TEXT(Lessons[[#This Row],[Lesson_Date__c]],"yyyy-mm-dd")&amp;"|"&amp;Lessons[[#This Row],[Start_Time__c]])</f>
        <v>a06ak00000amzC7AAI|2026-05-21|16:00:00.000Z</v>
      </c>
      <c r="AC148">
        <f>IF(Lessons[[#This Row],[Double Booked Key]]="","",COUNTIF(Lessons[Double Booked Key],Lessons[[#This Row],[Double Booked Key]]))</f>
        <v>1</v>
      </c>
      <c r="AD148" s="6" t="str">
        <f>_xlfn.XLOOKUP(Lessons[[#This Row],[Location_External_Id__c]], Locations[Location Id], Locations[Location Name])</f>
        <v>Red Bank</v>
      </c>
      <c r="AE148" s="6" t="str">
        <f>TEXT(Lessons[[#This Row],[Lesson_Date__c]], "yyyy-mm")</f>
        <v>2026-05</v>
      </c>
      <c r="AF148" s="6" t="str">
        <f>IF(Lessons[[#This Row],[Lesson_Date__c]]&lt;=Data_Audit!$F$1, "Yes", "No")</f>
        <v>Yes</v>
      </c>
    </row>
    <row r="149" spans="1:32">
      <c r="A149" t="s">
        <v>52</v>
      </c>
      <c r="B149" t="s">
        <v>53</v>
      </c>
      <c r="C149">
        <v>45</v>
      </c>
      <c r="D149" t="s">
        <v>658</v>
      </c>
      <c r="E149" t="s">
        <v>525</v>
      </c>
      <c r="F149" t="s">
        <v>526</v>
      </c>
      <c r="H149" t="s">
        <v>650</v>
      </c>
      <c r="I149" t="b">
        <v>0</v>
      </c>
      <c r="K149" t="s">
        <v>52</v>
      </c>
      <c r="L149" t="s">
        <v>70</v>
      </c>
      <c r="M149" t="s">
        <v>478</v>
      </c>
      <c r="N149" t="s">
        <v>478</v>
      </c>
      <c r="O149" s="1">
        <v>46082</v>
      </c>
      <c r="P149" t="s">
        <v>659</v>
      </c>
      <c r="Q149" t="s">
        <v>660</v>
      </c>
      <c r="R149" t="s">
        <v>63</v>
      </c>
      <c r="S149" t="b">
        <v>0</v>
      </c>
      <c r="T149" t="b">
        <v>0</v>
      </c>
      <c r="U149" t="s">
        <v>660</v>
      </c>
      <c r="V149" t="s">
        <v>74</v>
      </c>
      <c r="W149" t="s">
        <v>121</v>
      </c>
      <c r="X149" t="s">
        <v>653</v>
      </c>
      <c r="Y149" t="s">
        <v>654</v>
      </c>
      <c r="Z149" t="s">
        <v>70</v>
      </c>
      <c r="AA149" t="b">
        <f>ISNUMBER(SEARCH(";"&amp;Lessons[[#This Row],[Instrument__c]]&amp;";",";"&amp;_xlfn.XLOOKUP(Lessons[[#This Row],[Instructor_External_Id__c]], Instructors[Id], Instructors[Instruments_Taught__c])&amp;";"))</f>
        <v>1</v>
      </c>
      <c r="AB149" t="str">
        <f>IF(LEFT(Lessons[[#This Row],[Status__c]],9)="Cancelled","",Lessons[[#This Row],[Instructor_External_Id__c]]&amp;"|"&amp;TEXT(Lessons[[#This Row],[Lesson_Date__c]],"yyyy-mm-dd")&amp;"|"&amp;Lessons[[#This Row],[Start_Time__c]])</f>
        <v>a06ak00000amzC7AAI|2026-03-01|16:30:00.000Z</v>
      </c>
      <c r="AC149">
        <f>IF(Lessons[[#This Row],[Double Booked Key]]="","",COUNTIF(Lessons[Double Booked Key],Lessons[[#This Row],[Double Booked Key]]))</f>
        <v>1</v>
      </c>
      <c r="AD149" s="6" t="str">
        <f>_xlfn.XLOOKUP(Lessons[[#This Row],[Location_External_Id__c]], Locations[Location Id], Locations[Location Name])</f>
        <v>Red Bank</v>
      </c>
      <c r="AE149" s="6" t="str">
        <f>TEXT(Lessons[[#This Row],[Lesson_Date__c]], "yyyy-mm")</f>
        <v>2026-03</v>
      </c>
      <c r="AF149" s="6" t="str">
        <f>IF(Lessons[[#This Row],[Lesson_Date__c]]&lt;=Data_Audit!$F$1, "Yes", "No")</f>
        <v>Yes</v>
      </c>
    </row>
    <row r="150" spans="1:32">
      <c r="A150" t="s">
        <v>52</v>
      </c>
      <c r="B150" t="s">
        <v>53</v>
      </c>
      <c r="C150">
        <v>30</v>
      </c>
      <c r="D150" t="s">
        <v>661</v>
      </c>
      <c r="E150" t="s">
        <v>525</v>
      </c>
      <c r="F150" t="s">
        <v>526</v>
      </c>
      <c r="G150" t="s">
        <v>69</v>
      </c>
      <c r="H150" t="s">
        <v>650</v>
      </c>
      <c r="I150" t="b">
        <v>0</v>
      </c>
      <c r="K150" t="s">
        <v>52</v>
      </c>
      <c r="L150" t="s">
        <v>70</v>
      </c>
      <c r="M150" t="s">
        <v>478</v>
      </c>
      <c r="N150" t="s">
        <v>478</v>
      </c>
      <c r="O150" s="1">
        <v>46275</v>
      </c>
      <c r="P150" t="s">
        <v>662</v>
      </c>
      <c r="Q150" t="s">
        <v>663</v>
      </c>
      <c r="R150" t="s">
        <v>150</v>
      </c>
      <c r="S150" t="b">
        <v>0</v>
      </c>
      <c r="T150" t="b">
        <v>0</v>
      </c>
      <c r="U150" t="s">
        <v>663</v>
      </c>
      <c r="V150" t="s">
        <v>94</v>
      </c>
      <c r="W150" t="s">
        <v>65</v>
      </c>
      <c r="X150" t="s">
        <v>653</v>
      </c>
      <c r="Y150" t="s">
        <v>654</v>
      </c>
      <c r="Z150" t="s">
        <v>70</v>
      </c>
      <c r="AA150" t="b">
        <f>ISNUMBER(SEARCH(";"&amp;Lessons[[#This Row],[Instrument__c]]&amp;";",";"&amp;_xlfn.XLOOKUP(Lessons[[#This Row],[Instructor_External_Id__c]], Instructors[Id], Instructors[Instruments_Taught__c])&amp;";"))</f>
        <v>1</v>
      </c>
      <c r="AB150" t="str">
        <f>IF(LEFT(Lessons[[#This Row],[Status__c]],9)="Cancelled","",Lessons[[#This Row],[Instructor_External_Id__c]]&amp;"|"&amp;TEXT(Lessons[[#This Row],[Lesson_Date__c]],"yyyy-mm-dd")&amp;"|"&amp;Lessons[[#This Row],[Start_Time__c]])</f>
        <v>a06ak00000amzC7AAI|2026-09-10|19:00:00.000Z</v>
      </c>
      <c r="AC150">
        <f>IF(Lessons[[#This Row],[Double Booked Key]]="","",COUNTIF(Lessons[Double Booked Key],Lessons[[#This Row],[Double Booked Key]]))</f>
        <v>1</v>
      </c>
      <c r="AD150" s="6" t="str">
        <f>_xlfn.XLOOKUP(Lessons[[#This Row],[Location_External_Id__c]], Locations[Location Id], Locations[Location Name])</f>
        <v>Toms River</v>
      </c>
      <c r="AE150" s="6" t="str">
        <f>TEXT(Lessons[[#This Row],[Lesson_Date__c]], "yyyy-mm")</f>
        <v>2026-09</v>
      </c>
      <c r="AF150" s="6" t="str">
        <f>IF(Lessons[[#This Row],[Lesson_Date__c]]&lt;=Data_Audit!$F$1, "Yes", "No")</f>
        <v>Yes</v>
      </c>
    </row>
    <row r="151" spans="1:32">
      <c r="A151" t="s">
        <v>52</v>
      </c>
      <c r="B151" t="s">
        <v>53</v>
      </c>
      <c r="C151">
        <v>60</v>
      </c>
      <c r="D151" t="s">
        <v>664</v>
      </c>
      <c r="E151" t="s">
        <v>359</v>
      </c>
      <c r="F151" t="s">
        <v>360</v>
      </c>
      <c r="G151" t="s">
        <v>69</v>
      </c>
      <c r="H151" t="s">
        <v>78</v>
      </c>
      <c r="I151" t="b">
        <v>0</v>
      </c>
      <c r="K151" t="s">
        <v>52</v>
      </c>
      <c r="L151" t="s">
        <v>70</v>
      </c>
      <c r="M151" t="s">
        <v>478</v>
      </c>
      <c r="N151" t="s">
        <v>478</v>
      </c>
      <c r="O151" s="1">
        <v>46078</v>
      </c>
      <c r="P151" t="s">
        <v>665</v>
      </c>
      <c r="Q151" t="s">
        <v>666</v>
      </c>
      <c r="R151" t="s">
        <v>63</v>
      </c>
      <c r="S151" t="b">
        <v>0</v>
      </c>
      <c r="T151" t="b">
        <v>0</v>
      </c>
      <c r="U151" t="s">
        <v>666</v>
      </c>
      <c r="V151" t="s">
        <v>140</v>
      </c>
      <c r="W151" t="s">
        <v>65</v>
      </c>
      <c r="X151" t="s">
        <v>667</v>
      </c>
      <c r="Y151" t="s">
        <v>668</v>
      </c>
      <c r="Z151" t="s">
        <v>70</v>
      </c>
      <c r="AA151" t="b">
        <f>ISNUMBER(SEARCH(";"&amp;Lessons[[#This Row],[Instrument__c]]&amp;";",";"&amp;_xlfn.XLOOKUP(Lessons[[#This Row],[Instructor_External_Id__c]], Instructors[Id], Instructors[Instruments_Taught__c])&amp;";"))</f>
        <v>1</v>
      </c>
      <c r="AB151" t="str">
        <f>IF(LEFT(Lessons[[#This Row],[Status__c]],9)="Cancelled","",Lessons[[#This Row],[Instructor_External_Id__c]]&amp;"|"&amp;TEXT(Lessons[[#This Row],[Lesson_Date__c]],"yyyy-mm-dd")&amp;"|"&amp;Lessons[[#This Row],[Start_Time__c]])</f>
        <v>a06ak00000amzBiAAI|2026-02-25|15:00:00.000Z</v>
      </c>
      <c r="AC151">
        <f>IF(Lessons[[#This Row],[Double Booked Key]]="","",COUNTIF(Lessons[Double Booked Key],Lessons[[#This Row],[Double Booked Key]]))</f>
        <v>1</v>
      </c>
      <c r="AD151" s="6" t="str">
        <f>_xlfn.XLOOKUP(Lessons[[#This Row],[Location_External_Id__c]], Locations[Location Id], Locations[Location Name])</f>
        <v>Red Bank</v>
      </c>
      <c r="AE151" s="6" t="str">
        <f>TEXT(Lessons[[#This Row],[Lesson_Date__c]], "yyyy-mm")</f>
        <v>2026-02</v>
      </c>
      <c r="AF151" s="6" t="str">
        <f>IF(Lessons[[#This Row],[Lesson_Date__c]]&lt;=Data_Audit!$F$1, "Yes", "No")</f>
        <v>Yes</v>
      </c>
    </row>
    <row r="152" spans="1:32">
      <c r="A152" t="s">
        <v>52</v>
      </c>
      <c r="B152" t="s">
        <v>53</v>
      </c>
      <c r="C152">
        <v>60</v>
      </c>
      <c r="D152" t="s">
        <v>669</v>
      </c>
      <c r="E152" t="s">
        <v>359</v>
      </c>
      <c r="F152" t="s">
        <v>360</v>
      </c>
      <c r="H152" t="s">
        <v>78</v>
      </c>
      <c r="I152" t="b">
        <v>0</v>
      </c>
      <c r="K152" t="s">
        <v>52</v>
      </c>
      <c r="L152" t="s">
        <v>70</v>
      </c>
      <c r="M152" t="s">
        <v>478</v>
      </c>
      <c r="N152" t="s">
        <v>478</v>
      </c>
      <c r="O152" s="1">
        <v>46148</v>
      </c>
      <c r="P152" t="s">
        <v>670</v>
      </c>
      <c r="Q152" t="s">
        <v>671</v>
      </c>
      <c r="R152" t="s">
        <v>63</v>
      </c>
      <c r="S152" t="b">
        <v>0</v>
      </c>
      <c r="T152" t="b">
        <v>0</v>
      </c>
      <c r="U152" t="s">
        <v>671</v>
      </c>
      <c r="V152" t="s">
        <v>140</v>
      </c>
      <c r="W152" t="s">
        <v>85</v>
      </c>
      <c r="X152" t="s">
        <v>667</v>
      </c>
      <c r="Y152" t="s">
        <v>668</v>
      </c>
      <c r="Z152" t="s">
        <v>70</v>
      </c>
      <c r="AA152" t="b">
        <f>ISNUMBER(SEARCH(";"&amp;Lessons[[#This Row],[Instrument__c]]&amp;";",";"&amp;_xlfn.XLOOKUP(Lessons[[#This Row],[Instructor_External_Id__c]], Instructors[Id], Instructors[Instruments_Taught__c])&amp;";"))</f>
        <v>1</v>
      </c>
      <c r="AB152" t="str">
        <f>IF(LEFT(Lessons[[#This Row],[Status__c]],9)="Cancelled","",Lessons[[#This Row],[Instructor_External_Id__c]]&amp;"|"&amp;TEXT(Lessons[[#This Row],[Lesson_Date__c]],"yyyy-mm-dd")&amp;"|"&amp;Lessons[[#This Row],[Start_Time__c]])</f>
        <v/>
      </c>
      <c r="AC152" t="str">
        <f>IF(Lessons[[#This Row],[Double Booked Key]]="","",COUNTIF(Lessons[Double Booked Key],Lessons[[#This Row],[Double Booked Key]]))</f>
        <v/>
      </c>
      <c r="AD152" s="6" t="str">
        <f>_xlfn.XLOOKUP(Lessons[[#This Row],[Location_External_Id__c]], Locations[Location Id], Locations[Location Name])</f>
        <v>Red Bank</v>
      </c>
      <c r="AE152" s="6" t="str">
        <f>TEXT(Lessons[[#This Row],[Lesson_Date__c]], "yyyy-mm")</f>
        <v>2026-05</v>
      </c>
      <c r="AF152" s="6" t="str">
        <f>IF(Lessons[[#This Row],[Lesson_Date__c]]&lt;=Data_Audit!$F$1, "Yes", "No")</f>
        <v>Yes</v>
      </c>
    </row>
    <row r="153" spans="1:32">
      <c r="A153" t="s">
        <v>52</v>
      </c>
      <c r="B153" t="s">
        <v>53</v>
      </c>
      <c r="C153">
        <v>45</v>
      </c>
      <c r="D153" t="s">
        <v>672</v>
      </c>
      <c r="E153" t="s">
        <v>359</v>
      </c>
      <c r="F153" t="s">
        <v>360</v>
      </c>
      <c r="G153" t="s">
        <v>69</v>
      </c>
      <c r="H153" t="s">
        <v>78</v>
      </c>
      <c r="I153" t="b">
        <v>0</v>
      </c>
      <c r="K153" t="s">
        <v>52</v>
      </c>
      <c r="L153" t="s">
        <v>70</v>
      </c>
      <c r="O153" s="1">
        <v>46229</v>
      </c>
      <c r="P153" t="s">
        <v>673</v>
      </c>
      <c r="Q153" t="s">
        <v>674</v>
      </c>
      <c r="R153" t="s">
        <v>63</v>
      </c>
      <c r="S153" t="b">
        <v>0</v>
      </c>
      <c r="T153" t="b">
        <v>0</v>
      </c>
      <c r="U153" t="s">
        <v>674</v>
      </c>
      <c r="V153" t="s">
        <v>128</v>
      </c>
      <c r="W153" t="s">
        <v>65</v>
      </c>
      <c r="X153" t="s">
        <v>667</v>
      </c>
      <c r="Y153" t="s">
        <v>668</v>
      </c>
      <c r="Z153" t="s">
        <v>70</v>
      </c>
      <c r="AA153" t="b">
        <f>ISNUMBER(SEARCH(";"&amp;Lessons[[#This Row],[Instrument__c]]&amp;";",";"&amp;_xlfn.XLOOKUP(Lessons[[#This Row],[Instructor_External_Id__c]], Instructors[Id], Instructors[Instruments_Taught__c])&amp;";"))</f>
        <v>1</v>
      </c>
      <c r="AB153" t="str">
        <f>IF(LEFT(Lessons[[#This Row],[Status__c]],9)="Cancelled","",Lessons[[#This Row],[Instructor_External_Id__c]]&amp;"|"&amp;TEXT(Lessons[[#This Row],[Lesson_Date__c]],"yyyy-mm-dd")&amp;"|"&amp;Lessons[[#This Row],[Start_Time__c]])</f>
        <v>a06ak00000amzBiAAI|2026-07-26|18:30:00.000Z</v>
      </c>
      <c r="AC153">
        <f>IF(Lessons[[#This Row],[Double Booked Key]]="","",COUNTIF(Lessons[Double Booked Key],Lessons[[#This Row],[Double Booked Key]]))</f>
        <v>1</v>
      </c>
      <c r="AD153" s="6" t="str">
        <f>_xlfn.XLOOKUP(Lessons[[#This Row],[Location_External_Id__c]], Locations[Location Id], Locations[Location Name])</f>
        <v>Red Bank</v>
      </c>
      <c r="AE153" s="6" t="str">
        <f>TEXT(Lessons[[#This Row],[Lesson_Date__c]], "yyyy-mm")</f>
        <v>2026-07</v>
      </c>
      <c r="AF153" s="6" t="str">
        <f>IF(Lessons[[#This Row],[Lesson_Date__c]]&lt;=Data_Audit!$F$1, "Yes", "No")</f>
        <v>Yes</v>
      </c>
    </row>
    <row r="154" spans="1:32">
      <c r="A154" t="s">
        <v>52</v>
      </c>
      <c r="B154" t="s">
        <v>53</v>
      </c>
      <c r="C154">
        <v>60</v>
      </c>
      <c r="D154" t="s">
        <v>675</v>
      </c>
      <c r="E154" t="s">
        <v>359</v>
      </c>
      <c r="F154" t="s">
        <v>360</v>
      </c>
      <c r="G154" t="s">
        <v>164</v>
      </c>
      <c r="H154" t="s">
        <v>78</v>
      </c>
      <c r="I154" t="b">
        <v>0</v>
      </c>
      <c r="K154" t="s">
        <v>52</v>
      </c>
      <c r="L154" t="s">
        <v>70</v>
      </c>
      <c r="O154" s="1">
        <v>46049</v>
      </c>
      <c r="P154" t="s">
        <v>676</v>
      </c>
      <c r="Q154" t="s">
        <v>677</v>
      </c>
      <c r="R154" t="s">
        <v>63</v>
      </c>
      <c r="S154" t="b">
        <v>0</v>
      </c>
      <c r="T154" t="b">
        <v>0</v>
      </c>
      <c r="U154" t="s">
        <v>677</v>
      </c>
      <c r="V154" t="s">
        <v>116</v>
      </c>
      <c r="W154" t="s">
        <v>65</v>
      </c>
      <c r="X154" t="s">
        <v>667</v>
      </c>
      <c r="Y154" t="s">
        <v>668</v>
      </c>
      <c r="Z154" t="s">
        <v>70</v>
      </c>
      <c r="AA154" t="b">
        <f>ISNUMBER(SEARCH(";"&amp;Lessons[[#This Row],[Instrument__c]]&amp;";",";"&amp;_xlfn.XLOOKUP(Lessons[[#This Row],[Instructor_External_Id__c]], Instructors[Id], Instructors[Instruments_Taught__c])&amp;";"))</f>
        <v>1</v>
      </c>
      <c r="AB154" t="str">
        <f>IF(LEFT(Lessons[[#This Row],[Status__c]],9)="Cancelled","",Lessons[[#This Row],[Instructor_External_Id__c]]&amp;"|"&amp;TEXT(Lessons[[#This Row],[Lesson_Date__c]],"yyyy-mm-dd")&amp;"|"&amp;Lessons[[#This Row],[Start_Time__c]])</f>
        <v>a06ak00000amzBiAAI|2026-01-27|17:30:00.000Z</v>
      </c>
      <c r="AC154">
        <f>IF(Lessons[[#This Row],[Double Booked Key]]="","",COUNTIF(Lessons[Double Booked Key],Lessons[[#This Row],[Double Booked Key]]))</f>
        <v>1</v>
      </c>
      <c r="AD154" s="6" t="str">
        <f>_xlfn.XLOOKUP(Lessons[[#This Row],[Location_External_Id__c]], Locations[Location Id], Locations[Location Name])</f>
        <v>Red Bank</v>
      </c>
      <c r="AE154" s="6" t="str">
        <f>TEXT(Lessons[[#This Row],[Lesson_Date__c]], "yyyy-mm")</f>
        <v>2026-01</v>
      </c>
      <c r="AF154" s="6" t="str">
        <f>IF(Lessons[[#This Row],[Lesson_Date__c]]&lt;=Data_Audit!$F$1, "Yes", "No")</f>
        <v>Yes</v>
      </c>
    </row>
    <row r="155" spans="1:32">
      <c r="A155" t="s">
        <v>52</v>
      </c>
      <c r="B155" t="s">
        <v>53</v>
      </c>
      <c r="C155">
        <v>45</v>
      </c>
      <c r="D155" t="s">
        <v>678</v>
      </c>
      <c r="E155" t="s">
        <v>459</v>
      </c>
      <c r="F155" t="s">
        <v>460</v>
      </c>
      <c r="G155" t="s">
        <v>164</v>
      </c>
      <c r="H155" t="s">
        <v>461</v>
      </c>
      <c r="I155" t="b">
        <v>0</v>
      </c>
      <c r="K155" t="s">
        <v>52</v>
      </c>
      <c r="L155" t="s">
        <v>70</v>
      </c>
      <c r="O155" s="1">
        <v>46294</v>
      </c>
      <c r="P155" t="s">
        <v>679</v>
      </c>
      <c r="Q155" t="s">
        <v>680</v>
      </c>
      <c r="R155" t="s">
        <v>83</v>
      </c>
      <c r="S155" t="b">
        <v>0</v>
      </c>
      <c r="T155" t="b">
        <v>0</v>
      </c>
      <c r="U155" t="s">
        <v>680</v>
      </c>
      <c r="V155" t="s">
        <v>110</v>
      </c>
      <c r="W155" t="s">
        <v>65</v>
      </c>
      <c r="X155" t="s">
        <v>681</v>
      </c>
      <c r="Y155" t="s">
        <v>682</v>
      </c>
      <c r="Z155" t="s">
        <v>70</v>
      </c>
      <c r="AA155" t="b">
        <f>ISNUMBER(SEARCH(";"&amp;Lessons[[#This Row],[Instrument__c]]&amp;";",";"&amp;_xlfn.XLOOKUP(Lessons[[#This Row],[Instructor_External_Id__c]], Instructors[Id], Instructors[Instruments_Taught__c])&amp;";"))</f>
        <v>1</v>
      </c>
      <c r="AB155" t="str">
        <f>IF(LEFT(Lessons[[#This Row],[Status__c]],9)="Cancelled","",Lessons[[#This Row],[Instructor_External_Id__c]]&amp;"|"&amp;TEXT(Lessons[[#This Row],[Lesson_Date__c]],"yyyy-mm-dd")&amp;"|"&amp;Lessons[[#This Row],[Start_Time__c]])</f>
        <v>a06ak00000amzC8AAI|2026-09-29|10:00:00.000Z</v>
      </c>
      <c r="AC155">
        <f>IF(Lessons[[#This Row],[Double Booked Key]]="","",COUNTIF(Lessons[Double Booked Key],Lessons[[#This Row],[Double Booked Key]]))</f>
        <v>1</v>
      </c>
      <c r="AD155" s="6" t="str">
        <f>_xlfn.XLOOKUP(Lessons[[#This Row],[Location_External_Id__c]], Locations[Location Id], Locations[Location Name])</f>
        <v>Brick</v>
      </c>
      <c r="AE155" s="6" t="str">
        <f>TEXT(Lessons[[#This Row],[Lesson_Date__c]], "yyyy-mm")</f>
        <v>2026-09</v>
      </c>
      <c r="AF155" s="6" t="str">
        <f>IF(Lessons[[#This Row],[Lesson_Date__c]]&lt;=Data_Audit!$F$1, "Yes", "No")</f>
        <v>Yes</v>
      </c>
    </row>
    <row r="156" spans="1:32">
      <c r="A156" t="s">
        <v>52</v>
      </c>
      <c r="B156" t="s">
        <v>53</v>
      </c>
      <c r="C156">
        <v>30</v>
      </c>
      <c r="D156" t="s">
        <v>683</v>
      </c>
      <c r="E156" t="s">
        <v>459</v>
      </c>
      <c r="F156" t="s">
        <v>460</v>
      </c>
      <c r="H156" t="s">
        <v>461</v>
      </c>
      <c r="I156" t="b">
        <v>0</v>
      </c>
      <c r="K156" t="s">
        <v>52</v>
      </c>
      <c r="L156" t="s">
        <v>171</v>
      </c>
      <c r="O156" s="1">
        <v>46210</v>
      </c>
      <c r="P156" t="s">
        <v>684</v>
      </c>
      <c r="Q156" t="s">
        <v>685</v>
      </c>
      <c r="R156" t="s">
        <v>83</v>
      </c>
      <c r="S156" t="b">
        <v>1</v>
      </c>
      <c r="T156" t="b">
        <v>1</v>
      </c>
      <c r="U156" t="s">
        <v>685</v>
      </c>
      <c r="V156" t="s">
        <v>74</v>
      </c>
      <c r="W156" t="s">
        <v>136</v>
      </c>
      <c r="X156" t="s">
        <v>681</v>
      </c>
      <c r="Y156" t="s">
        <v>682</v>
      </c>
      <c r="Z156" t="s">
        <v>171</v>
      </c>
      <c r="AA156" t="b">
        <f>ISNUMBER(SEARCH(";"&amp;Lessons[[#This Row],[Instrument__c]]&amp;";",";"&amp;_xlfn.XLOOKUP(Lessons[[#This Row],[Instructor_External_Id__c]], Instructors[Id], Instructors[Instruments_Taught__c])&amp;";"))</f>
        <v>1</v>
      </c>
      <c r="AB156" t="str">
        <f>IF(LEFT(Lessons[[#This Row],[Status__c]],9)="Cancelled","",Lessons[[#This Row],[Instructor_External_Id__c]]&amp;"|"&amp;TEXT(Lessons[[#This Row],[Lesson_Date__c]],"yyyy-mm-dd")&amp;"|"&amp;Lessons[[#This Row],[Start_Time__c]])</f>
        <v/>
      </c>
      <c r="AC156" t="str">
        <f>IF(Lessons[[#This Row],[Double Booked Key]]="","",COUNTIF(Lessons[Double Booked Key],Lessons[[#This Row],[Double Booked Key]]))</f>
        <v/>
      </c>
      <c r="AD156" s="6" t="str">
        <f>_xlfn.XLOOKUP(Lessons[[#This Row],[Location_External_Id__c]], Locations[Location Id], Locations[Location Name])</f>
        <v>Brick</v>
      </c>
      <c r="AE156" s="6" t="str">
        <f>TEXT(Lessons[[#This Row],[Lesson_Date__c]], "yyyy-mm")</f>
        <v>2026-07</v>
      </c>
      <c r="AF156" s="6" t="str">
        <f>IF(Lessons[[#This Row],[Lesson_Date__c]]&lt;=Data_Audit!$F$1, "Yes", "No")</f>
        <v>Yes</v>
      </c>
    </row>
    <row r="157" spans="1:32">
      <c r="A157" t="s">
        <v>52</v>
      </c>
      <c r="B157" t="s">
        <v>53</v>
      </c>
      <c r="C157">
        <v>60</v>
      </c>
      <c r="D157" t="s">
        <v>686</v>
      </c>
      <c r="E157" t="s">
        <v>459</v>
      </c>
      <c r="F157" t="s">
        <v>460</v>
      </c>
      <c r="H157" t="s">
        <v>461</v>
      </c>
      <c r="I157" t="b">
        <v>0</v>
      </c>
      <c r="K157" t="s">
        <v>52</v>
      </c>
      <c r="L157" t="s">
        <v>171</v>
      </c>
      <c r="O157" s="1">
        <v>46109</v>
      </c>
      <c r="P157" t="s">
        <v>687</v>
      </c>
      <c r="Q157" t="s">
        <v>688</v>
      </c>
      <c r="R157" t="s">
        <v>83</v>
      </c>
      <c r="S157" t="b">
        <v>1</v>
      </c>
      <c r="T157" t="b">
        <v>1</v>
      </c>
      <c r="U157" t="s">
        <v>688</v>
      </c>
      <c r="V157" t="s">
        <v>135</v>
      </c>
      <c r="W157" t="s">
        <v>136</v>
      </c>
      <c r="X157" t="s">
        <v>681</v>
      </c>
      <c r="Y157" t="s">
        <v>682</v>
      </c>
      <c r="Z157" t="s">
        <v>171</v>
      </c>
      <c r="AA157" t="b">
        <f>ISNUMBER(SEARCH(";"&amp;Lessons[[#This Row],[Instrument__c]]&amp;";",";"&amp;_xlfn.XLOOKUP(Lessons[[#This Row],[Instructor_External_Id__c]], Instructors[Id], Instructors[Instruments_Taught__c])&amp;";"))</f>
        <v>1</v>
      </c>
      <c r="AB157" t="str">
        <f>IF(LEFT(Lessons[[#This Row],[Status__c]],9)="Cancelled","",Lessons[[#This Row],[Instructor_External_Id__c]]&amp;"|"&amp;TEXT(Lessons[[#This Row],[Lesson_Date__c]],"yyyy-mm-dd")&amp;"|"&amp;Lessons[[#This Row],[Start_Time__c]])</f>
        <v/>
      </c>
      <c r="AC157" t="str">
        <f>IF(Lessons[[#This Row],[Double Booked Key]]="","",COUNTIF(Lessons[Double Booked Key],Lessons[[#This Row],[Double Booked Key]]))</f>
        <v/>
      </c>
      <c r="AD157" s="6" t="str">
        <f>_xlfn.XLOOKUP(Lessons[[#This Row],[Location_External_Id__c]], Locations[Location Id], Locations[Location Name])</f>
        <v>Brick</v>
      </c>
      <c r="AE157" s="6" t="str">
        <f>TEXT(Lessons[[#This Row],[Lesson_Date__c]], "yyyy-mm")</f>
        <v>2026-03</v>
      </c>
      <c r="AF157" s="6" t="str">
        <f>IF(Lessons[[#This Row],[Lesson_Date__c]]&lt;=Data_Audit!$F$1, "Yes", "No")</f>
        <v>Yes</v>
      </c>
    </row>
    <row r="158" spans="1:32">
      <c r="A158" t="s">
        <v>52</v>
      </c>
      <c r="B158" t="s">
        <v>53</v>
      </c>
      <c r="C158">
        <v>60</v>
      </c>
      <c r="D158" t="s">
        <v>689</v>
      </c>
      <c r="E158" t="s">
        <v>459</v>
      </c>
      <c r="F158" t="s">
        <v>460</v>
      </c>
      <c r="G158" t="s">
        <v>164</v>
      </c>
      <c r="H158" t="s">
        <v>461</v>
      </c>
      <c r="I158" t="b">
        <v>0</v>
      </c>
      <c r="K158" t="s">
        <v>52</v>
      </c>
      <c r="L158" t="s">
        <v>70</v>
      </c>
      <c r="O158" s="1">
        <v>46124</v>
      </c>
      <c r="P158" t="s">
        <v>690</v>
      </c>
      <c r="Q158" t="s">
        <v>691</v>
      </c>
      <c r="R158" t="s">
        <v>83</v>
      </c>
      <c r="S158" t="b">
        <v>0</v>
      </c>
      <c r="T158" t="b">
        <v>0</v>
      </c>
      <c r="U158" t="s">
        <v>691</v>
      </c>
      <c r="V158" t="s">
        <v>94</v>
      </c>
      <c r="W158" t="s">
        <v>65</v>
      </c>
      <c r="X158" t="s">
        <v>681</v>
      </c>
      <c r="Y158" t="s">
        <v>682</v>
      </c>
      <c r="Z158" t="s">
        <v>70</v>
      </c>
      <c r="AA158" t="b">
        <f>ISNUMBER(SEARCH(";"&amp;Lessons[[#This Row],[Instrument__c]]&amp;";",";"&amp;_xlfn.XLOOKUP(Lessons[[#This Row],[Instructor_External_Id__c]], Instructors[Id], Instructors[Instruments_Taught__c])&amp;";"))</f>
        <v>1</v>
      </c>
      <c r="AB158" t="str">
        <f>IF(LEFT(Lessons[[#This Row],[Status__c]],9)="Cancelled","",Lessons[[#This Row],[Instructor_External_Id__c]]&amp;"|"&amp;TEXT(Lessons[[#This Row],[Lesson_Date__c]],"yyyy-mm-dd")&amp;"|"&amp;Lessons[[#This Row],[Start_Time__c]])</f>
        <v>a06ak00000amzC8AAI|2026-04-12|19:00:00.000Z</v>
      </c>
      <c r="AC158">
        <f>IF(Lessons[[#This Row],[Double Booked Key]]="","",COUNTIF(Lessons[Double Booked Key],Lessons[[#This Row],[Double Booked Key]]))</f>
        <v>1</v>
      </c>
      <c r="AD158" s="6" t="str">
        <f>_xlfn.XLOOKUP(Lessons[[#This Row],[Location_External_Id__c]], Locations[Location Id], Locations[Location Name])</f>
        <v>Brick</v>
      </c>
      <c r="AE158" s="6" t="str">
        <f>TEXT(Lessons[[#This Row],[Lesson_Date__c]], "yyyy-mm")</f>
        <v>2026-04</v>
      </c>
      <c r="AF158" s="6" t="str">
        <f>IF(Lessons[[#This Row],[Lesson_Date__c]]&lt;=Data_Audit!$F$1, "Yes", "No")</f>
        <v>Yes</v>
      </c>
    </row>
    <row r="159" spans="1:32">
      <c r="A159" t="s">
        <v>52</v>
      </c>
      <c r="B159" t="s">
        <v>53</v>
      </c>
      <c r="C159">
        <v>30</v>
      </c>
      <c r="D159" t="s">
        <v>692</v>
      </c>
      <c r="E159" t="s">
        <v>459</v>
      </c>
      <c r="F159" t="s">
        <v>460</v>
      </c>
      <c r="H159" t="s">
        <v>461</v>
      </c>
      <c r="I159" t="b">
        <v>0</v>
      </c>
      <c r="K159" t="s">
        <v>52</v>
      </c>
      <c r="L159" t="s">
        <v>70</v>
      </c>
      <c r="O159" s="1">
        <v>46223</v>
      </c>
      <c r="P159" t="s">
        <v>693</v>
      </c>
      <c r="Q159" t="s">
        <v>694</v>
      </c>
      <c r="R159" t="s">
        <v>83</v>
      </c>
      <c r="S159" t="b">
        <v>0</v>
      </c>
      <c r="T159" t="b">
        <v>0</v>
      </c>
      <c r="U159" t="s">
        <v>694</v>
      </c>
      <c r="V159" t="s">
        <v>116</v>
      </c>
      <c r="W159" t="s">
        <v>65</v>
      </c>
      <c r="X159" t="s">
        <v>681</v>
      </c>
      <c r="Y159" t="s">
        <v>682</v>
      </c>
      <c r="Z159" t="s">
        <v>70</v>
      </c>
      <c r="AA159" t="b">
        <f>ISNUMBER(SEARCH(";"&amp;Lessons[[#This Row],[Instrument__c]]&amp;";",";"&amp;_xlfn.XLOOKUP(Lessons[[#This Row],[Instructor_External_Id__c]], Instructors[Id], Instructors[Instruments_Taught__c])&amp;";"))</f>
        <v>1</v>
      </c>
      <c r="AB159" t="str">
        <f>IF(LEFT(Lessons[[#This Row],[Status__c]],9)="Cancelled","",Lessons[[#This Row],[Instructor_External_Id__c]]&amp;"|"&amp;TEXT(Lessons[[#This Row],[Lesson_Date__c]],"yyyy-mm-dd")&amp;"|"&amp;Lessons[[#This Row],[Start_Time__c]])</f>
        <v>a06ak00000amzC8AAI|2026-07-20|17:30:00.000Z</v>
      </c>
      <c r="AC159">
        <f>IF(Lessons[[#This Row],[Double Booked Key]]="","",COUNTIF(Lessons[Double Booked Key],Lessons[[#This Row],[Double Booked Key]]))</f>
        <v>1</v>
      </c>
      <c r="AD159" s="6" t="str">
        <f>_xlfn.XLOOKUP(Lessons[[#This Row],[Location_External_Id__c]], Locations[Location Id], Locations[Location Name])</f>
        <v>Brick</v>
      </c>
      <c r="AE159" s="6" t="str">
        <f>TEXT(Lessons[[#This Row],[Lesson_Date__c]], "yyyy-mm")</f>
        <v>2026-07</v>
      </c>
      <c r="AF159" s="6" t="str">
        <f>IF(Lessons[[#This Row],[Lesson_Date__c]]&lt;=Data_Audit!$F$1, "Yes", "No")</f>
        <v>Yes</v>
      </c>
    </row>
    <row r="160" spans="1:32">
      <c r="A160" t="s">
        <v>52</v>
      </c>
      <c r="B160" t="s">
        <v>53</v>
      </c>
      <c r="C160">
        <v>45</v>
      </c>
      <c r="D160" t="s">
        <v>695</v>
      </c>
      <c r="E160" t="s">
        <v>459</v>
      </c>
      <c r="F160" t="s">
        <v>460</v>
      </c>
      <c r="G160" t="s">
        <v>57</v>
      </c>
      <c r="H160" t="s">
        <v>461</v>
      </c>
      <c r="I160" t="b">
        <v>0</v>
      </c>
      <c r="K160" t="s">
        <v>52</v>
      </c>
      <c r="L160" t="s">
        <v>70</v>
      </c>
      <c r="O160" s="1">
        <v>46219</v>
      </c>
      <c r="P160" t="s">
        <v>696</v>
      </c>
      <c r="Q160" t="s">
        <v>697</v>
      </c>
      <c r="R160" t="s">
        <v>83</v>
      </c>
      <c r="S160" t="b">
        <v>0</v>
      </c>
      <c r="T160" t="b">
        <v>0</v>
      </c>
      <c r="U160" t="s">
        <v>697</v>
      </c>
      <c r="V160" t="s">
        <v>135</v>
      </c>
      <c r="W160" t="s">
        <v>65</v>
      </c>
      <c r="X160" t="s">
        <v>681</v>
      </c>
      <c r="Y160" t="s">
        <v>682</v>
      </c>
      <c r="Z160" t="s">
        <v>70</v>
      </c>
      <c r="AA160" t="b">
        <f>ISNUMBER(SEARCH(";"&amp;Lessons[[#This Row],[Instrument__c]]&amp;";",";"&amp;_xlfn.XLOOKUP(Lessons[[#This Row],[Instructor_External_Id__c]], Instructors[Id], Instructors[Instruments_Taught__c])&amp;";"))</f>
        <v>1</v>
      </c>
      <c r="AB160" t="str">
        <f>IF(LEFT(Lessons[[#This Row],[Status__c]],9)="Cancelled","",Lessons[[#This Row],[Instructor_External_Id__c]]&amp;"|"&amp;TEXT(Lessons[[#This Row],[Lesson_Date__c]],"yyyy-mm-dd")&amp;"|"&amp;Lessons[[#This Row],[Start_Time__c]])</f>
        <v>a06ak00000amzC8AAI|2026-07-16|15:30:00.000Z</v>
      </c>
      <c r="AC160">
        <f>IF(Lessons[[#This Row],[Double Booked Key]]="","",COUNTIF(Lessons[Double Booked Key],Lessons[[#This Row],[Double Booked Key]]))</f>
        <v>1</v>
      </c>
      <c r="AD160" s="6" t="str">
        <f>_xlfn.XLOOKUP(Lessons[[#This Row],[Location_External_Id__c]], Locations[Location Id], Locations[Location Name])</f>
        <v>Brick</v>
      </c>
      <c r="AE160" s="6" t="str">
        <f>TEXT(Lessons[[#This Row],[Lesson_Date__c]], "yyyy-mm")</f>
        <v>2026-07</v>
      </c>
      <c r="AF160" s="6" t="str">
        <f>IF(Lessons[[#This Row],[Lesson_Date__c]]&lt;=Data_Audit!$F$1, "Yes", "No")</f>
        <v>Yes</v>
      </c>
    </row>
    <row r="161" spans="1:32">
      <c r="A161" t="s">
        <v>52</v>
      </c>
      <c r="B161" t="s">
        <v>53</v>
      </c>
      <c r="C161">
        <v>30</v>
      </c>
      <c r="D161" t="s">
        <v>698</v>
      </c>
      <c r="E161" t="s">
        <v>459</v>
      </c>
      <c r="F161" t="s">
        <v>460</v>
      </c>
      <c r="G161" t="s">
        <v>57</v>
      </c>
      <c r="H161" t="s">
        <v>461</v>
      </c>
      <c r="I161" t="b">
        <v>0</v>
      </c>
      <c r="K161" t="s">
        <v>52</v>
      </c>
      <c r="L161" t="s">
        <v>70</v>
      </c>
      <c r="O161" s="1">
        <v>46053</v>
      </c>
      <c r="P161" t="s">
        <v>699</v>
      </c>
      <c r="Q161" t="s">
        <v>700</v>
      </c>
      <c r="R161" t="s">
        <v>83</v>
      </c>
      <c r="S161" t="b">
        <v>0</v>
      </c>
      <c r="T161" t="b">
        <v>0</v>
      </c>
      <c r="U161" t="s">
        <v>700</v>
      </c>
      <c r="V161" t="s">
        <v>64</v>
      </c>
      <c r="W161" t="s">
        <v>65</v>
      </c>
      <c r="X161" t="s">
        <v>681</v>
      </c>
      <c r="Y161" t="s">
        <v>682</v>
      </c>
      <c r="Z161" t="s">
        <v>70</v>
      </c>
      <c r="AA161" t="b">
        <f>ISNUMBER(SEARCH(";"&amp;Lessons[[#This Row],[Instrument__c]]&amp;";",";"&amp;_xlfn.XLOOKUP(Lessons[[#This Row],[Instructor_External_Id__c]], Instructors[Id], Instructors[Instruments_Taught__c])&amp;";"))</f>
        <v>1</v>
      </c>
      <c r="AB161" t="str">
        <f>IF(LEFT(Lessons[[#This Row],[Status__c]],9)="Cancelled","",Lessons[[#This Row],[Instructor_External_Id__c]]&amp;"|"&amp;TEXT(Lessons[[#This Row],[Lesson_Date__c]],"yyyy-mm-dd")&amp;"|"&amp;Lessons[[#This Row],[Start_Time__c]])</f>
        <v>a06ak00000amzC8AAI|2026-01-31|11:00:00.000Z</v>
      </c>
      <c r="AC161">
        <f>IF(Lessons[[#This Row],[Double Booked Key]]="","",COUNTIF(Lessons[Double Booked Key],Lessons[[#This Row],[Double Booked Key]]))</f>
        <v>1</v>
      </c>
      <c r="AD161" s="6" t="str">
        <f>_xlfn.XLOOKUP(Lessons[[#This Row],[Location_External_Id__c]], Locations[Location Id], Locations[Location Name])</f>
        <v>Brick</v>
      </c>
      <c r="AE161" s="6" t="str">
        <f>TEXT(Lessons[[#This Row],[Lesson_Date__c]], "yyyy-mm")</f>
        <v>2026-01</v>
      </c>
      <c r="AF161" s="6" t="str">
        <f>IF(Lessons[[#This Row],[Lesson_Date__c]]&lt;=Data_Audit!$F$1, "Yes", "No")</f>
        <v>Yes</v>
      </c>
    </row>
    <row r="162" spans="1:32">
      <c r="A162" t="s">
        <v>52</v>
      </c>
      <c r="B162" t="s">
        <v>53</v>
      </c>
      <c r="C162">
        <v>60</v>
      </c>
      <c r="D162" t="s">
        <v>701</v>
      </c>
      <c r="E162" t="s">
        <v>459</v>
      </c>
      <c r="F162" t="s">
        <v>460</v>
      </c>
      <c r="G162" t="s">
        <v>164</v>
      </c>
      <c r="H162" t="s">
        <v>461</v>
      </c>
      <c r="I162" t="b">
        <v>0</v>
      </c>
      <c r="K162" t="s">
        <v>52</v>
      </c>
      <c r="L162" t="s">
        <v>70</v>
      </c>
      <c r="O162" s="1">
        <v>46202</v>
      </c>
      <c r="P162" t="s">
        <v>702</v>
      </c>
      <c r="Q162" t="s">
        <v>703</v>
      </c>
      <c r="R162" t="s">
        <v>83</v>
      </c>
      <c r="S162" t="b">
        <v>0</v>
      </c>
      <c r="T162" t="b">
        <v>0</v>
      </c>
      <c r="U162" t="s">
        <v>703</v>
      </c>
      <c r="V162" t="s">
        <v>128</v>
      </c>
      <c r="W162" t="s">
        <v>65</v>
      </c>
      <c r="X162" t="s">
        <v>681</v>
      </c>
      <c r="Y162" t="s">
        <v>682</v>
      </c>
      <c r="Z162" t="s">
        <v>70</v>
      </c>
      <c r="AA162" t="b">
        <f>ISNUMBER(SEARCH(";"&amp;Lessons[[#This Row],[Instrument__c]]&amp;";",";"&amp;_xlfn.XLOOKUP(Lessons[[#This Row],[Instructor_External_Id__c]], Instructors[Id], Instructors[Instruments_Taught__c])&amp;";"))</f>
        <v>1</v>
      </c>
      <c r="AB162" t="str">
        <f>IF(LEFT(Lessons[[#This Row],[Status__c]],9)="Cancelled","",Lessons[[#This Row],[Instructor_External_Id__c]]&amp;"|"&amp;TEXT(Lessons[[#This Row],[Lesson_Date__c]],"yyyy-mm-dd")&amp;"|"&amp;Lessons[[#This Row],[Start_Time__c]])</f>
        <v>a06ak00000amzC8AAI|2026-06-29|18:30:00.000Z</v>
      </c>
      <c r="AC162">
        <f>IF(Lessons[[#This Row],[Double Booked Key]]="","",COUNTIF(Lessons[Double Booked Key],Lessons[[#This Row],[Double Booked Key]]))</f>
        <v>1</v>
      </c>
      <c r="AD162" s="6" t="str">
        <f>_xlfn.XLOOKUP(Lessons[[#This Row],[Location_External_Id__c]], Locations[Location Id], Locations[Location Name])</f>
        <v>Brick</v>
      </c>
      <c r="AE162" s="6" t="str">
        <f>TEXT(Lessons[[#This Row],[Lesson_Date__c]], "yyyy-mm")</f>
        <v>2026-06</v>
      </c>
      <c r="AF162" s="6" t="str">
        <f>IF(Lessons[[#This Row],[Lesson_Date__c]]&lt;=Data_Audit!$F$1, "Yes", "No")</f>
        <v>Yes</v>
      </c>
    </row>
    <row r="163" spans="1:32">
      <c r="A163" t="s">
        <v>52</v>
      </c>
      <c r="B163" t="s">
        <v>53</v>
      </c>
      <c r="C163">
        <v>30</v>
      </c>
      <c r="D163" t="s">
        <v>704</v>
      </c>
      <c r="E163" t="s">
        <v>459</v>
      </c>
      <c r="F163" t="s">
        <v>460</v>
      </c>
      <c r="G163" t="s">
        <v>99</v>
      </c>
      <c r="H163" t="s">
        <v>461</v>
      </c>
      <c r="I163" t="b">
        <v>0</v>
      </c>
      <c r="K163" t="s">
        <v>52</v>
      </c>
      <c r="L163" t="s">
        <v>70</v>
      </c>
      <c r="O163" s="1">
        <v>46068</v>
      </c>
      <c r="P163" t="s">
        <v>705</v>
      </c>
      <c r="Q163" t="s">
        <v>706</v>
      </c>
      <c r="R163" t="s">
        <v>83</v>
      </c>
      <c r="S163" t="b">
        <v>0</v>
      </c>
      <c r="T163" t="b">
        <v>0</v>
      </c>
      <c r="U163" t="s">
        <v>706</v>
      </c>
      <c r="V163" t="s">
        <v>116</v>
      </c>
      <c r="W163" t="s">
        <v>65</v>
      </c>
      <c r="X163" t="s">
        <v>681</v>
      </c>
      <c r="Y163" t="s">
        <v>682</v>
      </c>
      <c r="Z163" t="s">
        <v>70</v>
      </c>
      <c r="AA163" t="b">
        <f>ISNUMBER(SEARCH(";"&amp;Lessons[[#This Row],[Instrument__c]]&amp;";",";"&amp;_xlfn.XLOOKUP(Lessons[[#This Row],[Instructor_External_Id__c]], Instructors[Id], Instructors[Instruments_Taught__c])&amp;";"))</f>
        <v>1</v>
      </c>
      <c r="AB163" t="str">
        <f>IF(LEFT(Lessons[[#This Row],[Status__c]],9)="Cancelled","",Lessons[[#This Row],[Instructor_External_Id__c]]&amp;"|"&amp;TEXT(Lessons[[#This Row],[Lesson_Date__c]],"yyyy-mm-dd")&amp;"|"&amp;Lessons[[#This Row],[Start_Time__c]])</f>
        <v>a06ak00000amzC8AAI|2026-02-15|17:30:00.000Z</v>
      </c>
      <c r="AC163">
        <f>IF(Lessons[[#This Row],[Double Booked Key]]="","",COUNTIF(Lessons[Double Booked Key],Lessons[[#This Row],[Double Booked Key]]))</f>
        <v>1</v>
      </c>
      <c r="AD163" s="6" t="str">
        <f>_xlfn.XLOOKUP(Lessons[[#This Row],[Location_External_Id__c]], Locations[Location Id], Locations[Location Name])</f>
        <v>Brick</v>
      </c>
      <c r="AE163" s="6" t="str">
        <f>TEXT(Lessons[[#This Row],[Lesson_Date__c]], "yyyy-mm")</f>
        <v>2026-02</v>
      </c>
      <c r="AF163" s="6" t="str">
        <f>IF(Lessons[[#This Row],[Lesson_Date__c]]&lt;=Data_Audit!$F$1, "Yes", "No")</f>
        <v>Yes</v>
      </c>
    </row>
    <row r="164" spans="1:32">
      <c r="A164" t="s">
        <v>52</v>
      </c>
      <c r="B164" t="s">
        <v>53</v>
      </c>
      <c r="C164">
        <v>30</v>
      </c>
      <c r="D164" t="s">
        <v>707</v>
      </c>
      <c r="E164" t="s">
        <v>459</v>
      </c>
      <c r="F164" t="s">
        <v>460</v>
      </c>
      <c r="G164" t="s">
        <v>106</v>
      </c>
      <c r="H164" t="s">
        <v>107</v>
      </c>
      <c r="I164" t="b">
        <v>0</v>
      </c>
      <c r="K164" t="s">
        <v>52</v>
      </c>
      <c r="L164" t="s">
        <v>79</v>
      </c>
      <c r="O164" s="1">
        <v>46295</v>
      </c>
      <c r="P164" t="s">
        <v>708</v>
      </c>
      <c r="Q164" t="s">
        <v>709</v>
      </c>
      <c r="R164" t="s">
        <v>83</v>
      </c>
      <c r="S164" t="b">
        <v>0</v>
      </c>
      <c r="T164" t="b">
        <v>0</v>
      </c>
      <c r="U164" t="s">
        <v>709</v>
      </c>
      <c r="V164" t="s">
        <v>94</v>
      </c>
      <c r="W164" t="s">
        <v>65</v>
      </c>
      <c r="X164" t="s">
        <v>710</v>
      </c>
      <c r="Y164" t="s">
        <v>711</v>
      </c>
      <c r="Z164" t="s">
        <v>79</v>
      </c>
      <c r="AA164" t="b">
        <f>ISNUMBER(SEARCH(";"&amp;Lessons[[#This Row],[Instrument__c]]&amp;";",";"&amp;_xlfn.XLOOKUP(Lessons[[#This Row],[Instructor_External_Id__c]], Instructors[Id], Instructors[Instruments_Taught__c])&amp;";"))</f>
        <v>1</v>
      </c>
      <c r="AB164" t="str">
        <f>IF(LEFT(Lessons[[#This Row],[Status__c]],9)="Cancelled","",Lessons[[#This Row],[Instructor_External_Id__c]]&amp;"|"&amp;TEXT(Lessons[[#This Row],[Lesson_Date__c]],"yyyy-mm-dd")&amp;"|"&amp;Lessons[[#This Row],[Start_Time__c]])</f>
        <v>a06ak00000amzC8AAI|2026-09-30|19:00:00.000Z</v>
      </c>
      <c r="AC164">
        <f>IF(Lessons[[#This Row],[Double Booked Key]]="","",COUNTIF(Lessons[Double Booked Key],Lessons[[#This Row],[Double Booked Key]]))</f>
        <v>1</v>
      </c>
      <c r="AD164" s="6" t="str">
        <f>_xlfn.XLOOKUP(Lessons[[#This Row],[Location_External_Id__c]], Locations[Location Id], Locations[Location Name])</f>
        <v>Brick</v>
      </c>
      <c r="AE164" s="6" t="str">
        <f>TEXT(Lessons[[#This Row],[Lesson_Date__c]], "yyyy-mm")</f>
        <v>2026-09</v>
      </c>
      <c r="AF164" s="6" t="str">
        <f>IF(Lessons[[#This Row],[Lesson_Date__c]]&lt;=Data_Audit!$F$1, "Yes", "No")</f>
        <v>Yes</v>
      </c>
    </row>
    <row r="165" spans="1:32">
      <c r="A165" t="s">
        <v>52</v>
      </c>
      <c r="B165" t="s">
        <v>53</v>
      </c>
      <c r="C165">
        <v>60</v>
      </c>
      <c r="D165" t="s">
        <v>712</v>
      </c>
      <c r="E165" t="s">
        <v>713</v>
      </c>
      <c r="F165" t="s">
        <v>714</v>
      </c>
      <c r="H165" t="s">
        <v>107</v>
      </c>
      <c r="I165" t="b">
        <v>0</v>
      </c>
      <c r="K165" t="s">
        <v>52</v>
      </c>
      <c r="L165" t="s">
        <v>171</v>
      </c>
      <c r="O165" s="1">
        <v>46101</v>
      </c>
      <c r="P165" t="s">
        <v>715</v>
      </c>
      <c r="Q165" t="s">
        <v>716</v>
      </c>
      <c r="R165" t="s">
        <v>83</v>
      </c>
      <c r="S165" t="b">
        <v>1</v>
      </c>
      <c r="T165" t="b">
        <v>0</v>
      </c>
      <c r="U165" t="s">
        <v>716</v>
      </c>
      <c r="V165" t="s">
        <v>120</v>
      </c>
      <c r="W165" t="s">
        <v>136</v>
      </c>
      <c r="X165" t="s">
        <v>710</v>
      </c>
      <c r="Y165" t="s">
        <v>711</v>
      </c>
      <c r="Z165" t="s">
        <v>171</v>
      </c>
      <c r="AA165" t="b">
        <f>ISNUMBER(SEARCH(";"&amp;Lessons[[#This Row],[Instrument__c]]&amp;";",";"&amp;_xlfn.XLOOKUP(Lessons[[#This Row],[Instructor_External_Id__c]], Instructors[Id], Instructors[Instruments_Taught__c])&amp;";"))</f>
        <v>1</v>
      </c>
      <c r="AB165" t="str">
        <f>IF(LEFT(Lessons[[#This Row],[Status__c]],9)="Cancelled","",Lessons[[#This Row],[Instructor_External_Id__c]]&amp;"|"&amp;TEXT(Lessons[[#This Row],[Lesson_Date__c]],"yyyy-mm-dd")&amp;"|"&amp;Lessons[[#This Row],[Start_Time__c]])</f>
        <v/>
      </c>
      <c r="AC165" t="str">
        <f>IF(Lessons[[#This Row],[Double Booked Key]]="","",COUNTIF(Lessons[Double Booked Key],Lessons[[#This Row],[Double Booked Key]]))</f>
        <v/>
      </c>
      <c r="AD165" s="6" t="str">
        <f>_xlfn.XLOOKUP(Lessons[[#This Row],[Location_External_Id__c]], Locations[Location Id], Locations[Location Name])</f>
        <v>Brick</v>
      </c>
      <c r="AE165" s="6" t="str">
        <f>TEXT(Lessons[[#This Row],[Lesson_Date__c]], "yyyy-mm")</f>
        <v>2026-03</v>
      </c>
      <c r="AF165" s="6" t="str">
        <f>IF(Lessons[[#This Row],[Lesson_Date__c]]&lt;=Data_Audit!$F$1, "Yes", "No")</f>
        <v>Yes</v>
      </c>
    </row>
    <row r="166" spans="1:32">
      <c r="A166" t="s">
        <v>52</v>
      </c>
      <c r="B166" t="s">
        <v>53</v>
      </c>
      <c r="C166">
        <v>30</v>
      </c>
      <c r="D166" t="s">
        <v>717</v>
      </c>
      <c r="E166" t="s">
        <v>401</v>
      </c>
      <c r="F166" t="s">
        <v>402</v>
      </c>
      <c r="G166" t="s">
        <v>99</v>
      </c>
      <c r="H166" t="s">
        <v>263</v>
      </c>
      <c r="I166" t="b">
        <v>0</v>
      </c>
      <c r="K166" t="s">
        <v>52</v>
      </c>
      <c r="L166" t="s">
        <v>70</v>
      </c>
      <c r="O166" s="1">
        <v>46224</v>
      </c>
      <c r="P166" t="s">
        <v>718</v>
      </c>
      <c r="Q166" t="s">
        <v>719</v>
      </c>
      <c r="R166" t="s">
        <v>83</v>
      </c>
      <c r="S166" t="b">
        <v>0</v>
      </c>
      <c r="T166" t="b">
        <v>0</v>
      </c>
      <c r="U166" t="s">
        <v>719</v>
      </c>
      <c r="V166" t="s">
        <v>128</v>
      </c>
      <c r="W166" t="s">
        <v>65</v>
      </c>
      <c r="X166" t="s">
        <v>720</v>
      </c>
      <c r="Y166" t="s">
        <v>721</v>
      </c>
      <c r="Z166" t="s">
        <v>70</v>
      </c>
      <c r="AA166" t="b">
        <f>ISNUMBER(SEARCH(";"&amp;Lessons[[#This Row],[Instrument__c]]&amp;";",";"&amp;_xlfn.XLOOKUP(Lessons[[#This Row],[Instructor_External_Id__c]], Instructors[Id], Instructors[Instruments_Taught__c])&amp;";"))</f>
        <v>1</v>
      </c>
      <c r="AB166" t="str">
        <f>IF(LEFT(Lessons[[#This Row],[Status__c]],9)="Cancelled","",Lessons[[#This Row],[Instructor_External_Id__c]]&amp;"|"&amp;TEXT(Lessons[[#This Row],[Lesson_Date__c]],"yyyy-mm-dd")&amp;"|"&amp;Lessons[[#This Row],[Start_Time__c]])</f>
        <v>a06ak00000amzBfAAI|2026-07-21|18:30:00.000Z</v>
      </c>
      <c r="AC166">
        <f>IF(Lessons[[#This Row],[Double Booked Key]]="","",COUNTIF(Lessons[Double Booked Key],Lessons[[#This Row],[Double Booked Key]]))</f>
        <v>1</v>
      </c>
      <c r="AD166" s="6" t="str">
        <f>_xlfn.XLOOKUP(Lessons[[#This Row],[Location_External_Id__c]], Locations[Location Id], Locations[Location Name])</f>
        <v>Brick</v>
      </c>
      <c r="AE166" s="6" t="str">
        <f>TEXT(Lessons[[#This Row],[Lesson_Date__c]], "yyyy-mm")</f>
        <v>2026-07</v>
      </c>
      <c r="AF166" s="6" t="str">
        <f>IF(Lessons[[#This Row],[Lesson_Date__c]]&lt;=Data_Audit!$F$1, "Yes", "No")</f>
        <v>Yes</v>
      </c>
    </row>
    <row r="167" spans="1:32">
      <c r="A167" t="s">
        <v>52</v>
      </c>
      <c r="B167" t="s">
        <v>53</v>
      </c>
      <c r="C167">
        <v>60</v>
      </c>
      <c r="D167" t="s">
        <v>722</v>
      </c>
      <c r="E167" t="s">
        <v>401</v>
      </c>
      <c r="F167" t="s">
        <v>402</v>
      </c>
      <c r="G167" t="s">
        <v>99</v>
      </c>
      <c r="H167" t="s">
        <v>263</v>
      </c>
      <c r="I167" t="b">
        <v>0</v>
      </c>
      <c r="K167" t="s">
        <v>52</v>
      </c>
      <c r="L167" t="s">
        <v>70</v>
      </c>
      <c r="O167" s="1">
        <v>46122</v>
      </c>
      <c r="P167" t="s">
        <v>723</v>
      </c>
      <c r="Q167" t="s">
        <v>724</v>
      </c>
      <c r="R167" t="s">
        <v>83</v>
      </c>
      <c r="S167" t="b">
        <v>0</v>
      </c>
      <c r="T167" t="b">
        <v>0</v>
      </c>
      <c r="U167" t="s">
        <v>724</v>
      </c>
      <c r="V167" t="s">
        <v>116</v>
      </c>
      <c r="W167" t="s">
        <v>65</v>
      </c>
      <c r="X167" t="s">
        <v>720</v>
      </c>
      <c r="Y167" t="s">
        <v>721</v>
      </c>
      <c r="Z167" t="s">
        <v>70</v>
      </c>
      <c r="AA167" t="b">
        <f>ISNUMBER(SEARCH(";"&amp;Lessons[[#This Row],[Instrument__c]]&amp;";",";"&amp;_xlfn.XLOOKUP(Lessons[[#This Row],[Instructor_External_Id__c]], Instructors[Id], Instructors[Instruments_Taught__c])&amp;";"))</f>
        <v>1</v>
      </c>
      <c r="AB167" t="str">
        <f>IF(LEFT(Lessons[[#This Row],[Status__c]],9)="Cancelled","",Lessons[[#This Row],[Instructor_External_Id__c]]&amp;"|"&amp;TEXT(Lessons[[#This Row],[Lesson_Date__c]],"yyyy-mm-dd")&amp;"|"&amp;Lessons[[#This Row],[Start_Time__c]])</f>
        <v>a06ak00000amzBfAAI|2026-04-10|17:30:00.000Z</v>
      </c>
      <c r="AC167">
        <f>IF(Lessons[[#This Row],[Double Booked Key]]="","",COUNTIF(Lessons[Double Booked Key],Lessons[[#This Row],[Double Booked Key]]))</f>
        <v>1</v>
      </c>
      <c r="AD167" s="6" t="str">
        <f>_xlfn.XLOOKUP(Lessons[[#This Row],[Location_External_Id__c]], Locations[Location Id], Locations[Location Name])</f>
        <v>Brick</v>
      </c>
      <c r="AE167" s="6" t="str">
        <f>TEXT(Lessons[[#This Row],[Lesson_Date__c]], "yyyy-mm")</f>
        <v>2026-04</v>
      </c>
      <c r="AF167" s="6" t="str">
        <f>IF(Lessons[[#This Row],[Lesson_Date__c]]&lt;=Data_Audit!$F$1, "Yes", "No")</f>
        <v>Yes</v>
      </c>
    </row>
    <row r="168" spans="1:32">
      <c r="A168" t="s">
        <v>52</v>
      </c>
      <c r="B168" t="s">
        <v>53</v>
      </c>
      <c r="C168">
        <v>30</v>
      </c>
      <c r="D168" t="s">
        <v>725</v>
      </c>
      <c r="E168" t="s">
        <v>401</v>
      </c>
      <c r="F168" t="s">
        <v>402</v>
      </c>
      <c r="H168" t="s">
        <v>263</v>
      </c>
      <c r="I168" t="b">
        <v>0</v>
      </c>
      <c r="K168" t="s">
        <v>52</v>
      </c>
      <c r="L168" t="s">
        <v>70</v>
      </c>
      <c r="O168" s="1">
        <v>46177</v>
      </c>
      <c r="P168" t="s">
        <v>726</v>
      </c>
      <c r="Q168" t="s">
        <v>727</v>
      </c>
      <c r="R168" t="s">
        <v>83</v>
      </c>
      <c r="S168" t="b">
        <v>0</v>
      </c>
      <c r="T168" t="b">
        <v>0</v>
      </c>
      <c r="U168" t="s">
        <v>727</v>
      </c>
      <c r="V168" t="s">
        <v>140</v>
      </c>
      <c r="W168" t="s">
        <v>85</v>
      </c>
      <c r="X168" t="s">
        <v>720</v>
      </c>
      <c r="Y168" t="s">
        <v>721</v>
      </c>
      <c r="Z168" t="s">
        <v>70</v>
      </c>
      <c r="AA168" t="b">
        <f>ISNUMBER(SEARCH(";"&amp;Lessons[[#This Row],[Instrument__c]]&amp;";",";"&amp;_xlfn.XLOOKUP(Lessons[[#This Row],[Instructor_External_Id__c]], Instructors[Id], Instructors[Instruments_Taught__c])&amp;";"))</f>
        <v>1</v>
      </c>
      <c r="AB168" t="str">
        <f>IF(LEFT(Lessons[[#This Row],[Status__c]],9)="Cancelled","",Lessons[[#This Row],[Instructor_External_Id__c]]&amp;"|"&amp;TEXT(Lessons[[#This Row],[Lesson_Date__c]],"yyyy-mm-dd")&amp;"|"&amp;Lessons[[#This Row],[Start_Time__c]])</f>
        <v/>
      </c>
      <c r="AC168" t="str">
        <f>IF(Lessons[[#This Row],[Double Booked Key]]="","",COUNTIF(Lessons[Double Booked Key],Lessons[[#This Row],[Double Booked Key]]))</f>
        <v/>
      </c>
      <c r="AD168" s="6" t="str">
        <f>_xlfn.XLOOKUP(Lessons[[#This Row],[Location_External_Id__c]], Locations[Location Id], Locations[Location Name])</f>
        <v>Brick</v>
      </c>
      <c r="AE168" s="6" t="str">
        <f>TEXT(Lessons[[#This Row],[Lesson_Date__c]], "yyyy-mm")</f>
        <v>2026-06</v>
      </c>
      <c r="AF168" s="6" t="str">
        <f>IF(Lessons[[#This Row],[Lesson_Date__c]]&lt;=Data_Audit!$F$1, "Yes", "No")</f>
        <v>Yes</v>
      </c>
    </row>
    <row r="169" spans="1:32">
      <c r="A169" t="s">
        <v>52</v>
      </c>
      <c r="B169" t="s">
        <v>53</v>
      </c>
      <c r="C169">
        <v>60</v>
      </c>
      <c r="D169" t="s">
        <v>728</v>
      </c>
      <c r="E169" t="s">
        <v>401</v>
      </c>
      <c r="F169" t="s">
        <v>402</v>
      </c>
      <c r="H169" t="s">
        <v>263</v>
      </c>
      <c r="I169" t="b">
        <v>0</v>
      </c>
      <c r="K169" t="s">
        <v>52</v>
      </c>
      <c r="L169" t="s">
        <v>70</v>
      </c>
      <c r="O169" s="1">
        <v>46284</v>
      </c>
      <c r="P169" t="s">
        <v>729</v>
      </c>
      <c r="Q169" t="s">
        <v>730</v>
      </c>
      <c r="R169" t="s">
        <v>83</v>
      </c>
      <c r="S169" t="b">
        <v>0</v>
      </c>
      <c r="T169" t="b">
        <v>0</v>
      </c>
      <c r="U169" t="s">
        <v>730</v>
      </c>
      <c r="V169" t="s">
        <v>135</v>
      </c>
      <c r="W169" t="s">
        <v>85</v>
      </c>
      <c r="X169" t="s">
        <v>720</v>
      </c>
      <c r="Y169" t="s">
        <v>721</v>
      </c>
      <c r="Z169" t="s">
        <v>70</v>
      </c>
      <c r="AA169" t="b">
        <f>ISNUMBER(SEARCH(";"&amp;Lessons[[#This Row],[Instrument__c]]&amp;";",";"&amp;_xlfn.XLOOKUP(Lessons[[#This Row],[Instructor_External_Id__c]], Instructors[Id], Instructors[Instruments_Taught__c])&amp;";"))</f>
        <v>1</v>
      </c>
      <c r="AB169" t="str">
        <f>IF(LEFT(Lessons[[#This Row],[Status__c]],9)="Cancelled","",Lessons[[#This Row],[Instructor_External_Id__c]]&amp;"|"&amp;TEXT(Lessons[[#This Row],[Lesson_Date__c]],"yyyy-mm-dd")&amp;"|"&amp;Lessons[[#This Row],[Start_Time__c]])</f>
        <v/>
      </c>
      <c r="AC169" t="str">
        <f>IF(Lessons[[#This Row],[Double Booked Key]]="","",COUNTIF(Lessons[Double Booked Key],Lessons[[#This Row],[Double Booked Key]]))</f>
        <v/>
      </c>
      <c r="AD169" s="6" t="str">
        <f>_xlfn.XLOOKUP(Lessons[[#This Row],[Location_External_Id__c]], Locations[Location Id], Locations[Location Name])</f>
        <v>Brick</v>
      </c>
      <c r="AE169" s="6" t="str">
        <f>TEXT(Lessons[[#This Row],[Lesson_Date__c]], "yyyy-mm")</f>
        <v>2026-09</v>
      </c>
      <c r="AF169" s="6" t="str">
        <f>IF(Lessons[[#This Row],[Lesson_Date__c]]&lt;=Data_Audit!$F$1, "Yes", "No")</f>
        <v>Yes</v>
      </c>
    </row>
    <row r="170" spans="1:32">
      <c r="A170" t="s">
        <v>52</v>
      </c>
      <c r="B170" t="s">
        <v>53</v>
      </c>
      <c r="C170">
        <v>30</v>
      </c>
      <c r="D170" t="s">
        <v>731</v>
      </c>
      <c r="E170" t="s">
        <v>401</v>
      </c>
      <c r="F170" t="s">
        <v>402</v>
      </c>
      <c r="G170" t="s">
        <v>99</v>
      </c>
      <c r="H170" t="s">
        <v>263</v>
      </c>
      <c r="I170" t="b">
        <v>0</v>
      </c>
      <c r="K170" t="s">
        <v>52</v>
      </c>
      <c r="L170" t="s">
        <v>70</v>
      </c>
      <c r="O170" s="1">
        <v>46165</v>
      </c>
      <c r="P170" t="s">
        <v>732</v>
      </c>
      <c r="Q170" t="s">
        <v>733</v>
      </c>
      <c r="R170" t="s">
        <v>83</v>
      </c>
      <c r="S170" t="b">
        <v>0</v>
      </c>
      <c r="T170" t="b">
        <v>0</v>
      </c>
      <c r="U170" t="s">
        <v>733</v>
      </c>
      <c r="V170" t="s">
        <v>135</v>
      </c>
      <c r="W170" t="s">
        <v>65</v>
      </c>
      <c r="X170" t="s">
        <v>720</v>
      </c>
      <c r="Y170" t="s">
        <v>721</v>
      </c>
      <c r="Z170" t="s">
        <v>70</v>
      </c>
      <c r="AA170" t="b">
        <f>ISNUMBER(SEARCH(";"&amp;Lessons[[#This Row],[Instrument__c]]&amp;";",";"&amp;_xlfn.XLOOKUP(Lessons[[#This Row],[Instructor_External_Id__c]], Instructors[Id], Instructors[Instruments_Taught__c])&amp;";"))</f>
        <v>1</v>
      </c>
      <c r="AB170" t="str">
        <f>IF(LEFT(Lessons[[#This Row],[Status__c]],9)="Cancelled","",Lessons[[#This Row],[Instructor_External_Id__c]]&amp;"|"&amp;TEXT(Lessons[[#This Row],[Lesson_Date__c]],"yyyy-mm-dd")&amp;"|"&amp;Lessons[[#This Row],[Start_Time__c]])</f>
        <v>a06ak00000amzBfAAI|2026-05-23|15:30:00.000Z</v>
      </c>
      <c r="AC170">
        <f>IF(Lessons[[#This Row],[Double Booked Key]]="","",COUNTIF(Lessons[Double Booked Key],Lessons[[#This Row],[Double Booked Key]]))</f>
        <v>1</v>
      </c>
      <c r="AD170" s="6" t="str">
        <f>_xlfn.XLOOKUP(Lessons[[#This Row],[Location_External_Id__c]], Locations[Location Id], Locations[Location Name])</f>
        <v>Brick</v>
      </c>
      <c r="AE170" s="6" t="str">
        <f>TEXT(Lessons[[#This Row],[Lesson_Date__c]], "yyyy-mm")</f>
        <v>2026-05</v>
      </c>
      <c r="AF170" s="6" t="str">
        <f>IF(Lessons[[#This Row],[Lesson_Date__c]]&lt;=Data_Audit!$F$1, "Yes", "No")</f>
        <v>Yes</v>
      </c>
    </row>
    <row r="171" spans="1:32">
      <c r="A171" t="s">
        <v>52</v>
      </c>
      <c r="B171" t="s">
        <v>53</v>
      </c>
      <c r="C171">
        <v>30</v>
      </c>
      <c r="D171" t="s">
        <v>734</v>
      </c>
      <c r="E171" t="s">
        <v>401</v>
      </c>
      <c r="F171" t="s">
        <v>402</v>
      </c>
      <c r="H171" t="s">
        <v>263</v>
      </c>
      <c r="I171" t="b">
        <v>0</v>
      </c>
      <c r="K171" t="s">
        <v>52</v>
      </c>
      <c r="L171" t="s">
        <v>70</v>
      </c>
      <c r="O171" s="1">
        <v>46218</v>
      </c>
      <c r="P171" t="s">
        <v>735</v>
      </c>
      <c r="Q171" t="s">
        <v>736</v>
      </c>
      <c r="R171" t="s">
        <v>83</v>
      </c>
      <c r="S171" t="b">
        <v>0</v>
      </c>
      <c r="T171" t="b">
        <v>0</v>
      </c>
      <c r="U171" t="s">
        <v>736</v>
      </c>
      <c r="V171" t="s">
        <v>116</v>
      </c>
      <c r="W171" t="s">
        <v>65</v>
      </c>
      <c r="X171" t="s">
        <v>720</v>
      </c>
      <c r="Y171" t="s">
        <v>721</v>
      </c>
      <c r="Z171" t="s">
        <v>70</v>
      </c>
      <c r="AA171" t="b">
        <f>ISNUMBER(SEARCH(";"&amp;Lessons[[#This Row],[Instrument__c]]&amp;";",";"&amp;_xlfn.XLOOKUP(Lessons[[#This Row],[Instructor_External_Id__c]], Instructors[Id], Instructors[Instruments_Taught__c])&amp;";"))</f>
        <v>1</v>
      </c>
      <c r="AB171" t="str">
        <f>IF(LEFT(Lessons[[#This Row],[Status__c]],9)="Cancelled","",Lessons[[#This Row],[Instructor_External_Id__c]]&amp;"|"&amp;TEXT(Lessons[[#This Row],[Lesson_Date__c]],"yyyy-mm-dd")&amp;"|"&amp;Lessons[[#This Row],[Start_Time__c]])</f>
        <v>a06ak00000amzBfAAI|2026-07-15|17:30:00.000Z</v>
      </c>
      <c r="AC171">
        <f>IF(Lessons[[#This Row],[Double Booked Key]]="","",COUNTIF(Lessons[Double Booked Key],Lessons[[#This Row],[Double Booked Key]]))</f>
        <v>1</v>
      </c>
      <c r="AD171" s="6" t="str">
        <f>_xlfn.XLOOKUP(Lessons[[#This Row],[Location_External_Id__c]], Locations[Location Id], Locations[Location Name])</f>
        <v>Brick</v>
      </c>
      <c r="AE171" s="6" t="str">
        <f>TEXT(Lessons[[#This Row],[Lesson_Date__c]], "yyyy-mm")</f>
        <v>2026-07</v>
      </c>
      <c r="AF171" s="6" t="str">
        <f>IF(Lessons[[#This Row],[Lesson_Date__c]]&lt;=Data_Audit!$F$1, "Yes", "No")</f>
        <v>Yes</v>
      </c>
    </row>
    <row r="172" spans="1:32">
      <c r="A172" t="s">
        <v>52</v>
      </c>
      <c r="B172" t="s">
        <v>53</v>
      </c>
      <c r="C172">
        <v>30</v>
      </c>
      <c r="D172" t="s">
        <v>737</v>
      </c>
      <c r="E172" t="s">
        <v>401</v>
      </c>
      <c r="F172" t="s">
        <v>402</v>
      </c>
      <c r="H172" t="s">
        <v>263</v>
      </c>
      <c r="I172" t="b">
        <v>0</v>
      </c>
      <c r="K172" t="s">
        <v>52</v>
      </c>
      <c r="L172" t="s">
        <v>70</v>
      </c>
      <c r="O172" s="1">
        <v>46300</v>
      </c>
      <c r="P172" t="s">
        <v>738</v>
      </c>
      <c r="Q172" t="s">
        <v>739</v>
      </c>
      <c r="R172" t="s">
        <v>83</v>
      </c>
      <c r="S172" t="b">
        <v>0</v>
      </c>
      <c r="T172" t="b">
        <v>0</v>
      </c>
      <c r="U172" t="s">
        <v>739</v>
      </c>
      <c r="V172" t="s">
        <v>110</v>
      </c>
      <c r="W172" t="s">
        <v>65</v>
      </c>
      <c r="X172" t="s">
        <v>720</v>
      </c>
      <c r="Y172" t="s">
        <v>721</v>
      </c>
      <c r="Z172" t="s">
        <v>70</v>
      </c>
      <c r="AA172" t="b">
        <f>ISNUMBER(SEARCH(";"&amp;Lessons[[#This Row],[Instrument__c]]&amp;";",";"&amp;_xlfn.XLOOKUP(Lessons[[#This Row],[Instructor_External_Id__c]], Instructors[Id], Instructors[Instruments_Taught__c])&amp;";"))</f>
        <v>1</v>
      </c>
      <c r="AB172" t="str">
        <f>IF(LEFT(Lessons[[#This Row],[Status__c]],9)="Cancelled","",Lessons[[#This Row],[Instructor_External_Id__c]]&amp;"|"&amp;TEXT(Lessons[[#This Row],[Lesson_Date__c]],"yyyy-mm-dd")&amp;"|"&amp;Lessons[[#This Row],[Start_Time__c]])</f>
        <v>a06ak00000amzBfAAI|2026-10-05|10:00:00.000Z</v>
      </c>
      <c r="AC172">
        <f>IF(Lessons[[#This Row],[Double Booked Key]]="","",COUNTIF(Lessons[Double Booked Key],Lessons[[#This Row],[Double Booked Key]]))</f>
        <v>1</v>
      </c>
      <c r="AD172" s="6" t="str">
        <f>_xlfn.XLOOKUP(Lessons[[#This Row],[Location_External_Id__c]], Locations[Location Id], Locations[Location Name])</f>
        <v>Brick</v>
      </c>
      <c r="AE172" s="6" t="str">
        <f>TEXT(Lessons[[#This Row],[Lesson_Date__c]], "yyyy-mm")</f>
        <v>2026-10</v>
      </c>
      <c r="AF172" s="6" t="str">
        <f>IF(Lessons[[#This Row],[Lesson_Date__c]]&lt;=Data_Audit!$F$1, "Yes", "No")</f>
        <v>Yes</v>
      </c>
    </row>
    <row r="173" spans="1:32">
      <c r="A173" t="s">
        <v>52</v>
      </c>
      <c r="B173" t="s">
        <v>53</v>
      </c>
      <c r="C173">
        <v>30</v>
      </c>
      <c r="D173" t="s">
        <v>740</v>
      </c>
      <c r="E173" t="s">
        <v>89</v>
      </c>
      <c r="F173" t="s">
        <v>90</v>
      </c>
      <c r="G173" t="s">
        <v>99</v>
      </c>
      <c r="H173" t="s">
        <v>650</v>
      </c>
      <c r="I173" t="b">
        <v>0</v>
      </c>
      <c r="K173" t="s">
        <v>52</v>
      </c>
      <c r="L173" t="s">
        <v>70</v>
      </c>
      <c r="O173" s="1">
        <v>46266</v>
      </c>
      <c r="P173" t="s">
        <v>741</v>
      </c>
      <c r="Q173" t="s">
        <v>742</v>
      </c>
      <c r="R173" t="s">
        <v>83</v>
      </c>
      <c r="S173" t="b">
        <v>0</v>
      </c>
      <c r="T173" t="b">
        <v>0</v>
      </c>
      <c r="U173" t="s">
        <v>742</v>
      </c>
      <c r="V173" t="s">
        <v>140</v>
      </c>
      <c r="W173" t="s">
        <v>65</v>
      </c>
      <c r="X173" t="s">
        <v>743</v>
      </c>
      <c r="Y173" t="s">
        <v>744</v>
      </c>
      <c r="Z173" t="s">
        <v>70</v>
      </c>
      <c r="AA173" t="b">
        <f>ISNUMBER(SEARCH(";"&amp;Lessons[[#This Row],[Instrument__c]]&amp;";",";"&amp;_xlfn.XLOOKUP(Lessons[[#This Row],[Instructor_External_Id__c]], Instructors[Id], Instructors[Instruments_Taught__c])&amp;";"))</f>
        <v>1</v>
      </c>
      <c r="AB173" t="str">
        <f>IF(LEFT(Lessons[[#This Row],[Status__c]],9)="Cancelled","",Lessons[[#This Row],[Instructor_External_Id__c]]&amp;"|"&amp;TEXT(Lessons[[#This Row],[Lesson_Date__c]],"yyyy-mm-dd")&amp;"|"&amp;Lessons[[#This Row],[Start_Time__c]])</f>
        <v>a06ak00000amzCFAAY|2026-09-01|15:00:00.000Z</v>
      </c>
      <c r="AC173">
        <f>IF(Lessons[[#This Row],[Double Booked Key]]="","",COUNTIF(Lessons[Double Booked Key],Lessons[[#This Row],[Double Booked Key]]))</f>
        <v>1</v>
      </c>
      <c r="AD173" s="6" t="str">
        <f>_xlfn.XLOOKUP(Lessons[[#This Row],[Location_External_Id__c]], Locations[Location Id], Locations[Location Name])</f>
        <v>Brick</v>
      </c>
      <c r="AE173" s="6" t="str">
        <f>TEXT(Lessons[[#This Row],[Lesson_Date__c]], "yyyy-mm")</f>
        <v>2026-09</v>
      </c>
      <c r="AF173" s="6" t="str">
        <f>IF(Lessons[[#This Row],[Lesson_Date__c]]&lt;=Data_Audit!$F$1, "Yes", "No")</f>
        <v>Yes</v>
      </c>
    </row>
    <row r="174" spans="1:32">
      <c r="A174" t="s">
        <v>52</v>
      </c>
      <c r="B174" t="s">
        <v>53</v>
      </c>
      <c r="C174">
        <v>30</v>
      </c>
      <c r="D174" t="s">
        <v>745</v>
      </c>
      <c r="E174" t="s">
        <v>89</v>
      </c>
      <c r="F174" t="s">
        <v>90</v>
      </c>
      <c r="G174" t="s">
        <v>69</v>
      </c>
      <c r="H174" t="s">
        <v>650</v>
      </c>
      <c r="I174" t="b">
        <v>0</v>
      </c>
      <c r="K174" t="s">
        <v>52</v>
      </c>
      <c r="L174" t="s">
        <v>70</v>
      </c>
      <c r="O174" s="1">
        <v>46119</v>
      </c>
      <c r="P174" t="s">
        <v>746</v>
      </c>
      <c r="Q174" t="s">
        <v>747</v>
      </c>
      <c r="R174" t="s">
        <v>83</v>
      </c>
      <c r="S174" t="b">
        <v>0</v>
      </c>
      <c r="T174" t="b">
        <v>0</v>
      </c>
      <c r="U174" t="s">
        <v>747</v>
      </c>
      <c r="V174" t="s">
        <v>120</v>
      </c>
      <c r="W174" t="s">
        <v>65</v>
      </c>
      <c r="X174" t="s">
        <v>743</v>
      </c>
      <c r="Y174" t="s">
        <v>744</v>
      </c>
      <c r="Z174" t="s">
        <v>70</v>
      </c>
      <c r="AA174" t="b">
        <f>ISNUMBER(SEARCH(";"&amp;Lessons[[#This Row],[Instrument__c]]&amp;";",";"&amp;_xlfn.XLOOKUP(Lessons[[#This Row],[Instructor_External_Id__c]], Instructors[Id], Instructors[Instruments_Taught__c])&amp;";"))</f>
        <v>1</v>
      </c>
      <c r="AB174" t="str">
        <f>IF(LEFT(Lessons[[#This Row],[Status__c]],9)="Cancelled","",Lessons[[#This Row],[Instructor_External_Id__c]]&amp;"|"&amp;TEXT(Lessons[[#This Row],[Lesson_Date__c]],"yyyy-mm-dd")&amp;"|"&amp;Lessons[[#This Row],[Start_Time__c]])</f>
        <v>a06ak00000amzCFAAY|2026-04-07|18:00:00.000Z</v>
      </c>
      <c r="AC174">
        <f>IF(Lessons[[#This Row],[Double Booked Key]]="","",COUNTIF(Lessons[Double Booked Key],Lessons[[#This Row],[Double Booked Key]]))</f>
        <v>1</v>
      </c>
      <c r="AD174" s="6" t="str">
        <f>_xlfn.XLOOKUP(Lessons[[#This Row],[Location_External_Id__c]], Locations[Location Id], Locations[Location Name])</f>
        <v>Brick</v>
      </c>
      <c r="AE174" s="6" t="str">
        <f>TEXT(Lessons[[#This Row],[Lesson_Date__c]], "yyyy-mm")</f>
        <v>2026-04</v>
      </c>
      <c r="AF174" s="6" t="str">
        <f>IF(Lessons[[#This Row],[Lesson_Date__c]]&lt;=Data_Audit!$F$1, "Yes", "No")</f>
        <v>Yes</v>
      </c>
    </row>
    <row r="175" spans="1:32">
      <c r="A175" t="s">
        <v>52</v>
      </c>
      <c r="B175" t="s">
        <v>53</v>
      </c>
      <c r="C175">
        <v>60</v>
      </c>
      <c r="D175" t="s">
        <v>748</v>
      </c>
      <c r="E175" t="s">
        <v>89</v>
      </c>
      <c r="F175" t="s">
        <v>90</v>
      </c>
      <c r="H175" t="s">
        <v>650</v>
      </c>
      <c r="I175" t="b">
        <v>0</v>
      </c>
      <c r="K175" t="s">
        <v>52</v>
      </c>
      <c r="L175" t="s">
        <v>70</v>
      </c>
      <c r="O175" s="1">
        <v>46053</v>
      </c>
      <c r="P175" t="s">
        <v>749</v>
      </c>
      <c r="Q175" t="s">
        <v>750</v>
      </c>
      <c r="R175" t="s">
        <v>83</v>
      </c>
      <c r="S175" t="b">
        <v>0</v>
      </c>
      <c r="T175" t="b">
        <v>0</v>
      </c>
      <c r="U175" t="s">
        <v>750</v>
      </c>
      <c r="V175" t="s">
        <v>140</v>
      </c>
      <c r="W175" t="s">
        <v>65</v>
      </c>
      <c r="X175" t="s">
        <v>743</v>
      </c>
      <c r="Y175" t="s">
        <v>744</v>
      </c>
      <c r="Z175" t="s">
        <v>70</v>
      </c>
      <c r="AA175" t="b">
        <f>ISNUMBER(SEARCH(";"&amp;Lessons[[#This Row],[Instrument__c]]&amp;";",";"&amp;_xlfn.XLOOKUP(Lessons[[#This Row],[Instructor_External_Id__c]], Instructors[Id], Instructors[Instruments_Taught__c])&amp;";"))</f>
        <v>1</v>
      </c>
      <c r="AB175" t="str">
        <f>IF(LEFT(Lessons[[#This Row],[Status__c]],9)="Cancelled","",Lessons[[#This Row],[Instructor_External_Id__c]]&amp;"|"&amp;TEXT(Lessons[[#This Row],[Lesson_Date__c]],"yyyy-mm-dd")&amp;"|"&amp;Lessons[[#This Row],[Start_Time__c]])</f>
        <v>a06ak00000amzCFAAY|2026-01-31|15:00:00.000Z</v>
      </c>
      <c r="AC175">
        <f>IF(Lessons[[#This Row],[Double Booked Key]]="","",COUNTIF(Lessons[Double Booked Key],Lessons[[#This Row],[Double Booked Key]]))</f>
        <v>1</v>
      </c>
      <c r="AD175" s="6" t="str">
        <f>_xlfn.XLOOKUP(Lessons[[#This Row],[Location_External_Id__c]], Locations[Location Id], Locations[Location Name])</f>
        <v>Brick</v>
      </c>
      <c r="AE175" s="6" t="str">
        <f>TEXT(Lessons[[#This Row],[Lesson_Date__c]], "yyyy-mm")</f>
        <v>2026-01</v>
      </c>
      <c r="AF175" s="6" t="str">
        <f>IF(Lessons[[#This Row],[Lesson_Date__c]]&lt;=Data_Audit!$F$1, "Yes", "No")</f>
        <v>Yes</v>
      </c>
    </row>
    <row r="176" spans="1:32">
      <c r="A176" t="s">
        <v>52</v>
      </c>
      <c r="B176" t="s">
        <v>53</v>
      </c>
      <c r="C176">
        <v>30</v>
      </c>
      <c r="D176" t="s">
        <v>751</v>
      </c>
      <c r="E176" t="s">
        <v>89</v>
      </c>
      <c r="F176" t="s">
        <v>90</v>
      </c>
      <c r="G176" t="s">
        <v>106</v>
      </c>
      <c r="H176" t="s">
        <v>650</v>
      </c>
      <c r="I176" t="b">
        <v>0</v>
      </c>
      <c r="K176" t="s">
        <v>52</v>
      </c>
      <c r="L176" t="s">
        <v>70</v>
      </c>
      <c r="O176" s="1">
        <v>46166</v>
      </c>
      <c r="P176" t="s">
        <v>752</v>
      </c>
      <c r="Q176" t="s">
        <v>753</v>
      </c>
      <c r="R176" t="s">
        <v>83</v>
      </c>
      <c r="S176" t="b">
        <v>0</v>
      </c>
      <c r="T176" t="b">
        <v>0</v>
      </c>
      <c r="U176" t="s">
        <v>753</v>
      </c>
      <c r="V176" t="s">
        <v>74</v>
      </c>
      <c r="W176" t="s">
        <v>65</v>
      </c>
      <c r="X176" t="s">
        <v>743</v>
      </c>
      <c r="Y176" t="s">
        <v>744</v>
      </c>
      <c r="Z176" t="s">
        <v>70</v>
      </c>
      <c r="AA176" t="b">
        <f>ISNUMBER(SEARCH(";"&amp;Lessons[[#This Row],[Instrument__c]]&amp;";",";"&amp;_xlfn.XLOOKUP(Lessons[[#This Row],[Instructor_External_Id__c]], Instructors[Id], Instructors[Instruments_Taught__c])&amp;";"))</f>
        <v>1</v>
      </c>
      <c r="AB176" t="str">
        <f>IF(LEFT(Lessons[[#This Row],[Status__c]],9)="Cancelled","",Lessons[[#This Row],[Instructor_External_Id__c]]&amp;"|"&amp;TEXT(Lessons[[#This Row],[Lesson_Date__c]],"yyyy-mm-dd")&amp;"|"&amp;Lessons[[#This Row],[Start_Time__c]])</f>
        <v>a06ak00000amzCFAAY|2026-05-24|16:30:00.000Z</v>
      </c>
      <c r="AC176">
        <f>IF(Lessons[[#This Row],[Double Booked Key]]="","",COUNTIF(Lessons[Double Booked Key],Lessons[[#This Row],[Double Booked Key]]))</f>
        <v>1</v>
      </c>
      <c r="AD176" s="6" t="str">
        <f>_xlfn.XLOOKUP(Lessons[[#This Row],[Location_External_Id__c]], Locations[Location Id], Locations[Location Name])</f>
        <v>Brick</v>
      </c>
      <c r="AE176" s="6" t="str">
        <f>TEXT(Lessons[[#This Row],[Lesson_Date__c]], "yyyy-mm")</f>
        <v>2026-05</v>
      </c>
      <c r="AF176" s="6" t="str">
        <f>IF(Lessons[[#This Row],[Lesson_Date__c]]&lt;=Data_Audit!$F$1, "Yes", "No")</f>
        <v>Yes</v>
      </c>
    </row>
    <row r="177" spans="1:32">
      <c r="A177" t="s">
        <v>52</v>
      </c>
      <c r="B177" t="s">
        <v>53</v>
      </c>
      <c r="C177">
        <v>30</v>
      </c>
      <c r="D177" t="s">
        <v>754</v>
      </c>
      <c r="E177" t="s">
        <v>89</v>
      </c>
      <c r="F177" t="s">
        <v>90</v>
      </c>
      <c r="G177" t="s">
        <v>69</v>
      </c>
      <c r="H177" t="s">
        <v>650</v>
      </c>
      <c r="I177" t="b">
        <v>0</v>
      </c>
      <c r="K177" t="s">
        <v>52</v>
      </c>
      <c r="L177" t="s">
        <v>70</v>
      </c>
      <c r="O177" s="1">
        <v>46247</v>
      </c>
      <c r="P177" t="s">
        <v>755</v>
      </c>
      <c r="Q177" t="s">
        <v>756</v>
      </c>
      <c r="R177" t="s">
        <v>83</v>
      </c>
      <c r="S177" t="b">
        <v>0</v>
      </c>
      <c r="T177" t="b">
        <v>0</v>
      </c>
      <c r="U177" t="s">
        <v>756</v>
      </c>
      <c r="V177" t="s">
        <v>135</v>
      </c>
      <c r="W177" t="s">
        <v>65</v>
      </c>
      <c r="X177" t="s">
        <v>743</v>
      </c>
      <c r="Y177" t="s">
        <v>744</v>
      </c>
      <c r="Z177" t="s">
        <v>70</v>
      </c>
      <c r="AA177" t="b">
        <f>ISNUMBER(SEARCH(";"&amp;Lessons[[#This Row],[Instrument__c]]&amp;";",";"&amp;_xlfn.XLOOKUP(Lessons[[#This Row],[Instructor_External_Id__c]], Instructors[Id], Instructors[Instruments_Taught__c])&amp;";"))</f>
        <v>1</v>
      </c>
      <c r="AB177" t="str">
        <f>IF(LEFT(Lessons[[#This Row],[Status__c]],9)="Cancelled","",Lessons[[#This Row],[Instructor_External_Id__c]]&amp;"|"&amp;TEXT(Lessons[[#This Row],[Lesson_Date__c]],"yyyy-mm-dd")&amp;"|"&amp;Lessons[[#This Row],[Start_Time__c]])</f>
        <v>a06ak00000amzCFAAY|2026-08-13|15:30:00.000Z</v>
      </c>
      <c r="AC177">
        <f>IF(Lessons[[#This Row],[Double Booked Key]]="","",COUNTIF(Lessons[Double Booked Key],Lessons[[#This Row],[Double Booked Key]]))</f>
        <v>1</v>
      </c>
      <c r="AD177" s="6" t="str">
        <f>_xlfn.XLOOKUP(Lessons[[#This Row],[Location_External_Id__c]], Locations[Location Id], Locations[Location Name])</f>
        <v>Brick</v>
      </c>
      <c r="AE177" s="6" t="str">
        <f>TEXT(Lessons[[#This Row],[Lesson_Date__c]], "yyyy-mm")</f>
        <v>2026-08</v>
      </c>
      <c r="AF177" s="6" t="str">
        <f>IF(Lessons[[#This Row],[Lesson_Date__c]]&lt;=Data_Audit!$F$1, "Yes", "No")</f>
        <v>Yes</v>
      </c>
    </row>
    <row r="178" spans="1:32">
      <c r="A178" t="s">
        <v>52</v>
      </c>
      <c r="B178" t="s">
        <v>53</v>
      </c>
      <c r="C178">
        <v>45</v>
      </c>
      <c r="D178" t="s">
        <v>757</v>
      </c>
      <c r="E178" t="s">
        <v>89</v>
      </c>
      <c r="F178" t="s">
        <v>90</v>
      </c>
      <c r="H178" t="s">
        <v>650</v>
      </c>
      <c r="I178" t="b">
        <v>0</v>
      </c>
      <c r="K178" t="s">
        <v>52</v>
      </c>
      <c r="L178" t="s">
        <v>70</v>
      </c>
      <c r="O178" s="1">
        <v>46041</v>
      </c>
      <c r="P178" t="s">
        <v>758</v>
      </c>
      <c r="Q178" t="s">
        <v>759</v>
      </c>
      <c r="R178" t="s">
        <v>83</v>
      </c>
      <c r="S178" t="b">
        <v>0</v>
      </c>
      <c r="T178" t="b">
        <v>0</v>
      </c>
      <c r="U178" t="s">
        <v>759</v>
      </c>
      <c r="V178" t="s">
        <v>84</v>
      </c>
      <c r="W178" t="s">
        <v>65</v>
      </c>
      <c r="X178" t="s">
        <v>743</v>
      </c>
      <c r="Y178" t="s">
        <v>744</v>
      </c>
      <c r="Z178" t="s">
        <v>70</v>
      </c>
      <c r="AA178" t="b">
        <f>ISNUMBER(SEARCH(";"&amp;Lessons[[#This Row],[Instrument__c]]&amp;";",";"&amp;_xlfn.XLOOKUP(Lessons[[#This Row],[Instructor_External_Id__c]], Instructors[Id], Instructors[Instruments_Taught__c])&amp;";"))</f>
        <v>1</v>
      </c>
      <c r="AB178" t="str">
        <f>IF(LEFT(Lessons[[#This Row],[Status__c]],9)="Cancelled","",Lessons[[#This Row],[Instructor_External_Id__c]]&amp;"|"&amp;TEXT(Lessons[[#This Row],[Lesson_Date__c]],"yyyy-mm-dd")&amp;"|"&amp;Lessons[[#This Row],[Start_Time__c]])</f>
        <v>a06ak00000amzCFAAY|2026-01-19|17:00:00.000Z</v>
      </c>
      <c r="AC178">
        <f>IF(Lessons[[#This Row],[Double Booked Key]]="","",COUNTIF(Lessons[Double Booked Key],Lessons[[#This Row],[Double Booked Key]]))</f>
        <v>1</v>
      </c>
      <c r="AD178" s="6" t="str">
        <f>_xlfn.XLOOKUP(Lessons[[#This Row],[Location_External_Id__c]], Locations[Location Id], Locations[Location Name])</f>
        <v>Brick</v>
      </c>
      <c r="AE178" s="6" t="str">
        <f>TEXT(Lessons[[#This Row],[Lesson_Date__c]], "yyyy-mm")</f>
        <v>2026-01</v>
      </c>
      <c r="AF178" s="6" t="str">
        <f>IF(Lessons[[#This Row],[Lesson_Date__c]]&lt;=Data_Audit!$F$1, "Yes", "No")</f>
        <v>Yes</v>
      </c>
    </row>
    <row r="179" spans="1:32">
      <c r="A179" t="s">
        <v>52</v>
      </c>
      <c r="B179" t="s">
        <v>53</v>
      </c>
      <c r="C179">
        <v>30</v>
      </c>
      <c r="D179" t="s">
        <v>760</v>
      </c>
      <c r="E179" t="s">
        <v>89</v>
      </c>
      <c r="F179" t="s">
        <v>90</v>
      </c>
      <c r="H179" t="s">
        <v>650</v>
      </c>
      <c r="I179" t="b">
        <v>0</v>
      </c>
      <c r="K179" t="s">
        <v>52</v>
      </c>
      <c r="L179" t="s">
        <v>70</v>
      </c>
      <c r="O179" s="1">
        <v>46169</v>
      </c>
      <c r="P179" t="s">
        <v>761</v>
      </c>
      <c r="Q179" t="s">
        <v>762</v>
      </c>
      <c r="R179" t="s">
        <v>83</v>
      </c>
      <c r="S179" t="b">
        <v>0</v>
      </c>
      <c r="T179" t="b">
        <v>0</v>
      </c>
      <c r="U179" t="s">
        <v>762</v>
      </c>
      <c r="V179" t="s">
        <v>102</v>
      </c>
      <c r="W179" t="s">
        <v>65</v>
      </c>
      <c r="X179" t="s">
        <v>743</v>
      </c>
      <c r="Y179" t="s">
        <v>744</v>
      </c>
      <c r="Z179" t="s">
        <v>70</v>
      </c>
      <c r="AA179" t="b">
        <f>ISNUMBER(SEARCH(";"&amp;Lessons[[#This Row],[Instrument__c]]&amp;";",";"&amp;_xlfn.XLOOKUP(Lessons[[#This Row],[Instructor_External_Id__c]], Instructors[Id], Instructors[Instruments_Taught__c])&amp;";"))</f>
        <v>1</v>
      </c>
      <c r="AB179" t="str">
        <f>IF(LEFT(Lessons[[#This Row],[Status__c]],9)="Cancelled","",Lessons[[#This Row],[Instructor_External_Id__c]]&amp;"|"&amp;TEXT(Lessons[[#This Row],[Lesson_Date__c]],"yyyy-mm-dd")&amp;"|"&amp;Lessons[[#This Row],[Start_Time__c]])</f>
        <v>a06ak00000amzCFAAY|2026-05-27|16:00:00.000Z</v>
      </c>
      <c r="AC179">
        <f>IF(Lessons[[#This Row],[Double Booked Key]]="","",COUNTIF(Lessons[Double Booked Key],Lessons[[#This Row],[Double Booked Key]]))</f>
        <v>1</v>
      </c>
      <c r="AD179" s="6" t="str">
        <f>_xlfn.XLOOKUP(Lessons[[#This Row],[Location_External_Id__c]], Locations[Location Id], Locations[Location Name])</f>
        <v>Brick</v>
      </c>
      <c r="AE179" s="6" t="str">
        <f>TEXT(Lessons[[#This Row],[Lesson_Date__c]], "yyyy-mm")</f>
        <v>2026-05</v>
      </c>
      <c r="AF179" s="6" t="str">
        <f>IF(Lessons[[#This Row],[Lesson_Date__c]]&lt;=Data_Audit!$F$1, "Yes", "No")</f>
        <v>Yes</v>
      </c>
    </row>
    <row r="180" spans="1:32">
      <c r="A180" t="s">
        <v>52</v>
      </c>
      <c r="B180" t="s">
        <v>53</v>
      </c>
      <c r="C180">
        <v>60</v>
      </c>
      <c r="D180" t="s">
        <v>763</v>
      </c>
      <c r="E180" t="s">
        <v>764</v>
      </c>
      <c r="F180" t="s">
        <v>765</v>
      </c>
      <c r="G180" t="s">
        <v>106</v>
      </c>
      <c r="H180" t="s">
        <v>284</v>
      </c>
      <c r="I180" t="b">
        <v>0</v>
      </c>
      <c r="K180" t="s">
        <v>52</v>
      </c>
      <c r="L180" t="s">
        <v>70</v>
      </c>
      <c r="O180" s="1">
        <v>46275</v>
      </c>
      <c r="P180" t="s">
        <v>766</v>
      </c>
      <c r="Q180" t="s">
        <v>767</v>
      </c>
      <c r="R180" t="s">
        <v>63</v>
      </c>
      <c r="S180" t="b">
        <v>0</v>
      </c>
      <c r="T180" t="b">
        <v>0</v>
      </c>
      <c r="U180" t="s">
        <v>767</v>
      </c>
      <c r="V180" t="s">
        <v>74</v>
      </c>
      <c r="W180" t="s">
        <v>65</v>
      </c>
      <c r="X180" t="s">
        <v>768</v>
      </c>
      <c r="Y180" t="s">
        <v>769</v>
      </c>
      <c r="Z180" t="s">
        <v>70</v>
      </c>
      <c r="AA180" t="b">
        <f>ISNUMBER(SEARCH(";"&amp;Lessons[[#This Row],[Instrument__c]]&amp;";",";"&amp;_xlfn.XLOOKUP(Lessons[[#This Row],[Instructor_External_Id__c]], Instructors[Id], Instructors[Instruments_Taught__c])&amp;";"))</f>
        <v>1</v>
      </c>
      <c r="AB180" t="str">
        <f>IF(LEFT(Lessons[[#This Row],[Status__c]],9)="Cancelled","",Lessons[[#This Row],[Instructor_External_Id__c]]&amp;"|"&amp;TEXT(Lessons[[#This Row],[Lesson_Date__c]],"yyyy-mm-dd")&amp;"|"&amp;Lessons[[#This Row],[Start_Time__c]])</f>
        <v>a06ak00000amzBnAAI|2026-09-10|16:30:00.000Z</v>
      </c>
      <c r="AC180">
        <f>IF(Lessons[[#This Row],[Double Booked Key]]="","",COUNTIF(Lessons[Double Booked Key],Lessons[[#This Row],[Double Booked Key]]))</f>
        <v>1</v>
      </c>
      <c r="AD180" s="6" t="str">
        <f>_xlfn.XLOOKUP(Lessons[[#This Row],[Location_External_Id__c]], Locations[Location Id], Locations[Location Name])</f>
        <v>Red Bank</v>
      </c>
      <c r="AE180" s="6" t="str">
        <f>TEXT(Lessons[[#This Row],[Lesson_Date__c]], "yyyy-mm")</f>
        <v>2026-09</v>
      </c>
      <c r="AF180" s="6" t="str">
        <f>IF(Lessons[[#This Row],[Lesson_Date__c]]&lt;=Data_Audit!$F$1, "Yes", "No")</f>
        <v>Yes</v>
      </c>
    </row>
    <row r="181" spans="1:32">
      <c r="A181" t="s">
        <v>52</v>
      </c>
      <c r="B181" t="s">
        <v>53</v>
      </c>
      <c r="C181">
        <v>30</v>
      </c>
      <c r="D181" t="s">
        <v>770</v>
      </c>
      <c r="E181" t="s">
        <v>764</v>
      </c>
      <c r="F181" t="s">
        <v>765</v>
      </c>
      <c r="H181" t="s">
        <v>284</v>
      </c>
      <c r="I181" t="b">
        <v>0</v>
      </c>
      <c r="K181" t="s">
        <v>52</v>
      </c>
      <c r="L181" t="s">
        <v>70</v>
      </c>
      <c r="O181" s="1">
        <v>46200</v>
      </c>
      <c r="P181" t="s">
        <v>771</v>
      </c>
      <c r="Q181" t="s">
        <v>772</v>
      </c>
      <c r="R181" t="s">
        <v>63</v>
      </c>
      <c r="S181" t="b">
        <v>0</v>
      </c>
      <c r="T181" t="b">
        <v>0</v>
      </c>
      <c r="U181" t="s">
        <v>772</v>
      </c>
      <c r="V181" t="s">
        <v>110</v>
      </c>
      <c r="W181" t="s">
        <v>65</v>
      </c>
      <c r="X181" t="s">
        <v>768</v>
      </c>
      <c r="Y181" t="s">
        <v>769</v>
      </c>
      <c r="Z181" t="s">
        <v>70</v>
      </c>
      <c r="AA181" t="b">
        <f>ISNUMBER(SEARCH(";"&amp;Lessons[[#This Row],[Instrument__c]]&amp;";",";"&amp;_xlfn.XLOOKUP(Lessons[[#This Row],[Instructor_External_Id__c]], Instructors[Id], Instructors[Instruments_Taught__c])&amp;";"))</f>
        <v>1</v>
      </c>
      <c r="AB181" t="str">
        <f>IF(LEFT(Lessons[[#This Row],[Status__c]],9)="Cancelled","",Lessons[[#This Row],[Instructor_External_Id__c]]&amp;"|"&amp;TEXT(Lessons[[#This Row],[Lesson_Date__c]],"yyyy-mm-dd")&amp;"|"&amp;Lessons[[#This Row],[Start_Time__c]])</f>
        <v>a06ak00000amzBnAAI|2026-06-27|10:00:00.000Z</v>
      </c>
      <c r="AC181">
        <f>IF(Lessons[[#This Row],[Double Booked Key]]="","",COUNTIF(Lessons[Double Booked Key],Lessons[[#This Row],[Double Booked Key]]))</f>
        <v>1</v>
      </c>
      <c r="AD181" s="6" t="str">
        <f>_xlfn.XLOOKUP(Lessons[[#This Row],[Location_External_Id__c]], Locations[Location Id], Locations[Location Name])</f>
        <v>Red Bank</v>
      </c>
      <c r="AE181" s="6" t="str">
        <f>TEXT(Lessons[[#This Row],[Lesson_Date__c]], "yyyy-mm")</f>
        <v>2026-06</v>
      </c>
      <c r="AF181" s="6" t="str">
        <f>IF(Lessons[[#This Row],[Lesson_Date__c]]&lt;=Data_Audit!$F$1, "Yes", "No")</f>
        <v>Yes</v>
      </c>
    </row>
    <row r="182" spans="1:32">
      <c r="A182" t="s">
        <v>52</v>
      </c>
      <c r="B182" t="s">
        <v>53</v>
      </c>
      <c r="C182">
        <v>30</v>
      </c>
      <c r="D182" t="s">
        <v>773</v>
      </c>
      <c r="E182" t="s">
        <v>764</v>
      </c>
      <c r="F182" t="s">
        <v>765</v>
      </c>
      <c r="H182" t="s">
        <v>284</v>
      </c>
      <c r="I182" t="b">
        <v>0</v>
      </c>
      <c r="K182" t="s">
        <v>52</v>
      </c>
      <c r="L182" t="s">
        <v>70</v>
      </c>
      <c r="O182" s="1">
        <v>46116</v>
      </c>
      <c r="P182" t="s">
        <v>774</v>
      </c>
      <c r="Q182" t="s">
        <v>775</v>
      </c>
      <c r="R182" t="s">
        <v>63</v>
      </c>
      <c r="S182" t="b">
        <v>0</v>
      </c>
      <c r="T182" t="b">
        <v>0</v>
      </c>
      <c r="U182" t="s">
        <v>775</v>
      </c>
      <c r="V182" t="s">
        <v>74</v>
      </c>
      <c r="W182" t="s">
        <v>65</v>
      </c>
      <c r="X182" t="s">
        <v>768</v>
      </c>
      <c r="Y182" t="s">
        <v>769</v>
      </c>
      <c r="Z182" t="s">
        <v>70</v>
      </c>
      <c r="AA182" t="b">
        <f>ISNUMBER(SEARCH(";"&amp;Lessons[[#This Row],[Instrument__c]]&amp;";",";"&amp;_xlfn.XLOOKUP(Lessons[[#This Row],[Instructor_External_Id__c]], Instructors[Id], Instructors[Instruments_Taught__c])&amp;";"))</f>
        <v>1</v>
      </c>
      <c r="AB182" t="str">
        <f>IF(LEFT(Lessons[[#This Row],[Status__c]],9)="Cancelled","",Lessons[[#This Row],[Instructor_External_Id__c]]&amp;"|"&amp;TEXT(Lessons[[#This Row],[Lesson_Date__c]],"yyyy-mm-dd")&amp;"|"&amp;Lessons[[#This Row],[Start_Time__c]])</f>
        <v>a06ak00000amzBnAAI|2026-04-04|16:30:00.000Z</v>
      </c>
      <c r="AC182">
        <f>IF(Lessons[[#This Row],[Double Booked Key]]="","",COUNTIF(Lessons[Double Booked Key],Lessons[[#This Row],[Double Booked Key]]))</f>
        <v>1</v>
      </c>
      <c r="AD182" s="6" t="str">
        <f>_xlfn.XLOOKUP(Lessons[[#This Row],[Location_External_Id__c]], Locations[Location Id], Locations[Location Name])</f>
        <v>Red Bank</v>
      </c>
      <c r="AE182" s="6" t="str">
        <f>TEXT(Lessons[[#This Row],[Lesson_Date__c]], "yyyy-mm")</f>
        <v>2026-04</v>
      </c>
      <c r="AF182" s="6" t="str">
        <f>IF(Lessons[[#This Row],[Lesson_Date__c]]&lt;=Data_Audit!$F$1, "Yes", "No")</f>
        <v>Yes</v>
      </c>
    </row>
    <row r="183" spans="1:32">
      <c r="A183" t="s">
        <v>52</v>
      </c>
      <c r="B183" t="s">
        <v>53</v>
      </c>
      <c r="C183">
        <v>30</v>
      </c>
      <c r="D183" t="s">
        <v>776</v>
      </c>
      <c r="E183" t="s">
        <v>777</v>
      </c>
      <c r="F183" t="s">
        <v>778</v>
      </c>
      <c r="G183" t="s">
        <v>99</v>
      </c>
      <c r="H183" t="s">
        <v>527</v>
      </c>
      <c r="I183" t="b">
        <v>0</v>
      </c>
      <c r="K183" t="s">
        <v>52</v>
      </c>
      <c r="L183" t="s">
        <v>70</v>
      </c>
      <c r="O183" s="1">
        <v>46193</v>
      </c>
      <c r="P183" t="s">
        <v>779</v>
      </c>
      <c r="Q183" t="s">
        <v>780</v>
      </c>
      <c r="R183" t="s">
        <v>150</v>
      </c>
      <c r="S183" t="b">
        <v>0</v>
      </c>
      <c r="T183" t="b">
        <v>0</v>
      </c>
      <c r="U183" t="s">
        <v>780</v>
      </c>
      <c r="V183" t="s">
        <v>102</v>
      </c>
      <c r="W183" t="s">
        <v>65</v>
      </c>
      <c r="X183" t="s">
        <v>781</v>
      </c>
      <c r="Y183" t="s">
        <v>782</v>
      </c>
      <c r="Z183" t="s">
        <v>70</v>
      </c>
      <c r="AA183" t="b">
        <f>ISNUMBER(SEARCH(";"&amp;Lessons[[#This Row],[Instrument__c]]&amp;";",";"&amp;_xlfn.XLOOKUP(Lessons[[#This Row],[Instructor_External_Id__c]], Instructors[Id], Instructors[Instruments_Taught__c])&amp;";"))</f>
        <v>1</v>
      </c>
      <c r="AB183" t="str">
        <f>IF(LEFT(Lessons[[#This Row],[Status__c]],9)="Cancelled","",Lessons[[#This Row],[Instructor_External_Id__c]]&amp;"|"&amp;TEXT(Lessons[[#This Row],[Lesson_Date__c]],"yyyy-mm-dd")&amp;"|"&amp;Lessons[[#This Row],[Start_Time__c]])</f>
        <v>a06ak00000amzByAAI|2026-06-20|16:00:00.000Z</v>
      </c>
      <c r="AC183">
        <f>IF(Lessons[[#This Row],[Double Booked Key]]="","",COUNTIF(Lessons[Double Booked Key],Lessons[[#This Row],[Double Booked Key]]))</f>
        <v>1</v>
      </c>
      <c r="AD183" s="6" t="str">
        <f>_xlfn.XLOOKUP(Lessons[[#This Row],[Location_External_Id__c]], Locations[Location Id], Locations[Location Name])</f>
        <v>Toms River</v>
      </c>
      <c r="AE183" s="6" t="str">
        <f>TEXT(Lessons[[#This Row],[Lesson_Date__c]], "yyyy-mm")</f>
        <v>2026-06</v>
      </c>
      <c r="AF183" s="6" t="str">
        <f>IF(Lessons[[#This Row],[Lesson_Date__c]]&lt;=Data_Audit!$F$1, "Yes", "No")</f>
        <v>Yes</v>
      </c>
    </row>
    <row r="184" spans="1:32">
      <c r="A184" t="s">
        <v>52</v>
      </c>
      <c r="B184" t="s">
        <v>53</v>
      </c>
      <c r="C184">
        <v>60</v>
      </c>
      <c r="D184" t="s">
        <v>783</v>
      </c>
      <c r="E184" t="s">
        <v>777</v>
      </c>
      <c r="F184" t="s">
        <v>778</v>
      </c>
      <c r="G184" t="s">
        <v>106</v>
      </c>
      <c r="H184" t="s">
        <v>527</v>
      </c>
      <c r="I184" t="b">
        <v>0</v>
      </c>
      <c r="K184" t="s">
        <v>52</v>
      </c>
      <c r="L184" t="s">
        <v>70</v>
      </c>
      <c r="O184" s="1">
        <v>46297</v>
      </c>
      <c r="P184" t="s">
        <v>784</v>
      </c>
      <c r="Q184" t="s">
        <v>785</v>
      </c>
      <c r="R184" t="s">
        <v>150</v>
      </c>
      <c r="S184" t="b">
        <v>0</v>
      </c>
      <c r="T184" t="b">
        <v>0</v>
      </c>
      <c r="U184" t="s">
        <v>785</v>
      </c>
      <c r="V184" t="s">
        <v>120</v>
      </c>
      <c r="W184" t="s">
        <v>65</v>
      </c>
      <c r="X184" t="s">
        <v>781</v>
      </c>
      <c r="Y184" t="s">
        <v>782</v>
      </c>
      <c r="Z184" t="s">
        <v>70</v>
      </c>
      <c r="AA184" t="b">
        <f>ISNUMBER(SEARCH(";"&amp;Lessons[[#This Row],[Instrument__c]]&amp;";",";"&amp;_xlfn.XLOOKUP(Lessons[[#This Row],[Instructor_External_Id__c]], Instructors[Id], Instructors[Instruments_Taught__c])&amp;";"))</f>
        <v>1</v>
      </c>
      <c r="AB184" t="str">
        <f>IF(LEFT(Lessons[[#This Row],[Status__c]],9)="Cancelled","",Lessons[[#This Row],[Instructor_External_Id__c]]&amp;"|"&amp;TEXT(Lessons[[#This Row],[Lesson_Date__c]],"yyyy-mm-dd")&amp;"|"&amp;Lessons[[#This Row],[Start_Time__c]])</f>
        <v>a06ak00000amzByAAI|2026-10-02|18:00:00.000Z</v>
      </c>
      <c r="AC184">
        <f>IF(Lessons[[#This Row],[Double Booked Key]]="","",COUNTIF(Lessons[Double Booked Key],Lessons[[#This Row],[Double Booked Key]]))</f>
        <v>1</v>
      </c>
      <c r="AD184" s="6" t="str">
        <f>_xlfn.XLOOKUP(Lessons[[#This Row],[Location_External_Id__c]], Locations[Location Id], Locations[Location Name])</f>
        <v>Toms River</v>
      </c>
      <c r="AE184" s="6" t="str">
        <f>TEXT(Lessons[[#This Row],[Lesson_Date__c]], "yyyy-mm")</f>
        <v>2026-10</v>
      </c>
      <c r="AF184" s="6" t="str">
        <f>IF(Lessons[[#This Row],[Lesson_Date__c]]&lt;=Data_Audit!$F$1, "Yes", "No")</f>
        <v>Yes</v>
      </c>
    </row>
    <row r="185" spans="1:32">
      <c r="A185" t="s">
        <v>52</v>
      </c>
      <c r="B185" t="s">
        <v>53</v>
      </c>
      <c r="C185">
        <v>30</v>
      </c>
      <c r="D185" t="s">
        <v>786</v>
      </c>
      <c r="E185" t="s">
        <v>777</v>
      </c>
      <c r="F185" t="s">
        <v>778</v>
      </c>
      <c r="G185" t="s">
        <v>164</v>
      </c>
      <c r="H185" t="s">
        <v>527</v>
      </c>
      <c r="I185" t="b">
        <v>0</v>
      </c>
      <c r="K185" t="s">
        <v>52</v>
      </c>
      <c r="L185" t="s">
        <v>70</v>
      </c>
      <c r="O185" s="1">
        <v>46064</v>
      </c>
      <c r="P185" t="s">
        <v>787</v>
      </c>
      <c r="Q185" t="s">
        <v>788</v>
      </c>
      <c r="R185" t="s">
        <v>150</v>
      </c>
      <c r="S185" t="b">
        <v>0</v>
      </c>
      <c r="T185" t="b">
        <v>0</v>
      </c>
      <c r="U185" t="s">
        <v>788</v>
      </c>
      <c r="V185" t="s">
        <v>128</v>
      </c>
      <c r="W185" t="s">
        <v>65</v>
      </c>
      <c r="X185" t="s">
        <v>781</v>
      </c>
      <c r="Y185" t="s">
        <v>782</v>
      </c>
      <c r="Z185" t="s">
        <v>70</v>
      </c>
      <c r="AA185" t="b">
        <f>ISNUMBER(SEARCH(";"&amp;Lessons[[#This Row],[Instrument__c]]&amp;";",";"&amp;_xlfn.XLOOKUP(Lessons[[#This Row],[Instructor_External_Id__c]], Instructors[Id], Instructors[Instruments_Taught__c])&amp;";"))</f>
        <v>1</v>
      </c>
      <c r="AB185" t="str">
        <f>IF(LEFT(Lessons[[#This Row],[Status__c]],9)="Cancelled","",Lessons[[#This Row],[Instructor_External_Id__c]]&amp;"|"&amp;TEXT(Lessons[[#This Row],[Lesson_Date__c]],"yyyy-mm-dd")&amp;"|"&amp;Lessons[[#This Row],[Start_Time__c]])</f>
        <v>a06ak00000amzByAAI|2026-02-11|18:30:00.000Z</v>
      </c>
      <c r="AC185">
        <f>IF(Lessons[[#This Row],[Double Booked Key]]="","",COUNTIF(Lessons[Double Booked Key],Lessons[[#This Row],[Double Booked Key]]))</f>
        <v>1</v>
      </c>
      <c r="AD185" s="6" t="str">
        <f>_xlfn.XLOOKUP(Lessons[[#This Row],[Location_External_Id__c]], Locations[Location Id], Locations[Location Name])</f>
        <v>Toms River</v>
      </c>
      <c r="AE185" s="6" t="str">
        <f>TEXT(Lessons[[#This Row],[Lesson_Date__c]], "yyyy-mm")</f>
        <v>2026-02</v>
      </c>
      <c r="AF185" s="6" t="str">
        <f>IF(Lessons[[#This Row],[Lesson_Date__c]]&lt;=Data_Audit!$F$1, "Yes", "No")</f>
        <v>Yes</v>
      </c>
    </row>
    <row r="186" spans="1:32">
      <c r="A186" t="s">
        <v>52</v>
      </c>
      <c r="B186" t="s">
        <v>53</v>
      </c>
      <c r="C186">
        <v>45</v>
      </c>
      <c r="D186" t="s">
        <v>789</v>
      </c>
      <c r="E186" t="s">
        <v>777</v>
      </c>
      <c r="F186" t="s">
        <v>778</v>
      </c>
      <c r="G186" t="s">
        <v>69</v>
      </c>
      <c r="H186" t="s">
        <v>527</v>
      </c>
      <c r="I186" t="b">
        <v>0</v>
      </c>
      <c r="K186" t="s">
        <v>52</v>
      </c>
      <c r="L186" t="s">
        <v>70</v>
      </c>
      <c r="O186" s="1">
        <v>46121</v>
      </c>
      <c r="P186" t="s">
        <v>790</v>
      </c>
      <c r="Q186" t="s">
        <v>791</v>
      </c>
      <c r="R186" t="s">
        <v>150</v>
      </c>
      <c r="S186" t="b">
        <v>0</v>
      </c>
      <c r="T186" t="b">
        <v>0</v>
      </c>
      <c r="U186" t="s">
        <v>791</v>
      </c>
      <c r="V186" t="s">
        <v>102</v>
      </c>
      <c r="W186" t="s">
        <v>65</v>
      </c>
      <c r="X186" t="s">
        <v>781</v>
      </c>
      <c r="Y186" t="s">
        <v>782</v>
      </c>
      <c r="Z186" t="s">
        <v>70</v>
      </c>
      <c r="AA186" t="b">
        <f>ISNUMBER(SEARCH(";"&amp;Lessons[[#This Row],[Instrument__c]]&amp;";",";"&amp;_xlfn.XLOOKUP(Lessons[[#This Row],[Instructor_External_Id__c]], Instructors[Id], Instructors[Instruments_Taught__c])&amp;";"))</f>
        <v>1</v>
      </c>
      <c r="AB186" t="str">
        <f>IF(LEFT(Lessons[[#This Row],[Status__c]],9)="Cancelled","",Lessons[[#This Row],[Instructor_External_Id__c]]&amp;"|"&amp;TEXT(Lessons[[#This Row],[Lesson_Date__c]],"yyyy-mm-dd")&amp;"|"&amp;Lessons[[#This Row],[Start_Time__c]])</f>
        <v>a06ak00000amzByAAI|2026-04-09|16:00:00.000Z</v>
      </c>
      <c r="AC186">
        <f>IF(Lessons[[#This Row],[Double Booked Key]]="","",COUNTIF(Lessons[Double Booked Key],Lessons[[#This Row],[Double Booked Key]]))</f>
        <v>1</v>
      </c>
      <c r="AD186" s="6" t="str">
        <f>_xlfn.XLOOKUP(Lessons[[#This Row],[Location_External_Id__c]], Locations[Location Id], Locations[Location Name])</f>
        <v>Toms River</v>
      </c>
      <c r="AE186" s="6" t="str">
        <f>TEXT(Lessons[[#This Row],[Lesson_Date__c]], "yyyy-mm")</f>
        <v>2026-04</v>
      </c>
      <c r="AF186" s="6" t="str">
        <f>IF(Lessons[[#This Row],[Lesson_Date__c]]&lt;=Data_Audit!$F$1, "Yes", "No")</f>
        <v>Yes</v>
      </c>
    </row>
    <row r="187" spans="1:32">
      <c r="A187" t="s">
        <v>52</v>
      </c>
      <c r="B187" t="s">
        <v>53</v>
      </c>
      <c r="C187">
        <v>30</v>
      </c>
      <c r="D187" t="s">
        <v>792</v>
      </c>
      <c r="E187" t="s">
        <v>777</v>
      </c>
      <c r="F187" t="s">
        <v>778</v>
      </c>
      <c r="H187" t="s">
        <v>527</v>
      </c>
      <c r="I187" t="b">
        <v>0</v>
      </c>
      <c r="K187" t="s">
        <v>52</v>
      </c>
      <c r="L187" t="s">
        <v>70</v>
      </c>
      <c r="O187" s="1">
        <v>46246</v>
      </c>
      <c r="P187" t="s">
        <v>793</v>
      </c>
      <c r="Q187" t="s">
        <v>794</v>
      </c>
      <c r="R187" t="s">
        <v>150</v>
      </c>
      <c r="S187" t="b">
        <v>0</v>
      </c>
      <c r="T187" t="b">
        <v>0</v>
      </c>
      <c r="U187" t="s">
        <v>794</v>
      </c>
      <c r="V187" t="s">
        <v>84</v>
      </c>
      <c r="W187" t="s">
        <v>65</v>
      </c>
      <c r="X187" t="s">
        <v>781</v>
      </c>
      <c r="Y187" t="s">
        <v>782</v>
      </c>
      <c r="Z187" t="s">
        <v>70</v>
      </c>
      <c r="AA187" t="b">
        <f>ISNUMBER(SEARCH(";"&amp;Lessons[[#This Row],[Instrument__c]]&amp;";",";"&amp;_xlfn.XLOOKUP(Lessons[[#This Row],[Instructor_External_Id__c]], Instructors[Id], Instructors[Instruments_Taught__c])&amp;";"))</f>
        <v>1</v>
      </c>
      <c r="AB187" t="str">
        <f>IF(LEFT(Lessons[[#This Row],[Status__c]],9)="Cancelled","",Lessons[[#This Row],[Instructor_External_Id__c]]&amp;"|"&amp;TEXT(Lessons[[#This Row],[Lesson_Date__c]],"yyyy-mm-dd")&amp;"|"&amp;Lessons[[#This Row],[Start_Time__c]])</f>
        <v>a06ak00000amzByAAI|2026-08-12|17:00:00.000Z</v>
      </c>
      <c r="AC187">
        <f>IF(Lessons[[#This Row],[Double Booked Key]]="","",COUNTIF(Lessons[Double Booked Key],Lessons[[#This Row],[Double Booked Key]]))</f>
        <v>1</v>
      </c>
      <c r="AD187" s="6" t="str">
        <f>_xlfn.XLOOKUP(Lessons[[#This Row],[Location_External_Id__c]], Locations[Location Id], Locations[Location Name])</f>
        <v>Toms River</v>
      </c>
      <c r="AE187" s="6" t="str">
        <f>TEXT(Lessons[[#This Row],[Lesson_Date__c]], "yyyy-mm")</f>
        <v>2026-08</v>
      </c>
      <c r="AF187" s="6" t="str">
        <f>IF(Lessons[[#This Row],[Lesson_Date__c]]&lt;=Data_Audit!$F$1, "Yes", "No")</f>
        <v>Yes</v>
      </c>
    </row>
    <row r="188" spans="1:32">
      <c r="A188" t="s">
        <v>52</v>
      </c>
      <c r="B188" t="s">
        <v>53</v>
      </c>
      <c r="C188">
        <v>60</v>
      </c>
      <c r="D188" t="s">
        <v>795</v>
      </c>
      <c r="E188" t="s">
        <v>55</v>
      </c>
      <c r="F188" t="s">
        <v>56</v>
      </c>
      <c r="G188" t="s">
        <v>57</v>
      </c>
      <c r="H188" t="s">
        <v>650</v>
      </c>
      <c r="I188" t="b">
        <v>0</v>
      </c>
      <c r="K188" t="s">
        <v>52</v>
      </c>
      <c r="L188" t="s">
        <v>70</v>
      </c>
      <c r="O188" s="1">
        <v>46250</v>
      </c>
      <c r="P188" t="s">
        <v>796</v>
      </c>
      <c r="Q188" t="s">
        <v>797</v>
      </c>
      <c r="R188" t="s">
        <v>63</v>
      </c>
      <c r="S188" t="b">
        <v>0</v>
      </c>
      <c r="T188" t="b">
        <v>0</v>
      </c>
      <c r="U188" t="s">
        <v>797</v>
      </c>
      <c r="V188" t="s">
        <v>84</v>
      </c>
      <c r="W188" t="s">
        <v>65</v>
      </c>
      <c r="X188" t="s">
        <v>798</v>
      </c>
      <c r="Y188" t="s">
        <v>799</v>
      </c>
      <c r="Z188" t="s">
        <v>70</v>
      </c>
      <c r="AA188" t="b">
        <f>ISNUMBER(SEARCH(";"&amp;Lessons[[#This Row],[Instrument__c]]&amp;";",";"&amp;_xlfn.XLOOKUP(Lessons[[#This Row],[Instructor_External_Id__c]], Instructors[Id], Instructors[Instruments_Taught__c])&amp;";"))</f>
        <v>1</v>
      </c>
      <c r="AB188" t="str">
        <f>IF(LEFT(Lessons[[#This Row],[Status__c]],9)="Cancelled","",Lessons[[#This Row],[Instructor_External_Id__c]]&amp;"|"&amp;TEXT(Lessons[[#This Row],[Lesson_Date__c]],"yyyy-mm-dd")&amp;"|"&amp;Lessons[[#This Row],[Start_Time__c]])</f>
        <v>a06ak00000amzC9AAI|2026-08-16|17:00:00.000Z</v>
      </c>
      <c r="AC188">
        <f>IF(Lessons[[#This Row],[Double Booked Key]]="","",COUNTIF(Lessons[Double Booked Key],Lessons[[#This Row],[Double Booked Key]]))</f>
        <v>1</v>
      </c>
      <c r="AD188" s="6" t="str">
        <f>_xlfn.XLOOKUP(Lessons[[#This Row],[Location_External_Id__c]], Locations[Location Id], Locations[Location Name])</f>
        <v>Red Bank</v>
      </c>
      <c r="AE188" s="6" t="str">
        <f>TEXT(Lessons[[#This Row],[Lesson_Date__c]], "yyyy-mm")</f>
        <v>2026-08</v>
      </c>
      <c r="AF188" s="6" t="str">
        <f>IF(Lessons[[#This Row],[Lesson_Date__c]]&lt;=Data_Audit!$F$1, "Yes", "No")</f>
        <v>Yes</v>
      </c>
    </row>
    <row r="189" spans="1:32">
      <c r="A189" t="s">
        <v>52</v>
      </c>
      <c r="B189" t="s">
        <v>53</v>
      </c>
      <c r="C189">
        <v>45</v>
      </c>
      <c r="D189" t="s">
        <v>800</v>
      </c>
      <c r="E189" t="s">
        <v>55</v>
      </c>
      <c r="F189" t="s">
        <v>56</v>
      </c>
      <c r="G189" t="s">
        <v>57</v>
      </c>
      <c r="H189" t="s">
        <v>650</v>
      </c>
      <c r="I189" t="b">
        <v>0</v>
      </c>
      <c r="K189" t="s">
        <v>52</v>
      </c>
      <c r="L189" t="s">
        <v>70</v>
      </c>
      <c r="O189" s="1">
        <v>46111</v>
      </c>
      <c r="P189" t="s">
        <v>801</v>
      </c>
      <c r="Q189" t="s">
        <v>802</v>
      </c>
      <c r="R189" t="s">
        <v>63</v>
      </c>
      <c r="S189" t="b">
        <v>0</v>
      </c>
      <c r="T189" t="b">
        <v>0</v>
      </c>
      <c r="U189" t="s">
        <v>802</v>
      </c>
      <c r="V189" t="s">
        <v>140</v>
      </c>
      <c r="W189" t="s">
        <v>65</v>
      </c>
      <c r="X189" t="s">
        <v>798</v>
      </c>
      <c r="Y189" t="s">
        <v>799</v>
      </c>
      <c r="Z189" t="s">
        <v>70</v>
      </c>
      <c r="AA189" t="b">
        <f>ISNUMBER(SEARCH(";"&amp;Lessons[[#This Row],[Instrument__c]]&amp;";",";"&amp;_xlfn.XLOOKUP(Lessons[[#This Row],[Instructor_External_Id__c]], Instructors[Id], Instructors[Instruments_Taught__c])&amp;";"))</f>
        <v>1</v>
      </c>
      <c r="AB189" t="str">
        <f>IF(LEFT(Lessons[[#This Row],[Status__c]],9)="Cancelled","",Lessons[[#This Row],[Instructor_External_Id__c]]&amp;"|"&amp;TEXT(Lessons[[#This Row],[Lesson_Date__c]],"yyyy-mm-dd")&amp;"|"&amp;Lessons[[#This Row],[Start_Time__c]])</f>
        <v>a06ak00000amzC9AAI|2026-03-30|15:00:00.000Z</v>
      </c>
      <c r="AC189">
        <f>IF(Lessons[[#This Row],[Double Booked Key]]="","",COUNTIF(Lessons[Double Booked Key],Lessons[[#This Row],[Double Booked Key]]))</f>
        <v>1</v>
      </c>
      <c r="AD189" s="6" t="str">
        <f>_xlfn.XLOOKUP(Lessons[[#This Row],[Location_External_Id__c]], Locations[Location Id], Locations[Location Name])</f>
        <v>Red Bank</v>
      </c>
      <c r="AE189" s="6" t="str">
        <f>TEXT(Lessons[[#This Row],[Lesson_Date__c]], "yyyy-mm")</f>
        <v>2026-03</v>
      </c>
      <c r="AF189" s="6" t="str">
        <f>IF(Lessons[[#This Row],[Lesson_Date__c]]&lt;=Data_Audit!$F$1, "Yes", "No")</f>
        <v>Yes</v>
      </c>
    </row>
    <row r="190" spans="1:32">
      <c r="A190" t="s">
        <v>52</v>
      </c>
      <c r="B190" t="s">
        <v>53</v>
      </c>
      <c r="C190">
        <v>45</v>
      </c>
      <c r="D190" t="s">
        <v>803</v>
      </c>
      <c r="E190" t="s">
        <v>804</v>
      </c>
      <c r="F190" t="s">
        <v>805</v>
      </c>
      <c r="G190" t="s">
        <v>99</v>
      </c>
      <c r="H190" t="s">
        <v>147</v>
      </c>
      <c r="I190" t="b">
        <v>0</v>
      </c>
      <c r="K190" t="s">
        <v>52</v>
      </c>
      <c r="L190" t="s">
        <v>70</v>
      </c>
      <c r="O190" s="1">
        <v>46037</v>
      </c>
      <c r="P190" t="s">
        <v>806</v>
      </c>
      <c r="Q190" t="s">
        <v>807</v>
      </c>
      <c r="R190" t="s">
        <v>63</v>
      </c>
      <c r="S190" t="b">
        <v>0</v>
      </c>
      <c r="T190" t="b">
        <v>0</v>
      </c>
      <c r="U190" t="s">
        <v>807</v>
      </c>
      <c r="V190" t="s">
        <v>64</v>
      </c>
      <c r="W190" t="s">
        <v>65</v>
      </c>
      <c r="X190" t="s">
        <v>808</v>
      </c>
      <c r="Y190" t="s">
        <v>809</v>
      </c>
      <c r="Z190" t="s">
        <v>70</v>
      </c>
      <c r="AA190" t="b">
        <f>ISNUMBER(SEARCH(";"&amp;Lessons[[#This Row],[Instrument__c]]&amp;";",";"&amp;_xlfn.XLOOKUP(Lessons[[#This Row],[Instructor_External_Id__c]], Instructors[Id], Instructors[Instruments_Taught__c])&amp;";"))</f>
        <v>1</v>
      </c>
      <c r="AB190" t="str">
        <f>IF(LEFT(Lessons[[#This Row],[Status__c]],9)="Cancelled","",Lessons[[#This Row],[Instructor_External_Id__c]]&amp;"|"&amp;TEXT(Lessons[[#This Row],[Lesson_Date__c]],"yyyy-mm-dd")&amp;"|"&amp;Lessons[[#This Row],[Start_Time__c]])</f>
        <v>a06ak00000amzCBAAY|2026-01-15|11:00:00.000Z</v>
      </c>
      <c r="AC190">
        <f>IF(Lessons[[#This Row],[Double Booked Key]]="","",COUNTIF(Lessons[Double Booked Key],Lessons[[#This Row],[Double Booked Key]]))</f>
        <v>1</v>
      </c>
      <c r="AD190" s="6" t="str">
        <f>_xlfn.XLOOKUP(Lessons[[#This Row],[Location_External_Id__c]], Locations[Location Id], Locations[Location Name])</f>
        <v>Red Bank</v>
      </c>
      <c r="AE190" s="6" t="str">
        <f>TEXT(Lessons[[#This Row],[Lesson_Date__c]], "yyyy-mm")</f>
        <v>2026-01</v>
      </c>
      <c r="AF190" s="6" t="str">
        <f>IF(Lessons[[#This Row],[Lesson_Date__c]]&lt;=Data_Audit!$F$1, "Yes", "No")</f>
        <v>Yes</v>
      </c>
    </row>
    <row r="191" spans="1:32">
      <c r="A191" t="s">
        <v>52</v>
      </c>
      <c r="B191" t="s">
        <v>53</v>
      </c>
      <c r="C191">
        <v>30</v>
      </c>
      <c r="D191" t="s">
        <v>810</v>
      </c>
      <c r="E191" t="s">
        <v>804</v>
      </c>
      <c r="F191" t="s">
        <v>805</v>
      </c>
      <c r="H191" t="s">
        <v>147</v>
      </c>
      <c r="I191" t="b">
        <v>0</v>
      </c>
      <c r="K191" t="s">
        <v>52</v>
      </c>
      <c r="L191" t="s">
        <v>70</v>
      </c>
      <c r="O191" s="1">
        <v>46297</v>
      </c>
      <c r="P191" t="s">
        <v>811</v>
      </c>
      <c r="Q191" t="s">
        <v>812</v>
      </c>
      <c r="R191" t="s">
        <v>63</v>
      </c>
      <c r="S191" t="b">
        <v>0</v>
      </c>
      <c r="T191" t="b">
        <v>0</v>
      </c>
      <c r="U191" t="s">
        <v>812</v>
      </c>
      <c r="V191" t="s">
        <v>94</v>
      </c>
      <c r="W191" t="s">
        <v>65</v>
      </c>
      <c r="X191" t="s">
        <v>808</v>
      </c>
      <c r="Y191" t="s">
        <v>809</v>
      </c>
      <c r="Z191" t="s">
        <v>70</v>
      </c>
      <c r="AA191" t="b">
        <f>ISNUMBER(SEARCH(";"&amp;Lessons[[#This Row],[Instrument__c]]&amp;";",";"&amp;_xlfn.XLOOKUP(Lessons[[#This Row],[Instructor_External_Id__c]], Instructors[Id], Instructors[Instruments_Taught__c])&amp;";"))</f>
        <v>1</v>
      </c>
      <c r="AB191" t="str">
        <f>IF(LEFT(Lessons[[#This Row],[Status__c]],9)="Cancelled","",Lessons[[#This Row],[Instructor_External_Id__c]]&amp;"|"&amp;TEXT(Lessons[[#This Row],[Lesson_Date__c]],"yyyy-mm-dd")&amp;"|"&amp;Lessons[[#This Row],[Start_Time__c]])</f>
        <v>a06ak00000amzCBAAY|2026-10-02|19:00:00.000Z</v>
      </c>
      <c r="AC191">
        <f>IF(Lessons[[#This Row],[Double Booked Key]]="","",COUNTIF(Lessons[Double Booked Key],Lessons[[#This Row],[Double Booked Key]]))</f>
        <v>1</v>
      </c>
      <c r="AD191" s="6" t="str">
        <f>_xlfn.XLOOKUP(Lessons[[#This Row],[Location_External_Id__c]], Locations[Location Id], Locations[Location Name])</f>
        <v>Red Bank</v>
      </c>
      <c r="AE191" s="6" t="str">
        <f>TEXT(Lessons[[#This Row],[Lesson_Date__c]], "yyyy-mm")</f>
        <v>2026-10</v>
      </c>
      <c r="AF191" s="6" t="str">
        <f>IF(Lessons[[#This Row],[Lesson_Date__c]]&lt;=Data_Audit!$F$1, "Yes", "No")</f>
        <v>Yes</v>
      </c>
    </row>
    <row r="192" spans="1:32">
      <c r="A192" t="s">
        <v>52</v>
      </c>
      <c r="B192" t="s">
        <v>53</v>
      </c>
      <c r="C192">
        <v>60</v>
      </c>
      <c r="D192" t="s">
        <v>813</v>
      </c>
      <c r="E192" t="s">
        <v>804</v>
      </c>
      <c r="F192" t="s">
        <v>805</v>
      </c>
      <c r="G192" t="s">
        <v>99</v>
      </c>
      <c r="H192" t="s">
        <v>147</v>
      </c>
      <c r="I192" t="b">
        <v>0</v>
      </c>
      <c r="K192" t="s">
        <v>52</v>
      </c>
      <c r="L192" t="s">
        <v>70</v>
      </c>
      <c r="O192" s="1">
        <v>46129</v>
      </c>
      <c r="P192" t="s">
        <v>814</v>
      </c>
      <c r="Q192" t="s">
        <v>815</v>
      </c>
      <c r="R192" t="s">
        <v>63</v>
      </c>
      <c r="S192" t="b">
        <v>0</v>
      </c>
      <c r="T192" t="b">
        <v>0</v>
      </c>
      <c r="U192" t="s">
        <v>815</v>
      </c>
      <c r="V192" t="s">
        <v>120</v>
      </c>
      <c r="W192" t="s">
        <v>65</v>
      </c>
      <c r="X192" t="s">
        <v>808</v>
      </c>
      <c r="Y192" t="s">
        <v>809</v>
      </c>
      <c r="Z192" t="s">
        <v>70</v>
      </c>
      <c r="AA192" t="b">
        <f>ISNUMBER(SEARCH(";"&amp;Lessons[[#This Row],[Instrument__c]]&amp;";",";"&amp;_xlfn.XLOOKUP(Lessons[[#This Row],[Instructor_External_Id__c]], Instructors[Id], Instructors[Instruments_Taught__c])&amp;";"))</f>
        <v>1</v>
      </c>
      <c r="AB192" t="str">
        <f>IF(LEFT(Lessons[[#This Row],[Status__c]],9)="Cancelled","",Lessons[[#This Row],[Instructor_External_Id__c]]&amp;"|"&amp;TEXT(Lessons[[#This Row],[Lesson_Date__c]],"yyyy-mm-dd")&amp;"|"&amp;Lessons[[#This Row],[Start_Time__c]])</f>
        <v>a06ak00000amzCBAAY|2026-04-17|18:00:00.000Z</v>
      </c>
      <c r="AC192">
        <f>IF(Lessons[[#This Row],[Double Booked Key]]="","",COUNTIF(Lessons[Double Booked Key],Lessons[[#This Row],[Double Booked Key]]))</f>
        <v>1</v>
      </c>
      <c r="AD192" s="6" t="str">
        <f>_xlfn.XLOOKUP(Lessons[[#This Row],[Location_External_Id__c]], Locations[Location Id], Locations[Location Name])</f>
        <v>Red Bank</v>
      </c>
      <c r="AE192" s="6" t="str">
        <f>TEXT(Lessons[[#This Row],[Lesson_Date__c]], "yyyy-mm")</f>
        <v>2026-04</v>
      </c>
      <c r="AF192" s="6" t="str">
        <f>IF(Lessons[[#This Row],[Lesson_Date__c]]&lt;=Data_Audit!$F$1, "Yes", "No")</f>
        <v>Yes</v>
      </c>
    </row>
    <row r="193" spans="1:32">
      <c r="A193" t="s">
        <v>52</v>
      </c>
      <c r="B193" t="s">
        <v>53</v>
      </c>
      <c r="C193">
        <v>30</v>
      </c>
      <c r="D193" t="s">
        <v>816</v>
      </c>
      <c r="E193" t="s">
        <v>804</v>
      </c>
      <c r="F193" t="s">
        <v>805</v>
      </c>
      <c r="G193" t="s">
        <v>99</v>
      </c>
      <c r="H193" t="s">
        <v>147</v>
      </c>
      <c r="I193" t="b">
        <v>0</v>
      </c>
      <c r="K193" t="s">
        <v>52</v>
      </c>
      <c r="L193" t="s">
        <v>70</v>
      </c>
      <c r="O193" s="1">
        <v>46232</v>
      </c>
      <c r="P193" t="s">
        <v>817</v>
      </c>
      <c r="Q193" t="s">
        <v>818</v>
      </c>
      <c r="R193" t="s">
        <v>63</v>
      </c>
      <c r="S193" t="b">
        <v>0</v>
      </c>
      <c r="T193" t="b">
        <v>0</v>
      </c>
      <c r="U193" t="s">
        <v>818</v>
      </c>
      <c r="V193" t="s">
        <v>128</v>
      </c>
      <c r="W193" t="s">
        <v>65</v>
      </c>
      <c r="X193" t="s">
        <v>808</v>
      </c>
      <c r="Y193" t="s">
        <v>809</v>
      </c>
      <c r="Z193" t="s">
        <v>70</v>
      </c>
      <c r="AA193" t="b">
        <f>ISNUMBER(SEARCH(";"&amp;Lessons[[#This Row],[Instrument__c]]&amp;";",";"&amp;_xlfn.XLOOKUP(Lessons[[#This Row],[Instructor_External_Id__c]], Instructors[Id], Instructors[Instruments_Taught__c])&amp;";"))</f>
        <v>1</v>
      </c>
      <c r="AB193" t="str">
        <f>IF(LEFT(Lessons[[#This Row],[Status__c]],9)="Cancelled","",Lessons[[#This Row],[Instructor_External_Id__c]]&amp;"|"&amp;TEXT(Lessons[[#This Row],[Lesson_Date__c]],"yyyy-mm-dd")&amp;"|"&amp;Lessons[[#This Row],[Start_Time__c]])</f>
        <v>a06ak00000amzCBAAY|2026-07-29|18:30:00.000Z</v>
      </c>
      <c r="AC193">
        <f>IF(Lessons[[#This Row],[Double Booked Key]]="","",COUNTIF(Lessons[Double Booked Key],Lessons[[#This Row],[Double Booked Key]]))</f>
        <v>1</v>
      </c>
      <c r="AD193" s="6" t="str">
        <f>_xlfn.XLOOKUP(Lessons[[#This Row],[Location_External_Id__c]], Locations[Location Id], Locations[Location Name])</f>
        <v>Red Bank</v>
      </c>
      <c r="AE193" s="6" t="str">
        <f>TEXT(Lessons[[#This Row],[Lesson_Date__c]], "yyyy-mm")</f>
        <v>2026-07</v>
      </c>
      <c r="AF193" s="6" t="str">
        <f>IF(Lessons[[#This Row],[Lesson_Date__c]]&lt;=Data_Audit!$F$1, "Yes", "No")</f>
        <v>Yes</v>
      </c>
    </row>
    <row r="194" spans="1:32">
      <c r="A194" t="s">
        <v>52</v>
      </c>
      <c r="B194" t="s">
        <v>53</v>
      </c>
      <c r="C194">
        <v>30</v>
      </c>
      <c r="D194" t="s">
        <v>819</v>
      </c>
      <c r="E194" t="s">
        <v>804</v>
      </c>
      <c r="F194" t="s">
        <v>805</v>
      </c>
      <c r="H194" t="s">
        <v>147</v>
      </c>
      <c r="I194" t="b">
        <v>0</v>
      </c>
      <c r="K194" t="s">
        <v>52</v>
      </c>
      <c r="L194" t="s">
        <v>70</v>
      </c>
      <c r="O194" s="1">
        <v>46039</v>
      </c>
      <c r="P194" t="s">
        <v>820</v>
      </c>
      <c r="Q194" t="s">
        <v>821</v>
      </c>
      <c r="R194" t="s">
        <v>63</v>
      </c>
      <c r="S194" t="b">
        <v>0</v>
      </c>
      <c r="T194" t="b">
        <v>0</v>
      </c>
      <c r="U194" t="s">
        <v>821</v>
      </c>
      <c r="V194" t="s">
        <v>74</v>
      </c>
      <c r="W194" t="s">
        <v>65</v>
      </c>
      <c r="X194" t="s">
        <v>808</v>
      </c>
      <c r="Y194" t="s">
        <v>809</v>
      </c>
      <c r="Z194" t="s">
        <v>70</v>
      </c>
      <c r="AA194" t="b">
        <f>ISNUMBER(SEARCH(";"&amp;Lessons[[#This Row],[Instrument__c]]&amp;";",";"&amp;_xlfn.XLOOKUP(Lessons[[#This Row],[Instructor_External_Id__c]], Instructors[Id], Instructors[Instruments_Taught__c])&amp;";"))</f>
        <v>1</v>
      </c>
      <c r="AB194" t="str">
        <f>IF(LEFT(Lessons[[#This Row],[Status__c]],9)="Cancelled","",Lessons[[#This Row],[Instructor_External_Id__c]]&amp;"|"&amp;TEXT(Lessons[[#This Row],[Lesson_Date__c]],"yyyy-mm-dd")&amp;"|"&amp;Lessons[[#This Row],[Start_Time__c]])</f>
        <v>a06ak00000amzCBAAY|2026-01-17|16:30:00.000Z</v>
      </c>
      <c r="AC194">
        <f>IF(Lessons[[#This Row],[Double Booked Key]]="","",COUNTIF(Lessons[Double Booked Key],Lessons[[#This Row],[Double Booked Key]]))</f>
        <v>1</v>
      </c>
      <c r="AD194" s="6" t="str">
        <f>_xlfn.XLOOKUP(Lessons[[#This Row],[Location_External_Id__c]], Locations[Location Id], Locations[Location Name])</f>
        <v>Red Bank</v>
      </c>
      <c r="AE194" s="6" t="str">
        <f>TEXT(Lessons[[#This Row],[Lesson_Date__c]], "yyyy-mm")</f>
        <v>2026-01</v>
      </c>
      <c r="AF194" s="6" t="str">
        <f>IF(Lessons[[#This Row],[Lesson_Date__c]]&lt;=Data_Audit!$F$1, "Yes", "No")</f>
        <v>Yes</v>
      </c>
    </row>
    <row r="195" spans="1:32">
      <c r="A195" t="s">
        <v>52</v>
      </c>
      <c r="B195" t="s">
        <v>53</v>
      </c>
      <c r="C195">
        <v>60</v>
      </c>
      <c r="D195" t="s">
        <v>822</v>
      </c>
      <c r="E195" t="s">
        <v>804</v>
      </c>
      <c r="F195" t="s">
        <v>805</v>
      </c>
      <c r="G195" t="s">
        <v>106</v>
      </c>
      <c r="H195" t="s">
        <v>147</v>
      </c>
      <c r="I195" t="b">
        <v>0</v>
      </c>
      <c r="K195" t="s">
        <v>52</v>
      </c>
      <c r="L195" t="s">
        <v>70</v>
      </c>
      <c r="O195" s="1">
        <v>46191</v>
      </c>
      <c r="P195" t="s">
        <v>823</v>
      </c>
      <c r="Q195" t="s">
        <v>824</v>
      </c>
      <c r="R195" t="s">
        <v>63</v>
      </c>
      <c r="S195" t="b">
        <v>0</v>
      </c>
      <c r="T195" t="b">
        <v>0</v>
      </c>
      <c r="U195" t="s">
        <v>824</v>
      </c>
      <c r="V195" t="s">
        <v>74</v>
      </c>
      <c r="W195" t="s">
        <v>65</v>
      </c>
      <c r="X195" t="s">
        <v>808</v>
      </c>
      <c r="Y195" t="s">
        <v>809</v>
      </c>
      <c r="Z195" t="s">
        <v>70</v>
      </c>
      <c r="AA195" t="b">
        <f>ISNUMBER(SEARCH(";"&amp;Lessons[[#This Row],[Instrument__c]]&amp;";",";"&amp;_xlfn.XLOOKUP(Lessons[[#This Row],[Instructor_External_Id__c]], Instructors[Id], Instructors[Instruments_Taught__c])&amp;";"))</f>
        <v>1</v>
      </c>
      <c r="AB195" t="str">
        <f>IF(LEFT(Lessons[[#This Row],[Status__c]],9)="Cancelled","",Lessons[[#This Row],[Instructor_External_Id__c]]&amp;"|"&amp;TEXT(Lessons[[#This Row],[Lesson_Date__c]],"yyyy-mm-dd")&amp;"|"&amp;Lessons[[#This Row],[Start_Time__c]])</f>
        <v>a06ak00000amzCBAAY|2026-06-18|16:30:00.000Z</v>
      </c>
      <c r="AC195">
        <f>IF(Lessons[[#This Row],[Double Booked Key]]="","",COUNTIF(Lessons[Double Booked Key],Lessons[[#This Row],[Double Booked Key]]))</f>
        <v>1</v>
      </c>
      <c r="AD195" s="6" t="str">
        <f>_xlfn.XLOOKUP(Lessons[[#This Row],[Location_External_Id__c]], Locations[Location Id], Locations[Location Name])</f>
        <v>Red Bank</v>
      </c>
      <c r="AE195" s="6" t="str">
        <f>TEXT(Lessons[[#This Row],[Lesson_Date__c]], "yyyy-mm")</f>
        <v>2026-06</v>
      </c>
      <c r="AF195" s="6" t="str">
        <f>IF(Lessons[[#This Row],[Lesson_Date__c]]&lt;=Data_Audit!$F$1, "Yes", "No")</f>
        <v>Yes</v>
      </c>
    </row>
    <row r="196" spans="1:32">
      <c r="A196" t="s">
        <v>52</v>
      </c>
      <c r="B196" t="s">
        <v>53</v>
      </c>
      <c r="C196">
        <v>60</v>
      </c>
      <c r="D196" t="s">
        <v>825</v>
      </c>
      <c r="E196" t="s">
        <v>804</v>
      </c>
      <c r="F196" t="s">
        <v>805</v>
      </c>
      <c r="G196" t="s">
        <v>106</v>
      </c>
      <c r="H196" t="s">
        <v>147</v>
      </c>
      <c r="I196" t="b">
        <v>0</v>
      </c>
      <c r="K196" t="s">
        <v>52</v>
      </c>
      <c r="L196" t="s">
        <v>70</v>
      </c>
      <c r="O196" s="1">
        <v>46091</v>
      </c>
      <c r="P196" t="s">
        <v>826</v>
      </c>
      <c r="Q196" t="s">
        <v>827</v>
      </c>
      <c r="R196" t="s">
        <v>63</v>
      </c>
      <c r="S196" t="b">
        <v>0</v>
      </c>
      <c r="T196" t="b">
        <v>0</v>
      </c>
      <c r="U196" t="s">
        <v>827</v>
      </c>
      <c r="V196" t="s">
        <v>140</v>
      </c>
      <c r="W196" t="s">
        <v>65</v>
      </c>
      <c r="X196" t="s">
        <v>808</v>
      </c>
      <c r="Y196" t="s">
        <v>809</v>
      </c>
      <c r="Z196" t="s">
        <v>70</v>
      </c>
      <c r="AA196" t="b">
        <f>ISNUMBER(SEARCH(";"&amp;Lessons[[#This Row],[Instrument__c]]&amp;";",";"&amp;_xlfn.XLOOKUP(Lessons[[#This Row],[Instructor_External_Id__c]], Instructors[Id], Instructors[Instruments_Taught__c])&amp;";"))</f>
        <v>1</v>
      </c>
      <c r="AB196" t="str">
        <f>IF(LEFT(Lessons[[#This Row],[Status__c]],9)="Cancelled","",Lessons[[#This Row],[Instructor_External_Id__c]]&amp;"|"&amp;TEXT(Lessons[[#This Row],[Lesson_Date__c]],"yyyy-mm-dd")&amp;"|"&amp;Lessons[[#This Row],[Start_Time__c]])</f>
        <v>a06ak00000amzCBAAY|2026-03-10|15:00:00.000Z</v>
      </c>
      <c r="AC196">
        <f>IF(Lessons[[#This Row],[Double Booked Key]]="","",COUNTIF(Lessons[Double Booked Key],Lessons[[#This Row],[Double Booked Key]]))</f>
        <v>1</v>
      </c>
      <c r="AD196" s="6" t="str">
        <f>_xlfn.XLOOKUP(Lessons[[#This Row],[Location_External_Id__c]], Locations[Location Id], Locations[Location Name])</f>
        <v>Red Bank</v>
      </c>
      <c r="AE196" s="6" t="str">
        <f>TEXT(Lessons[[#This Row],[Lesson_Date__c]], "yyyy-mm")</f>
        <v>2026-03</v>
      </c>
      <c r="AF196" s="6" t="str">
        <f>IF(Lessons[[#This Row],[Lesson_Date__c]]&lt;=Data_Audit!$F$1, "Yes", "No")</f>
        <v>Yes</v>
      </c>
    </row>
    <row r="197" spans="1:32">
      <c r="A197" t="s">
        <v>52</v>
      </c>
      <c r="B197" t="s">
        <v>53</v>
      </c>
      <c r="C197">
        <v>30</v>
      </c>
      <c r="D197" t="s">
        <v>828</v>
      </c>
      <c r="E197" t="s">
        <v>476</v>
      </c>
      <c r="F197" t="s">
        <v>477</v>
      </c>
      <c r="G197" t="s">
        <v>57</v>
      </c>
      <c r="H197" t="s">
        <v>78</v>
      </c>
      <c r="I197" t="b">
        <v>0</v>
      </c>
      <c r="K197" t="s">
        <v>52</v>
      </c>
      <c r="L197" t="s">
        <v>70</v>
      </c>
      <c r="O197" s="1">
        <v>46204</v>
      </c>
      <c r="P197" t="s">
        <v>829</v>
      </c>
      <c r="Q197" t="s">
        <v>830</v>
      </c>
      <c r="R197" t="s">
        <v>63</v>
      </c>
      <c r="S197" t="b">
        <v>0</v>
      </c>
      <c r="T197" t="b">
        <v>0</v>
      </c>
      <c r="U197" t="s">
        <v>830</v>
      </c>
      <c r="V197" t="s">
        <v>120</v>
      </c>
      <c r="W197" t="s">
        <v>65</v>
      </c>
      <c r="X197" t="s">
        <v>831</v>
      </c>
      <c r="Y197" t="s">
        <v>832</v>
      </c>
      <c r="Z197" t="s">
        <v>70</v>
      </c>
      <c r="AA197" t="b">
        <f>ISNUMBER(SEARCH(";"&amp;Lessons[[#This Row],[Instrument__c]]&amp;";",";"&amp;_xlfn.XLOOKUP(Lessons[[#This Row],[Instructor_External_Id__c]], Instructors[Id], Instructors[Instruments_Taught__c])&amp;";"))</f>
        <v>1</v>
      </c>
      <c r="AB197" t="str">
        <f>IF(LEFT(Lessons[[#This Row],[Status__c]],9)="Cancelled","",Lessons[[#This Row],[Instructor_External_Id__c]]&amp;"|"&amp;TEXT(Lessons[[#This Row],[Lesson_Date__c]],"yyyy-mm-dd")&amp;"|"&amp;Lessons[[#This Row],[Start_Time__c]])</f>
        <v>a06ak00000amzBqAAI|2026-07-01|18:00:00.000Z</v>
      </c>
      <c r="AC197">
        <f>IF(Lessons[[#This Row],[Double Booked Key]]="","",COUNTIF(Lessons[Double Booked Key],Lessons[[#This Row],[Double Booked Key]]))</f>
        <v>1</v>
      </c>
      <c r="AD197" s="6" t="str">
        <f>_xlfn.XLOOKUP(Lessons[[#This Row],[Location_External_Id__c]], Locations[Location Id], Locations[Location Name])</f>
        <v>Red Bank</v>
      </c>
      <c r="AE197" s="6" t="str">
        <f>TEXT(Lessons[[#This Row],[Lesson_Date__c]], "yyyy-mm")</f>
        <v>2026-07</v>
      </c>
      <c r="AF197" s="6" t="str">
        <f>IF(Lessons[[#This Row],[Lesson_Date__c]]&lt;=Data_Audit!$F$1, "Yes", "No")</f>
        <v>Yes</v>
      </c>
    </row>
    <row r="198" spans="1:32">
      <c r="A198" t="s">
        <v>52</v>
      </c>
      <c r="B198" t="s">
        <v>53</v>
      </c>
      <c r="C198">
        <v>45</v>
      </c>
      <c r="D198" t="s">
        <v>833</v>
      </c>
      <c r="E198" t="s">
        <v>359</v>
      </c>
      <c r="F198" t="s">
        <v>360</v>
      </c>
      <c r="G198" t="s">
        <v>106</v>
      </c>
      <c r="H198" t="s">
        <v>78</v>
      </c>
      <c r="I198" t="b">
        <v>0</v>
      </c>
      <c r="K198" t="s">
        <v>52</v>
      </c>
      <c r="L198" t="s">
        <v>79</v>
      </c>
      <c r="O198" s="1">
        <v>46291</v>
      </c>
      <c r="P198" t="s">
        <v>834</v>
      </c>
      <c r="Q198" t="s">
        <v>835</v>
      </c>
      <c r="R198" t="s">
        <v>63</v>
      </c>
      <c r="S198" t="b">
        <v>0</v>
      </c>
      <c r="T198" t="b">
        <v>0</v>
      </c>
      <c r="U198" t="s">
        <v>835</v>
      </c>
      <c r="V198" t="s">
        <v>140</v>
      </c>
      <c r="W198" t="s">
        <v>65</v>
      </c>
      <c r="X198" t="s">
        <v>831</v>
      </c>
      <c r="Y198" t="s">
        <v>832</v>
      </c>
      <c r="Z198" t="s">
        <v>79</v>
      </c>
      <c r="AA198" t="b">
        <f>ISNUMBER(SEARCH(";"&amp;Lessons[[#This Row],[Instrument__c]]&amp;";",";"&amp;_xlfn.XLOOKUP(Lessons[[#This Row],[Instructor_External_Id__c]], Instructors[Id], Instructors[Instruments_Taught__c])&amp;";"))</f>
        <v>1</v>
      </c>
      <c r="AB198" t="str">
        <f>IF(LEFT(Lessons[[#This Row],[Status__c]],9)="Cancelled","",Lessons[[#This Row],[Instructor_External_Id__c]]&amp;"|"&amp;TEXT(Lessons[[#This Row],[Lesson_Date__c]],"yyyy-mm-dd")&amp;"|"&amp;Lessons[[#This Row],[Start_Time__c]])</f>
        <v>a06ak00000amzBiAAI|2026-09-26|15:00:00.000Z</v>
      </c>
      <c r="AC198">
        <f>IF(Lessons[[#This Row],[Double Booked Key]]="","",COUNTIF(Lessons[Double Booked Key],Lessons[[#This Row],[Double Booked Key]]))</f>
        <v>1</v>
      </c>
      <c r="AD198" s="6" t="str">
        <f>_xlfn.XLOOKUP(Lessons[[#This Row],[Location_External_Id__c]], Locations[Location Id], Locations[Location Name])</f>
        <v>Red Bank</v>
      </c>
      <c r="AE198" s="6" t="str">
        <f>TEXT(Lessons[[#This Row],[Lesson_Date__c]], "yyyy-mm")</f>
        <v>2026-09</v>
      </c>
      <c r="AF198" s="6" t="str">
        <f>IF(Lessons[[#This Row],[Lesson_Date__c]]&lt;=Data_Audit!$F$1, "Yes", "No")</f>
        <v>Yes</v>
      </c>
    </row>
    <row r="199" spans="1:32">
      <c r="A199" t="s">
        <v>52</v>
      </c>
      <c r="B199" t="s">
        <v>53</v>
      </c>
      <c r="C199">
        <v>30</v>
      </c>
      <c r="D199" t="s">
        <v>836</v>
      </c>
      <c r="E199" t="s">
        <v>476</v>
      </c>
      <c r="F199" t="s">
        <v>477</v>
      </c>
      <c r="G199" t="s">
        <v>164</v>
      </c>
      <c r="H199" t="s">
        <v>78</v>
      </c>
      <c r="I199" t="b">
        <v>0</v>
      </c>
      <c r="K199" t="s">
        <v>52</v>
      </c>
      <c r="L199" t="s">
        <v>70</v>
      </c>
      <c r="O199" s="1">
        <v>46209</v>
      </c>
      <c r="P199" t="s">
        <v>837</v>
      </c>
      <c r="Q199" t="s">
        <v>838</v>
      </c>
      <c r="R199" t="s">
        <v>63</v>
      </c>
      <c r="S199" t="b">
        <v>0</v>
      </c>
      <c r="T199" t="b">
        <v>0</v>
      </c>
      <c r="U199" t="s">
        <v>838</v>
      </c>
      <c r="V199" t="s">
        <v>128</v>
      </c>
      <c r="W199" t="s">
        <v>65</v>
      </c>
      <c r="X199" t="s">
        <v>831</v>
      </c>
      <c r="Y199" t="s">
        <v>832</v>
      </c>
      <c r="Z199" t="s">
        <v>70</v>
      </c>
      <c r="AA199" t="b">
        <f>ISNUMBER(SEARCH(";"&amp;Lessons[[#This Row],[Instrument__c]]&amp;";",";"&amp;_xlfn.XLOOKUP(Lessons[[#This Row],[Instructor_External_Id__c]], Instructors[Id], Instructors[Instruments_Taught__c])&amp;";"))</f>
        <v>1</v>
      </c>
      <c r="AB199" t="str">
        <f>IF(LEFT(Lessons[[#This Row],[Status__c]],9)="Cancelled","",Lessons[[#This Row],[Instructor_External_Id__c]]&amp;"|"&amp;TEXT(Lessons[[#This Row],[Lesson_Date__c]],"yyyy-mm-dd")&amp;"|"&amp;Lessons[[#This Row],[Start_Time__c]])</f>
        <v>a06ak00000amzBqAAI|2026-07-06|18:30:00.000Z</v>
      </c>
      <c r="AC199">
        <f>IF(Lessons[[#This Row],[Double Booked Key]]="","",COUNTIF(Lessons[Double Booked Key],Lessons[[#This Row],[Double Booked Key]]))</f>
        <v>1</v>
      </c>
      <c r="AD199" s="6" t="str">
        <f>_xlfn.XLOOKUP(Lessons[[#This Row],[Location_External_Id__c]], Locations[Location Id], Locations[Location Name])</f>
        <v>Red Bank</v>
      </c>
      <c r="AE199" s="6" t="str">
        <f>TEXT(Lessons[[#This Row],[Lesson_Date__c]], "yyyy-mm")</f>
        <v>2026-07</v>
      </c>
      <c r="AF199" s="6" t="str">
        <f>IF(Lessons[[#This Row],[Lesson_Date__c]]&lt;=Data_Audit!$F$1, "Yes", "No")</f>
        <v>Yes</v>
      </c>
    </row>
    <row r="200" spans="1:32">
      <c r="A200" t="s">
        <v>52</v>
      </c>
      <c r="B200" t="s">
        <v>53</v>
      </c>
      <c r="C200">
        <v>30</v>
      </c>
      <c r="D200" t="s">
        <v>839</v>
      </c>
      <c r="E200" t="s">
        <v>840</v>
      </c>
      <c r="F200" t="s">
        <v>841</v>
      </c>
      <c r="H200" t="s">
        <v>58</v>
      </c>
      <c r="I200" t="b">
        <v>0</v>
      </c>
      <c r="K200" t="s">
        <v>52</v>
      </c>
      <c r="L200" t="s">
        <v>171</v>
      </c>
      <c r="O200" s="1">
        <v>46076</v>
      </c>
      <c r="P200" t="s">
        <v>842</v>
      </c>
      <c r="Q200" t="s">
        <v>843</v>
      </c>
      <c r="R200" t="s">
        <v>83</v>
      </c>
      <c r="S200" t="b">
        <v>1</v>
      </c>
      <c r="T200" t="b">
        <v>1</v>
      </c>
      <c r="U200" t="s">
        <v>843</v>
      </c>
      <c r="V200" t="s">
        <v>135</v>
      </c>
      <c r="W200" t="s">
        <v>136</v>
      </c>
      <c r="X200" t="s">
        <v>844</v>
      </c>
      <c r="Y200" t="s">
        <v>845</v>
      </c>
      <c r="Z200" t="s">
        <v>171</v>
      </c>
      <c r="AA200" t="b">
        <f>ISNUMBER(SEARCH(";"&amp;Lessons[[#This Row],[Instrument__c]]&amp;";",";"&amp;_xlfn.XLOOKUP(Lessons[[#This Row],[Instructor_External_Id__c]], Instructors[Id], Instructors[Instruments_Taught__c])&amp;";"))</f>
        <v>1</v>
      </c>
      <c r="AB200" t="str">
        <f>IF(LEFT(Lessons[[#This Row],[Status__c]],9)="Cancelled","",Lessons[[#This Row],[Instructor_External_Id__c]]&amp;"|"&amp;TEXT(Lessons[[#This Row],[Lesson_Date__c]],"yyyy-mm-dd")&amp;"|"&amp;Lessons[[#This Row],[Start_Time__c]])</f>
        <v/>
      </c>
      <c r="AC200" t="str">
        <f>IF(Lessons[[#This Row],[Double Booked Key]]="","",COUNTIF(Lessons[Double Booked Key],Lessons[[#This Row],[Double Booked Key]]))</f>
        <v/>
      </c>
      <c r="AD200" s="6" t="str">
        <f>_xlfn.XLOOKUP(Lessons[[#This Row],[Location_External_Id__c]], Locations[Location Id], Locations[Location Name])</f>
        <v>Brick</v>
      </c>
      <c r="AE200" s="6" t="str">
        <f>TEXT(Lessons[[#This Row],[Lesson_Date__c]], "yyyy-mm")</f>
        <v>2026-02</v>
      </c>
      <c r="AF200" s="6" t="str">
        <f>IF(Lessons[[#This Row],[Lesson_Date__c]]&lt;=Data_Audit!$F$1, "Yes", "No")</f>
        <v>Yes</v>
      </c>
    </row>
    <row r="201" spans="1:32">
      <c r="A201" t="s">
        <v>52</v>
      </c>
      <c r="B201" t="s">
        <v>53</v>
      </c>
      <c r="C201">
        <v>30</v>
      </c>
      <c r="D201" t="s">
        <v>846</v>
      </c>
      <c r="E201" t="s">
        <v>840</v>
      </c>
      <c r="F201" t="s">
        <v>841</v>
      </c>
      <c r="H201" t="s">
        <v>58</v>
      </c>
      <c r="I201" t="b">
        <v>0</v>
      </c>
      <c r="K201" t="s">
        <v>52</v>
      </c>
      <c r="L201" t="s">
        <v>70</v>
      </c>
      <c r="O201" s="1">
        <v>46235</v>
      </c>
      <c r="P201" t="s">
        <v>847</v>
      </c>
      <c r="Q201" t="s">
        <v>848</v>
      </c>
      <c r="R201" t="s">
        <v>83</v>
      </c>
      <c r="S201" t="b">
        <v>0</v>
      </c>
      <c r="T201" t="b">
        <v>0</v>
      </c>
      <c r="U201" t="s">
        <v>848</v>
      </c>
      <c r="V201" t="s">
        <v>64</v>
      </c>
      <c r="W201" t="s">
        <v>85</v>
      </c>
      <c r="X201" t="s">
        <v>844</v>
      </c>
      <c r="Y201" t="s">
        <v>845</v>
      </c>
      <c r="Z201" t="s">
        <v>70</v>
      </c>
      <c r="AA201" t="b">
        <f>ISNUMBER(SEARCH(";"&amp;Lessons[[#This Row],[Instrument__c]]&amp;";",";"&amp;_xlfn.XLOOKUP(Lessons[[#This Row],[Instructor_External_Id__c]], Instructors[Id], Instructors[Instruments_Taught__c])&amp;";"))</f>
        <v>1</v>
      </c>
      <c r="AB201" t="str">
        <f>IF(LEFT(Lessons[[#This Row],[Status__c]],9)="Cancelled","",Lessons[[#This Row],[Instructor_External_Id__c]]&amp;"|"&amp;TEXT(Lessons[[#This Row],[Lesson_Date__c]],"yyyy-mm-dd")&amp;"|"&amp;Lessons[[#This Row],[Start_Time__c]])</f>
        <v/>
      </c>
      <c r="AC201" t="str">
        <f>IF(Lessons[[#This Row],[Double Booked Key]]="","",COUNTIF(Lessons[Double Booked Key],Lessons[[#This Row],[Double Booked Key]]))</f>
        <v/>
      </c>
      <c r="AD201" s="6" t="str">
        <f>_xlfn.XLOOKUP(Lessons[[#This Row],[Location_External_Id__c]], Locations[Location Id], Locations[Location Name])</f>
        <v>Brick</v>
      </c>
      <c r="AE201" s="6" t="str">
        <f>TEXT(Lessons[[#This Row],[Lesson_Date__c]], "yyyy-mm")</f>
        <v>2026-08</v>
      </c>
      <c r="AF201" s="6" t="str">
        <f>IF(Lessons[[#This Row],[Lesson_Date__c]]&lt;=Data_Audit!$F$1, "Yes", "No")</f>
        <v>Yes</v>
      </c>
    </row>
    <row r="202" spans="1:32">
      <c r="A202" t="s">
        <v>52</v>
      </c>
      <c r="B202" t="s">
        <v>53</v>
      </c>
      <c r="C202">
        <v>60</v>
      </c>
      <c r="D202" t="s">
        <v>849</v>
      </c>
      <c r="E202" t="s">
        <v>243</v>
      </c>
      <c r="F202" t="s">
        <v>244</v>
      </c>
      <c r="H202" t="s">
        <v>58</v>
      </c>
      <c r="I202" t="b">
        <v>0</v>
      </c>
      <c r="K202" t="s">
        <v>52</v>
      </c>
      <c r="L202" t="s">
        <v>79</v>
      </c>
      <c r="O202" s="1">
        <v>46296</v>
      </c>
      <c r="P202" t="s">
        <v>850</v>
      </c>
      <c r="Q202" t="s">
        <v>851</v>
      </c>
      <c r="R202" t="s">
        <v>83</v>
      </c>
      <c r="S202" t="b">
        <v>0</v>
      </c>
      <c r="T202" t="b">
        <v>0</v>
      </c>
      <c r="U202" t="s">
        <v>851</v>
      </c>
      <c r="V202" t="s">
        <v>128</v>
      </c>
      <c r="W202" t="s">
        <v>85</v>
      </c>
      <c r="X202" t="s">
        <v>844</v>
      </c>
      <c r="Y202" t="s">
        <v>845</v>
      </c>
      <c r="Z202" t="s">
        <v>79</v>
      </c>
      <c r="AA202" t="b">
        <f>ISNUMBER(SEARCH(";"&amp;Lessons[[#This Row],[Instrument__c]]&amp;";",";"&amp;_xlfn.XLOOKUP(Lessons[[#This Row],[Instructor_External_Id__c]], Instructors[Id], Instructors[Instruments_Taught__c])&amp;";"))</f>
        <v>1</v>
      </c>
      <c r="AB202" t="str">
        <f>IF(LEFT(Lessons[[#This Row],[Status__c]],9)="Cancelled","",Lessons[[#This Row],[Instructor_External_Id__c]]&amp;"|"&amp;TEXT(Lessons[[#This Row],[Lesson_Date__c]],"yyyy-mm-dd")&amp;"|"&amp;Lessons[[#This Row],[Start_Time__c]])</f>
        <v/>
      </c>
      <c r="AC202" t="str">
        <f>IF(Lessons[[#This Row],[Double Booked Key]]="","",COUNTIF(Lessons[Double Booked Key],Lessons[[#This Row],[Double Booked Key]]))</f>
        <v/>
      </c>
      <c r="AD202" s="6" t="str">
        <f>_xlfn.XLOOKUP(Lessons[[#This Row],[Location_External_Id__c]], Locations[Location Id], Locations[Location Name])</f>
        <v>Brick</v>
      </c>
      <c r="AE202" s="6" t="str">
        <f>TEXT(Lessons[[#This Row],[Lesson_Date__c]], "yyyy-mm")</f>
        <v>2026-10</v>
      </c>
      <c r="AF202" s="6" t="str">
        <f>IF(Lessons[[#This Row],[Lesson_Date__c]]&lt;=Data_Audit!$F$1, "Yes", "No")</f>
        <v>Yes</v>
      </c>
    </row>
    <row r="203" spans="1:32">
      <c r="A203" t="s">
        <v>52</v>
      </c>
      <c r="B203" t="s">
        <v>53</v>
      </c>
      <c r="C203">
        <v>30</v>
      </c>
      <c r="D203" t="s">
        <v>852</v>
      </c>
      <c r="E203" t="s">
        <v>840</v>
      </c>
      <c r="F203" t="s">
        <v>841</v>
      </c>
      <c r="G203" t="s">
        <v>106</v>
      </c>
      <c r="H203" t="s">
        <v>58</v>
      </c>
      <c r="I203" t="b">
        <v>0</v>
      </c>
      <c r="K203" t="s">
        <v>52</v>
      </c>
      <c r="L203" t="s">
        <v>70</v>
      </c>
      <c r="O203" s="1">
        <v>46084</v>
      </c>
      <c r="P203" t="s">
        <v>853</v>
      </c>
      <c r="Q203" t="s">
        <v>854</v>
      </c>
      <c r="R203" t="s">
        <v>83</v>
      </c>
      <c r="S203" t="b">
        <v>0</v>
      </c>
      <c r="T203" t="b">
        <v>0</v>
      </c>
      <c r="U203" t="s">
        <v>854</v>
      </c>
      <c r="V203" t="s">
        <v>120</v>
      </c>
      <c r="W203" t="s">
        <v>65</v>
      </c>
      <c r="X203" t="s">
        <v>844</v>
      </c>
      <c r="Y203" t="s">
        <v>845</v>
      </c>
      <c r="Z203" t="s">
        <v>70</v>
      </c>
      <c r="AA203" t="b">
        <f>ISNUMBER(SEARCH(";"&amp;Lessons[[#This Row],[Instrument__c]]&amp;";",";"&amp;_xlfn.XLOOKUP(Lessons[[#This Row],[Instructor_External_Id__c]], Instructors[Id], Instructors[Instruments_Taught__c])&amp;";"))</f>
        <v>1</v>
      </c>
      <c r="AB203" t="str">
        <f>IF(LEFT(Lessons[[#This Row],[Status__c]],9)="Cancelled","",Lessons[[#This Row],[Instructor_External_Id__c]]&amp;"|"&amp;TEXT(Lessons[[#This Row],[Lesson_Date__c]],"yyyy-mm-dd")&amp;"|"&amp;Lessons[[#This Row],[Start_Time__c]])</f>
        <v>a06ak00000amzBlAAI|2026-03-03|18:00:00.000Z</v>
      </c>
      <c r="AC203">
        <f>IF(Lessons[[#This Row],[Double Booked Key]]="","",COUNTIF(Lessons[Double Booked Key],Lessons[[#This Row],[Double Booked Key]]))</f>
        <v>1</v>
      </c>
      <c r="AD203" s="6" t="str">
        <f>_xlfn.XLOOKUP(Lessons[[#This Row],[Location_External_Id__c]], Locations[Location Id], Locations[Location Name])</f>
        <v>Brick</v>
      </c>
      <c r="AE203" s="6" t="str">
        <f>TEXT(Lessons[[#This Row],[Lesson_Date__c]], "yyyy-mm")</f>
        <v>2026-03</v>
      </c>
      <c r="AF203" s="6" t="str">
        <f>IF(Lessons[[#This Row],[Lesson_Date__c]]&lt;=Data_Audit!$F$1, "Yes", "No")</f>
        <v>Yes</v>
      </c>
    </row>
    <row r="204" spans="1:32">
      <c r="A204" t="s">
        <v>52</v>
      </c>
      <c r="B204" t="s">
        <v>53</v>
      </c>
      <c r="C204">
        <v>45</v>
      </c>
      <c r="D204" t="s">
        <v>855</v>
      </c>
      <c r="E204" t="s">
        <v>145</v>
      </c>
      <c r="F204" t="s">
        <v>146</v>
      </c>
      <c r="G204" t="s">
        <v>69</v>
      </c>
      <c r="H204" t="s">
        <v>58</v>
      </c>
      <c r="I204" t="b">
        <v>0</v>
      </c>
      <c r="K204" t="s">
        <v>52</v>
      </c>
      <c r="L204" t="s">
        <v>91</v>
      </c>
      <c r="O204" s="1">
        <v>46092</v>
      </c>
      <c r="P204" t="s">
        <v>856</v>
      </c>
      <c r="Q204" t="s">
        <v>857</v>
      </c>
      <c r="R204" t="s">
        <v>83</v>
      </c>
      <c r="S204" t="b">
        <v>0</v>
      </c>
      <c r="T204" t="b">
        <v>0</v>
      </c>
      <c r="U204" t="s">
        <v>857</v>
      </c>
      <c r="V204" t="s">
        <v>94</v>
      </c>
      <c r="W204" t="s">
        <v>95</v>
      </c>
      <c r="X204" t="s">
        <v>844</v>
      </c>
      <c r="Y204" t="s">
        <v>845</v>
      </c>
      <c r="Z204" t="s">
        <v>91</v>
      </c>
      <c r="AA204" t="b">
        <f>ISNUMBER(SEARCH(";"&amp;Lessons[[#This Row],[Instrument__c]]&amp;";",";"&amp;_xlfn.XLOOKUP(Lessons[[#This Row],[Instructor_External_Id__c]], Instructors[Id], Instructors[Instruments_Taught__c])&amp;";"))</f>
        <v>0</v>
      </c>
      <c r="AB204" t="str">
        <f>IF(LEFT(Lessons[[#This Row],[Status__c]],9)="Cancelled","",Lessons[[#This Row],[Instructor_External_Id__c]]&amp;"|"&amp;TEXT(Lessons[[#This Row],[Lesson_Date__c]],"yyyy-mm-dd")&amp;"|"&amp;Lessons[[#This Row],[Start_Time__c]])</f>
        <v>a06ak00000amzBhAAI|2026-03-11|19:00:00.000Z</v>
      </c>
      <c r="AC204">
        <f>IF(Lessons[[#This Row],[Double Booked Key]]="","",COUNTIF(Lessons[Double Booked Key],Lessons[[#This Row],[Double Booked Key]]))</f>
        <v>1</v>
      </c>
      <c r="AD204" s="6" t="str">
        <f>_xlfn.XLOOKUP(Lessons[[#This Row],[Location_External_Id__c]], Locations[Location Id], Locations[Location Name])</f>
        <v>Brick</v>
      </c>
      <c r="AE204" s="6" t="str">
        <f>TEXT(Lessons[[#This Row],[Lesson_Date__c]], "yyyy-mm")</f>
        <v>2026-03</v>
      </c>
      <c r="AF204" s="6" t="str">
        <f>IF(Lessons[[#This Row],[Lesson_Date__c]]&lt;=Data_Audit!$F$1, "Yes", "No")</f>
        <v>Yes</v>
      </c>
    </row>
    <row r="205" spans="1:32">
      <c r="A205" t="s">
        <v>52</v>
      </c>
      <c r="B205" t="s">
        <v>53</v>
      </c>
      <c r="C205">
        <v>60</v>
      </c>
      <c r="D205" t="s">
        <v>858</v>
      </c>
      <c r="E205" t="s">
        <v>840</v>
      </c>
      <c r="F205" t="s">
        <v>841</v>
      </c>
      <c r="G205" t="s">
        <v>164</v>
      </c>
      <c r="H205" t="s">
        <v>58</v>
      </c>
      <c r="I205" t="b">
        <v>0</v>
      </c>
      <c r="K205" t="s">
        <v>52</v>
      </c>
      <c r="L205" t="s">
        <v>70</v>
      </c>
      <c r="O205" s="1">
        <v>46216</v>
      </c>
      <c r="P205" t="s">
        <v>859</v>
      </c>
      <c r="Q205" t="s">
        <v>860</v>
      </c>
      <c r="R205" t="s">
        <v>83</v>
      </c>
      <c r="S205" t="b">
        <v>0</v>
      </c>
      <c r="T205" t="b">
        <v>0</v>
      </c>
      <c r="U205" t="s">
        <v>860</v>
      </c>
      <c r="V205" t="s">
        <v>74</v>
      </c>
      <c r="W205" t="s">
        <v>65</v>
      </c>
      <c r="X205" t="s">
        <v>844</v>
      </c>
      <c r="Y205" t="s">
        <v>845</v>
      </c>
      <c r="Z205" t="s">
        <v>70</v>
      </c>
      <c r="AA205" t="b">
        <f>ISNUMBER(SEARCH(";"&amp;Lessons[[#This Row],[Instrument__c]]&amp;";",";"&amp;_xlfn.XLOOKUP(Lessons[[#This Row],[Instructor_External_Id__c]], Instructors[Id], Instructors[Instruments_Taught__c])&amp;";"))</f>
        <v>1</v>
      </c>
      <c r="AB205" t="str">
        <f>IF(LEFT(Lessons[[#This Row],[Status__c]],9)="Cancelled","",Lessons[[#This Row],[Instructor_External_Id__c]]&amp;"|"&amp;TEXT(Lessons[[#This Row],[Lesson_Date__c]],"yyyy-mm-dd")&amp;"|"&amp;Lessons[[#This Row],[Start_Time__c]])</f>
        <v>a06ak00000amzBlAAI|2026-07-13|16:30:00.000Z</v>
      </c>
      <c r="AC205">
        <f>IF(Lessons[[#This Row],[Double Booked Key]]="","",COUNTIF(Lessons[Double Booked Key],Lessons[[#This Row],[Double Booked Key]]))</f>
        <v>1</v>
      </c>
      <c r="AD205" s="6" t="str">
        <f>_xlfn.XLOOKUP(Lessons[[#This Row],[Location_External_Id__c]], Locations[Location Id], Locations[Location Name])</f>
        <v>Brick</v>
      </c>
      <c r="AE205" s="6" t="str">
        <f>TEXT(Lessons[[#This Row],[Lesson_Date__c]], "yyyy-mm")</f>
        <v>2026-07</v>
      </c>
      <c r="AF205" s="6" t="str">
        <f>IF(Lessons[[#This Row],[Lesson_Date__c]]&lt;=Data_Audit!$F$1, "Yes", "No")</f>
        <v>Yes</v>
      </c>
    </row>
    <row r="206" spans="1:32">
      <c r="A206" t="s">
        <v>52</v>
      </c>
      <c r="B206" t="s">
        <v>53</v>
      </c>
      <c r="C206">
        <v>60</v>
      </c>
      <c r="D206" t="s">
        <v>861</v>
      </c>
      <c r="E206" t="s">
        <v>862</v>
      </c>
      <c r="F206" t="s">
        <v>863</v>
      </c>
      <c r="G206" t="s">
        <v>99</v>
      </c>
      <c r="H206" t="s">
        <v>284</v>
      </c>
      <c r="I206" t="b">
        <v>0</v>
      </c>
      <c r="K206" t="s">
        <v>52</v>
      </c>
      <c r="L206" t="s">
        <v>70</v>
      </c>
      <c r="O206" s="1">
        <v>46059</v>
      </c>
      <c r="P206" t="s">
        <v>864</v>
      </c>
      <c r="Q206" t="s">
        <v>865</v>
      </c>
      <c r="R206" t="s">
        <v>63</v>
      </c>
      <c r="S206" t="b">
        <v>0</v>
      </c>
      <c r="T206" t="b">
        <v>0</v>
      </c>
      <c r="U206" t="s">
        <v>865</v>
      </c>
      <c r="V206" t="s">
        <v>94</v>
      </c>
      <c r="W206" t="s">
        <v>65</v>
      </c>
      <c r="X206" t="s">
        <v>866</v>
      </c>
      <c r="Y206" t="s">
        <v>867</v>
      </c>
      <c r="Z206" t="s">
        <v>70</v>
      </c>
      <c r="AA206" t="b">
        <f>ISNUMBER(SEARCH(";"&amp;Lessons[[#This Row],[Instrument__c]]&amp;";",";"&amp;_xlfn.XLOOKUP(Lessons[[#This Row],[Instructor_External_Id__c]], Instructors[Id], Instructors[Instruments_Taught__c])&amp;";"))</f>
        <v>1</v>
      </c>
      <c r="AB206" t="str">
        <f>IF(LEFT(Lessons[[#This Row],[Status__c]],9)="Cancelled","",Lessons[[#This Row],[Instructor_External_Id__c]]&amp;"|"&amp;TEXT(Lessons[[#This Row],[Lesson_Date__c]],"yyyy-mm-dd")&amp;"|"&amp;Lessons[[#This Row],[Start_Time__c]])</f>
        <v>a06ak00000amzCLAAY|2026-02-06|19:00:00.000Z</v>
      </c>
      <c r="AC206">
        <f>IF(Lessons[[#This Row],[Double Booked Key]]="","",COUNTIF(Lessons[Double Booked Key],Lessons[[#This Row],[Double Booked Key]]))</f>
        <v>1</v>
      </c>
      <c r="AD206" s="6" t="str">
        <f>_xlfn.XLOOKUP(Lessons[[#This Row],[Location_External_Id__c]], Locations[Location Id], Locations[Location Name])</f>
        <v>Red Bank</v>
      </c>
      <c r="AE206" s="6" t="str">
        <f>TEXT(Lessons[[#This Row],[Lesson_Date__c]], "yyyy-mm")</f>
        <v>2026-02</v>
      </c>
      <c r="AF206" s="6" t="str">
        <f>IF(Lessons[[#This Row],[Lesson_Date__c]]&lt;=Data_Audit!$F$1, "Yes", "No")</f>
        <v>Yes</v>
      </c>
    </row>
    <row r="207" spans="1:32">
      <c r="A207" t="s">
        <v>52</v>
      </c>
      <c r="B207" t="s">
        <v>53</v>
      </c>
      <c r="C207">
        <v>60</v>
      </c>
      <c r="D207" t="s">
        <v>868</v>
      </c>
      <c r="E207" t="s">
        <v>862</v>
      </c>
      <c r="F207" t="s">
        <v>863</v>
      </c>
      <c r="G207" t="s">
        <v>57</v>
      </c>
      <c r="H207" t="s">
        <v>284</v>
      </c>
      <c r="I207" t="b">
        <v>0</v>
      </c>
      <c r="K207" t="s">
        <v>52</v>
      </c>
      <c r="L207" t="s">
        <v>70</v>
      </c>
      <c r="O207" s="1">
        <v>46047</v>
      </c>
      <c r="P207" t="s">
        <v>869</v>
      </c>
      <c r="Q207" t="s">
        <v>870</v>
      </c>
      <c r="R207" t="s">
        <v>63</v>
      </c>
      <c r="S207" t="b">
        <v>0</v>
      </c>
      <c r="T207" t="b">
        <v>0</v>
      </c>
      <c r="U207" t="s">
        <v>870</v>
      </c>
      <c r="V207" t="s">
        <v>102</v>
      </c>
      <c r="W207" t="s">
        <v>65</v>
      </c>
      <c r="X207" t="s">
        <v>866</v>
      </c>
      <c r="Y207" t="s">
        <v>867</v>
      </c>
      <c r="Z207" t="s">
        <v>70</v>
      </c>
      <c r="AA207" t="b">
        <f>ISNUMBER(SEARCH(";"&amp;Lessons[[#This Row],[Instrument__c]]&amp;";",";"&amp;_xlfn.XLOOKUP(Lessons[[#This Row],[Instructor_External_Id__c]], Instructors[Id], Instructors[Instruments_Taught__c])&amp;";"))</f>
        <v>1</v>
      </c>
      <c r="AB207" t="str">
        <f>IF(LEFT(Lessons[[#This Row],[Status__c]],9)="Cancelled","",Lessons[[#This Row],[Instructor_External_Id__c]]&amp;"|"&amp;TEXT(Lessons[[#This Row],[Lesson_Date__c]],"yyyy-mm-dd")&amp;"|"&amp;Lessons[[#This Row],[Start_Time__c]])</f>
        <v>a06ak00000amzCLAAY|2026-01-25|16:00:00.000Z</v>
      </c>
      <c r="AC207">
        <f>IF(Lessons[[#This Row],[Double Booked Key]]="","",COUNTIF(Lessons[Double Booked Key],Lessons[[#This Row],[Double Booked Key]]))</f>
        <v>1</v>
      </c>
      <c r="AD207" s="6" t="str">
        <f>_xlfn.XLOOKUP(Lessons[[#This Row],[Location_External_Id__c]], Locations[Location Id], Locations[Location Name])</f>
        <v>Red Bank</v>
      </c>
      <c r="AE207" s="6" t="str">
        <f>TEXT(Lessons[[#This Row],[Lesson_Date__c]], "yyyy-mm")</f>
        <v>2026-01</v>
      </c>
      <c r="AF207" s="6" t="str">
        <f>IF(Lessons[[#This Row],[Lesson_Date__c]]&lt;=Data_Audit!$F$1, "Yes", "No")</f>
        <v>Yes</v>
      </c>
    </row>
    <row r="208" spans="1:32">
      <c r="A208" t="s">
        <v>52</v>
      </c>
      <c r="B208" t="s">
        <v>53</v>
      </c>
      <c r="C208">
        <v>45</v>
      </c>
      <c r="D208" t="s">
        <v>871</v>
      </c>
      <c r="E208" t="s">
        <v>862</v>
      </c>
      <c r="F208" t="s">
        <v>863</v>
      </c>
      <c r="G208" t="s">
        <v>57</v>
      </c>
      <c r="H208" t="s">
        <v>284</v>
      </c>
      <c r="I208" t="b">
        <v>0</v>
      </c>
      <c r="K208" t="s">
        <v>52</v>
      </c>
      <c r="L208" t="s">
        <v>70</v>
      </c>
      <c r="O208" s="1">
        <v>46051</v>
      </c>
      <c r="P208" t="s">
        <v>872</v>
      </c>
      <c r="Q208" t="s">
        <v>873</v>
      </c>
      <c r="R208" t="s">
        <v>63</v>
      </c>
      <c r="S208" t="b">
        <v>0</v>
      </c>
      <c r="T208" t="b">
        <v>0</v>
      </c>
      <c r="U208" t="s">
        <v>873</v>
      </c>
      <c r="V208" t="s">
        <v>84</v>
      </c>
      <c r="W208" t="s">
        <v>65</v>
      </c>
      <c r="X208" t="s">
        <v>866</v>
      </c>
      <c r="Y208" t="s">
        <v>867</v>
      </c>
      <c r="Z208" t="s">
        <v>70</v>
      </c>
      <c r="AA208" t="b">
        <f>ISNUMBER(SEARCH(";"&amp;Lessons[[#This Row],[Instrument__c]]&amp;";",";"&amp;_xlfn.XLOOKUP(Lessons[[#This Row],[Instructor_External_Id__c]], Instructors[Id], Instructors[Instruments_Taught__c])&amp;";"))</f>
        <v>1</v>
      </c>
      <c r="AB208" t="str">
        <f>IF(LEFT(Lessons[[#This Row],[Status__c]],9)="Cancelled","",Lessons[[#This Row],[Instructor_External_Id__c]]&amp;"|"&amp;TEXT(Lessons[[#This Row],[Lesson_Date__c]],"yyyy-mm-dd")&amp;"|"&amp;Lessons[[#This Row],[Start_Time__c]])</f>
        <v>a06ak00000amzCLAAY|2026-01-29|17:00:00.000Z</v>
      </c>
      <c r="AC208">
        <f>IF(Lessons[[#This Row],[Double Booked Key]]="","",COUNTIF(Lessons[Double Booked Key],Lessons[[#This Row],[Double Booked Key]]))</f>
        <v>1</v>
      </c>
      <c r="AD208" s="6" t="str">
        <f>_xlfn.XLOOKUP(Lessons[[#This Row],[Location_External_Id__c]], Locations[Location Id], Locations[Location Name])</f>
        <v>Red Bank</v>
      </c>
      <c r="AE208" s="6" t="str">
        <f>TEXT(Lessons[[#This Row],[Lesson_Date__c]], "yyyy-mm")</f>
        <v>2026-01</v>
      </c>
      <c r="AF208" s="6" t="str">
        <f>IF(Lessons[[#This Row],[Lesson_Date__c]]&lt;=Data_Audit!$F$1, "Yes", "No")</f>
        <v>Yes</v>
      </c>
    </row>
    <row r="209" spans="1:32">
      <c r="A209" t="s">
        <v>52</v>
      </c>
      <c r="B209" t="s">
        <v>53</v>
      </c>
      <c r="C209">
        <v>60</v>
      </c>
      <c r="D209" t="s">
        <v>874</v>
      </c>
      <c r="E209" t="s">
        <v>862</v>
      </c>
      <c r="F209" t="s">
        <v>863</v>
      </c>
      <c r="G209" t="s">
        <v>99</v>
      </c>
      <c r="H209" t="s">
        <v>284</v>
      </c>
      <c r="I209" t="b">
        <v>0</v>
      </c>
      <c r="K209" t="s">
        <v>52</v>
      </c>
      <c r="L209" t="s">
        <v>70</v>
      </c>
      <c r="O209" s="1">
        <v>46219</v>
      </c>
      <c r="P209" t="s">
        <v>875</v>
      </c>
      <c r="Q209" t="s">
        <v>876</v>
      </c>
      <c r="R209" t="s">
        <v>63</v>
      </c>
      <c r="S209" t="b">
        <v>0</v>
      </c>
      <c r="T209" t="b">
        <v>0</v>
      </c>
      <c r="U209" t="s">
        <v>876</v>
      </c>
      <c r="V209" t="s">
        <v>74</v>
      </c>
      <c r="W209" t="s">
        <v>65</v>
      </c>
      <c r="X209" t="s">
        <v>866</v>
      </c>
      <c r="Y209" t="s">
        <v>867</v>
      </c>
      <c r="Z209" t="s">
        <v>70</v>
      </c>
      <c r="AA209" t="b">
        <f>ISNUMBER(SEARCH(";"&amp;Lessons[[#This Row],[Instrument__c]]&amp;";",";"&amp;_xlfn.XLOOKUP(Lessons[[#This Row],[Instructor_External_Id__c]], Instructors[Id], Instructors[Instruments_Taught__c])&amp;";"))</f>
        <v>1</v>
      </c>
      <c r="AB209" t="str">
        <f>IF(LEFT(Lessons[[#This Row],[Status__c]],9)="Cancelled","",Lessons[[#This Row],[Instructor_External_Id__c]]&amp;"|"&amp;TEXT(Lessons[[#This Row],[Lesson_Date__c]],"yyyy-mm-dd")&amp;"|"&amp;Lessons[[#This Row],[Start_Time__c]])</f>
        <v>a06ak00000amzCLAAY|2026-07-16|16:30:00.000Z</v>
      </c>
      <c r="AC209">
        <f>IF(Lessons[[#This Row],[Double Booked Key]]="","",COUNTIF(Lessons[Double Booked Key],Lessons[[#This Row],[Double Booked Key]]))</f>
        <v>1</v>
      </c>
      <c r="AD209" s="6" t="str">
        <f>_xlfn.XLOOKUP(Lessons[[#This Row],[Location_External_Id__c]], Locations[Location Id], Locations[Location Name])</f>
        <v>Red Bank</v>
      </c>
      <c r="AE209" s="6" t="str">
        <f>TEXT(Lessons[[#This Row],[Lesson_Date__c]], "yyyy-mm")</f>
        <v>2026-07</v>
      </c>
      <c r="AF209" s="6" t="str">
        <f>IF(Lessons[[#This Row],[Lesson_Date__c]]&lt;=Data_Audit!$F$1, "Yes", "No")</f>
        <v>Yes</v>
      </c>
    </row>
    <row r="210" spans="1:32">
      <c r="A210" t="s">
        <v>52</v>
      </c>
      <c r="B210" t="s">
        <v>53</v>
      </c>
      <c r="C210">
        <v>60</v>
      </c>
      <c r="D210" t="s">
        <v>877</v>
      </c>
      <c r="E210" t="s">
        <v>862</v>
      </c>
      <c r="F210" t="s">
        <v>863</v>
      </c>
      <c r="H210" t="s">
        <v>284</v>
      </c>
      <c r="I210" t="b">
        <v>0</v>
      </c>
      <c r="K210" t="s">
        <v>52</v>
      </c>
      <c r="L210" t="s">
        <v>70</v>
      </c>
      <c r="O210" s="1">
        <v>46147</v>
      </c>
      <c r="P210" t="s">
        <v>878</v>
      </c>
      <c r="Q210" t="s">
        <v>879</v>
      </c>
      <c r="R210" t="s">
        <v>63</v>
      </c>
      <c r="S210" t="b">
        <v>0</v>
      </c>
      <c r="T210" t="b">
        <v>0</v>
      </c>
      <c r="U210" t="s">
        <v>879</v>
      </c>
      <c r="V210" t="s">
        <v>140</v>
      </c>
      <c r="W210" t="s">
        <v>65</v>
      </c>
      <c r="X210" t="s">
        <v>866</v>
      </c>
      <c r="Y210" t="s">
        <v>867</v>
      </c>
      <c r="Z210" t="s">
        <v>70</v>
      </c>
      <c r="AA210" t="b">
        <f>ISNUMBER(SEARCH(";"&amp;Lessons[[#This Row],[Instrument__c]]&amp;";",";"&amp;_xlfn.XLOOKUP(Lessons[[#This Row],[Instructor_External_Id__c]], Instructors[Id], Instructors[Instruments_Taught__c])&amp;";"))</f>
        <v>1</v>
      </c>
      <c r="AB210" t="str">
        <f>IF(LEFT(Lessons[[#This Row],[Status__c]],9)="Cancelled","",Lessons[[#This Row],[Instructor_External_Id__c]]&amp;"|"&amp;TEXT(Lessons[[#This Row],[Lesson_Date__c]],"yyyy-mm-dd")&amp;"|"&amp;Lessons[[#This Row],[Start_Time__c]])</f>
        <v>a06ak00000amzCLAAY|2026-05-05|15:00:00.000Z</v>
      </c>
      <c r="AC210">
        <f>IF(Lessons[[#This Row],[Double Booked Key]]="","",COUNTIF(Lessons[Double Booked Key],Lessons[[#This Row],[Double Booked Key]]))</f>
        <v>1</v>
      </c>
      <c r="AD210" s="6" t="str">
        <f>_xlfn.XLOOKUP(Lessons[[#This Row],[Location_External_Id__c]], Locations[Location Id], Locations[Location Name])</f>
        <v>Red Bank</v>
      </c>
      <c r="AE210" s="6" t="str">
        <f>TEXT(Lessons[[#This Row],[Lesson_Date__c]], "yyyy-mm")</f>
        <v>2026-05</v>
      </c>
      <c r="AF210" s="6" t="str">
        <f>IF(Lessons[[#This Row],[Lesson_Date__c]]&lt;=Data_Audit!$F$1, "Yes", "No")</f>
        <v>Yes</v>
      </c>
    </row>
    <row r="211" spans="1:32">
      <c r="A211" t="s">
        <v>52</v>
      </c>
      <c r="B211" t="s">
        <v>53</v>
      </c>
      <c r="C211">
        <v>60</v>
      </c>
      <c r="D211" t="s">
        <v>880</v>
      </c>
      <c r="E211" t="s">
        <v>862</v>
      </c>
      <c r="F211" t="s">
        <v>863</v>
      </c>
      <c r="G211" t="s">
        <v>164</v>
      </c>
      <c r="H211" t="s">
        <v>284</v>
      </c>
      <c r="I211" t="b">
        <v>0</v>
      </c>
      <c r="K211" t="s">
        <v>52</v>
      </c>
      <c r="L211" t="s">
        <v>70</v>
      </c>
      <c r="O211" s="1">
        <v>46113</v>
      </c>
      <c r="P211" t="s">
        <v>881</v>
      </c>
      <c r="Q211" t="s">
        <v>882</v>
      </c>
      <c r="R211" t="s">
        <v>63</v>
      </c>
      <c r="S211" t="b">
        <v>0</v>
      </c>
      <c r="T211" t="b">
        <v>0</v>
      </c>
      <c r="U211" t="s">
        <v>882</v>
      </c>
      <c r="V211" t="s">
        <v>110</v>
      </c>
      <c r="W211" t="s">
        <v>65</v>
      </c>
      <c r="X211" t="s">
        <v>866</v>
      </c>
      <c r="Y211" t="s">
        <v>867</v>
      </c>
      <c r="Z211" t="s">
        <v>70</v>
      </c>
      <c r="AA211" t="b">
        <f>ISNUMBER(SEARCH(";"&amp;Lessons[[#This Row],[Instrument__c]]&amp;";",";"&amp;_xlfn.XLOOKUP(Lessons[[#This Row],[Instructor_External_Id__c]], Instructors[Id], Instructors[Instruments_Taught__c])&amp;";"))</f>
        <v>1</v>
      </c>
      <c r="AB211" t="str">
        <f>IF(LEFT(Lessons[[#This Row],[Status__c]],9)="Cancelled","",Lessons[[#This Row],[Instructor_External_Id__c]]&amp;"|"&amp;TEXT(Lessons[[#This Row],[Lesson_Date__c]],"yyyy-mm-dd")&amp;"|"&amp;Lessons[[#This Row],[Start_Time__c]])</f>
        <v>a06ak00000amzCLAAY|2026-04-01|10:00:00.000Z</v>
      </c>
      <c r="AC211">
        <f>IF(Lessons[[#This Row],[Double Booked Key]]="","",COUNTIF(Lessons[Double Booked Key],Lessons[[#This Row],[Double Booked Key]]))</f>
        <v>1</v>
      </c>
      <c r="AD211" s="6" t="str">
        <f>_xlfn.XLOOKUP(Lessons[[#This Row],[Location_External_Id__c]], Locations[Location Id], Locations[Location Name])</f>
        <v>Red Bank</v>
      </c>
      <c r="AE211" s="6" t="str">
        <f>TEXT(Lessons[[#This Row],[Lesson_Date__c]], "yyyy-mm")</f>
        <v>2026-04</v>
      </c>
      <c r="AF211" s="6" t="str">
        <f>IF(Lessons[[#This Row],[Lesson_Date__c]]&lt;=Data_Audit!$F$1, "Yes", "No")</f>
        <v>Yes</v>
      </c>
    </row>
    <row r="212" spans="1:32">
      <c r="A212" t="s">
        <v>52</v>
      </c>
      <c r="B212" t="s">
        <v>53</v>
      </c>
      <c r="C212">
        <v>45</v>
      </c>
      <c r="D212" t="s">
        <v>883</v>
      </c>
      <c r="E212" t="s">
        <v>862</v>
      </c>
      <c r="F212" t="s">
        <v>863</v>
      </c>
      <c r="G212" t="s">
        <v>106</v>
      </c>
      <c r="H212" t="s">
        <v>284</v>
      </c>
      <c r="I212" t="b">
        <v>0</v>
      </c>
      <c r="K212" t="s">
        <v>52</v>
      </c>
      <c r="L212" t="s">
        <v>70</v>
      </c>
      <c r="O212" s="1">
        <v>46092</v>
      </c>
      <c r="P212" t="s">
        <v>884</v>
      </c>
      <c r="Q212" t="s">
        <v>885</v>
      </c>
      <c r="R212" t="s">
        <v>63</v>
      </c>
      <c r="S212" t="b">
        <v>0</v>
      </c>
      <c r="T212" t="b">
        <v>0</v>
      </c>
      <c r="U212" t="s">
        <v>885</v>
      </c>
      <c r="V212" t="s">
        <v>135</v>
      </c>
      <c r="W212" t="s">
        <v>65</v>
      </c>
      <c r="X212" t="s">
        <v>866</v>
      </c>
      <c r="Y212" t="s">
        <v>867</v>
      </c>
      <c r="Z212" t="s">
        <v>70</v>
      </c>
      <c r="AA212" t="b">
        <f>ISNUMBER(SEARCH(";"&amp;Lessons[[#This Row],[Instrument__c]]&amp;";",";"&amp;_xlfn.XLOOKUP(Lessons[[#This Row],[Instructor_External_Id__c]], Instructors[Id], Instructors[Instruments_Taught__c])&amp;";"))</f>
        <v>1</v>
      </c>
      <c r="AB212" t="str">
        <f>IF(LEFT(Lessons[[#This Row],[Status__c]],9)="Cancelled","",Lessons[[#This Row],[Instructor_External_Id__c]]&amp;"|"&amp;TEXT(Lessons[[#This Row],[Lesson_Date__c]],"yyyy-mm-dd")&amp;"|"&amp;Lessons[[#This Row],[Start_Time__c]])</f>
        <v>a06ak00000amzCLAAY|2026-03-11|15:30:00.000Z</v>
      </c>
      <c r="AC212">
        <f>IF(Lessons[[#This Row],[Double Booked Key]]="","",COUNTIF(Lessons[Double Booked Key],Lessons[[#This Row],[Double Booked Key]]))</f>
        <v>1</v>
      </c>
      <c r="AD212" s="6" t="str">
        <f>_xlfn.XLOOKUP(Lessons[[#This Row],[Location_External_Id__c]], Locations[Location Id], Locations[Location Name])</f>
        <v>Red Bank</v>
      </c>
      <c r="AE212" s="6" t="str">
        <f>TEXT(Lessons[[#This Row],[Lesson_Date__c]], "yyyy-mm")</f>
        <v>2026-03</v>
      </c>
      <c r="AF212" s="6" t="str">
        <f>IF(Lessons[[#This Row],[Lesson_Date__c]]&lt;=Data_Audit!$F$1, "Yes", "No")</f>
        <v>Yes</v>
      </c>
    </row>
    <row r="213" spans="1:32">
      <c r="A213" t="s">
        <v>52</v>
      </c>
      <c r="B213" t="s">
        <v>53</v>
      </c>
      <c r="C213">
        <v>30</v>
      </c>
      <c r="D213" t="s">
        <v>886</v>
      </c>
      <c r="E213" t="s">
        <v>302</v>
      </c>
      <c r="F213" t="s">
        <v>303</v>
      </c>
      <c r="G213" t="s">
        <v>57</v>
      </c>
      <c r="H213" t="s">
        <v>650</v>
      </c>
      <c r="I213" t="b">
        <v>0</v>
      </c>
      <c r="K213" t="s">
        <v>52</v>
      </c>
      <c r="L213" t="s">
        <v>70</v>
      </c>
      <c r="O213" s="1">
        <v>46032</v>
      </c>
      <c r="P213" t="s">
        <v>887</v>
      </c>
      <c r="Q213" t="s">
        <v>888</v>
      </c>
      <c r="R213" t="s">
        <v>63</v>
      </c>
      <c r="S213" t="b">
        <v>0</v>
      </c>
      <c r="T213" t="b">
        <v>0</v>
      </c>
      <c r="U213" t="s">
        <v>888</v>
      </c>
      <c r="V213" t="s">
        <v>116</v>
      </c>
      <c r="W213" t="s">
        <v>65</v>
      </c>
      <c r="X213" t="s">
        <v>889</v>
      </c>
      <c r="Y213" t="s">
        <v>890</v>
      </c>
      <c r="Z213" t="s">
        <v>70</v>
      </c>
      <c r="AA213" t="b">
        <f>ISNUMBER(SEARCH(";"&amp;Lessons[[#This Row],[Instrument__c]]&amp;";",";"&amp;_xlfn.XLOOKUP(Lessons[[#This Row],[Instructor_External_Id__c]], Instructors[Id], Instructors[Instruments_Taught__c])&amp;";"))</f>
        <v>1</v>
      </c>
      <c r="AB213" t="str">
        <f>IF(LEFT(Lessons[[#This Row],[Status__c]],9)="Cancelled","",Lessons[[#This Row],[Instructor_External_Id__c]]&amp;"|"&amp;TEXT(Lessons[[#This Row],[Lesson_Date__c]],"yyyy-mm-dd")&amp;"|"&amp;Lessons[[#This Row],[Start_Time__c]])</f>
        <v>a06ak00000amzC3AAI|2026-01-10|17:30:00.000Z</v>
      </c>
      <c r="AC213">
        <f>IF(Lessons[[#This Row],[Double Booked Key]]="","",COUNTIF(Lessons[Double Booked Key],Lessons[[#This Row],[Double Booked Key]]))</f>
        <v>1</v>
      </c>
      <c r="AD213" s="6" t="str">
        <f>_xlfn.XLOOKUP(Lessons[[#This Row],[Location_External_Id__c]], Locations[Location Id], Locations[Location Name])</f>
        <v>Red Bank</v>
      </c>
      <c r="AE213" s="6" t="str">
        <f>TEXT(Lessons[[#This Row],[Lesson_Date__c]], "yyyy-mm")</f>
        <v>2026-01</v>
      </c>
      <c r="AF213" s="6" t="str">
        <f>IF(Lessons[[#This Row],[Lesson_Date__c]]&lt;=Data_Audit!$F$1, "Yes", "No")</f>
        <v>Yes</v>
      </c>
    </row>
    <row r="214" spans="1:32">
      <c r="A214" t="s">
        <v>52</v>
      </c>
      <c r="B214" t="s">
        <v>53</v>
      </c>
      <c r="C214">
        <v>45</v>
      </c>
      <c r="D214" t="s">
        <v>891</v>
      </c>
      <c r="E214" t="s">
        <v>302</v>
      </c>
      <c r="F214" t="s">
        <v>303</v>
      </c>
      <c r="H214" t="s">
        <v>650</v>
      </c>
      <c r="I214" t="b">
        <v>0</v>
      </c>
      <c r="K214" t="s">
        <v>52</v>
      </c>
      <c r="L214" t="s">
        <v>70</v>
      </c>
      <c r="O214" s="1">
        <v>46258</v>
      </c>
      <c r="P214" t="s">
        <v>892</v>
      </c>
      <c r="Q214" t="s">
        <v>893</v>
      </c>
      <c r="R214" t="s">
        <v>63</v>
      </c>
      <c r="S214" t="b">
        <v>0</v>
      </c>
      <c r="T214" t="b">
        <v>0</v>
      </c>
      <c r="U214" t="s">
        <v>893</v>
      </c>
      <c r="V214" t="s">
        <v>102</v>
      </c>
      <c r="W214" t="s">
        <v>85</v>
      </c>
      <c r="X214" t="s">
        <v>889</v>
      </c>
      <c r="Y214" t="s">
        <v>890</v>
      </c>
      <c r="Z214" t="s">
        <v>70</v>
      </c>
      <c r="AA214" t="b">
        <f>ISNUMBER(SEARCH(";"&amp;Lessons[[#This Row],[Instrument__c]]&amp;";",";"&amp;_xlfn.XLOOKUP(Lessons[[#This Row],[Instructor_External_Id__c]], Instructors[Id], Instructors[Instruments_Taught__c])&amp;";"))</f>
        <v>1</v>
      </c>
      <c r="AB214" t="str">
        <f>IF(LEFT(Lessons[[#This Row],[Status__c]],9)="Cancelled","",Lessons[[#This Row],[Instructor_External_Id__c]]&amp;"|"&amp;TEXT(Lessons[[#This Row],[Lesson_Date__c]],"yyyy-mm-dd")&amp;"|"&amp;Lessons[[#This Row],[Start_Time__c]])</f>
        <v/>
      </c>
      <c r="AC214" t="str">
        <f>IF(Lessons[[#This Row],[Double Booked Key]]="","",COUNTIF(Lessons[Double Booked Key],Lessons[[#This Row],[Double Booked Key]]))</f>
        <v/>
      </c>
      <c r="AD214" s="6" t="str">
        <f>_xlfn.XLOOKUP(Lessons[[#This Row],[Location_External_Id__c]], Locations[Location Id], Locations[Location Name])</f>
        <v>Red Bank</v>
      </c>
      <c r="AE214" s="6" t="str">
        <f>TEXT(Lessons[[#This Row],[Lesson_Date__c]], "yyyy-mm")</f>
        <v>2026-08</v>
      </c>
      <c r="AF214" s="6" t="str">
        <f>IF(Lessons[[#This Row],[Lesson_Date__c]]&lt;=Data_Audit!$F$1, "Yes", "No")</f>
        <v>Yes</v>
      </c>
    </row>
    <row r="215" spans="1:32">
      <c r="A215" t="s">
        <v>52</v>
      </c>
      <c r="B215" t="s">
        <v>53</v>
      </c>
      <c r="C215">
        <v>30</v>
      </c>
      <c r="D215" t="s">
        <v>894</v>
      </c>
      <c r="E215" t="s">
        <v>302</v>
      </c>
      <c r="F215" t="s">
        <v>303</v>
      </c>
      <c r="G215" t="s">
        <v>69</v>
      </c>
      <c r="H215" t="s">
        <v>650</v>
      </c>
      <c r="I215" t="b">
        <v>0</v>
      </c>
      <c r="K215" t="s">
        <v>52</v>
      </c>
      <c r="L215" t="s">
        <v>70</v>
      </c>
      <c r="O215" s="1">
        <v>46106</v>
      </c>
      <c r="P215" t="s">
        <v>895</v>
      </c>
      <c r="Q215" t="s">
        <v>896</v>
      </c>
      <c r="R215" t="s">
        <v>63</v>
      </c>
      <c r="S215" t="b">
        <v>0</v>
      </c>
      <c r="T215" t="b">
        <v>0</v>
      </c>
      <c r="U215" t="s">
        <v>896</v>
      </c>
      <c r="V215" t="s">
        <v>120</v>
      </c>
      <c r="W215" t="s">
        <v>65</v>
      </c>
      <c r="X215" t="s">
        <v>889</v>
      </c>
      <c r="Y215" t="s">
        <v>890</v>
      </c>
      <c r="Z215" t="s">
        <v>70</v>
      </c>
      <c r="AA215" t="b">
        <f>ISNUMBER(SEARCH(";"&amp;Lessons[[#This Row],[Instrument__c]]&amp;";",";"&amp;_xlfn.XLOOKUP(Lessons[[#This Row],[Instructor_External_Id__c]], Instructors[Id], Instructors[Instruments_Taught__c])&amp;";"))</f>
        <v>1</v>
      </c>
      <c r="AB215" t="str">
        <f>IF(LEFT(Lessons[[#This Row],[Status__c]],9)="Cancelled","",Lessons[[#This Row],[Instructor_External_Id__c]]&amp;"|"&amp;TEXT(Lessons[[#This Row],[Lesson_Date__c]],"yyyy-mm-dd")&amp;"|"&amp;Lessons[[#This Row],[Start_Time__c]])</f>
        <v>a06ak00000amzC3AAI|2026-03-25|18:00:00.000Z</v>
      </c>
      <c r="AC215">
        <f>IF(Lessons[[#This Row],[Double Booked Key]]="","",COUNTIF(Lessons[Double Booked Key],Lessons[[#This Row],[Double Booked Key]]))</f>
        <v>1</v>
      </c>
      <c r="AD215" s="6" t="str">
        <f>_xlfn.XLOOKUP(Lessons[[#This Row],[Location_External_Id__c]], Locations[Location Id], Locations[Location Name])</f>
        <v>Red Bank</v>
      </c>
      <c r="AE215" s="6" t="str">
        <f>TEXT(Lessons[[#This Row],[Lesson_Date__c]], "yyyy-mm")</f>
        <v>2026-03</v>
      </c>
      <c r="AF215" s="6" t="str">
        <f>IF(Lessons[[#This Row],[Lesson_Date__c]]&lt;=Data_Audit!$F$1, "Yes", "No")</f>
        <v>Yes</v>
      </c>
    </row>
    <row r="216" spans="1:32">
      <c r="A216" t="s">
        <v>52</v>
      </c>
      <c r="B216" t="s">
        <v>53</v>
      </c>
      <c r="C216">
        <v>30</v>
      </c>
      <c r="D216" t="s">
        <v>897</v>
      </c>
      <c r="E216" t="s">
        <v>302</v>
      </c>
      <c r="F216" t="s">
        <v>303</v>
      </c>
      <c r="H216" t="s">
        <v>650</v>
      </c>
      <c r="I216" t="b">
        <v>0</v>
      </c>
      <c r="K216" t="s">
        <v>52</v>
      </c>
      <c r="L216" t="s">
        <v>70</v>
      </c>
      <c r="O216" s="1">
        <v>46082</v>
      </c>
      <c r="P216" t="s">
        <v>898</v>
      </c>
      <c r="Q216" t="s">
        <v>899</v>
      </c>
      <c r="R216" t="s">
        <v>63</v>
      </c>
      <c r="S216" t="b">
        <v>0</v>
      </c>
      <c r="T216" t="b">
        <v>0</v>
      </c>
      <c r="U216" t="s">
        <v>899</v>
      </c>
      <c r="V216" t="s">
        <v>64</v>
      </c>
      <c r="W216" t="s">
        <v>85</v>
      </c>
      <c r="X216" t="s">
        <v>889</v>
      </c>
      <c r="Y216" t="s">
        <v>890</v>
      </c>
      <c r="Z216" t="s">
        <v>70</v>
      </c>
      <c r="AA216" t="b">
        <f>ISNUMBER(SEARCH(";"&amp;Lessons[[#This Row],[Instrument__c]]&amp;";",";"&amp;_xlfn.XLOOKUP(Lessons[[#This Row],[Instructor_External_Id__c]], Instructors[Id], Instructors[Instruments_Taught__c])&amp;";"))</f>
        <v>1</v>
      </c>
      <c r="AB216" t="str">
        <f>IF(LEFT(Lessons[[#This Row],[Status__c]],9)="Cancelled","",Lessons[[#This Row],[Instructor_External_Id__c]]&amp;"|"&amp;TEXT(Lessons[[#This Row],[Lesson_Date__c]],"yyyy-mm-dd")&amp;"|"&amp;Lessons[[#This Row],[Start_Time__c]])</f>
        <v/>
      </c>
      <c r="AC216" t="str">
        <f>IF(Lessons[[#This Row],[Double Booked Key]]="","",COUNTIF(Lessons[Double Booked Key],Lessons[[#This Row],[Double Booked Key]]))</f>
        <v/>
      </c>
      <c r="AD216" s="6" t="str">
        <f>_xlfn.XLOOKUP(Lessons[[#This Row],[Location_External_Id__c]], Locations[Location Id], Locations[Location Name])</f>
        <v>Red Bank</v>
      </c>
      <c r="AE216" s="6" t="str">
        <f>TEXT(Lessons[[#This Row],[Lesson_Date__c]], "yyyy-mm")</f>
        <v>2026-03</v>
      </c>
      <c r="AF216" s="6" t="str">
        <f>IF(Lessons[[#This Row],[Lesson_Date__c]]&lt;=Data_Audit!$F$1, "Yes", "No")</f>
        <v>Yes</v>
      </c>
    </row>
    <row r="217" spans="1:32">
      <c r="A217" t="s">
        <v>52</v>
      </c>
      <c r="B217" t="s">
        <v>53</v>
      </c>
      <c r="C217">
        <v>30</v>
      </c>
      <c r="D217" t="s">
        <v>900</v>
      </c>
      <c r="E217" t="s">
        <v>901</v>
      </c>
      <c r="F217" t="s">
        <v>902</v>
      </c>
      <c r="G217" t="s">
        <v>106</v>
      </c>
      <c r="H217" t="s">
        <v>237</v>
      </c>
      <c r="I217" t="b">
        <v>0</v>
      </c>
      <c r="K217" t="s">
        <v>52</v>
      </c>
      <c r="L217" t="s">
        <v>70</v>
      </c>
      <c r="O217" s="1">
        <v>46034</v>
      </c>
      <c r="P217" t="s">
        <v>903</v>
      </c>
      <c r="Q217" t="s">
        <v>904</v>
      </c>
      <c r="R217" t="s">
        <v>63</v>
      </c>
      <c r="S217" t="b">
        <v>0</v>
      </c>
      <c r="T217" t="b">
        <v>0</v>
      </c>
      <c r="U217" t="s">
        <v>904</v>
      </c>
      <c r="V217" t="s">
        <v>120</v>
      </c>
      <c r="W217" t="s">
        <v>65</v>
      </c>
      <c r="X217" t="s">
        <v>905</v>
      </c>
      <c r="Y217" t="s">
        <v>906</v>
      </c>
      <c r="Z217" t="s">
        <v>70</v>
      </c>
      <c r="AA217" t="b">
        <f>ISNUMBER(SEARCH(";"&amp;Lessons[[#This Row],[Instrument__c]]&amp;";",";"&amp;_xlfn.XLOOKUP(Lessons[[#This Row],[Instructor_External_Id__c]], Instructors[Id], Instructors[Instruments_Taught__c])&amp;";"))</f>
        <v>1</v>
      </c>
      <c r="AB217" t="str">
        <f>IF(LEFT(Lessons[[#This Row],[Status__c]],9)="Cancelled","",Lessons[[#This Row],[Instructor_External_Id__c]]&amp;"|"&amp;TEXT(Lessons[[#This Row],[Lesson_Date__c]],"yyyy-mm-dd")&amp;"|"&amp;Lessons[[#This Row],[Start_Time__c]])</f>
        <v>a06ak00000amzCMAAY|2026-01-12|18:00:00.000Z</v>
      </c>
      <c r="AC217">
        <f>IF(Lessons[[#This Row],[Double Booked Key]]="","",COUNTIF(Lessons[Double Booked Key],Lessons[[#This Row],[Double Booked Key]]))</f>
        <v>1</v>
      </c>
      <c r="AD217" s="6" t="str">
        <f>_xlfn.XLOOKUP(Lessons[[#This Row],[Location_External_Id__c]], Locations[Location Id], Locations[Location Name])</f>
        <v>Red Bank</v>
      </c>
      <c r="AE217" s="6" t="str">
        <f>TEXT(Lessons[[#This Row],[Lesson_Date__c]], "yyyy-mm")</f>
        <v>2026-01</v>
      </c>
      <c r="AF217" s="6" t="str">
        <f>IF(Lessons[[#This Row],[Lesson_Date__c]]&lt;=Data_Audit!$F$1, "Yes", "No")</f>
        <v>Yes</v>
      </c>
    </row>
    <row r="218" spans="1:32">
      <c r="A218" t="s">
        <v>52</v>
      </c>
      <c r="B218" t="s">
        <v>53</v>
      </c>
      <c r="C218">
        <v>30</v>
      </c>
      <c r="D218" t="s">
        <v>907</v>
      </c>
      <c r="E218" t="s">
        <v>901</v>
      </c>
      <c r="F218" t="s">
        <v>902</v>
      </c>
      <c r="G218" t="s">
        <v>69</v>
      </c>
      <c r="H218" t="s">
        <v>237</v>
      </c>
      <c r="I218" t="b">
        <v>0</v>
      </c>
      <c r="K218" t="s">
        <v>52</v>
      </c>
      <c r="L218" t="s">
        <v>70</v>
      </c>
      <c r="O218" s="1">
        <v>46103</v>
      </c>
      <c r="P218" t="s">
        <v>908</v>
      </c>
      <c r="Q218" t="s">
        <v>909</v>
      </c>
      <c r="R218" t="s">
        <v>63</v>
      </c>
      <c r="S218" t="b">
        <v>0</v>
      </c>
      <c r="T218" t="b">
        <v>0</v>
      </c>
      <c r="U218" t="s">
        <v>909</v>
      </c>
      <c r="V218" t="s">
        <v>128</v>
      </c>
      <c r="W218" t="s">
        <v>65</v>
      </c>
      <c r="X218" t="s">
        <v>905</v>
      </c>
      <c r="Y218" t="s">
        <v>906</v>
      </c>
      <c r="Z218" t="s">
        <v>70</v>
      </c>
      <c r="AA218" t="b">
        <f>ISNUMBER(SEARCH(";"&amp;Lessons[[#This Row],[Instrument__c]]&amp;";",";"&amp;_xlfn.XLOOKUP(Lessons[[#This Row],[Instructor_External_Id__c]], Instructors[Id], Instructors[Instruments_Taught__c])&amp;";"))</f>
        <v>1</v>
      </c>
      <c r="AB218" t="str">
        <f>IF(LEFT(Lessons[[#This Row],[Status__c]],9)="Cancelled","",Lessons[[#This Row],[Instructor_External_Id__c]]&amp;"|"&amp;TEXT(Lessons[[#This Row],[Lesson_Date__c]],"yyyy-mm-dd")&amp;"|"&amp;Lessons[[#This Row],[Start_Time__c]])</f>
        <v>a06ak00000amzCMAAY|2026-03-22|18:30:00.000Z</v>
      </c>
      <c r="AC218">
        <f>IF(Lessons[[#This Row],[Double Booked Key]]="","",COUNTIF(Lessons[Double Booked Key],Lessons[[#This Row],[Double Booked Key]]))</f>
        <v>1</v>
      </c>
      <c r="AD218" s="6" t="str">
        <f>_xlfn.XLOOKUP(Lessons[[#This Row],[Location_External_Id__c]], Locations[Location Id], Locations[Location Name])</f>
        <v>Red Bank</v>
      </c>
      <c r="AE218" s="6" t="str">
        <f>TEXT(Lessons[[#This Row],[Lesson_Date__c]], "yyyy-mm")</f>
        <v>2026-03</v>
      </c>
      <c r="AF218" s="6" t="str">
        <f>IF(Lessons[[#This Row],[Lesson_Date__c]]&lt;=Data_Audit!$F$1, "Yes", "No")</f>
        <v>Yes</v>
      </c>
    </row>
    <row r="219" spans="1:32">
      <c r="A219" t="s">
        <v>52</v>
      </c>
      <c r="B219" t="s">
        <v>53</v>
      </c>
      <c r="C219">
        <v>45</v>
      </c>
      <c r="D219" t="s">
        <v>910</v>
      </c>
      <c r="E219" t="s">
        <v>901</v>
      </c>
      <c r="F219" t="s">
        <v>902</v>
      </c>
      <c r="G219" t="s">
        <v>69</v>
      </c>
      <c r="H219" t="s">
        <v>237</v>
      </c>
      <c r="I219" t="b">
        <v>0</v>
      </c>
      <c r="K219" t="s">
        <v>52</v>
      </c>
      <c r="L219" t="s">
        <v>70</v>
      </c>
      <c r="O219" s="1">
        <v>46072</v>
      </c>
      <c r="P219" t="s">
        <v>911</v>
      </c>
      <c r="Q219" t="s">
        <v>912</v>
      </c>
      <c r="R219" t="s">
        <v>63</v>
      </c>
      <c r="S219" t="b">
        <v>0</v>
      </c>
      <c r="T219" t="b">
        <v>0</v>
      </c>
      <c r="U219" t="s">
        <v>912</v>
      </c>
      <c r="V219" t="s">
        <v>120</v>
      </c>
      <c r="W219" t="s">
        <v>65</v>
      </c>
      <c r="X219" t="s">
        <v>905</v>
      </c>
      <c r="Y219" t="s">
        <v>906</v>
      </c>
      <c r="Z219" t="s">
        <v>70</v>
      </c>
      <c r="AA219" t="b">
        <f>ISNUMBER(SEARCH(";"&amp;Lessons[[#This Row],[Instrument__c]]&amp;";",";"&amp;_xlfn.XLOOKUP(Lessons[[#This Row],[Instructor_External_Id__c]], Instructors[Id], Instructors[Instruments_Taught__c])&amp;";"))</f>
        <v>1</v>
      </c>
      <c r="AB219" t="str">
        <f>IF(LEFT(Lessons[[#This Row],[Status__c]],9)="Cancelled","",Lessons[[#This Row],[Instructor_External_Id__c]]&amp;"|"&amp;TEXT(Lessons[[#This Row],[Lesson_Date__c]],"yyyy-mm-dd")&amp;"|"&amp;Lessons[[#This Row],[Start_Time__c]])</f>
        <v>a06ak00000amzCMAAY|2026-02-19|18:00:00.000Z</v>
      </c>
      <c r="AC219">
        <f>IF(Lessons[[#This Row],[Double Booked Key]]="","",COUNTIF(Lessons[Double Booked Key],Lessons[[#This Row],[Double Booked Key]]))</f>
        <v>1</v>
      </c>
      <c r="AD219" s="6" t="str">
        <f>_xlfn.XLOOKUP(Lessons[[#This Row],[Location_External_Id__c]], Locations[Location Id], Locations[Location Name])</f>
        <v>Red Bank</v>
      </c>
      <c r="AE219" s="6" t="str">
        <f>TEXT(Lessons[[#This Row],[Lesson_Date__c]], "yyyy-mm")</f>
        <v>2026-02</v>
      </c>
      <c r="AF219" s="6" t="str">
        <f>IF(Lessons[[#This Row],[Lesson_Date__c]]&lt;=Data_Audit!$F$1, "Yes", "No")</f>
        <v>Yes</v>
      </c>
    </row>
    <row r="220" spans="1:32">
      <c r="A220" t="s">
        <v>52</v>
      </c>
      <c r="B220" t="s">
        <v>53</v>
      </c>
      <c r="C220">
        <v>60</v>
      </c>
      <c r="D220" t="s">
        <v>913</v>
      </c>
      <c r="E220" t="s">
        <v>901</v>
      </c>
      <c r="F220" t="s">
        <v>902</v>
      </c>
      <c r="H220" t="s">
        <v>237</v>
      </c>
      <c r="I220" t="b">
        <v>0</v>
      </c>
      <c r="K220" t="s">
        <v>52</v>
      </c>
      <c r="L220" t="s">
        <v>70</v>
      </c>
      <c r="O220" s="1">
        <v>46116</v>
      </c>
      <c r="P220" t="s">
        <v>914</v>
      </c>
      <c r="Q220" t="s">
        <v>915</v>
      </c>
      <c r="R220" t="s">
        <v>63</v>
      </c>
      <c r="S220" t="b">
        <v>0</v>
      </c>
      <c r="T220" t="b">
        <v>0</v>
      </c>
      <c r="U220" t="s">
        <v>915</v>
      </c>
      <c r="V220" t="s">
        <v>135</v>
      </c>
      <c r="W220" t="s">
        <v>65</v>
      </c>
      <c r="X220" t="s">
        <v>905</v>
      </c>
      <c r="Y220" t="s">
        <v>906</v>
      </c>
      <c r="Z220" t="s">
        <v>70</v>
      </c>
      <c r="AA220" t="b">
        <f>ISNUMBER(SEARCH(";"&amp;Lessons[[#This Row],[Instrument__c]]&amp;";",";"&amp;_xlfn.XLOOKUP(Lessons[[#This Row],[Instructor_External_Id__c]], Instructors[Id], Instructors[Instruments_Taught__c])&amp;";"))</f>
        <v>1</v>
      </c>
      <c r="AB220" t="str">
        <f>IF(LEFT(Lessons[[#This Row],[Status__c]],9)="Cancelled","",Lessons[[#This Row],[Instructor_External_Id__c]]&amp;"|"&amp;TEXT(Lessons[[#This Row],[Lesson_Date__c]],"yyyy-mm-dd")&amp;"|"&amp;Lessons[[#This Row],[Start_Time__c]])</f>
        <v>a06ak00000amzCMAAY|2026-04-04|15:30:00.000Z</v>
      </c>
      <c r="AC220">
        <f>IF(Lessons[[#This Row],[Double Booked Key]]="","",COUNTIF(Lessons[Double Booked Key],Lessons[[#This Row],[Double Booked Key]]))</f>
        <v>1</v>
      </c>
      <c r="AD220" s="6" t="str">
        <f>_xlfn.XLOOKUP(Lessons[[#This Row],[Location_External_Id__c]], Locations[Location Id], Locations[Location Name])</f>
        <v>Red Bank</v>
      </c>
      <c r="AE220" s="6" t="str">
        <f>TEXT(Lessons[[#This Row],[Lesson_Date__c]], "yyyy-mm")</f>
        <v>2026-04</v>
      </c>
      <c r="AF220" s="6" t="str">
        <f>IF(Lessons[[#This Row],[Lesson_Date__c]]&lt;=Data_Audit!$F$1, "Yes", "No")</f>
        <v>Yes</v>
      </c>
    </row>
    <row r="221" spans="1:32">
      <c r="A221" t="s">
        <v>52</v>
      </c>
      <c r="B221" t="s">
        <v>53</v>
      </c>
      <c r="C221">
        <v>30</v>
      </c>
      <c r="D221" t="s">
        <v>916</v>
      </c>
      <c r="E221" t="s">
        <v>901</v>
      </c>
      <c r="F221" t="s">
        <v>902</v>
      </c>
      <c r="H221" t="s">
        <v>237</v>
      </c>
      <c r="I221" t="b">
        <v>0</v>
      </c>
      <c r="K221" t="s">
        <v>52</v>
      </c>
      <c r="L221" t="s">
        <v>70</v>
      </c>
      <c r="O221" s="1">
        <v>46036</v>
      </c>
      <c r="P221" t="s">
        <v>917</v>
      </c>
      <c r="Q221" t="s">
        <v>918</v>
      </c>
      <c r="R221" t="s">
        <v>63</v>
      </c>
      <c r="S221" t="b">
        <v>0</v>
      </c>
      <c r="T221" t="b">
        <v>0</v>
      </c>
      <c r="U221" t="s">
        <v>918</v>
      </c>
      <c r="V221" t="s">
        <v>84</v>
      </c>
      <c r="W221" t="s">
        <v>65</v>
      </c>
      <c r="X221" t="s">
        <v>905</v>
      </c>
      <c r="Y221" t="s">
        <v>906</v>
      </c>
      <c r="Z221" t="s">
        <v>70</v>
      </c>
      <c r="AA221" t="b">
        <f>ISNUMBER(SEARCH(";"&amp;Lessons[[#This Row],[Instrument__c]]&amp;";",";"&amp;_xlfn.XLOOKUP(Lessons[[#This Row],[Instructor_External_Id__c]], Instructors[Id], Instructors[Instruments_Taught__c])&amp;";"))</f>
        <v>1</v>
      </c>
      <c r="AB221" t="str">
        <f>IF(LEFT(Lessons[[#This Row],[Status__c]],9)="Cancelled","",Lessons[[#This Row],[Instructor_External_Id__c]]&amp;"|"&amp;TEXT(Lessons[[#This Row],[Lesson_Date__c]],"yyyy-mm-dd")&amp;"|"&amp;Lessons[[#This Row],[Start_Time__c]])</f>
        <v>a06ak00000amzCMAAY|2026-01-14|17:00:00.000Z</v>
      </c>
      <c r="AC221">
        <f>IF(Lessons[[#This Row],[Double Booked Key]]="","",COUNTIF(Lessons[Double Booked Key],Lessons[[#This Row],[Double Booked Key]]))</f>
        <v>1</v>
      </c>
      <c r="AD221" s="6" t="str">
        <f>_xlfn.XLOOKUP(Lessons[[#This Row],[Location_External_Id__c]], Locations[Location Id], Locations[Location Name])</f>
        <v>Red Bank</v>
      </c>
      <c r="AE221" s="6" t="str">
        <f>TEXT(Lessons[[#This Row],[Lesson_Date__c]], "yyyy-mm")</f>
        <v>2026-01</v>
      </c>
      <c r="AF221" s="6" t="str">
        <f>IF(Lessons[[#This Row],[Lesson_Date__c]]&lt;=Data_Audit!$F$1, "Yes", "No")</f>
        <v>Yes</v>
      </c>
    </row>
    <row r="222" spans="1:32">
      <c r="A222" t="s">
        <v>52</v>
      </c>
      <c r="B222" t="s">
        <v>53</v>
      </c>
      <c r="C222">
        <v>45</v>
      </c>
      <c r="D222" t="s">
        <v>919</v>
      </c>
      <c r="E222" t="s">
        <v>901</v>
      </c>
      <c r="F222" t="s">
        <v>902</v>
      </c>
      <c r="G222" t="s">
        <v>164</v>
      </c>
      <c r="H222" t="s">
        <v>237</v>
      </c>
      <c r="I222" t="b">
        <v>0</v>
      </c>
      <c r="K222" t="s">
        <v>52</v>
      </c>
      <c r="L222" t="s">
        <v>70</v>
      </c>
      <c r="O222" s="1">
        <v>46221</v>
      </c>
      <c r="P222" t="s">
        <v>920</v>
      </c>
      <c r="Q222" t="s">
        <v>921</v>
      </c>
      <c r="R222" t="s">
        <v>63</v>
      </c>
      <c r="S222" t="b">
        <v>0</v>
      </c>
      <c r="T222" t="b">
        <v>0</v>
      </c>
      <c r="U222" t="s">
        <v>921</v>
      </c>
      <c r="V222" t="s">
        <v>74</v>
      </c>
      <c r="W222" t="s">
        <v>65</v>
      </c>
      <c r="X222" t="s">
        <v>905</v>
      </c>
      <c r="Y222" t="s">
        <v>906</v>
      </c>
      <c r="Z222" t="s">
        <v>70</v>
      </c>
      <c r="AA222" t="b">
        <f>ISNUMBER(SEARCH(";"&amp;Lessons[[#This Row],[Instrument__c]]&amp;";",";"&amp;_xlfn.XLOOKUP(Lessons[[#This Row],[Instructor_External_Id__c]], Instructors[Id], Instructors[Instruments_Taught__c])&amp;";"))</f>
        <v>1</v>
      </c>
      <c r="AB222" t="str">
        <f>IF(LEFT(Lessons[[#This Row],[Status__c]],9)="Cancelled","",Lessons[[#This Row],[Instructor_External_Id__c]]&amp;"|"&amp;TEXT(Lessons[[#This Row],[Lesson_Date__c]],"yyyy-mm-dd")&amp;"|"&amp;Lessons[[#This Row],[Start_Time__c]])</f>
        <v>a06ak00000amzCMAAY|2026-07-18|16:30:00.000Z</v>
      </c>
      <c r="AC222">
        <f>IF(Lessons[[#This Row],[Double Booked Key]]="","",COUNTIF(Lessons[Double Booked Key],Lessons[[#This Row],[Double Booked Key]]))</f>
        <v>1</v>
      </c>
      <c r="AD222" s="6" t="str">
        <f>_xlfn.XLOOKUP(Lessons[[#This Row],[Location_External_Id__c]], Locations[Location Id], Locations[Location Name])</f>
        <v>Red Bank</v>
      </c>
      <c r="AE222" s="6" t="str">
        <f>TEXT(Lessons[[#This Row],[Lesson_Date__c]], "yyyy-mm")</f>
        <v>2026-07</v>
      </c>
      <c r="AF222" s="6" t="str">
        <f>IF(Lessons[[#This Row],[Lesson_Date__c]]&lt;=Data_Audit!$F$1, "Yes", "No")</f>
        <v>Yes</v>
      </c>
    </row>
    <row r="223" spans="1:32">
      <c r="A223" t="s">
        <v>52</v>
      </c>
      <c r="B223" t="s">
        <v>53</v>
      </c>
      <c r="C223">
        <v>45</v>
      </c>
      <c r="D223" t="s">
        <v>922</v>
      </c>
      <c r="E223" t="s">
        <v>923</v>
      </c>
      <c r="F223" t="s">
        <v>924</v>
      </c>
      <c r="G223" t="s">
        <v>164</v>
      </c>
      <c r="H223" t="s">
        <v>650</v>
      </c>
      <c r="I223" t="b">
        <v>0</v>
      </c>
      <c r="K223" t="s">
        <v>52</v>
      </c>
      <c r="L223" t="s">
        <v>70</v>
      </c>
      <c r="O223" s="1">
        <v>46027</v>
      </c>
      <c r="P223" t="s">
        <v>925</v>
      </c>
      <c r="Q223" t="s">
        <v>926</v>
      </c>
      <c r="R223" t="s">
        <v>150</v>
      </c>
      <c r="S223" t="b">
        <v>0</v>
      </c>
      <c r="T223" t="b">
        <v>0</v>
      </c>
      <c r="U223" t="s">
        <v>926</v>
      </c>
      <c r="V223" t="s">
        <v>116</v>
      </c>
      <c r="W223" t="s">
        <v>65</v>
      </c>
      <c r="X223" t="s">
        <v>927</v>
      </c>
      <c r="Y223" t="s">
        <v>928</v>
      </c>
      <c r="Z223" t="s">
        <v>70</v>
      </c>
      <c r="AA223" t="b">
        <f>ISNUMBER(SEARCH(";"&amp;Lessons[[#This Row],[Instrument__c]]&amp;";",";"&amp;_xlfn.XLOOKUP(Lessons[[#This Row],[Instructor_External_Id__c]], Instructors[Id], Instructors[Instruments_Taught__c])&amp;";"))</f>
        <v>1</v>
      </c>
      <c r="AB223" t="str">
        <f>IF(LEFT(Lessons[[#This Row],[Status__c]],9)="Cancelled","",Lessons[[#This Row],[Instructor_External_Id__c]]&amp;"|"&amp;TEXT(Lessons[[#This Row],[Lesson_Date__c]],"yyyy-mm-dd")&amp;"|"&amp;Lessons[[#This Row],[Start_Time__c]])</f>
        <v>a06ak00000amzCEAAY|2026-01-05|17:30:00.000Z</v>
      </c>
      <c r="AC223">
        <f>IF(Lessons[[#This Row],[Double Booked Key]]="","",COUNTIF(Lessons[Double Booked Key],Lessons[[#This Row],[Double Booked Key]]))</f>
        <v>1</v>
      </c>
      <c r="AD223" s="6" t="str">
        <f>_xlfn.XLOOKUP(Lessons[[#This Row],[Location_External_Id__c]], Locations[Location Id], Locations[Location Name])</f>
        <v>Toms River</v>
      </c>
      <c r="AE223" s="6" t="str">
        <f>TEXT(Lessons[[#This Row],[Lesson_Date__c]], "yyyy-mm")</f>
        <v>2026-01</v>
      </c>
      <c r="AF223" s="6" t="str">
        <f>IF(Lessons[[#This Row],[Lesson_Date__c]]&lt;=Data_Audit!$F$1, "Yes", "No")</f>
        <v>Yes</v>
      </c>
    </row>
    <row r="224" spans="1:32">
      <c r="A224" t="s">
        <v>52</v>
      </c>
      <c r="B224" t="s">
        <v>53</v>
      </c>
      <c r="C224">
        <v>30</v>
      </c>
      <c r="D224" t="s">
        <v>929</v>
      </c>
      <c r="E224" t="s">
        <v>243</v>
      </c>
      <c r="F224" t="s">
        <v>244</v>
      </c>
      <c r="G224" t="s">
        <v>99</v>
      </c>
      <c r="H224" t="s">
        <v>650</v>
      </c>
      <c r="I224" t="b">
        <v>0</v>
      </c>
      <c r="K224" t="s">
        <v>52</v>
      </c>
      <c r="L224" t="s">
        <v>79</v>
      </c>
      <c r="O224" s="1">
        <v>46291</v>
      </c>
      <c r="P224" t="s">
        <v>930</v>
      </c>
      <c r="Q224" t="s">
        <v>931</v>
      </c>
      <c r="R224" t="s">
        <v>150</v>
      </c>
      <c r="S224" t="b">
        <v>0</v>
      </c>
      <c r="T224" t="b">
        <v>0</v>
      </c>
      <c r="U224" t="s">
        <v>931</v>
      </c>
      <c r="V224" t="s">
        <v>84</v>
      </c>
      <c r="W224" t="s">
        <v>65</v>
      </c>
      <c r="X224" t="s">
        <v>927</v>
      </c>
      <c r="Y224" t="s">
        <v>928</v>
      </c>
      <c r="Z224" t="s">
        <v>79</v>
      </c>
      <c r="AA224" t="b">
        <f>ISNUMBER(SEARCH(";"&amp;Lessons[[#This Row],[Instrument__c]]&amp;";",";"&amp;_xlfn.XLOOKUP(Lessons[[#This Row],[Instructor_External_Id__c]], Instructors[Id], Instructors[Instruments_Taught__c])&amp;";"))</f>
        <v>1</v>
      </c>
      <c r="AB224" t="str">
        <f>IF(LEFT(Lessons[[#This Row],[Status__c]],9)="Cancelled","",Lessons[[#This Row],[Instructor_External_Id__c]]&amp;"|"&amp;TEXT(Lessons[[#This Row],[Lesson_Date__c]],"yyyy-mm-dd")&amp;"|"&amp;Lessons[[#This Row],[Start_Time__c]])</f>
        <v>a06ak00000amzC1AAI|2026-09-26|17:00:00.000Z</v>
      </c>
      <c r="AC224">
        <f>IF(Lessons[[#This Row],[Double Booked Key]]="","",COUNTIF(Lessons[Double Booked Key],Lessons[[#This Row],[Double Booked Key]]))</f>
        <v>1</v>
      </c>
      <c r="AD224" s="6" t="str">
        <f>_xlfn.XLOOKUP(Lessons[[#This Row],[Location_External_Id__c]], Locations[Location Id], Locations[Location Name])</f>
        <v>Toms River</v>
      </c>
      <c r="AE224" s="6" t="str">
        <f>TEXT(Lessons[[#This Row],[Lesson_Date__c]], "yyyy-mm")</f>
        <v>2026-09</v>
      </c>
      <c r="AF224" s="6" t="str">
        <f>IF(Lessons[[#This Row],[Lesson_Date__c]]&lt;=Data_Audit!$F$1, "Yes", "No")</f>
        <v>Yes</v>
      </c>
    </row>
    <row r="225" spans="1:32">
      <c r="A225" t="s">
        <v>52</v>
      </c>
      <c r="B225" t="s">
        <v>53</v>
      </c>
      <c r="C225">
        <v>60</v>
      </c>
      <c r="D225" t="s">
        <v>932</v>
      </c>
      <c r="E225" t="s">
        <v>777</v>
      </c>
      <c r="F225" t="s">
        <v>778</v>
      </c>
      <c r="H225" t="s">
        <v>527</v>
      </c>
      <c r="I225" t="b">
        <v>0</v>
      </c>
      <c r="K225" t="s">
        <v>52</v>
      </c>
      <c r="L225" t="s">
        <v>70</v>
      </c>
      <c r="O225" s="1">
        <v>46066</v>
      </c>
      <c r="P225" t="s">
        <v>933</v>
      </c>
      <c r="Q225" t="s">
        <v>934</v>
      </c>
      <c r="R225" t="s">
        <v>83</v>
      </c>
      <c r="S225" t="b">
        <v>0</v>
      </c>
      <c r="T225" t="b">
        <v>0</v>
      </c>
      <c r="U225" t="s">
        <v>934</v>
      </c>
      <c r="V225" t="s">
        <v>128</v>
      </c>
      <c r="W225" t="s">
        <v>65</v>
      </c>
      <c r="X225" t="s">
        <v>935</v>
      </c>
      <c r="Y225" t="s">
        <v>936</v>
      </c>
      <c r="Z225" t="s">
        <v>70</v>
      </c>
      <c r="AA225" t="b">
        <f>ISNUMBER(SEARCH(";"&amp;Lessons[[#This Row],[Instrument__c]]&amp;";",";"&amp;_xlfn.XLOOKUP(Lessons[[#This Row],[Instructor_External_Id__c]], Instructors[Id], Instructors[Instruments_Taught__c])&amp;";"))</f>
        <v>1</v>
      </c>
      <c r="AB225" t="str">
        <f>IF(LEFT(Lessons[[#This Row],[Status__c]],9)="Cancelled","",Lessons[[#This Row],[Instructor_External_Id__c]]&amp;"|"&amp;TEXT(Lessons[[#This Row],[Lesson_Date__c]],"yyyy-mm-dd")&amp;"|"&amp;Lessons[[#This Row],[Start_Time__c]])</f>
        <v>a06ak00000amzByAAI|2026-02-13|18:30:00.000Z</v>
      </c>
      <c r="AC225">
        <f>IF(Lessons[[#This Row],[Double Booked Key]]="","",COUNTIF(Lessons[Double Booked Key],Lessons[[#This Row],[Double Booked Key]]))</f>
        <v>1</v>
      </c>
      <c r="AD225" s="6" t="str">
        <f>_xlfn.XLOOKUP(Lessons[[#This Row],[Location_External_Id__c]], Locations[Location Id], Locations[Location Name])</f>
        <v>Brick</v>
      </c>
      <c r="AE225" s="6" t="str">
        <f>TEXT(Lessons[[#This Row],[Lesson_Date__c]], "yyyy-mm")</f>
        <v>2026-02</v>
      </c>
      <c r="AF225" s="6" t="str">
        <f>IF(Lessons[[#This Row],[Lesson_Date__c]]&lt;=Data_Audit!$F$1, "Yes", "No")</f>
        <v>Yes</v>
      </c>
    </row>
    <row r="226" spans="1:32">
      <c r="A226" t="s">
        <v>52</v>
      </c>
      <c r="B226" t="s">
        <v>53</v>
      </c>
      <c r="C226">
        <v>60</v>
      </c>
      <c r="D226" t="s">
        <v>937</v>
      </c>
      <c r="E226" t="s">
        <v>777</v>
      </c>
      <c r="F226" t="s">
        <v>778</v>
      </c>
      <c r="H226" t="s">
        <v>527</v>
      </c>
      <c r="I226" t="b">
        <v>0</v>
      </c>
      <c r="K226" t="s">
        <v>52</v>
      </c>
      <c r="L226" t="s">
        <v>70</v>
      </c>
      <c r="O226" s="1">
        <v>46080</v>
      </c>
      <c r="P226" t="s">
        <v>938</v>
      </c>
      <c r="Q226" t="s">
        <v>939</v>
      </c>
      <c r="R226" t="s">
        <v>83</v>
      </c>
      <c r="S226" t="b">
        <v>0</v>
      </c>
      <c r="T226" t="b">
        <v>0</v>
      </c>
      <c r="U226" t="s">
        <v>939</v>
      </c>
      <c r="V226" t="s">
        <v>128</v>
      </c>
      <c r="W226" t="s">
        <v>121</v>
      </c>
      <c r="X226" t="s">
        <v>935</v>
      </c>
      <c r="Y226" t="s">
        <v>936</v>
      </c>
      <c r="Z226" t="s">
        <v>70</v>
      </c>
      <c r="AA226" t="b">
        <f>ISNUMBER(SEARCH(";"&amp;Lessons[[#This Row],[Instrument__c]]&amp;";",";"&amp;_xlfn.XLOOKUP(Lessons[[#This Row],[Instructor_External_Id__c]], Instructors[Id], Instructors[Instruments_Taught__c])&amp;";"))</f>
        <v>1</v>
      </c>
      <c r="AB226" t="str">
        <f>IF(LEFT(Lessons[[#This Row],[Status__c]],9)="Cancelled","",Lessons[[#This Row],[Instructor_External_Id__c]]&amp;"|"&amp;TEXT(Lessons[[#This Row],[Lesson_Date__c]],"yyyy-mm-dd")&amp;"|"&amp;Lessons[[#This Row],[Start_Time__c]])</f>
        <v>a06ak00000amzByAAI|2026-02-27|18:30:00.000Z</v>
      </c>
      <c r="AC226">
        <f>IF(Lessons[[#This Row],[Double Booked Key]]="","",COUNTIF(Lessons[Double Booked Key],Lessons[[#This Row],[Double Booked Key]]))</f>
        <v>1</v>
      </c>
      <c r="AD226" s="6" t="str">
        <f>_xlfn.XLOOKUP(Lessons[[#This Row],[Location_External_Id__c]], Locations[Location Id], Locations[Location Name])</f>
        <v>Brick</v>
      </c>
      <c r="AE226" s="6" t="str">
        <f>TEXT(Lessons[[#This Row],[Lesson_Date__c]], "yyyy-mm")</f>
        <v>2026-02</v>
      </c>
      <c r="AF226" s="6" t="str">
        <f>IF(Lessons[[#This Row],[Lesson_Date__c]]&lt;=Data_Audit!$F$1, "Yes", "No")</f>
        <v>Yes</v>
      </c>
    </row>
    <row r="227" spans="1:32">
      <c r="A227" t="s">
        <v>52</v>
      </c>
      <c r="B227" t="s">
        <v>53</v>
      </c>
      <c r="C227">
        <v>45</v>
      </c>
      <c r="D227" t="s">
        <v>940</v>
      </c>
      <c r="E227" t="s">
        <v>777</v>
      </c>
      <c r="F227" t="s">
        <v>778</v>
      </c>
      <c r="G227" t="s">
        <v>106</v>
      </c>
      <c r="H227" t="s">
        <v>527</v>
      </c>
      <c r="I227" t="b">
        <v>0</v>
      </c>
      <c r="K227" t="s">
        <v>52</v>
      </c>
      <c r="L227" t="s">
        <v>70</v>
      </c>
      <c r="O227" s="1">
        <v>46282</v>
      </c>
      <c r="P227" t="s">
        <v>941</v>
      </c>
      <c r="Q227" t="s">
        <v>942</v>
      </c>
      <c r="R227" t="s">
        <v>83</v>
      </c>
      <c r="S227" t="b">
        <v>0</v>
      </c>
      <c r="T227" t="b">
        <v>0</v>
      </c>
      <c r="U227" t="s">
        <v>942</v>
      </c>
      <c r="V227" t="s">
        <v>120</v>
      </c>
      <c r="W227" t="s">
        <v>65</v>
      </c>
      <c r="X227" t="s">
        <v>935</v>
      </c>
      <c r="Y227" t="s">
        <v>936</v>
      </c>
      <c r="Z227" t="s">
        <v>70</v>
      </c>
      <c r="AA227" t="b">
        <f>ISNUMBER(SEARCH(";"&amp;Lessons[[#This Row],[Instrument__c]]&amp;";",";"&amp;_xlfn.XLOOKUP(Lessons[[#This Row],[Instructor_External_Id__c]], Instructors[Id], Instructors[Instruments_Taught__c])&amp;";"))</f>
        <v>1</v>
      </c>
      <c r="AB227" t="str">
        <f>IF(LEFT(Lessons[[#This Row],[Status__c]],9)="Cancelled","",Lessons[[#This Row],[Instructor_External_Id__c]]&amp;"|"&amp;TEXT(Lessons[[#This Row],[Lesson_Date__c]],"yyyy-mm-dd")&amp;"|"&amp;Lessons[[#This Row],[Start_Time__c]])</f>
        <v>a06ak00000amzByAAI|2026-09-17|18:00:00.000Z</v>
      </c>
      <c r="AC227">
        <f>IF(Lessons[[#This Row],[Double Booked Key]]="","",COUNTIF(Lessons[Double Booked Key],Lessons[[#This Row],[Double Booked Key]]))</f>
        <v>1</v>
      </c>
      <c r="AD227" s="6" t="str">
        <f>_xlfn.XLOOKUP(Lessons[[#This Row],[Location_External_Id__c]], Locations[Location Id], Locations[Location Name])</f>
        <v>Brick</v>
      </c>
      <c r="AE227" s="6" t="str">
        <f>TEXT(Lessons[[#This Row],[Lesson_Date__c]], "yyyy-mm")</f>
        <v>2026-09</v>
      </c>
      <c r="AF227" s="6" t="str">
        <f>IF(Lessons[[#This Row],[Lesson_Date__c]]&lt;=Data_Audit!$F$1, "Yes", "No")</f>
        <v>Yes</v>
      </c>
    </row>
    <row r="228" spans="1:32">
      <c r="A228" t="s">
        <v>52</v>
      </c>
      <c r="B228" t="s">
        <v>53</v>
      </c>
      <c r="C228">
        <v>30</v>
      </c>
      <c r="D228" t="s">
        <v>943</v>
      </c>
      <c r="E228" t="s">
        <v>944</v>
      </c>
      <c r="F228" t="s">
        <v>945</v>
      </c>
      <c r="G228" t="s">
        <v>106</v>
      </c>
      <c r="H228" t="s">
        <v>107</v>
      </c>
      <c r="I228" t="b">
        <v>0</v>
      </c>
      <c r="K228" t="s">
        <v>52</v>
      </c>
      <c r="L228" t="s">
        <v>70</v>
      </c>
      <c r="O228" s="1">
        <v>46134</v>
      </c>
      <c r="P228" t="s">
        <v>946</v>
      </c>
      <c r="Q228" t="s">
        <v>947</v>
      </c>
      <c r="R228" t="s">
        <v>150</v>
      </c>
      <c r="S228" t="b">
        <v>0</v>
      </c>
      <c r="T228" t="b">
        <v>0</v>
      </c>
      <c r="U228" t="s">
        <v>947</v>
      </c>
      <c r="V228" t="s">
        <v>102</v>
      </c>
      <c r="W228" t="s">
        <v>65</v>
      </c>
      <c r="X228" t="s">
        <v>948</v>
      </c>
      <c r="Y228" t="s">
        <v>949</v>
      </c>
      <c r="Z228" t="s">
        <v>70</v>
      </c>
      <c r="AA228" t="b">
        <f>ISNUMBER(SEARCH(";"&amp;Lessons[[#This Row],[Instrument__c]]&amp;";",";"&amp;_xlfn.XLOOKUP(Lessons[[#This Row],[Instructor_External_Id__c]], Instructors[Id], Instructors[Instruments_Taught__c])&amp;";"))</f>
        <v>1</v>
      </c>
      <c r="AB228" t="str">
        <f>IF(LEFT(Lessons[[#This Row],[Status__c]],9)="Cancelled","",Lessons[[#This Row],[Instructor_External_Id__c]]&amp;"|"&amp;TEXT(Lessons[[#This Row],[Lesson_Date__c]],"yyyy-mm-dd")&amp;"|"&amp;Lessons[[#This Row],[Start_Time__c]])</f>
        <v>a06ak00000amzBtAAI|2026-04-22|16:00:00.000Z</v>
      </c>
      <c r="AC228">
        <f>IF(Lessons[[#This Row],[Double Booked Key]]="","",COUNTIF(Lessons[Double Booked Key],Lessons[[#This Row],[Double Booked Key]]))</f>
        <v>1</v>
      </c>
      <c r="AD228" s="6" t="str">
        <f>_xlfn.XLOOKUP(Lessons[[#This Row],[Location_External_Id__c]], Locations[Location Id], Locations[Location Name])</f>
        <v>Toms River</v>
      </c>
      <c r="AE228" s="6" t="str">
        <f>TEXT(Lessons[[#This Row],[Lesson_Date__c]], "yyyy-mm")</f>
        <v>2026-04</v>
      </c>
      <c r="AF228" s="6" t="str">
        <f>IF(Lessons[[#This Row],[Lesson_Date__c]]&lt;=Data_Audit!$F$1, "Yes", "No")</f>
        <v>Yes</v>
      </c>
    </row>
    <row r="229" spans="1:32">
      <c r="A229" t="s">
        <v>52</v>
      </c>
      <c r="B229" t="s">
        <v>53</v>
      </c>
      <c r="C229">
        <v>30</v>
      </c>
      <c r="D229" t="s">
        <v>950</v>
      </c>
      <c r="E229" t="s">
        <v>944</v>
      </c>
      <c r="F229" t="s">
        <v>945</v>
      </c>
      <c r="G229" t="s">
        <v>164</v>
      </c>
      <c r="H229" t="s">
        <v>107</v>
      </c>
      <c r="I229" t="b">
        <v>0</v>
      </c>
      <c r="K229" t="s">
        <v>52</v>
      </c>
      <c r="L229" t="s">
        <v>70</v>
      </c>
      <c r="O229" s="1">
        <v>46298</v>
      </c>
      <c r="P229" t="s">
        <v>951</v>
      </c>
      <c r="Q229" t="s">
        <v>952</v>
      </c>
      <c r="R229" t="s">
        <v>150</v>
      </c>
      <c r="S229" t="b">
        <v>0</v>
      </c>
      <c r="T229" t="b">
        <v>0</v>
      </c>
      <c r="U229" t="s">
        <v>952</v>
      </c>
      <c r="V229" t="s">
        <v>140</v>
      </c>
      <c r="W229" t="s">
        <v>65</v>
      </c>
      <c r="X229" t="s">
        <v>948</v>
      </c>
      <c r="Y229" t="s">
        <v>949</v>
      </c>
      <c r="Z229" t="s">
        <v>70</v>
      </c>
      <c r="AA229" t="b">
        <f>ISNUMBER(SEARCH(";"&amp;Lessons[[#This Row],[Instrument__c]]&amp;";",";"&amp;_xlfn.XLOOKUP(Lessons[[#This Row],[Instructor_External_Id__c]], Instructors[Id], Instructors[Instruments_Taught__c])&amp;";"))</f>
        <v>1</v>
      </c>
      <c r="AB229" t="str">
        <f>IF(LEFT(Lessons[[#This Row],[Status__c]],9)="Cancelled","",Lessons[[#This Row],[Instructor_External_Id__c]]&amp;"|"&amp;TEXT(Lessons[[#This Row],[Lesson_Date__c]],"yyyy-mm-dd")&amp;"|"&amp;Lessons[[#This Row],[Start_Time__c]])</f>
        <v>a06ak00000amzBtAAI|2026-10-03|15:00:00.000Z</v>
      </c>
      <c r="AC229">
        <f>IF(Lessons[[#This Row],[Double Booked Key]]="","",COUNTIF(Lessons[Double Booked Key],Lessons[[#This Row],[Double Booked Key]]))</f>
        <v>1</v>
      </c>
      <c r="AD229" s="6" t="str">
        <f>_xlfn.XLOOKUP(Lessons[[#This Row],[Location_External_Id__c]], Locations[Location Id], Locations[Location Name])</f>
        <v>Toms River</v>
      </c>
      <c r="AE229" s="6" t="str">
        <f>TEXT(Lessons[[#This Row],[Lesson_Date__c]], "yyyy-mm")</f>
        <v>2026-10</v>
      </c>
      <c r="AF229" s="6" t="str">
        <f>IF(Lessons[[#This Row],[Lesson_Date__c]]&lt;=Data_Audit!$F$1, "Yes", "No")</f>
        <v>Yes</v>
      </c>
    </row>
    <row r="230" spans="1:32">
      <c r="A230" t="s">
        <v>52</v>
      </c>
      <c r="B230" t="s">
        <v>53</v>
      </c>
      <c r="C230">
        <v>60</v>
      </c>
      <c r="D230" t="s">
        <v>953</v>
      </c>
      <c r="E230" t="s">
        <v>944</v>
      </c>
      <c r="F230" t="s">
        <v>945</v>
      </c>
      <c r="G230" t="s">
        <v>57</v>
      </c>
      <c r="H230" t="s">
        <v>107</v>
      </c>
      <c r="I230" t="b">
        <v>0</v>
      </c>
      <c r="K230" t="s">
        <v>52</v>
      </c>
      <c r="L230" t="s">
        <v>70</v>
      </c>
      <c r="O230" s="1">
        <v>46235</v>
      </c>
      <c r="P230" t="s">
        <v>954</v>
      </c>
      <c r="Q230" t="s">
        <v>955</v>
      </c>
      <c r="R230" t="s">
        <v>150</v>
      </c>
      <c r="S230" t="b">
        <v>0</v>
      </c>
      <c r="T230" t="b">
        <v>0</v>
      </c>
      <c r="U230" t="s">
        <v>955</v>
      </c>
      <c r="V230" t="s">
        <v>140</v>
      </c>
      <c r="W230" t="s">
        <v>65</v>
      </c>
      <c r="X230" t="s">
        <v>948</v>
      </c>
      <c r="Y230" t="s">
        <v>949</v>
      </c>
      <c r="Z230" t="s">
        <v>70</v>
      </c>
      <c r="AA230" t="b">
        <f>ISNUMBER(SEARCH(";"&amp;Lessons[[#This Row],[Instrument__c]]&amp;";",";"&amp;_xlfn.XLOOKUP(Lessons[[#This Row],[Instructor_External_Id__c]], Instructors[Id], Instructors[Instruments_Taught__c])&amp;";"))</f>
        <v>1</v>
      </c>
      <c r="AB230" t="str">
        <f>IF(LEFT(Lessons[[#This Row],[Status__c]],9)="Cancelled","",Lessons[[#This Row],[Instructor_External_Id__c]]&amp;"|"&amp;TEXT(Lessons[[#This Row],[Lesson_Date__c]],"yyyy-mm-dd")&amp;"|"&amp;Lessons[[#This Row],[Start_Time__c]])</f>
        <v>a06ak00000amzBtAAI|2026-08-01|15:00:00.000Z</v>
      </c>
      <c r="AC230">
        <f>IF(Lessons[[#This Row],[Double Booked Key]]="","",COUNTIF(Lessons[Double Booked Key],Lessons[[#This Row],[Double Booked Key]]))</f>
        <v>1</v>
      </c>
      <c r="AD230" s="6" t="str">
        <f>_xlfn.XLOOKUP(Lessons[[#This Row],[Location_External_Id__c]], Locations[Location Id], Locations[Location Name])</f>
        <v>Toms River</v>
      </c>
      <c r="AE230" s="6" t="str">
        <f>TEXT(Lessons[[#This Row],[Lesson_Date__c]], "yyyy-mm")</f>
        <v>2026-08</v>
      </c>
      <c r="AF230" s="6" t="str">
        <f>IF(Lessons[[#This Row],[Lesson_Date__c]]&lt;=Data_Audit!$F$1, "Yes", "No")</f>
        <v>Yes</v>
      </c>
    </row>
    <row r="231" spans="1:32">
      <c r="A231" t="s">
        <v>52</v>
      </c>
      <c r="B231" t="s">
        <v>53</v>
      </c>
      <c r="C231">
        <v>30</v>
      </c>
      <c r="D231" t="s">
        <v>956</v>
      </c>
      <c r="E231" t="s">
        <v>944</v>
      </c>
      <c r="F231" t="s">
        <v>945</v>
      </c>
      <c r="H231" t="s">
        <v>107</v>
      </c>
      <c r="I231" t="b">
        <v>0</v>
      </c>
      <c r="K231" t="s">
        <v>52</v>
      </c>
      <c r="L231" t="s">
        <v>70</v>
      </c>
      <c r="O231" s="1">
        <v>46229</v>
      </c>
      <c r="P231" t="s">
        <v>957</v>
      </c>
      <c r="Q231" t="s">
        <v>958</v>
      </c>
      <c r="R231" t="s">
        <v>150</v>
      </c>
      <c r="S231" t="b">
        <v>0</v>
      </c>
      <c r="T231" t="b">
        <v>0</v>
      </c>
      <c r="U231" t="s">
        <v>958</v>
      </c>
      <c r="V231" t="s">
        <v>74</v>
      </c>
      <c r="W231" t="s">
        <v>65</v>
      </c>
      <c r="X231" t="s">
        <v>948</v>
      </c>
      <c r="Y231" t="s">
        <v>949</v>
      </c>
      <c r="Z231" t="s">
        <v>70</v>
      </c>
      <c r="AA231" t="b">
        <f>ISNUMBER(SEARCH(";"&amp;Lessons[[#This Row],[Instrument__c]]&amp;";",";"&amp;_xlfn.XLOOKUP(Lessons[[#This Row],[Instructor_External_Id__c]], Instructors[Id], Instructors[Instruments_Taught__c])&amp;";"))</f>
        <v>1</v>
      </c>
      <c r="AB231" t="str">
        <f>IF(LEFT(Lessons[[#This Row],[Status__c]],9)="Cancelled","",Lessons[[#This Row],[Instructor_External_Id__c]]&amp;"|"&amp;TEXT(Lessons[[#This Row],[Lesson_Date__c]],"yyyy-mm-dd")&amp;"|"&amp;Lessons[[#This Row],[Start_Time__c]])</f>
        <v>a06ak00000amzBtAAI|2026-07-26|16:30:00.000Z</v>
      </c>
      <c r="AC231">
        <f>IF(Lessons[[#This Row],[Double Booked Key]]="","",COUNTIF(Lessons[Double Booked Key],Lessons[[#This Row],[Double Booked Key]]))</f>
        <v>1</v>
      </c>
      <c r="AD231" s="6" t="str">
        <f>_xlfn.XLOOKUP(Lessons[[#This Row],[Location_External_Id__c]], Locations[Location Id], Locations[Location Name])</f>
        <v>Toms River</v>
      </c>
      <c r="AE231" s="6" t="str">
        <f>TEXT(Lessons[[#This Row],[Lesson_Date__c]], "yyyy-mm")</f>
        <v>2026-07</v>
      </c>
      <c r="AF231" s="6" t="str">
        <f>IF(Lessons[[#This Row],[Lesson_Date__c]]&lt;=Data_Audit!$F$1, "Yes", "No")</f>
        <v>Yes</v>
      </c>
    </row>
    <row r="232" spans="1:32">
      <c r="A232" t="s">
        <v>52</v>
      </c>
      <c r="B232" t="s">
        <v>53</v>
      </c>
      <c r="C232">
        <v>30</v>
      </c>
      <c r="D232" t="s">
        <v>959</v>
      </c>
      <c r="E232" t="s">
        <v>944</v>
      </c>
      <c r="F232" t="s">
        <v>945</v>
      </c>
      <c r="G232" t="s">
        <v>69</v>
      </c>
      <c r="H232" t="s">
        <v>107</v>
      </c>
      <c r="I232" t="b">
        <v>0</v>
      </c>
      <c r="K232" t="s">
        <v>52</v>
      </c>
      <c r="L232" t="s">
        <v>70</v>
      </c>
      <c r="O232" s="1">
        <v>46165</v>
      </c>
      <c r="P232" t="s">
        <v>960</v>
      </c>
      <c r="Q232" t="s">
        <v>961</v>
      </c>
      <c r="R232" t="s">
        <v>150</v>
      </c>
      <c r="S232" t="b">
        <v>0</v>
      </c>
      <c r="T232" t="b">
        <v>0</v>
      </c>
      <c r="U232" t="s">
        <v>961</v>
      </c>
      <c r="V232" t="s">
        <v>140</v>
      </c>
      <c r="W232" t="s">
        <v>65</v>
      </c>
      <c r="X232" t="s">
        <v>948</v>
      </c>
      <c r="Y232" t="s">
        <v>949</v>
      </c>
      <c r="Z232" t="s">
        <v>70</v>
      </c>
      <c r="AA232" t="b">
        <f>ISNUMBER(SEARCH(";"&amp;Lessons[[#This Row],[Instrument__c]]&amp;";",";"&amp;_xlfn.XLOOKUP(Lessons[[#This Row],[Instructor_External_Id__c]], Instructors[Id], Instructors[Instruments_Taught__c])&amp;";"))</f>
        <v>1</v>
      </c>
      <c r="AB232" t="str">
        <f>IF(LEFT(Lessons[[#This Row],[Status__c]],9)="Cancelled","",Lessons[[#This Row],[Instructor_External_Id__c]]&amp;"|"&amp;TEXT(Lessons[[#This Row],[Lesson_Date__c]],"yyyy-mm-dd")&amp;"|"&amp;Lessons[[#This Row],[Start_Time__c]])</f>
        <v>a06ak00000amzBtAAI|2026-05-23|15:00:00.000Z</v>
      </c>
      <c r="AC232">
        <f>IF(Lessons[[#This Row],[Double Booked Key]]="","",COUNTIF(Lessons[Double Booked Key],Lessons[[#This Row],[Double Booked Key]]))</f>
        <v>1</v>
      </c>
      <c r="AD232" s="6" t="str">
        <f>_xlfn.XLOOKUP(Lessons[[#This Row],[Location_External_Id__c]], Locations[Location Id], Locations[Location Name])</f>
        <v>Toms River</v>
      </c>
      <c r="AE232" s="6" t="str">
        <f>TEXT(Lessons[[#This Row],[Lesson_Date__c]], "yyyy-mm")</f>
        <v>2026-05</v>
      </c>
      <c r="AF232" s="6" t="str">
        <f>IF(Lessons[[#This Row],[Lesson_Date__c]]&lt;=Data_Audit!$F$1, "Yes", "No")</f>
        <v>Yes</v>
      </c>
    </row>
    <row r="233" spans="1:32">
      <c r="A233" t="s">
        <v>52</v>
      </c>
      <c r="B233" t="s">
        <v>53</v>
      </c>
      <c r="C233">
        <v>30</v>
      </c>
      <c r="D233" t="s">
        <v>962</v>
      </c>
      <c r="E233" t="s">
        <v>243</v>
      </c>
      <c r="F233" t="s">
        <v>244</v>
      </c>
      <c r="G233" t="s">
        <v>57</v>
      </c>
      <c r="H233" t="s">
        <v>237</v>
      </c>
      <c r="I233" t="b">
        <v>0</v>
      </c>
      <c r="K233" t="s">
        <v>52</v>
      </c>
      <c r="L233" t="s">
        <v>70</v>
      </c>
      <c r="O233" s="1">
        <v>46108</v>
      </c>
      <c r="P233" t="s">
        <v>963</v>
      </c>
      <c r="Q233" t="s">
        <v>964</v>
      </c>
      <c r="R233" t="s">
        <v>83</v>
      </c>
      <c r="S233" t="b">
        <v>0</v>
      </c>
      <c r="T233" t="b">
        <v>0</v>
      </c>
      <c r="U233" t="s">
        <v>964</v>
      </c>
      <c r="V233" t="s">
        <v>116</v>
      </c>
      <c r="W233" t="s">
        <v>65</v>
      </c>
      <c r="X233" t="s">
        <v>965</v>
      </c>
      <c r="Y233" t="s">
        <v>966</v>
      </c>
      <c r="Z233" t="s">
        <v>70</v>
      </c>
      <c r="AA233" t="b">
        <f>ISNUMBER(SEARCH(";"&amp;Lessons[[#This Row],[Instrument__c]]&amp;";",";"&amp;_xlfn.XLOOKUP(Lessons[[#This Row],[Instructor_External_Id__c]], Instructors[Id], Instructors[Instruments_Taught__c])&amp;";"))</f>
        <v>1</v>
      </c>
      <c r="AB233" t="str">
        <f>IF(LEFT(Lessons[[#This Row],[Status__c]],9)="Cancelled","",Lessons[[#This Row],[Instructor_External_Id__c]]&amp;"|"&amp;TEXT(Lessons[[#This Row],[Lesson_Date__c]],"yyyy-mm-dd")&amp;"|"&amp;Lessons[[#This Row],[Start_Time__c]])</f>
        <v>a06ak00000amzC1AAI|2026-03-27|17:30:00.000Z</v>
      </c>
      <c r="AC233">
        <f>IF(Lessons[[#This Row],[Double Booked Key]]="","",COUNTIF(Lessons[Double Booked Key],Lessons[[#This Row],[Double Booked Key]]))</f>
        <v>1</v>
      </c>
      <c r="AD233" s="6" t="str">
        <f>_xlfn.XLOOKUP(Lessons[[#This Row],[Location_External_Id__c]], Locations[Location Id], Locations[Location Name])</f>
        <v>Brick</v>
      </c>
      <c r="AE233" s="6" t="str">
        <f>TEXT(Lessons[[#This Row],[Lesson_Date__c]], "yyyy-mm")</f>
        <v>2026-03</v>
      </c>
      <c r="AF233" s="6" t="str">
        <f>IF(Lessons[[#This Row],[Lesson_Date__c]]&lt;=Data_Audit!$F$1, "Yes", "No")</f>
        <v>Yes</v>
      </c>
    </row>
    <row r="234" spans="1:32">
      <c r="A234" t="s">
        <v>52</v>
      </c>
      <c r="B234" t="s">
        <v>53</v>
      </c>
      <c r="C234">
        <v>30</v>
      </c>
      <c r="D234" t="s">
        <v>967</v>
      </c>
      <c r="E234" t="s">
        <v>243</v>
      </c>
      <c r="F234" t="s">
        <v>244</v>
      </c>
      <c r="H234" t="s">
        <v>237</v>
      </c>
      <c r="I234" t="b">
        <v>0</v>
      </c>
      <c r="K234" t="s">
        <v>52</v>
      </c>
      <c r="L234" t="s">
        <v>70</v>
      </c>
      <c r="O234" s="1">
        <v>46060</v>
      </c>
      <c r="P234" t="s">
        <v>968</v>
      </c>
      <c r="Q234" t="s">
        <v>969</v>
      </c>
      <c r="R234" t="s">
        <v>83</v>
      </c>
      <c r="S234" t="b">
        <v>0</v>
      </c>
      <c r="T234" t="b">
        <v>0</v>
      </c>
      <c r="U234" t="s">
        <v>969</v>
      </c>
      <c r="V234" t="s">
        <v>94</v>
      </c>
      <c r="W234" t="s">
        <v>65</v>
      </c>
      <c r="X234" t="s">
        <v>965</v>
      </c>
      <c r="Y234" t="s">
        <v>966</v>
      </c>
      <c r="Z234" t="s">
        <v>70</v>
      </c>
      <c r="AA234" t="b">
        <f>ISNUMBER(SEARCH(";"&amp;Lessons[[#This Row],[Instrument__c]]&amp;";",";"&amp;_xlfn.XLOOKUP(Lessons[[#This Row],[Instructor_External_Id__c]], Instructors[Id], Instructors[Instruments_Taught__c])&amp;";"))</f>
        <v>1</v>
      </c>
      <c r="AB234" t="str">
        <f>IF(LEFT(Lessons[[#This Row],[Status__c]],9)="Cancelled","",Lessons[[#This Row],[Instructor_External_Id__c]]&amp;"|"&amp;TEXT(Lessons[[#This Row],[Lesson_Date__c]],"yyyy-mm-dd")&amp;"|"&amp;Lessons[[#This Row],[Start_Time__c]])</f>
        <v>a06ak00000amzC1AAI|2026-02-07|19:00:00.000Z</v>
      </c>
      <c r="AC234">
        <f>IF(Lessons[[#This Row],[Double Booked Key]]="","",COUNTIF(Lessons[Double Booked Key],Lessons[[#This Row],[Double Booked Key]]))</f>
        <v>1</v>
      </c>
      <c r="AD234" s="6" t="str">
        <f>_xlfn.XLOOKUP(Lessons[[#This Row],[Location_External_Id__c]], Locations[Location Id], Locations[Location Name])</f>
        <v>Brick</v>
      </c>
      <c r="AE234" s="6" t="str">
        <f>TEXT(Lessons[[#This Row],[Lesson_Date__c]], "yyyy-mm")</f>
        <v>2026-02</v>
      </c>
      <c r="AF234" s="6" t="str">
        <f>IF(Lessons[[#This Row],[Lesson_Date__c]]&lt;=Data_Audit!$F$1, "Yes", "No")</f>
        <v>Yes</v>
      </c>
    </row>
    <row r="235" spans="1:32">
      <c r="A235" t="s">
        <v>52</v>
      </c>
      <c r="B235" t="s">
        <v>53</v>
      </c>
      <c r="C235">
        <v>60</v>
      </c>
      <c r="D235" t="s">
        <v>970</v>
      </c>
      <c r="E235" t="s">
        <v>243</v>
      </c>
      <c r="F235" t="s">
        <v>244</v>
      </c>
      <c r="G235" t="s">
        <v>164</v>
      </c>
      <c r="H235" t="s">
        <v>237</v>
      </c>
      <c r="I235" t="b">
        <v>0</v>
      </c>
      <c r="K235" t="s">
        <v>52</v>
      </c>
      <c r="L235" t="s">
        <v>70</v>
      </c>
      <c r="O235" s="1">
        <v>46027</v>
      </c>
      <c r="P235" t="s">
        <v>971</v>
      </c>
      <c r="Q235" t="s">
        <v>972</v>
      </c>
      <c r="R235" t="s">
        <v>83</v>
      </c>
      <c r="S235" t="b">
        <v>0</v>
      </c>
      <c r="T235" t="b">
        <v>0</v>
      </c>
      <c r="U235" t="s">
        <v>972</v>
      </c>
      <c r="V235" t="s">
        <v>140</v>
      </c>
      <c r="W235" t="s">
        <v>65</v>
      </c>
      <c r="X235" t="s">
        <v>965</v>
      </c>
      <c r="Y235" t="s">
        <v>966</v>
      </c>
      <c r="Z235" t="s">
        <v>70</v>
      </c>
      <c r="AA235" t="b">
        <f>ISNUMBER(SEARCH(";"&amp;Lessons[[#This Row],[Instrument__c]]&amp;";",";"&amp;_xlfn.XLOOKUP(Lessons[[#This Row],[Instructor_External_Id__c]], Instructors[Id], Instructors[Instruments_Taught__c])&amp;";"))</f>
        <v>1</v>
      </c>
      <c r="AB235" t="str">
        <f>IF(LEFT(Lessons[[#This Row],[Status__c]],9)="Cancelled","",Lessons[[#This Row],[Instructor_External_Id__c]]&amp;"|"&amp;TEXT(Lessons[[#This Row],[Lesson_Date__c]],"yyyy-mm-dd")&amp;"|"&amp;Lessons[[#This Row],[Start_Time__c]])</f>
        <v>a06ak00000amzC1AAI|2026-01-05|15:00:00.000Z</v>
      </c>
      <c r="AC235">
        <f>IF(Lessons[[#This Row],[Double Booked Key]]="","",COUNTIF(Lessons[Double Booked Key],Lessons[[#This Row],[Double Booked Key]]))</f>
        <v>1</v>
      </c>
      <c r="AD235" s="6" t="str">
        <f>_xlfn.XLOOKUP(Lessons[[#This Row],[Location_External_Id__c]], Locations[Location Id], Locations[Location Name])</f>
        <v>Brick</v>
      </c>
      <c r="AE235" s="6" t="str">
        <f>TEXT(Lessons[[#This Row],[Lesson_Date__c]], "yyyy-mm")</f>
        <v>2026-01</v>
      </c>
      <c r="AF235" s="6" t="str">
        <f>IF(Lessons[[#This Row],[Lesson_Date__c]]&lt;=Data_Audit!$F$1, "Yes", "No")</f>
        <v>Yes</v>
      </c>
    </row>
    <row r="236" spans="1:32">
      <c r="A236" t="s">
        <v>52</v>
      </c>
      <c r="B236" t="s">
        <v>53</v>
      </c>
      <c r="C236">
        <v>30</v>
      </c>
      <c r="D236" t="s">
        <v>973</v>
      </c>
      <c r="E236" t="s">
        <v>243</v>
      </c>
      <c r="F236" t="s">
        <v>244</v>
      </c>
      <c r="H236" t="s">
        <v>237</v>
      </c>
      <c r="I236" t="b">
        <v>0</v>
      </c>
      <c r="K236" t="s">
        <v>52</v>
      </c>
      <c r="L236" t="s">
        <v>70</v>
      </c>
      <c r="O236" s="1">
        <v>46104</v>
      </c>
      <c r="P236" t="s">
        <v>974</v>
      </c>
      <c r="Q236" t="s">
        <v>975</v>
      </c>
      <c r="R236" t="s">
        <v>83</v>
      </c>
      <c r="S236" t="b">
        <v>0</v>
      </c>
      <c r="T236" t="b">
        <v>0</v>
      </c>
      <c r="U236" t="s">
        <v>975</v>
      </c>
      <c r="V236" t="s">
        <v>84</v>
      </c>
      <c r="W236" t="s">
        <v>121</v>
      </c>
      <c r="X236" t="s">
        <v>965</v>
      </c>
      <c r="Y236" t="s">
        <v>966</v>
      </c>
      <c r="Z236" t="s">
        <v>70</v>
      </c>
      <c r="AA236" t="b">
        <f>ISNUMBER(SEARCH(";"&amp;Lessons[[#This Row],[Instrument__c]]&amp;";",";"&amp;_xlfn.XLOOKUP(Lessons[[#This Row],[Instructor_External_Id__c]], Instructors[Id], Instructors[Instruments_Taught__c])&amp;";"))</f>
        <v>1</v>
      </c>
      <c r="AB236" t="str">
        <f>IF(LEFT(Lessons[[#This Row],[Status__c]],9)="Cancelled","",Lessons[[#This Row],[Instructor_External_Id__c]]&amp;"|"&amp;TEXT(Lessons[[#This Row],[Lesson_Date__c]],"yyyy-mm-dd")&amp;"|"&amp;Lessons[[#This Row],[Start_Time__c]])</f>
        <v>a06ak00000amzC1AAI|2026-03-23|17:00:00.000Z</v>
      </c>
      <c r="AC236">
        <f>IF(Lessons[[#This Row],[Double Booked Key]]="","",COUNTIF(Lessons[Double Booked Key],Lessons[[#This Row],[Double Booked Key]]))</f>
        <v>1</v>
      </c>
      <c r="AD236" s="6" t="str">
        <f>_xlfn.XLOOKUP(Lessons[[#This Row],[Location_External_Id__c]], Locations[Location Id], Locations[Location Name])</f>
        <v>Brick</v>
      </c>
      <c r="AE236" s="6" t="str">
        <f>TEXT(Lessons[[#This Row],[Lesson_Date__c]], "yyyy-mm")</f>
        <v>2026-03</v>
      </c>
      <c r="AF236" s="6" t="str">
        <f>IF(Lessons[[#This Row],[Lesson_Date__c]]&lt;=Data_Audit!$F$1, "Yes", "No")</f>
        <v>Yes</v>
      </c>
    </row>
    <row r="237" spans="1:32">
      <c r="A237" t="s">
        <v>52</v>
      </c>
      <c r="B237" t="s">
        <v>53</v>
      </c>
      <c r="C237">
        <v>60</v>
      </c>
      <c r="D237" t="s">
        <v>976</v>
      </c>
      <c r="E237" t="s">
        <v>243</v>
      </c>
      <c r="F237" t="s">
        <v>244</v>
      </c>
      <c r="H237" t="s">
        <v>237</v>
      </c>
      <c r="I237" t="b">
        <v>0</v>
      </c>
      <c r="K237" t="s">
        <v>52</v>
      </c>
      <c r="L237" t="s">
        <v>70</v>
      </c>
      <c r="O237" s="1">
        <v>46126</v>
      </c>
      <c r="P237" t="s">
        <v>977</v>
      </c>
      <c r="Q237" t="s">
        <v>978</v>
      </c>
      <c r="R237" t="s">
        <v>83</v>
      </c>
      <c r="S237" t="b">
        <v>0</v>
      </c>
      <c r="T237" t="b">
        <v>0</v>
      </c>
      <c r="U237" t="s">
        <v>978</v>
      </c>
      <c r="V237" t="s">
        <v>135</v>
      </c>
      <c r="W237" t="s">
        <v>65</v>
      </c>
      <c r="X237" t="s">
        <v>965</v>
      </c>
      <c r="Y237" t="s">
        <v>966</v>
      </c>
      <c r="Z237" t="s">
        <v>70</v>
      </c>
      <c r="AA237" t="b">
        <f>ISNUMBER(SEARCH(";"&amp;Lessons[[#This Row],[Instrument__c]]&amp;";",";"&amp;_xlfn.XLOOKUP(Lessons[[#This Row],[Instructor_External_Id__c]], Instructors[Id], Instructors[Instruments_Taught__c])&amp;";"))</f>
        <v>1</v>
      </c>
      <c r="AB237" t="str">
        <f>IF(LEFT(Lessons[[#This Row],[Status__c]],9)="Cancelled","",Lessons[[#This Row],[Instructor_External_Id__c]]&amp;"|"&amp;TEXT(Lessons[[#This Row],[Lesson_Date__c]],"yyyy-mm-dd")&amp;"|"&amp;Lessons[[#This Row],[Start_Time__c]])</f>
        <v>a06ak00000amzC1AAI|2026-04-14|15:30:00.000Z</v>
      </c>
      <c r="AC237">
        <f>IF(Lessons[[#This Row],[Double Booked Key]]="","",COUNTIF(Lessons[Double Booked Key],Lessons[[#This Row],[Double Booked Key]]))</f>
        <v>1</v>
      </c>
      <c r="AD237" s="6" t="str">
        <f>_xlfn.XLOOKUP(Lessons[[#This Row],[Location_External_Id__c]], Locations[Location Id], Locations[Location Name])</f>
        <v>Brick</v>
      </c>
      <c r="AE237" s="6" t="str">
        <f>TEXT(Lessons[[#This Row],[Lesson_Date__c]], "yyyy-mm")</f>
        <v>2026-04</v>
      </c>
      <c r="AF237" s="6" t="str">
        <f>IF(Lessons[[#This Row],[Lesson_Date__c]]&lt;=Data_Audit!$F$1, "Yes", "No")</f>
        <v>Yes</v>
      </c>
    </row>
    <row r="238" spans="1:32">
      <c r="A238" t="s">
        <v>52</v>
      </c>
      <c r="B238" t="s">
        <v>53</v>
      </c>
      <c r="C238">
        <v>30</v>
      </c>
      <c r="D238" t="s">
        <v>979</v>
      </c>
      <c r="E238" t="s">
        <v>243</v>
      </c>
      <c r="F238" t="s">
        <v>244</v>
      </c>
      <c r="H238" t="s">
        <v>237</v>
      </c>
      <c r="I238" t="b">
        <v>0</v>
      </c>
      <c r="K238" t="s">
        <v>52</v>
      </c>
      <c r="L238" t="s">
        <v>70</v>
      </c>
      <c r="O238" s="1">
        <v>46112</v>
      </c>
      <c r="P238" t="s">
        <v>980</v>
      </c>
      <c r="Q238" t="s">
        <v>981</v>
      </c>
      <c r="R238" t="s">
        <v>83</v>
      </c>
      <c r="S238" t="b">
        <v>0</v>
      </c>
      <c r="T238" t="b">
        <v>0</v>
      </c>
      <c r="U238" t="s">
        <v>981</v>
      </c>
      <c r="V238" t="s">
        <v>128</v>
      </c>
      <c r="W238" t="s">
        <v>65</v>
      </c>
      <c r="X238" t="s">
        <v>965</v>
      </c>
      <c r="Y238" t="s">
        <v>966</v>
      </c>
      <c r="Z238" t="s">
        <v>70</v>
      </c>
      <c r="AA238" t="b">
        <f>ISNUMBER(SEARCH(";"&amp;Lessons[[#This Row],[Instrument__c]]&amp;";",";"&amp;_xlfn.XLOOKUP(Lessons[[#This Row],[Instructor_External_Id__c]], Instructors[Id], Instructors[Instruments_Taught__c])&amp;";"))</f>
        <v>1</v>
      </c>
      <c r="AB238" t="str">
        <f>IF(LEFT(Lessons[[#This Row],[Status__c]],9)="Cancelled","",Lessons[[#This Row],[Instructor_External_Id__c]]&amp;"|"&amp;TEXT(Lessons[[#This Row],[Lesson_Date__c]],"yyyy-mm-dd")&amp;"|"&amp;Lessons[[#This Row],[Start_Time__c]])</f>
        <v>a06ak00000amzC1AAI|2026-03-31|18:30:00.000Z</v>
      </c>
      <c r="AC238">
        <f>IF(Lessons[[#This Row],[Double Booked Key]]="","",COUNTIF(Lessons[Double Booked Key],Lessons[[#This Row],[Double Booked Key]]))</f>
        <v>1</v>
      </c>
      <c r="AD238" s="6" t="str">
        <f>_xlfn.XLOOKUP(Lessons[[#This Row],[Location_External_Id__c]], Locations[Location Id], Locations[Location Name])</f>
        <v>Brick</v>
      </c>
      <c r="AE238" s="6" t="str">
        <f>TEXT(Lessons[[#This Row],[Lesson_Date__c]], "yyyy-mm")</f>
        <v>2026-03</v>
      </c>
      <c r="AF238" s="6" t="str">
        <f>IF(Lessons[[#This Row],[Lesson_Date__c]]&lt;=Data_Audit!$F$1, "Yes", "No")</f>
        <v>Yes</v>
      </c>
    </row>
    <row r="239" spans="1:32">
      <c r="A239" t="s">
        <v>52</v>
      </c>
      <c r="B239" t="s">
        <v>53</v>
      </c>
      <c r="C239">
        <v>30</v>
      </c>
      <c r="D239" t="s">
        <v>982</v>
      </c>
      <c r="E239" t="s">
        <v>983</v>
      </c>
      <c r="F239" t="s">
        <v>984</v>
      </c>
      <c r="G239" t="s">
        <v>106</v>
      </c>
      <c r="H239" t="s">
        <v>237</v>
      </c>
      <c r="I239" t="b">
        <v>0</v>
      </c>
      <c r="K239" t="s">
        <v>52</v>
      </c>
      <c r="L239" t="s">
        <v>70</v>
      </c>
      <c r="O239" s="1">
        <v>46206</v>
      </c>
      <c r="P239" t="s">
        <v>985</v>
      </c>
      <c r="Q239" t="s">
        <v>986</v>
      </c>
      <c r="R239" t="s">
        <v>63</v>
      </c>
      <c r="S239" t="b">
        <v>0</v>
      </c>
      <c r="T239" t="b">
        <v>0</v>
      </c>
      <c r="U239" t="s">
        <v>986</v>
      </c>
      <c r="V239" t="s">
        <v>120</v>
      </c>
      <c r="W239" t="s">
        <v>65</v>
      </c>
      <c r="X239" t="s">
        <v>987</v>
      </c>
      <c r="Y239" t="s">
        <v>988</v>
      </c>
      <c r="Z239" t="s">
        <v>70</v>
      </c>
      <c r="AA239" t="b">
        <f>ISNUMBER(SEARCH(";"&amp;Lessons[[#This Row],[Instrument__c]]&amp;";",";"&amp;_xlfn.XLOOKUP(Lessons[[#This Row],[Instructor_External_Id__c]], Instructors[Id], Instructors[Instruments_Taught__c])&amp;";"))</f>
        <v>1</v>
      </c>
      <c r="AB239" t="str">
        <f>IF(LEFT(Lessons[[#This Row],[Status__c]],9)="Cancelled","",Lessons[[#This Row],[Instructor_External_Id__c]]&amp;"|"&amp;TEXT(Lessons[[#This Row],[Lesson_Date__c]],"yyyy-mm-dd")&amp;"|"&amp;Lessons[[#This Row],[Start_Time__c]])</f>
        <v>a06ak00000amzBoAAI|2026-07-03|18:00:00.000Z</v>
      </c>
      <c r="AC239">
        <f>IF(Lessons[[#This Row],[Double Booked Key]]="","",COUNTIF(Lessons[Double Booked Key],Lessons[[#This Row],[Double Booked Key]]))</f>
        <v>1</v>
      </c>
      <c r="AD239" s="6" t="str">
        <f>_xlfn.XLOOKUP(Lessons[[#This Row],[Location_External_Id__c]], Locations[Location Id], Locations[Location Name])</f>
        <v>Red Bank</v>
      </c>
      <c r="AE239" s="6" t="str">
        <f>TEXT(Lessons[[#This Row],[Lesson_Date__c]], "yyyy-mm")</f>
        <v>2026-07</v>
      </c>
      <c r="AF239" s="6" t="str">
        <f>IF(Lessons[[#This Row],[Lesson_Date__c]]&lt;=Data_Audit!$F$1, "Yes", "No")</f>
        <v>Yes</v>
      </c>
    </row>
    <row r="240" spans="1:32">
      <c r="A240" t="s">
        <v>52</v>
      </c>
      <c r="B240" t="s">
        <v>53</v>
      </c>
      <c r="C240">
        <v>30</v>
      </c>
      <c r="D240" t="s">
        <v>989</v>
      </c>
      <c r="E240" t="s">
        <v>983</v>
      </c>
      <c r="F240" t="s">
        <v>984</v>
      </c>
      <c r="H240" t="s">
        <v>237</v>
      </c>
      <c r="I240" t="b">
        <v>0</v>
      </c>
      <c r="K240" t="s">
        <v>52</v>
      </c>
      <c r="L240" t="s">
        <v>70</v>
      </c>
      <c r="O240" s="1">
        <v>46103</v>
      </c>
      <c r="P240" t="s">
        <v>990</v>
      </c>
      <c r="Q240" t="s">
        <v>991</v>
      </c>
      <c r="R240" t="s">
        <v>63</v>
      </c>
      <c r="S240" t="b">
        <v>0</v>
      </c>
      <c r="T240" t="b">
        <v>0</v>
      </c>
      <c r="U240" t="s">
        <v>991</v>
      </c>
      <c r="V240" t="s">
        <v>120</v>
      </c>
      <c r="W240" t="s">
        <v>85</v>
      </c>
      <c r="X240" t="s">
        <v>987</v>
      </c>
      <c r="Y240" t="s">
        <v>988</v>
      </c>
      <c r="Z240" t="s">
        <v>70</v>
      </c>
      <c r="AA240" t="b">
        <f>ISNUMBER(SEARCH(";"&amp;Lessons[[#This Row],[Instrument__c]]&amp;";",";"&amp;_xlfn.XLOOKUP(Lessons[[#This Row],[Instructor_External_Id__c]], Instructors[Id], Instructors[Instruments_Taught__c])&amp;";"))</f>
        <v>1</v>
      </c>
      <c r="AB240" t="str">
        <f>IF(LEFT(Lessons[[#This Row],[Status__c]],9)="Cancelled","",Lessons[[#This Row],[Instructor_External_Id__c]]&amp;"|"&amp;TEXT(Lessons[[#This Row],[Lesson_Date__c]],"yyyy-mm-dd")&amp;"|"&amp;Lessons[[#This Row],[Start_Time__c]])</f>
        <v/>
      </c>
      <c r="AC240" t="str">
        <f>IF(Lessons[[#This Row],[Double Booked Key]]="","",COUNTIF(Lessons[Double Booked Key],Lessons[[#This Row],[Double Booked Key]]))</f>
        <v/>
      </c>
      <c r="AD240" s="6" t="str">
        <f>_xlfn.XLOOKUP(Lessons[[#This Row],[Location_External_Id__c]], Locations[Location Id], Locations[Location Name])</f>
        <v>Red Bank</v>
      </c>
      <c r="AE240" s="6" t="str">
        <f>TEXT(Lessons[[#This Row],[Lesson_Date__c]], "yyyy-mm")</f>
        <v>2026-03</v>
      </c>
      <c r="AF240" s="6" t="str">
        <f>IF(Lessons[[#This Row],[Lesson_Date__c]]&lt;=Data_Audit!$F$1, "Yes", "No")</f>
        <v>Yes</v>
      </c>
    </row>
    <row r="241" spans="1:32">
      <c r="A241" t="s">
        <v>52</v>
      </c>
      <c r="B241" t="s">
        <v>53</v>
      </c>
      <c r="C241">
        <v>45</v>
      </c>
      <c r="D241" t="s">
        <v>992</v>
      </c>
      <c r="E241" t="s">
        <v>983</v>
      </c>
      <c r="F241" t="s">
        <v>984</v>
      </c>
      <c r="H241" t="s">
        <v>237</v>
      </c>
      <c r="I241" t="b">
        <v>0</v>
      </c>
      <c r="K241" t="s">
        <v>52</v>
      </c>
      <c r="L241" t="s">
        <v>70</v>
      </c>
      <c r="O241" s="1">
        <v>46094</v>
      </c>
      <c r="P241" t="s">
        <v>993</v>
      </c>
      <c r="Q241" t="s">
        <v>994</v>
      </c>
      <c r="R241" t="s">
        <v>63</v>
      </c>
      <c r="S241" t="b">
        <v>0</v>
      </c>
      <c r="T241" t="b">
        <v>0</v>
      </c>
      <c r="U241" t="s">
        <v>994</v>
      </c>
      <c r="V241" t="s">
        <v>64</v>
      </c>
      <c r="W241" t="s">
        <v>85</v>
      </c>
      <c r="X241" t="s">
        <v>987</v>
      </c>
      <c r="Y241" t="s">
        <v>988</v>
      </c>
      <c r="Z241" t="s">
        <v>70</v>
      </c>
      <c r="AA241" t="b">
        <f>ISNUMBER(SEARCH(";"&amp;Lessons[[#This Row],[Instrument__c]]&amp;";",";"&amp;_xlfn.XLOOKUP(Lessons[[#This Row],[Instructor_External_Id__c]], Instructors[Id], Instructors[Instruments_Taught__c])&amp;";"))</f>
        <v>1</v>
      </c>
      <c r="AB241" t="str">
        <f>IF(LEFT(Lessons[[#This Row],[Status__c]],9)="Cancelled","",Lessons[[#This Row],[Instructor_External_Id__c]]&amp;"|"&amp;TEXT(Lessons[[#This Row],[Lesson_Date__c]],"yyyy-mm-dd")&amp;"|"&amp;Lessons[[#This Row],[Start_Time__c]])</f>
        <v/>
      </c>
      <c r="AC241" t="str">
        <f>IF(Lessons[[#This Row],[Double Booked Key]]="","",COUNTIF(Lessons[Double Booked Key],Lessons[[#This Row],[Double Booked Key]]))</f>
        <v/>
      </c>
      <c r="AD241" s="6" t="str">
        <f>_xlfn.XLOOKUP(Lessons[[#This Row],[Location_External_Id__c]], Locations[Location Id], Locations[Location Name])</f>
        <v>Red Bank</v>
      </c>
      <c r="AE241" s="6" t="str">
        <f>TEXT(Lessons[[#This Row],[Lesson_Date__c]], "yyyy-mm")</f>
        <v>2026-03</v>
      </c>
      <c r="AF241" s="6" t="str">
        <f>IF(Lessons[[#This Row],[Lesson_Date__c]]&lt;=Data_Audit!$F$1, "Yes", "No")</f>
        <v>Yes</v>
      </c>
    </row>
    <row r="242" spans="1:32">
      <c r="A242" t="s">
        <v>52</v>
      </c>
      <c r="B242" t="s">
        <v>53</v>
      </c>
      <c r="C242">
        <v>30</v>
      </c>
      <c r="D242" t="s">
        <v>995</v>
      </c>
      <c r="E242" t="s">
        <v>983</v>
      </c>
      <c r="F242" t="s">
        <v>984</v>
      </c>
      <c r="G242" t="s">
        <v>164</v>
      </c>
      <c r="H242" t="s">
        <v>237</v>
      </c>
      <c r="I242" t="b">
        <v>0</v>
      </c>
      <c r="K242" t="s">
        <v>52</v>
      </c>
      <c r="L242" t="s">
        <v>70</v>
      </c>
      <c r="O242" s="1">
        <v>46192</v>
      </c>
      <c r="P242" t="s">
        <v>996</v>
      </c>
      <c r="Q242" t="s">
        <v>997</v>
      </c>
      <c r="R242" t="s">
        <v>63</v>
      </c>
      <c r="S242" t="b">
        <v>0</v>
      </c>
      <c r="T242" t="b">
        <v>0</v>
      </c>
      <c r="U242" t="s">
        <v>997</v>
      </c>
      <c r="V242" t="s">
        <v>94</v>
      </c>
      <c r="W242" t="s">
        <v>65</v>
      </c>
      <c r="X242" t="s">
        <v>987</v>
      </c>
      <c r="Y242" t="s">
        <v>988</v>
      </c>
      <c r="Z242" t="s">
        <v>70</v>
      </c>
      <c r="AA242" t="b">
        <f>ISNUMBER(SEARCH(";"&amp;Lessons[[#This Row],[Instrument__c]]&amp;";",";"&amp;_xlfn.XLOOKUP(Lessons[[#This Row],[Instructor_External_Id__c]], Instructors[Id], Instructors[Instruments_Taught__c])&amp;";"))</f>
        <v>1</v>
      </c>
      <c r="AB242" t="str">
        <f>IF(LEFT(Lessons[[#This Row],[Status__c]],9)="Cancelled","",Lessons[[#This Row],[Instructor_External_Id__c]]&amp;"|"&amp;TEXT(Lessons[[#This Row],[Lesson_Date__c]],"yyyy-mm-dd")&amp;"|"&amp;Lessons[[#This Row],[Start_Time__c]])</f>
        <v>a06ak00000amzBoAAI|2026-06-19|19:00:00.000Z</v>
      </c>
      <c r="AC242">
        <f>IF(Lessons[[#This Row],[Double Booked Key]]="","",COUNTIF(Lessons[Double Booked Key],Lessons[[#This Row],[Double Booked Key]]))</f>
        <v>1</v>
      </c>
      <c r="AD242" s="6" t="str">
        <f>_xlfn.XLOOKUP(Lessons[[#This Row],[Location_External_Id__c]], Locations[Location Id], Locations[Location Name])</f>
        <v>Red Bank</v>
      </c>
      <c r="AE242" s="6" t="str">
        <f>TEXT(Lessons[[#This Row],[Lesson_Date__c]], "yyyy-mm")</f>
        <v>2026-06</v>
      </c>
      <c r="AF242" s="6" t="str">
        <f>IF(Lessons[[#This Row],[Lesson_Date__c]]&lt;=Data_Audit!$F$1, "Yes", "No")</f>
        <v>Yes</v>
      </c>
    </row>
    <row r="243" spans="1:32">
      <c r="A243" t="s">
        <v>52</v>
      </c>
      <c r="B243" t="s">
        <v>53</v>
      </c>
      <c r="C243">
        <v>30</v>
      </c>
      <c r="D243" t="s">
        <v>998</v>
      </c>
      <c r="E243" t="s">
        <v>983</v>
      </c>
      <c r="F243" t="s">
        <v>984</v>
      </c>
      <c r="G243" t="s">
        <v>164</v>
      </c>
      <c r="H243" t="s">
        <v>237</v>
      </c>
      <c r="I243" t="b">
        <v>0</v>
      </c>
      <c r="K243" t="s">
        <v>52</v>
      </c>
      <c r="L243" t="s">
        <v>70</v>
      </c>
      <c r="O243" s="1">
        <v>46225</v>
      </c>
      <c r="P243" t="s">
        <v>999</v>
      </c>
      <c r="Q243" t="s">
        <v>1000</v>
      </c>
      <c r="R243" t="s">
        <v>63</v>
      </c>
      <c r="S243" t="b">
        <v>0</v>
      </c>
      <c r="T243" t="b">
        <v>0</v>
      </c>
      <c r="U243" t="s">
        <v>1000</v>
      </c>
      <c r="V243" t="s">
        <v>94</v>
      </c>
      <c r="W243" t="s">
        <v>65</v>
      </c>
      <c r="X243" t="s">
        <v>987</v>
      </c>
      <c r="Y243" t="s">
        <v>988</v>
      </c>
      <c r="Z243" t="s">
        <v>70</v>
      </c>
      <c r="AA243" t="b">
        <f>ISNUMBER(SEARCH(";"&amp;Lessons[[#This Row],[Instrument__c]]&amp;";",";"&amp;_xlfn.XLOOKUP(Lessons[[#This Row],[Instructor_External_Id__c]], Instructors[Id], Instructors[Instruments_Taught__c])&amp;";"))</f>
        <v>1</v>
      </c>
      <c r="AB243" t="str">
        <f>IF(LEFT(Lessons[[#This Row],[Status__c]],9)="Cancelled","",Lessons[[#This Row],[Instructor_External_Id__c]]&amp;"|"&amp;TEXT(Lessons[[#This Row],[Lesson_Date__c]],"yyyy-mm-dd")&amp;"|"&amp;Lessons[[#This Row],[Start_Time__c]])</f>
        <v>a06ak00000amzBoAAI|2026-07-22|19:00:00.000Z</v>
      </c>
      <c r="AC243">
        <f>IF(Lessons[[#This Row],[Double Booked Key]]="","",COUNTIF(Lessons[Double Booked Key],Lessons[[#This Row],[Double Booked Key]]))</f>
        <v>1</v>
      </c>
      <c r="AD243" s="6" t="str">
        <f>_xlfn.XLOOKUP(Lessons[[#This Row],[Location_External_Id__c]], Locations[Location Id], Locations[Location Name])</f>
        <v>Red Bank</v>
      </c>
      <c r="AE243" s="6" t="str">
        <f>TEXT(Lessons[[#This Row],[Lesson_Date__c]], "yyyy-mm")</f>
        <v>2026-07</v>
      </c>
      <c r="AF243" s="6" t="str">
        <f>IF(Lessons[[#This Row],[Lesson_Date__c]]&lt;=Data_Audit!$F$1, "Yes", "No")</f>
        <v>Yes</v>
      </c>
    </row>
    <row r="244" spans="1:32">
      <c r="A244" t="s">
        <v>52</v>
      </c>
      <c r="B244" t="s">
        <v>53</v>
      </c>
      <c r="C244">
        <v>45</v>
      </c>
      <c r="D244" t="s">
        <v>1001</v>
      </c>
      <c r="E244" t="s">
        <v>235</v>
      </c>
      <c r="F244" t="s">
        <v>236</v>
      </c>
      <c r="H244" t="s">
        <v>237</v>
      </c>
      <c r="I244" t="b">
        <v>0</v>
      </c>
      <c r="K244" t="s">
        <v>52</v>
      </c>
      <c r="L244" t="s">
        <v>70</v>
      </c>
      <c r="O244" s="1">
        <v>46072</v>
      </c>
      <c r="P244" t="s">
        <v>1002</v>
      </c>
      <c r="Q244" t="s">
        <v>1003</v>
      </c>
      <c r="R244" t="s">
        <v>150</v>
      </c>
      <c r="S244" t="b">
        <v>0</v>
      </c>
      <c r="T244" t="b">
        <v>0</v>
      </c>
      <c r="U244" t="s">
        <v>1003</v>
      </c>
      <c r="V244" t="s">
        <v>116</v>
      </c>
      <c r="W244" t="s">
        <v>121</v>
      </c>
      <c r="X244" t="s">
        <v>1004</v>
      </c>
      <c r="Y244" t="s">
        <v>1005</v>
      </c>
      <c r="Z244" t="s">
        <v>70</v>
      </c>
      <c r="AA244" t="b">
        <f>ISNUMBER(SEARCH(";"&amp;Lessons[[#This Row],[Instrument__c]]&amp;";",";"&amp;_xlfn.XLOOKUP(Lessons[[#This Row],[Instructor_External_Id__c]], Instructors[Id], Instructors[Instruments_Taught__c])&amp;";"))</f>
        <v>1</v>
      </c>
      <c r="AB244" t="str">
        <f>IF(LEFT(Lessons[[#This Row],[Status__c]],9)="Cancelled","",Lessons[[#This Row],[Instructor_External_Id__c]]&amp;"|"&amp;TEXT(Lessons[[#This Row],[Lesson_Date__c]],"yyyy-mm-dd")&amp;"|"&amp;Lessons[[#This Row],[Start_Time__c]])</f>
        <v>a06ak00000amzC5AAI|2026-02-19|17:30:00.000Z</v>
      </c>
      <c r="AC244">
        <f>IF(Lessons[[#This Row],[Double Booked Key]]="","",COUNTIF(Lessons[Double Booked Key],Lessons[[#This Row],[Double Booked Key]]))</f>
        <v>1</v>
      </c>
      <c r="AD244" s="6" t="str">
        <f>_xlfn.XLOOKUP(Lessons[[#This Row],[Location_External_Id__c]], Locations[Location Id], Locations[Location Name])</f>
        <v>Toms River</v>
      </c>
      <c r="AE244" s="6" t="str">
        <f>TEXT(Lessons[[#This Row],[Lesson_Date__c]], "yyyy-mm")</f>
        <v>2026-02</v>
      </c>
      <c r="AF244" s="6" t="str">
        <f>IF(Lessons[[#This Row],[Lesson_Date__c]]&lt;=Data_Audit!$F$1, "Yes", "No")</f>
        <v>Yes</v>
      </c>
    </row>
    <row r="245" spans="1:32">
      <c r="A245" t="s">
        <v>52</v>
      </c>
      <c r="B245" t="s">
        <v>53</v>
      </c>
      <c r="C245">
        <v>30</v>
      </c>
      <c r="D245" t="s">
        <v>1006</v>
      </c>
      <c r="E245" t="s">
        <v>235</v>
      </c>
      <c r="F245" t="s">
        <v>236</v>
      </c>
      <c r="G245" t="s">
        <v>106</v>
      </c>
      <c r="H245" t="s">
        <v>237</v>
      </c>
      <c r="I245" t="b">
        <v>0</v>
      </c>
      <c r="K245" t="s">
        <v>52</v>
      </c>
      <c r="L245" t="s">
        <v>70</v>
      </c>
      <c r="O245" s="1">
        <v>46161</v>
      </c>
      <c r="P245" t="s">
        <v>1007</v>
      </c>
      <c r="Q245" t="s">
        <v>1008</v>
      </c>
      <c r="R245" t="s">
        <v>150</v>
      </c>
      <c r="S245" t="b">
        <v>0</v>
      </c>
      <c r="T245" t="b">
        <v>0</v>
      </c>
      <c r="U245" t="s">
        <v>1008</v>
      </c>
      <c r="V245" t="s">
        <v>135</v>
      </c>
      <c r="W245" t="s">
        <v>65</v>
      </c>
      <c r="X245" t="s">
        <v>1004</v>
      </c>
      <c r="Y245" t="s">
        <v>1005</v>
      </c>
      <c r="Z245" t="s">
        <v>70</v>
      </c>
      <c r="AA245" t="b">
        <f>ISNUMBER(SEARCH(";"&amp;Lessons[[#This Row],[Instrument__c]]&amp;";",";"&amp;_xlfn.XLOOKUP(Lessons[[#This Row],[Instructor_External_Id__c]], Instructors[Id], Instructors[Instruments_Taught__c])&amp;";"))</f>
        <v>1</v>
      </c>
      <c r="AB245" t="str">
        <f>IF(LEFT(Lessons[[#This Row],[Status__c]],9)="Cancelled","",Lessons[[#This Row],[Instructor_External_Id__c]]&amp;"|"&amp;TEXT(Lessons[[#This Row],[Lesson_Date__c]],"yyyy-mm-dd")&amp;"|"&amp;Lessons[[#This Row],[Start_Time__c]])</f>
        <v>a06ak00000amzC5AAI|2026-05-19|15:30:00.000Z</v>
      </c>
      <c r="AC245">
        <f>IF(Lessons[[#This Row],[Double Booked Key]]="","",COUNTIF(Lessons[Double Booked Key],Lessons[[#This Row],[Double Booked Key]]))</f>
        <v>1</v>
      </c>
      <c r="AD245" s="6" t="str">
        <f>_xlfn.XLOOKUP(Lessons[[#This Row],[Location_External_Id__c]], Locations[Location Id], Locations[Location Name])</f>
        <v>Toms River</v>
      </c>
      <c r="AE245" s="6" t="str">
        <f>TEXT(Lessons[[#This Row],[Lesson_Date__c]], "yyyy-mm")</f>
        <v>2026-05</v>
      </c>
      <c r="AF245" s="6" t="str">
        <f>IF(Lessons[[#This Row],[Lesson_Date__c]]&lt;=Data_Audit!$F$1, "Yes", "No")</f>
        <v>Yes</v>
      </c>
    </row>
    <row r="246" spans="1:32">
      <c r="A246" t="s">
        <v>52</v>
      </c>
      <c r="B246" t="s">
        <v>53</v>
      </c>
      <c r="C246">
        <v>45</v>
      </c>
      <c r="D246" t="s">
        <v>1009</v>
      </c>
      <c r="E246" t="s">
        <v>235</v>
      </c>
      <c r="F246" t="s">
        <v>236</v>
      </c>
      <c r="H246" t="s">
        <v>237</v>
      </c>
      <c r="I246" t="b">
        <v>0</v>
      </c>
      <c r="K246" t="s">
        <v>52</v>
      </c>
      <c r="L246" t="s">
        <v>70</v>
      </c>
      <c r="O246" s="1">
        <v>46287</v>
      </c>
      <c r="P246" t="s">
        <v>1010</v>
      </c>
      <c r="Q246" t="s">
        <v>1011</v>
      </c>
      <c r="R246" t="s">
        <v>150</v>
      </c>
      <c r="S246" t="b">
        <v>1</v>
      </c>
      <c r="T246" t="b">
        <v>1</v>
      </c>
      <c r="U246" t="s">
        <v>1011</v>
      </c>
      <c r="V246" t="s">
        <v>102</v>
      </c>
      <c r="W246" t="s">
        <v>136</v>
      </c>
      <c r="X246" t="s">
        <v>1004</v>
      </c>
      <c r="Y246" t="s">
        <v>1005</v>
      </c>
      <c r="Z246" t="s">
        <v>70</v>
      </c>
      <c r="AA246" t="b">
        <f>ISNUMBER(SEARCH(";"&amp;Lessons[[#This Row],[Instrument__c]]&amp;";",";"&amp;_xlfn.XLOOKUP(Lessons[[#This Row],[Instructor_External_Id__c]], Instructors[Id], Instructors[Instruments_Taught__c])&amp;";"))</f>
        <v>1</v>
      </c>
      <c r="AB246" t="str">
        <f>IF(LEFT(Lessons[[#This Row],[Status__c]],9)="Cancelled","",Lessons[[#This Row],[Instructor_External_Id__c]]&amp;"|"&amp;TEXT(Lessons[[#This Row],[Lesson_Date__c]],"yyyy-mm-dd")&amp;"|"&amp;Lessons[[#This Row],[Start_Time__c]])</f>
        <v/>
      </c>
      <c r="AC246" t="str">
        <f>IF(Lessons[[#This Row],[Double Booked Key]]="","",COUNTIF(Lessons[Double Booked Key],Lessons[[#This Row],[Double Booked Key]]))</f>
        <v/>
      </c>
      <c r="AD246" s="6" t="str">
        <f>_xlfn.XLOOKUP(Lessons[[#This Row],[Location_External_Id__c]], Locations[Location Id], Locations[Location Name])</f>
        <v>Toms River</v>
      </c>
      <c r="AE246" s="6" t="str">
        <f>TEXT(Lessons[[#This Row],[Lesson_Date__c]], "yyyy-mm")</f>
        <v>2026-09</v>
      </c>
      <c r="AF246" s="6" t="str">
        <f>IF(Lessons[[#This Row],[Lesson_Date__c]]&lt;=Data_Audit!$F$1, "Yes", "No")</f>
        <v>Yes</v>
      </c>
    </row>
    <row r="247" spans="1:32">
      <c r="A247" t="s">
        <v>52</v>
      </c>
      <c r="B247" t="s">
        <v>53</v>
      </c>
      <c r="C247">
        <v>45</v>
      </c>
      <c r="D247" t="s">
        <v>1012</v>
      </c>
      <c r="E247" t="s">
        <v>235</v>
      </c>
      <c r="F247" t="s">
        <v>236</v>
      </c>
      <c r="H247" t="s">
        <v>237</v>
      </c>
      <c r="I247" t="b">
        <v>0</v>
      </c>
      <c r="K247" t="s">
        <v>52</v>
      </c>
      <c r="L247" t="s">
        <v>70</v>
      </c>
      <c r="O247" s="1">
        <v>46049</v>
      </c>
      <c r="P247" t="s">
        <v>1013</v>
      </c>
      <c r="Q247" t="s">
        <v>1014</v>
      </c>
      <c r="R247" t="s">
        <v>150</v>
      </c>
      <c r="S247" t="b">
        <v>0</v>
      </c>
      <c r="T247" t="b">
        <v>0</v>
      </c>
      <c r="U247" t="s">
        <v>1014</v>
      </c>
      <c r="V247" t="s">
        <v>116</v>
      </c>
      <c r="W247" t="s">
        <v>85</v>
      </c>
      <c r="X247" t="s">
        <v>1004</v>
      </c>
      <c r="Y247" t="s">
        <v>1005</v>
      </c>
      <c r="Z247" t="s">
        <v>70</v>
      </c>
      <c r="AA247" t="b">
        <f>ISNUMBER(SEARCH(";"&amp;Lessons[[#This Row],[Instrument__c]]&amp;";",";"&amp;_xlfn.XLOOKUP(Lessons[[#This Row],[Instructor_External_Id__c]], Instructors[Id], Instructors[Instruments_Taught__c])&amp;";"))</f>
        <v>1</v>
      </c>
      <c r="AB247" t="str">
        <f>IF(LEFT(Lessons[[#This Row],[Status__c]],9)="Cancelled","",Lessons[[#This Row],[Instructor_External_Id__c]]&amp;"|"&amp;TEXT(Lessons[[#This Row],[Lesson_Date__c]],"yyyy-mm-dd")&amp;"|"&amp;Lessons[[#This Row],[Start_Time__c]])</f>
        <v/>
      </c>
      <c r="AC247" t="str">
        <f>IF(Lessons[[#This Row],[Double Booked Key]]="","",COUNTIF(Lessons[Double Booked Key],Lessons[[#This Row],[Double Booked Key]]))</f>
        <v/>
      </c>
      <c r="AD247" s="6" t="str">
        <f>_xlfn.XLOOKUP(Lessons[[#This Row],[Location_External_Id__c]], Locations[Location Id], Locations[Location Name])</f>
        <v>Toms River</v>
      </c>
      <c r="AE247" s="6" t="str">
        <f>TEXT(Lessons[[#This Row],[Lesson_Date__c]], "yyyy-mm")</f>
        <v>2026-01</v>
      </c>
      <c r="AF247" s="6" t="str">
        <f>IF(Lessons[[#This Row],[Lesson_Date__c]]&lt;=Data_Audit!$F$1, "Yes", "No")</f>
        <v>Yes</v>
      </c>
    </row>
    <row r="248" spans="1:32">
      <c r="A248" t="s">
        <v>52</v>
      </c>
      <c r="B248" t="s">
        <v>53</v>
      </c>
      <c r="C248">
        <v>60</v>
      </c>
      <c r="D248" t="s">
        <v>1015</v>
      </c>
      <c r="E248" t="s">
        <v>235</v>
      </c>
      <c r="F248" t="s">
        <v>236</v>
      </c>
      <c r="G248" t="s">
        <v>106</v>
      </c>
      <c r="H248" t="s">
        <v>237</v>
      </c>
      <c r="I248" t="b">
        <v>0</v>
      </c>
      <c r="K248" t="s">
        <v>52</v>
      </c>
      <c r="L248" t="s">
        <v>70</v>
      </c>
      <c r="O248" s="1">
        <v>46207</v>
      </c>
      <c r="P248" t="s">
        <v>1016</v>
      </c>
      <c r="Q248" t="s">
        <v>1017</v>
      </c>
      <c r="R248" t="s">
        <v>150</v>
      </c>
      <c r="S248" t="b">
        <v>0</v>
      </c>
      <c r="T248" t="b">
        <v>0</v>
      </c>
      <c r="U248" t="s">
        <v>1017</v>
      </c>
      <c r="V248" t="s">
        <v>110</v>
      </c>
      <c r="W248" t="s">
        <v>65</v>
      </c>
      <c r="X248" t="s">
        <v>1004</v>
      </c>
      <c r="Y248" t="s">
        <v>1005</v>
      </c>
      <c r="Z248" t="s">
        <v>70</v>
      </c>
      <c r="AA248" t="b">
        <f>ISNUMBER(SEARCH(";"&amp;Lessons[[#This Row],[Instrument__c]]&amp;";",";"&amp;_xlfn.XLOOKUP(Lessons[[#This Row],[Instructor_External_Id__c]], Instructors[Id], Instructors[Instruments_Taught__c])&amp;";"))</f>
        <v>1</v>
      </c>
      <c r="AB248" t="str">
        <f>IF(LEFT(Lessons[[#This Row],[Status__c]],9)="Cancelled","",Lessons[[#This Row],[Instructor_External_Id__c]]&amp;"|"&amp;TEXT(Lessons[[#This Row],[Lesson_Date__c]],"yyyy-mm-dd")&amp;"|"&amp;Lessons[[#This Row],[Start_Time__c]])</f>
        <v>a06ak00000amzC5AAI|2026-07-04|10:00:00.000Z</v>
      </c>
      <c r="AC248">
        <f>IF(Lessons[[#This Row],[Double Booked Key]]="","",COUNTIF(Lessons[Double Booked Key],Lessons[[#This Row],[Double Booked Key]]))</f>
        <v>1</v>
      </c>
      <c r="AD248" s="6" t="str">
        <f>_xlfn.XLOOKUP(Lessons[[#This Row],[Location_External_Id__c]], Locations[Location Id], Locations[Location Name])</f>
        <v>Toms River</v>
      </c>
      <c r="AE248" s="6" t="str">
        <f>TEXT(Lessons[[#This Row],[Lesson_Date__c]], "yyyy-mm")</f>
        <v>2026-07</v>
      </c>
      <c r="AF248" s="6" t="str">
        <f>IF(Lessons[[#This Row],[Lesson_Date__c]]&lt;=Data_Audit!$F$1, "Yes", "No")</f>
        <v>Yes</v>
      </c>
    </row>
    <row r="249" spans="1:32">
      <c r="A249" t="s">
        <v>52</v>
      </c>
      <c r="B249" t="s">
        <v>53</v>
      </c>
      <c r="C249">
        <v>60</v>
      </c>
      <c r="D249" t="s">
        <v>1018</v>
      </c>
      <c r="E249" t="s">
        <v>318</v>
      </c>
      <c r="F249" t="s">
        <v>319</v>
      </c>
      <c r="G249" t="s">
        <v>69</v>
      </c>
      <c r="H249" t="s">
        <v>237</v>
      </c>
      <c r="I249" t="b">
        <v>0</v>
      </c>
      <c r="K249" t="s">
        <v>52</v>
      </c>
      <c r="L249" t="s">
        <v>79</v>
      </c>
      <c r="O249" s="1">
        <v>46294</v>
      </c>
      <c r="P249" t="s">
        <v>1019</v>
      </c>
      <c r="Q249" t="s">
        <v>1020</v>
      </c>
      <c r="R249" t="s">
        <v>150</v>
      </c>
      <c r="S249" t="b">
        <v>0</v>
      </c>
      <c r="T249" t="b">
        <v>0</v>
      </c>
      <c r="U249" t="s">
        <v>1020</v>
      </c>
      <c r="V249" t="s">
        <v>116</v>
      </c>
      <c r="W249" t="s">
        <v>65</v>
      </c>
      <c r="X249" t="s">
        <v>1004</v>
      </c>
      <c r="Y249" t="s">
        <v>1005</v>
      </c>
      <c r="Z249" t="s">
        <v>79</v>
      </c>
      <c r="AA249" t="b">
        <f>ISNUMBER(SEARCH(";"&amp;Lessons[[#This Row],[Instrument__c]]&amp;";",";"&amp;_xlfn.XLOOKUP(Lessons[[#This Row],[Instructor_External_Id__c]], Instructors[Id], Instructors[Instruments_Taught__c])&amp;";"))</f>
        <v>1</v>
      </c>
      <c r="AB249" t="str">
        <f>IF(LEFT(Lessons[[#This Row],[Status__c]],9)="Cancelled","",Lessons[[#This Row],[Instructor_External_Id__c]]&amp;"|"&amp;TEXT(Lessons[[#This Row],[Lesson_Date__c]],"yyyy-mm-dd")&amp;"|"&amp;Lessons[[#This Row],[Start_Time__c]])</f>
        <v>a06ak00000amzBzAAI|2026-09-29|17:30:00.000Z</v>
      </c>
      <c r="AC249">
        <f>IF(Lessons[[#This Row],[Double Booked Key]]="","",COUNTIF(Lessons[Double Booked Key],Lessons[[#This Row],[Double Booked Key]]))</f>
        <v>1</v>
      </c>
      <c r="AD249" s="6" t="str">
        <f>_xlfn.XLOOKUP(Lessons[[#This Row],[Location_External_Id__c]], Locations[Location Id], Locations[Location Name])</f>
        <v>Toms River</v>
      </c>
      <c r="AE249" s="6" t="str">
        <f>TEXT(Lessons[[#This Row],[Lesson_Date__c]], "yyyy-mm")</f>
        <v>2026-09</v>
      </c>
      <c r="AF249" s="6" t="str">
        <f>IF(Lessons[[#This Row],[Lesson_Date__c]]&lt;=Data_Audit!$F$1, "Yes", "No")</f>
        <v>Yes</v>
      </c>
    </row>
    <row r="250" spans="1:32">
      <c r="A250" t="s">
        <v>52</v>
      </c>
      <c r="B250" t="s">
        <v>53</v>
      </c>
      <c r="C250">
        <v>60</v>
      </c>
      <c r="D250" t="s">
        <v>1021</v>
      </c>
      <c r="E250" t="s">
        <v>235</v>
      </c>
      <c r="F250" t="s">
        <v>236</v>
      </c>
      <c r="G250" t="s">
        <v>69</v>
      </c>
      <c r="H250" t="s">
        <v>237</v>
      </c>
      <c r="I250" t="b">
        <v>0</v>
      </c>
      <c r="K250" t="s">
        <v>52</v>
      </c>
      <c r="L250" t="s">
        <v>70</v>
      </c>
      <c r="O250" s="1">
        <v>46237</v>
      </c>
      <c r="P250" t="s">
        <v>1022</v>
      </c>
      <c r="Q250" t="s">
        <v>1023</v>
      </c>
      <c r="R250" t="s">
        <v>150</v>
      </c>
      <c r="S250" t="b">
        <v>0</v>
      </c>
      <c r="T250" t="b">
        <v>0</v>
      </c>
      <c r="U250" t="s">
        <v>1023</v>
      </c>
      <c r="V250" t="s">
        <v>140</v>
      </c>
      <c r="W250" t="s">
        <v>65</v>
      </c>
      <c r="X250" t="s">
        <v>1004</v>
      </c>
      <c r="Y250" t="s">
        <v>1005</v>
      </c>
      <c r="Z250" t="s">
        <v>70</v>
      </c>
      <c r="AA250" t="b">
        <f>ISNUMBER(SEARCH(";"&amp;Lessons[[#This Row],[Instrument__c]]&amp;";",";"&amp;_xlfn.XLOOKUP(Lessons[[#This Row],[Instructor_External_Id__c]], Instructors[Id], Instructors[Instruments_Taught__c])&amp;";"))</f>
        <v>1</v>
      </c>
      <c r="AB250" t="str">
        <f>IF(LEFT(Lessons[[#This Row],[Status__c]],9)="Cancelled","",Lessons[[#This Row],[Instructor_External_Id__c]]&amp;"|"&amp;TEXT(Lessons[[#This Row],[Lesson_Date__c]],"yyyy-mm-dd")&amp;"|"&amp;Lessons[[#This Row],[Start_Time__c]])</f>
        <v>a06ak00000amzC5AAI|2026-08-03|15:00:00.000Z</v>
      </c>
      <c r="AC250">
        <f>IF(Lessons[[#This Row],[Double Booked Key]]="","",COUNTIF(Lessons[Double Booked Key],Lessons[[#This Row],[Double Booked Key]]))</f>
        <v>1</v>
      </c>
      <c r="AD250" s="6" t="str">
        <f>_xlfn.XLOOKUP(Lessons[[#This Row],[Location_External_Id__c]], Locations[Location Id], Locations[Location Name])</f>
        <v>Toms River</v>
      </c>
      <c r="AE250" s="6" t="str">
        <f>TEXT(Lessons[[#This Row],[Lesson_Date__c]], "yyyy-mm")</f>
        <v>2026-08</v>
      </c>
      <c r="AF250" s="6" t="str">
        <f>IF(Lessons[[#This Row],[Lesson_Date__c]]&lt;=Data_Audit!$F$1, "Yes", "No")</f>
        <v>Yes</v>
      </c>
    </row>
    <row r="251" spans="1:32">
      <c r="A251" t="s">
        <v>52</v>
      </c>
      <c r="B251" t="s">
        <v>53</v>
      </c>
      <c r="C251">
        <v>30</v>
      </c>
      <c r="D251" t="s">
        <v>1024</v>
      </c>
      <c r="E251" t="s">
        <v>235</v>
      </c>
      <c r="F251" t="s">
        <v>236</v>
      </c>
      <c r="H251" t="s">
        <v>237</v>
      </c>
      <c r="I251" t="b">
        <v>0</v>
      </c>
      <c r="K251" t="s">
        <v>52</v>
      </c>
      <c r="L251" t="s">
        <v>171</v>
      </c>
      <c r="O251" s="1">
        <v>46068</v>
      </c>
      <c r="P251" t="s">
        <v>1025</v>
      </c>
      <c r="Q251" t="s">
        <v>1026</v>
      </c>
      <c r="R251" t="s">
        <v>150</v>
      </c>
      <c r="S251" t="b">
        <v>1</v>
      </c>
      <c r="T251" t="b">
        <v>1</v>
      </c>
      <c r="U251" t="s">
        <v>1026</v>
      </c>
      <c r="V251" t="s">
        <v>110</v>
      </c>
      <c r="W251" t="s">
        <v>136</v>
      </c>
      <c r="X251" t="s">
        <v>1004</v>
      </c>
      <c r="Y251" t="s">
        <v>1005</v>
      </c>
      <c r="Z251" t="s">
        <v>171</v>
      </c>
      <c r="AA251" t="b">
        <f>ISNUMBER(SEARCH(";"&amp;Lessons[[#This Row],[Instrument__c]]&amp;";",";"&amp;_xlfn.XLOOKUP(Lessons[[#This Row],[Instructor_External_Id__c]], Instructors[Id], Instructors[Instruments_Taught__c])&amp;";"))</f>
        <v>1</v>
      </c>
      <c r="AB251" t="str">
        <f>IF(LEFT(Lessons[[#This Row],[Status__c]],9)="Cancelled","",Lessons[[#This Row],[Instructor_External_Id__c]]&amp;"|"&amp;TEXT(Lessons[[#This Row],[Lesson_Date__c]],"yyyy-mm-dd")&amp;"|"&amp;Lessons[[#This Row],[Start_Time__c]])</f>
        <v/>
      </c>
      <c r="AC251" t="str">
        <f>IF(Lessons[[#This Row],[Double Booked Key]]="","",COUNTIF(Lessons[Double Booked Key],Lessons[[#This Row],[Double Booked Key]]))</f>
        <v/>
      </c>
      <c r="AD251" s="6" t="str">
        <f>_xlfn.XLOOKUP(Lessons[[#This Row],[Location_External_Id__c]], Locations[Location Id], Locations[Location Name])</f>
        <v>Toms River</v>
      </c>
      <c r="AE251" s="6" t="str">
        <f>TEXT(Lessons[[#This Row],[Lesson_Date__c]], "yyyy-mm")</f>
        <v>2026-02</v>
      </c>
      <c r="AF251" s="6" t="str">
        <f>IF(Lessons[[#This Row],[Lesson_Date__c]]&lt;=Data_Audit!$F$1, "Yes", "No")</f>
        <v>Yes</v>
      </c>
    </row>
    <row r="252" spans="1:32">
      <c r="A252" t="s">
        <v>52</v>
      </c>
      <c r="B252" t="s">
        <v>53</v>
      </c>
      <c r="C252">
        <v>45</v>
      </c>
      <c r="D252" t="s">
        <v>1027</v>
      </c>
      <c r="E252" t="s">
        <v>235</v>
      </c>
      <c r="F252" t="s">
        <v>236</v>
      </c>
      <c r="G252" t="s">
        <v>69</v>
      </c>
      <c r="H252" t="s">
        <v>237</v>
      </c>
      <c r="I252" t="b">
        <v>0</v>
      </c>
      <c r="K252" t="s">
        <v>52</v>
      </c>
      <c r="L252" t="s">
        <v>70</v>
      </c>
      <c r="O252" s="1">
        <v>46064</v>
      </c>
      <c r="P252" t="s">
        <v>1028</v>
      </c>
      <c r="Q252" t="s">
        <v>1029</v>
      </c>
      <c r="R252" t="s">
        <v>150</v>
      </c>
      <c r="S252" t="b">
        <v>0</v>
      </c>
      <c r="T252" t="b">
        <v>0</v>
      </c>
      <c r="U252" t="s">
        <v>1029</v>
      </c>
      <c r="V252" t="s">
        <v>120</v>
      </c>
      <c r="W252" t="s">
        <v>65</v>
      </c>
      <c r="X252" t="s">
        <v>1004</v>
      </c>
      <c r="Y252" t="s">
        <v>1005</v>
      </c>
      <c r="Z252" t="s">
        <v>70</v>
      </c>
      <c r="AA252" t="b">
        <f>ISNUMBER(SEARCH(";"&amp;Lessons[[#This Row],[Instrument__c]]&amp;";",";"&amp;_xlfn.XLOOKUP(Lessons[[#This Row],[Instructor_External_Id__c]], Instructors[Id], Instructors[Instruments_Taught__c])&amp;";"))</f>
        <v>1</v>
      </c>
      <c r="AB252" t="str">
        <f>IF(LEFT(Lessons[[#This Row],[Status__c]],9)="Cancelled","",Lessons[[#This Row],[Instructor_External_Id__c]]&amp;"|"&amp;TEXT(Lessons[[#This Row],[Lesson_Date__c]],"yyyy-mm-dd")&amp;"|"&amp;Lessons[[#This Row],[Start_Time__c]])</f>
        <v>a06ak00000amzC5AAI|2026-02-11|18:00:00.000Z</v>
      </c>
      <c r="AC252">
        <f>IF(Lessons[[#This Row],[Double Booked Key]]="","",COUNTIF(Lessons[Double Booked Key],Lessons[[#This Row],[Double Booked Key]]))</f>
        <v>1</v>
      </c>
      <c r="AD252" s="6" t="str">
        <f>_xlfn.XLOOKUP(Lessons[[#This Row],[Location_External_Id__c]], Locations[Location Id], Locations[Location Name])</f>
        <v>Toms River</v>
      </c>
      <c r="AE252" s="6" t="str">
        <f>TEXT(Lessons[[#This Row],[Lesson_Date__c]], "yyyy-mm")</f>
        <v>2026-02</v>
      </c>
      <c r="AF252" s="6" t="str">
        <f>IF(Lessons[[#This Row],[Lesson_Date__c]]&lt;=Data_Audit!$F$1, "Yes", "No")</f>
        <v>Yes</v>
      </c>
    </row>
    <row r="253" spans="1:32">
      <c r="A253" t="s">
        <v>52</v>
      </c>
      <c r="B253" t="s">
        <v>53</v>
      </c>
      <c r="C253">
        <v>30</v>
      </c>
      <c r="D253" t="s">
        <v>1030</v>
      </c>
      <c r="E253" t="s">
        <v>97</v>
      </c>
      <c r="F253" t="s">
        <v>98</v>
      </c>
      <c r="G253" t="s">
        <v>57</v>
      </c>
      <c r="H253" t="s">
        <v>78</v>
      </c>
      <c r="I253" t="b">
        <v>0</v>
      </c>
      <c r="K253" t="s">
        <v>52</v>
      </c>
      <c r="L253" t="s">
        <v>70</v>
      </c>
      <c r="O253" s="1">
        <v>46160</v>
      </c>
      <c r="P253" t="s">
        <v>1031</v>
      </c>
      <c r="Q253" t="s">
        <v>1032</v>
      </c>
      <c r="R253" t="s">
        <v>83</v>
      </c>
      <c r="S253" t="b">
        <v>0</v>
      </c>
      <c r="T253" t="b">
        <v>0</v>
      </c>
      <c r="U253" t="s">
        <v>1032</v>
      </c>
      <c r="V253" t="s">
        <v>64</v>
      </c>
      <c r="W253" t="s">
        <v>65</v>
      </c>
      <c r="X253" t="s">
        <v>1033</v>
      </c>
      <c r="Y253" t="s">
        <v>1034</v>
      </c>
      <c r="Z253" t="s">
        <v>70</v>
      </c>
      <c r="AA253" t="b">
        <f>ISNUMBER(SEARCH(";"&amp;Lessons[[#This Row],[Instrument__c]]&amp;";",";"&amp;_xlfn.XLOOKUP(Lessons[[#This Row],[Instructor_External_Id__c]], Instructors[Id], Instructors[Instruments_Taught__c])&amp;";"))</f>
        <v>1</v>
      </c>
      <c r="AB253" t="str">
        <f>IF(LEFT(Lessons[[#This Row],[Status__c]],9)="Cancelled","",Lessons[[#This Row],[Instructor_External_Id__c]]&amp;"|"&amp;TEXT(Lessons[[#This Row],[Lesson_Date__c]],"yyyy-mm-dd")&amp;"|"&amp;Lessons[[#This Row],[Start_Time__c]])</f>
        <v>a06ak00000amzBvAAI|2026-05-18|11:00:00.000Z</v>
      </c>
      <c r="AC253">
        <f>IF(Lessons[[#This Row],[Double Booked Key]]="","",COUNTIF(Lessons[Double Booked Key],Lessons[[#This Row],[Double Booked Key]]))</f>
        <v>1</v>
      </c>
      <c r="AD253" s="6" t="str">
        <f>_xlfn.XLOOKUP(Lessons[[#This Row],[Location_External_Id__c]], Locations[Location Id], Locations[Location Name])</f>
        <v>Brick</v>
      </c>
      <c r="AE253" s="6" t="str">
        <f>TEXT(Lessons[[#This Row],[Lesson_Date__c]], "yyyy-mm")</f>
        <v>2026-05</v>
      </c>
      <c r="AF253" s="6" t="str">
        <f>IF(Lessons[[#This Row],[Lesson_Date__c]]&lt;=Data_Audit!$F$1, "Yes", "No")</f>
        <v>Yes</v>
      </c>
    </row>
    <row r="254" spans="1:32">
      <c r="A254" t="s">
        <v>52</v>
      </c>
      <c r="B254" t="s">
        <v>53</v>
      </c>
      <c r="C254">
        <v>60</v>
      </c>
      <c r="D254" t="s">
        <v>1035</v>
      </c>
      <c r="E254" t="s">
        <v>97</v>
      </c>
      <c r="F254" t="s">
        <v>98</v>
      </c>
      <c r="G254" t="s">
        <v>99</v>
      </c>
      <c r="H254" t="s">
        <v>78</v>
      </c>
      <c r="I254" t="b">
        <v>0</v>
      </c>
      <c r="K254" t="s">
        <v>52</v>
      </c>
      <c r="L254" t="s">
        <v>70</v>
      </c>
      <c r="O254" s="1">
        <v>46241</v>
      </c>
      <c r="P254" t="s">
        <v>1036</v>
      </c>
      <c r="Q254" t="s">
        <v>1037</v>
      </c>
      <c r="R254" t="s">
        <v>83</v>
      </c>
      <c r="S254" t="b">
        <v>0</v>
      </c>
      <c r="T254" t="b">
        <v>0</v>
      </c>
      <c r="U254" t="s">
        <v>1037</v>
      </c>
      <c r="V254" t="s">
        <v>94</v>
      </c>
      <c r="W254" t="s">
        <v>65</v>
      </c>
      <c r="X254" t="s">
        <v>1033</v>
      </c>
      <c r="Y254" t="s">
        <v>1034</v>
      </c>
      <c r="Z254" t="s">
        <v>70</v>
      </c>
      <c r="AA254" t="b">
        <f>ISNUMBER(SEARCH(";"&amp;Lessons[[#This Row],[Instrument__c]]&amp;";",";"&amp;_xlfn.XLOOKUP(Lessons[[#This Row],[Instructor_External_Id__c]], Instructors[Id], Instructors[Instruments_Taught__c])&amp;";"))</f>
        <v>1</v>
      </c>
      <c r="AB254" t="str">
        <f>IF(LEFT(Lessons[[#This Row],[Status__c]],9)="Cancelled","",Lessons[[#This Row],[Instructor_External_Id__c]]&amp;"|"&amp;TEXT(Lessons[[#This Row],[Lesson_Date__c]],"yyyy-mm-dd")&amp;"|"&amp;Lessons[[#This Row],[Start_Time__c]])</f>
        <v>a06ak00000amzBvAAI|2026-08-07|19:00:00.000Z</v>
      </c>
      <c r="AC254">
        <f>IF(Lessons[[#This Row],[Double Booked Key]]="","",COUNTIF(Lessons[Double Booked Key],Lessons[[#This Row],[Double Booked Key]]))</f>
        <v>1</v>
      </c>
      <c r="AD254" s="6" t="str">
        <f>_xlfn.XLOOKUP(Lessons[[#This Row],[Location_External_Id__c]], Locations[Location Id], Locations[Location Name])</f>
        <v>Brick</v>
      </c>
      <c r="AE254" s="6" t="str">
        <f>TEXT(Lessons[[#This Row],[Lesson_Date__c]], "yyyy-mm")</f>
        <v>2026-08</v>
      </c>
      <c r="AF254" s="6" t="str">
        <f>IF(Lessons[[#This Row],[Lesson_Date__c]]&lt;=Data_Audit!$F$1, "Yes", "No")</f>
        <v>Yes</v>
      </c>
    </row>
    <row r="255" spans="1:32">
      <c r="A255" t="s">
        <v>52</v>
      </c>
      <c r="B255" t="s">
        <v>53</v>
      </c>
      <c r="C255">
        <v>60</v>
      </c>
      <c r="D255" t="s">
        <v>1038</v>
      </c>
      <c r="E255" t="s">
        <v>97</v>
      </c>
      <c r="F255" t="s">
        <v>98</v>
      </c>
      <c r="H255" t="s">
        <v>78</v>
      </c>
      <c r="I255" t="b">
        <v>0</v>
      </c>
      <c r="K255" t="s">
        <v>52</v>
      </c>
      <c r="L255" t="s">
        <v>70</v>
      </c>
      <c r="O255" s="1">
        <v>46109</v>
      </c>
      <c r="P255" t="s">
        <v>1039</v>
      </c>
      <c r="Q255" t="s">
        <v>1040</v>
      </c>
      <c r="R255" t="s">
        <v>83</v>
      </c>
      <c r="S255" t="b">
        <v>0</v>
      </c>
      <c r="T255" t="b">
        <v>0</v>
      </c>
      <c r="U255" t="s">
        <v>1040</v>
      </c>
      <c r="V255" t="s">
        <v>110</v>
      </c>
      <c r="W255" t="s">
        <v>65</v>
      </c>
      <c r="X255" t="s">
        <v>1033</v>
      </c>
      <c r="Y255" t="s">
        <v>1034</v>
      </c>
      <c r="Z255" t="s">
        <v>70</v>
      </c>
      <c r="AA255" t="b">
        <f>ISNUMBER(SEARCH(";"&amp;Lessons[[#This Row],[Instrument__c]]&amp;";",";"&amp;_xlfn.XLOOKUP(Lessons[[#This Row],[Instructor_External_Id__c]], Instructors[Id], Instructors[Instruments_Taught__c])&amp;";"))</f>
        <v>1</v>
      </c>
      <c r="AB255" t="str">
        <f>IF(LEFT(Lessons[[#This Row],[Status__c]],9)="Cancelled","",Lessons[[#This Row],[Instructor_External_Id__c]]&amp;"|"&amp;TEXT(Lessons[[#This Row],[Lesson_Date__c]],"yyyy-mm-dd")&amp;"|"&amp;Lessons[[#This Row],[Start_Time__c]])</f>
        <v>a06ak00000amzBvAAI|2026-03-28|10:00:00.000Z</v>
      </c>
      <c r="AC255">
        <f>IF(Lessons[[#This Row],[Double Booked Key]]="","",COUNTIF(Lessons[Double Booked Key],Lessons[[#This Row],[Double Booked Key]]))</f>
        <v>1</v>
      </c>
      <c r="AD255" s="6" t="str">
        <f>_xlfn.XLOOKUP(Lessons[[#This Row],[Location_External_Id__c]], Locations[Location Id], Locations[Location Name])</f>
        <v>Brick</v>
      </c>
      <c r="AE255" s="6" t="str">
        <f>TEXT(Lessons[[#This Row],[Lesson_Date__c]], "yyyy-mm")</f>
        <v>2026-03</v>
      </c>
      <c r="AF255" s="6" t="str">
        <f>IF(Lessons[[#This Row],[Lesson_Date__c]]&lt;=Data_Audit!$F$1, "Yes", "No")</f>
        <v>Yes</v>
      </c>
    </row>
    <row r="256" spans="1:32">
      <c r="A256" t="s">
        <v>52</v>
      </c>
      <c r="B256" t="s">
        <v>53</v>
      </c>
      <c r="C256">
        <v>45</v>
      </c>
      <c r="D256" t="s">
        <v>1041</v>
      </c>
      <c r="E256" t="s">
        <v>97</v>
      </c>
      <c r="F256" t="s">
        <v>98</v>
      </c>
      <c r="H256" t="s">
        <v>78</v>
      </c>
      <c r="I256" t="b">
        <v>0</v>
      </c>
      <c r="K256" t="s">
        <v>52</v>
      </c>
      <c r="L256" t="s">
        <v>70</v>
      </c>
      <c r="O256" s="1">
        <v>46083</v>
      </c>
      <c r="P256" t="s">
        <v>1042</v>
      </c>
      <c r="Q256" t="s">
        <v>1043</v>
      </c>
      <c r="R256" t="s">
        <v>83</v>
      </c>
      <c r="S256" t="b">
        <v>0</v>
      </c>
      <c r="T256" t="b">
        <v>0</v>
      </c>
      <c r="U256" t="s">
        <v>1043</v>
      </c>
      <c r="V256" t="s">
        <v>140</v>
      </c>
      <c r="W256" t="s">
        <v>65</v>
      </c>
      <c r="X256" t="s">
        <v>1033</v>
      </c>
      <c r="Y256" t="s">
        <v>1034</v>
      </c>
      <c r="Z256" t="s">
        <v>70</v>
      </c>
      <c r="AA256" t="b">
        <f>ISNUMBER(SEARCH(";"&amp;Lessons[[#This Row],[Instrument__c]]&amp;";",";"&amp;_xlfn.XLOOKUP(Lessons[[#This Row],[Instructor_External_Id__c]], Instructors[Id], Instructors[Instruments_Taught__c])&amp;";"))</f>
        <v>1</v>
      </c>
      <c r="AB256" t="str">
        <f>IF(LEFT(Lessons[[#This Row],[Status__c]],9)="Cancelled","",Lessons[[#This Row],[Instructor_External_Id__c]]&amp;"|"&amp;TEXT(Lessons[[#This Row],[Lesson_Date__c]],"yyyy-mm-dd")&amp;"|"&amp;Lessons[[#This Row],[Start_Time__c]])</f>
        <v>a06ak00000amzBvAAI|2026-03-02|15:00:00.000Z</v>
      </c>
      <c r="AC256">
        <f>IF(Lessons[[#This Row],[Double Booked Key]]="","",COUNTIF(Lessons[Double Booked Key],Lessons[[#This Row],[Double Booked Key]]))</f>
        <v>1</v>
      </c>
      <c r="AD256" s="6" t="str">
        <f>_xlfn.XLOOKUP(Lessons[[#This Row],[Location_External_Id__c]], Locations[Location Id], Locations[Location Name])</f>
        <v>Brick</v>
      </c>
      <c r="AE256" s="6" t="str">
        <f>TEXT(Lessons[[#This Row],[Lesson_Date__c]], "yyyy-mm")</f>
        <v>2026-03</v>
      </c>
      <c r="AF256" s="6" t="str">
        <f>IF(Lessons[[#This Row],[Lesson_Date__c]]&lt;=Data_Audit!$F$1, "Yes", "No")</f>
        <v>Yes</v>
      </c>
    </row>
    <row r="257" spans="1:32">
      <c r="A257" t="s">
        <v>52</v>
      </c>
      <c r="B257" t="s">
        <v>53</v>
      </c>
      <c r="C257">
        <v>30</v>
      </c>
      <c r="D257" t="s">
        <v>1044</v>
      </c>
      <c r="E257" t="s">
        <v>573</v>
      </c>
      <c r="F257" t="s">
        <v>574</v>
      </c>
      <c r="H257" t="s">
        <v>461</v>
      </c>
      <c r="I257" t="b">
        <v>0</v>
      </c>
      <c r="K257" t="s">
        <v>52</v>
      </c>
      <c r="L257" t="s">
        <v>70</v>
      </c>
      <c r="O257" s="1">
        <v>46279</v>
      </c>
      <c r="P257" t="s">
        <v>1045</v>
      </c>
      <c r="Q257" t="s">
        <v>1046</v>
      </c>
      <c r="R257" t="s">
        <v>83</v>
      </c>
      <c r="S257" t="b">
        <v>0</v>
      </c>
      <c r="T257" t="b">
        <v>0</v>
      </c>
      <c r="U257" t="s">
        <v>1046</v>
      </c>
      <c r="V257" t="s">
        <v>135</v>
      </c>
      <c r="W257" t="s">
        <v>85</v>
      </c>
      <c r="X257" t="s">
        <v>1047</v>
      </c>
      <c r="Y257" t="s">
        <v>1048</v>
      </c>
      <c r="Z257" t="s">
        <v>70</v>
      </c>
      <c r="AA257" t="b">
        <f>ISNUMBER(SEARCH(";"&amp;Lessons[[#This Row],[Instrument__c]]&amp;";",";"&amp;_xlfn.XLOOKUP(Lessons[[#This Row],[Instructor_External_Id__c]], Instructors[Id], Instructors[Instruments_Taught__c])&amp;";"))</f>
        <v>1</v>
      </c>
      <c r="AB257" t="str">
        <f>IF(LEFT(Lessons[[#This Row],[Status__c]],9)="Cancelled","",Lessons[[#This Row],[Instructor_External_Id__c]]&amp;"|"&amp;TEXT(Lessons[[#This Row],[Lesson_Date__c]],"yyyy-mm-dd")&amp;"|"&amp;Lessons[[#This Row],[Start_Time__c]])</f>
        <v/>
      </c>
      <c r="AC257" t="str">
        <f>IF(Lessons[[#This Row],[Double Booked Key]]="","",COUNTIF(Lessons[Double Booked Key],Lessons[[#This Row],[Double Booked Key]]))</f>
        <v/>
      </c>
      <c r="AD257" s="6" t="str">
        <f>_xlfn.XLOOKUP(Lessons[[#This Row],[Location_External_Id__c]], Locations[Location Id], Locations[Location Name])</f>
        <v>Brick</v>
      </c>
      <c r="AE257" s="6" t="str">
        <f>TEXT(Lessons[[#This Row],[Lesson_Date__c]], "yyyy-mm")</f>
        <v>2026-09</v>
      </c>
      <c r="AF257" s="6" t="str">
        <f>IF(Lessons[[#This Row],[Lesson_Date__c]]&lt;=Data_Audit!$F$1, "Yes", "No")</f>
        <v>Yes</v>
      </c>
    </row>
    <row r="258" spans="1:32">
      <c r="A258" t="s">
        <v>52</v>
      </c>
      <c r="B258" t="s">
        <v>53</v>
      </c>
      <c r="C258">
        <v>30</v>
      </c>
      <c r="D258" t="s">
        <v>1049</v>
      </c>
      <c r="E258" t="s">
        <v>573</v>
      </c>
      <c r="F258" t="s">
        <v>574</v>
      </c>
      <c r="H258" t="s">
        <v>461</v>
      </c>
      <c r="I258" t="b">
        <v>0</v>
      </c>
      <c r="K258" t="s">
        <v>52</v>
      </c>
      <c r="L258" t="s">
        <v>70</v>
      </c>
      <c r="O258" s="1">
        <v>46069</v>
      </c>
      <c r="P258" t="s">
        <v>1050</v>
      </c>
      <c r="Q258" t="s">
        <v>1051</v>
      </c>
      <c r="R258" t="s">
        <v>83</v>
      </c>
      <c r="S258" t="b">
        <v>0</v>
      </c>
      <c r="T258" t="b">
        <v>0</v>
      </c>
      <c r="U258" t="s">
        <v>1051</v>
      </c>
      <c r="V258" t="s">
        <v>84</v>
      </c>
      <c r="W258" t="s">
        <v>65</v>
      </c>
      <c r="X258" t="s">
        <v>1047</v>
      </c>
      <c r="Y258" t="s">
        <v>1048</v>
      </c>
      <c r="Z258" t="s">
        <v>70</v>
      </c>
      <c r="AA258" t="b">
        <f>ISNUMBER(SEARCH(";"&amp;Lessons[[#This Row],[Instrument__c]]&amp;";",";"&amp;_xlfn.XLOOKUP(Lessons[[#This Row],[Instructor_External_Id__c]], Instructors[Id], Instructors[Instruments_Taught__c])&amp;";"))</f>
        <v>1</v>
      </c>
      <c r="AB258" t="str">
        <f>IF(LEFT(Lessons[[#This Row],[Status__c]],9)="Cancelled","",Lessons[[#This Row],[Instructor_External_Id__c]]&amp;"|"&amp;TEXT(Lessons[[#This Row],[Lesson_Date__c]],"yyyy-mm-dd")&amp;"|"&amp;Lessons[[#This Row],[Start_Time__c]])</f>
        <v>a06ak00000amzCCAAY|2026-02-16|17:00:00.000Z</v>
      </c>
      <c r="AC258">
        <f>IF(Lessons[[#This Row],[Double Booked Key]]="","",COUNTIF(Lessons[Double Booked Key],Lessons[[#This Row],[Double Booked Key]]))</f>
        <v>1</v>
      </c>
      <c r="AD258" s="6" t="str">
        <f>_xlfn.XLOOKUP(Lessons[[#This Row],[Location_External_Id__c]], Locations[Location Id], Locations[Location Name])</f>
        <v>Brick</v>
      </c>
      <c r="AE258" s="6" t="str">
        <f>TEXT(Lessons[[#This Row],[Lesson_Date__c]], "yyyy-mm")</f>
        <v>2026-02</v>
      </c>
      <c r="AF258" s="6" t="str">
        <f>IF(Lessons[[#This Row],[Lesson_Date__c]]&lt;=Data_Audit!$F$1, "Yes", "No")</f>
        <v>Yes</v>
      </c>
    </row>
    <row r="259" spans="1:32">
      <c r="A259" t="s">
        <v>52</v>
      </c>
      <c r="B259" t="s">
        <v>53</v>
      </c>
      <c r="C259">
        <v>45</v>
      </c>
      <c r="D259" t="s">
        <v>1052</v>
      </c>
      <c r="E259" t="s">
        <v>359</v>
      </c>
      <c r="F259" t="s">
        <v>360</v>
      </c>
      <c r="G259" t="s">
        <v>164</v>
      </c>
      <c r="H259" t="s">
        <v>78</v>
      </c>
      <c r="I259" t="b">
        <v>0</v>
      </c>
      <c r="K259" t="s">
        <v>52</v>
      </c>
      <c r="L259" t="s">
        <v>70</v>
      </c>
      <c r="O259" s="1">
        <v>46245</v>
      </c>
      <c r="P259" t="s">
        <v>1053</v>
      </c>
      <c r="Q259" t="s">
        <v>1054</v>
      </c>
      <c r="R259" t="s">
        <v>63</v>
      </c>
      <c r="S259" t="b">
        <v>0</v>
      </c>
      <c r="T259" t="b">
        <v>0</v>
      </c>
      <c r="U259" t="s">
        <v>1054</v>
      </c>
      <c r="V259" t="s">
        <v>120</v>
      </c>
      <c r="W259" t="s">
        <v>65</v>
      </c>
      <c r="X259" t="s">
        <v>1055</v>
      </c>
      <c r="Y259" t="s">
        <v>1056</v>
      </c>
      <c r="Z259" t="s">
        <v>70</v>
      </c>
      <c r="AA259" t="b">
        <f>ISNUMBER(SEARCH(";"&amp;Lessons[[#This Row],[Instrument__c]]&amp;";",";"&amp;_xlfn.XLOOKUP(Lessons[[#This Row],[Instructor_External_Id__c]], Instructors[Id], Instructors[Instruments_Taught__c])&amp;";"))</f>
        <v>1</v>
      </c>
      <c r="AB259" t="str">
        <f>IF(LEFT(Lessons[[#This Row],[Status__c]],9)="Cancelled","",Lessons[[#This Row],[Instructor_External_Id__c]]&amp;"|"&amp;TEXT(Lessons[[#This Row],[Lesson_Date__c]],"yyyy-mm-dd")&amp;"|"&amp;Lessons[[#This Row],[Start_Time__c]])</f>
        <v>a06ak00000amzBiAAI|2026-08-11|18:00:00.000Z</v>
      </c>
      <c r="AC259">
        <f>IF(Lessons[[#This Row],[Double Booked Key]]="","",COUNTIF(Lessons[Double Booked Key],Lessons[[#This Row],[Double Booked Key]]))</f>
        <v>1</v>
      </c>
      <c r="AD259" s="6" t="str">
        <f>_xlfn.XLOOKUP(Lessons[[#This Row],[Location_External_Id__c]], Locations[Location Id], Locations[Location Name])</f>
        <v>Red Bank</v>
      </c>
      <c r="AE259" s="6" t="str">
        <f>TEXT(Lessons[[#This Row],[Lesson_Date__c]], "yyyy-mm")</f>
        <v>2026-08</v>
      </c>
      <c r="AF259" s="6" t="str">
        <f>IF(Lessons[[#This Row],[Lesson_Date__c]]&lt;=Data_Audit!$F$1, "Yes", "No")</f>
        <v>Yes</v>
      </c>
    </row>
    <row r="260" spans="1:32">
      <c r="A260" t="s">
        <v>52</v>
      </c>
      <c r="B260" t="s">
        <v>53</v>
      </c>
      <c r="C260">
        <v>45</v>
      </c>
      <c r="D260" t="s">
        <v>1057</v>
      </c>
      <c r="E260" t="s">
        <v>359</v>
      </c>
      <c r="F260" t="s">
        <v>360</v>
      </c>
      <c r="G260" t="s">
        <v>57</v>
      </c>
      <c r="H260" t="s">
        <v>78</v>
      </c>
      <c r="I260" t="b">
        <v>0</v>
      </c>
      <c r="K260" t="s">
        <v>52</v>
      </c>
      <c r="L260" t="s">
        <v>70</v>
      </c>
      <c r="O260" s="1">
        <v>46055</v>
      </c>
      <c r="P260" t="s">
        <v>1058</v>
      </c>
      <c r="Q260" t="s">
        <v>1059</v>
      </c>
      <c r="R260" t="s">
        <v>63</v>
      </c>
      <c r="S260" t="b">
        <v>0</v>
      </c>
      <c r="T260" t="b">
        <v>0</v>
      </c>
      <c r="U260" t="s">
        <v>1059</v>
      </c>
      <c r="V260" t="s">
        <v>128</v>
      </c>
      <c r="W260" t="s">
        <v>65</v>
      </c>
      <c r="X260" t="s">
        <v>1055</v>
      </c>
      <c r="Y260" t="s">
        <v>1056</v>
      </c>
      <c r="Z260" t="s">
        <v>70</v>
      </c>
      <c r="AA260" t="b">
        <f>ISNUMBER(SEARCH(";"&amp;Lessons[[#This Row],[Instrument__c]]&amp;";",";"&amp;_xlfn.XLOOKUP(Lessons[[#This Row],[Instructor_External_Id__c]], Instructors[Id], Instructors[Instruments_Taught__c])&amp;";"))</f>
        <v>1</v>
      </c>
      <c r="AB260" t="str">
        <f>IF(LEFT(Lessons[[#This Row],[Status__c]],9)="Cancelled","",Lessons[[#This Row],[Instructor_External_Id__c]]&amp;"|"&amp;TEXT(Lessons[[#This Row],[Lesson_Date__c]],"yyyy-mm-dd")&amp;"|"&amp;Lessons[[#This Row],[Start_Time__c]])</f>
        <v>a06ak00000amzBiAAI|2026-02-02|18:30:00.000Z</v>
      </c>
      <c r="AC260">
        <f>IF(Lessons[[#This Row],[Double Booked Key]]="","",COUNTIF(Lessons[Double Booked Key],Lessons[[#This Row],[Double Booked Key]]))</f>
        <v>1</v>
      </c>
      <c r="AD260" s="6" t="str">
        <f>_xlfn.XLOOKUP(Lessons[[#This Row],[Location_External_Id__c]], Locations[Location Id], Locations[Location Name])</f>
        <v>Red Bank</v>
      </c>
      <c r="AE260" s="6" t="str">
        <f>TEXT(Lessons[[#This Row],[Lesson_Date__c]], "yyyy-mm")</f>
        <v>2026-02</v>
      </c>
      <c r="AF260" s="6" t="str">
        <f>IF(Lessons[[#This Row],[Lesson_Date__c]]&lt;=Data_Audit!$F$1, "Yes", "No")</f>
        <v>Yes</v>
      </c>
    </row>
    <row r="261" spans="1:32">
      <c r="A261" t="s">
        <v>52</v>
      </c>
      <c r="B261" t="s">
        <v>53</v>
      </c>
      <c r="C261">
        <v>60</v>
      </c>
      <c r="D261" t="s">
        <v>1060</v>
      </c>
      <c r="E261" t="s">
        <v>359</v>
      </c>
      <c r="F261" t="s">
        <v>360</v>
      </c>
      <c r="G261" t="s">
        <v>69</v>
      </c>
      <c r="H261" t="s">
        <v>78</v>
      </c>
      <c r="I261" t="b">
        <v>0</v>
      </c>
      <c r="K261" t="s">
        <v>52</v>
      </c>
      <c r="L261" t="s">
        <v>70</v>
      </c>
      <c r="O261" s="1">
        <v>46178</v>
      </c>
      <c r="P261" t="s">
        <v>1061</v>
      </c>
      <c r="Q261" t="s">
        <v>1062</v>
      </c>
      <c r="R261" t="s">
        <v>63</v>
      </c>
      <c r="S261" t="b">
        <v>0</v>
      </c>
      <c r="T261" t="b">
        <v>0</v>
      </c>
      <c r="U261" t="s">
        <v>1062</v>
      </c>
      <c r="V261" t="s">
        <v>120</v>
      </c>
      <c r="W261" t="s">
        <v>65</v>
      </c>
      <c r="X261" t="s">
        <v>1055</v>
      </c>
      <c r="Y261" t="s">
        <v>1056</v>
      </c>
      <c r="Z261" t="s">
        <v>70</v>
      </c>
      <c r="AA261" t="b">
        <f>ISNUMBER(SEARCH(";"&amp;Lessons[[#This Row],[Instrument__c]]&amp;";",";"&amp;_xlfn.XLOOKUP(Lessons[[#This Row],[Instructor_External_Id__c]], Instructors[Id], Instructors[Instruments_Taught__c])&amp;";"))</f>
        <v>1</v>
      </c>
      <c r="AB261" t="str">
        <f>IF(LEFT(Lessons[[#This Row],[Status__c]],9)="Cancelled","",Lessons[[#This Row],[Instructor_External_Id__c]]&amp;"|"&amp;TEXT(Lessons[[#This Row],[Lesson_Date__c]],"yyyy-mm-dd")&amp;"|"&amp;Lessons[[#This Row],[Start_Time__c]])</f>
        <v>a06ak00000amzBiAAI|2026-06-05|18:00:00.000Z</v>
      </c>
      <c r="AC261">
        <f>IF(Lessons[[#This Row],[Double Booked Key]]="","",COUNTIF(Lessons[Double Booked Key],Lessons[[#This Row],[Double Booked Key]]))</f>
        <v>1</v>
      </c>
      <c r="AD261" s="6" t="str">
        <f>_xlfn.XLOOKUP(Lessons[[#This Row],[Location_External_Id__c]], Locations[Location Id], Locations[Location Name])</f>
        <v>Red Bank</v>
      </c>
      <c r="AE261" s="6" t="str">
        <f>TEXT(Lessons[[#This Row],[Lesson_Date__c]], "yyyy-mm")</f>
        <v>2026-06</v>
      </c>
      <c r="AF261" s="6" t="str">
        <f>IF(Lessons[[#This Row],[Lesson_Date__c]]&lt;=Data_Audit!$F$1, "Yes", "No")</f>
        <v>Yes</v>
      </c>
    </row>
    <row r="262" spans="1:32">
      <c r="A262" t="s">
        <v>52</v>
      </c>
      <c r="B262" t="s">
        <v>53</v>
      </c>
      <c r="C262">
        <v>45</v>
      </c>
      <c r="D262" t="s">
        <v>1063</v>
      </c>
      <c r="E262" t="s">
        <v>359</v>
      </c>
      <c r="F262" t="s">
        <v>360</v>
      </c>
      <c r="G262" t="s">
        <v>99</v>
      </c>
      <c r="H262" t="s">
        <v>78</v>
      </c>
      <c r="I262" t="b">
        <v>0</v>
      </c>
      <c r="K262" t="s">
        <v>52</v>
      </c>
      <c r="L262" t="s">
        <v>70</v>
      </c>
      <c r="O262" s="1">
        <v>46052</v>
      </c>
      <c r="P262" t="s">
        <v>1064</v>
      </c>
      <c r="Q262" t="s">
        <v>1065</v>
      </c>
      <c r="R262" t="s">
        <v>63</v>
      </c>
      <c r="S262" t="b">
        <v>0</v>
      </c>
      <c r="T262" t="b">
        <v>0</v>
      </c>
      <c r="U262" t="s">
        <v>1065</v>
      </c>
      <c r="V262" t="s">
        <v>84</v>
      </c>
      <c r="W262" t="s">
        <v>65</v>
      </c>
      <c r="X262" t="s">
        <v>1055</v>
      </c>
      <c r="Y262" t="s">
        <v>1056</v>
      </c>
      <c r="Z262" t="s">
        <v>70</v>
      </c>
      <c r="AA262" t="b">
        <f>ISNUMBER(SEARCH(";"&amp;Lessons[[#This Row],[Instrument__c]]&amp;";",";"&amp;_xlfn.XLOOKUP(Lessons[[#This Row],[Instructor_External_Id__c]], Instructors[Id], Instructors[Instruments_Taught__c])&amp;";"))</f>
        <v>1</v>
      </c>
      <c r="AB262" t="str">
        <f>IF(LEFT(Lessons[[#This Row],[Status__c]],9)="Cancelled","",Lessons[[#This Row],[Instructor_External_Id__c]]&amp;"|"&amp;TEXT(Lessons[[#This Row],[Lesson_Date__c]],"yyyy-mm-dd")&amp;"|"&amp;Lessons[[#This Row],[Start_Time__c]])</f>
        <v>a06ak00000amzBiAAI|2026-01-30|17:00:00.000Z</v>
      </c>
      <c r="AC262">
        <f>IF(Lessons[[#This Row],[Double Booked Key]]="","",COUNTIF(Lessons[Double Booked Key],Lessons[[#This Row],[Double Booked Key]]))</f>
        <v>1</v>
      </c>
      <c r="AD262" s="6" t="str">
        <f>_xlfn.XLOOKUP(Lessons[[#This Row],[Location_External_Id__c]], Locations[Location Id], Locations[Location Name])</f>
        <v>Red Bank</v>
      </c>
      <c r="AE262" s="6" t="str">
        <f>TEXT(Lessons[[#This Row],[Lesson_Date__c]], "yyyy-mm")</f>
        <v>2026-01</v>
      </c>
      <c r="AF262" s="6" t="str">
        <f>IF(Lessons[[#This Row],[Lesson_Date__c]]&lt;=Data_Audit!$F$1, "Yes", "No")</f>
        <v>Yes</v>
      </c>
    </row>
    <row r="263" spans="1:32">
      <c r="A263" t="s">
        <v>52</v>
      </c>
      <c r="B263" t="s">
        <v>53</v>
      </c>
      <c r="C263">
        <v>60</v>
      </c>
      <c r="D263" t="s">
        <v>1066</v>
      </c>
      <c r="E263" t="s">
        <v>359</v>
      </c>
      <c r="F263" t="s">
        <v>360</v>
      </c>
      <c r="G263" t="s">
        <v>164</v>
      </c>
      <c r="H263" t="s">
        <v>78</v>
      </c>
      <c r="I263" t="b">
        <v>0</v>
      </c>
      <c r="K263" t="s">
        <v>52</v>
      </c>
      <c r="L263" t="s">
        <v>70</v>
      </c>
      <c r="O263" s="1">
        <v>46187</v>
      </c>
      <c r="P263" t="s">
        <v>1067</v>
      </c>
      <c r="Q263" t="s">
        <v>1068</v>
      </c>
      <c r="R263" t="s">
        <v>63</v>
      </c>
      <c r="S263" t="b">
        <v>0</v>
      </c>
      <c r="T263" t="b">
        <v>0</v>
      </c>
      <c r="U263" t="s">
        <v>1068</v>
      </c>
      <c r="V263" t="s">
        <v>120</v>
      </c>
      <c r="W263" t="s">
        <v>65</v>
      </c>
      <c r="X263" t="s">
        <v>1055</v>
      </c>
      <c r="Y263" t="s">
        <v>1056</v>
      </c>
      <c r="Z263" t="s">
        <v>70</v>
      </c>
      <c r="AA263" t="b">
        <f>ISNUMBER(SEARCH(";"&amp;Lessons[[#This Row],[Instrument__c]]&amp;";",";"&amp;_xlfn.XLOOKUP(Lessons[[#This Row],[Instructor_External_Id__c]], Instructors[Id], Instructors[Instruments_Taught__c])&amp;";"))</f>
        <v>1</v>
      </c>
      <c r="AB263" t="str">
        <f>IF(LEFT(Lessons[[#This Row],[Status__c]],9)="Cancelled","",Lessons[[#This Row],[Instructor_External_Id__c]]&amp;"|"&amp;TEXT(Lessons[[#This Row],[Lesson_Date__c]],"yyyy-mm-dd")&amp;"|"&amp;Lessons[[#This Row],[Start_Time__c]])</f>
        <v>a06ak00000amzBiAAI|2026-06-14|18:00:00.000Z</v>
      </c>
      <c r="AC263">
        <f>IF(Lessons[[#This Row],[Double Booked Key]]="","",COUNTIF(Lessons[Double Booked Key],Lessons[[#This Row],[Double Booked Key]]))</f>
        <v>1</v>
      </c>
      <c r="AD263" s="6" t="str">
        <f>_xlfn.XLOOKUP(Lessons[[#This Row],[Location_External_Id__c]], Locations[Location Id], Locations[Location Name])</f>
        <v>Red Bank</v>
      </c>
      <c r="AE263" s="6" t="str">
        <f>TEXT(Lessons[[#This Row],[Lesson_Date__c]], "yyyy-mm")</f>
        <v>2026-06</v>
      </c>
      <c r="AF263" s="6" t="str">
        <f>IF(Lessons[[#This Row],[Lesson_Date__c]]&lt;=Data_Audit!$F$1, "Yes", "No")</f>
        <v>Yes</v>
      </c>
    </row>
    <row r="264" spans="1:32">
      <c r="A264" t="s">
        <v>52</v>
      </c>
      <c r="B264" t="s">
        <v>53</v>
      </c>
      <c r="C264">
        <v>30</v>
      </c>
      <c r="D264" t="s">
        <v>1069</v>
      </c>
      <c r="E264" t="s">
        <v>359</v>
      </c>
      <c r="F264" t="s">
        <v>360</v>
      </c>
      <c r="G264" t="s">
        <v>99</v>
      </c>
      <c r="H264" t="s">
        <v>78</v>
      </c>
      <c r="I264" t="b">
        <v>0</v>
      </c>
      <c r="K264" t="s">
        <v>52</v>
      </c>
      <c r="L264" t="s">
        <v>70</v>
      </c>
      <c r="O264" s="1">
        <v>46124</v>
      </c>
      <c r="P264" t="s">
        <v>1070</v>
      </c>
      <c r="Q264" t="s">
        <v>1071</v>
      </c>
      <c r="R264" t="s">
        <v>63</v>
      </c>
      <c r="S264" t="b">
        <v>0</v>
      </c>
      <c r="T264" t="b">
        <v>0</v>
      </c>
      <c r="U264" t="s">
        <v>1071</v>
      </c>
      <c r="V264" t="s">
        <v>84</v>
      </c>
      <c r="W264" t="s">
        <v>65</v>
      </c>
      <c r="X264" t="s">
        <v>1055</v>
      </c>
      <c r="Y264" t="s">
        <v>1056</v>
      </c>
      <c r="Z264" t="s">
        <v>70</v>
      </c>
      <c r="AA264" t="b">
        <f>ISNUMBER(SEARCH(";"&amp;Lessons[[#This Row],[Instrument__c]]&amp;";",";"&amp;_xlfn.XLOOKUP(Lessons[[#This Row],[Instructor_External_Id__c]], Instructors[Id], Instructors[Instruments_Taught__c])&amp;";"))</f>
        <v>1</v>
      </c>
      <c r="AB264" t="str">
        <f>IF(LEFT(Lessons[[#This Row],[Status__c]],9)="Cancelled","",Lessons[[#This Row],[Instructor_External_Id__c]]&amp;"|"&amp;TEXT(Lessons[[#This Row],[Lesson_Date__c]],"yyyy-mm-dd")&amp;"|"&amp;Lessons[[#This Row],[Start_Time__c]])</f>
        <v>a06ak00000amzBiAAI|2026-04-12|17:00:00.000Z</v>
      </c>
      <c r="AC264">
        <f>IF(Lessons[[#This Row],[Double Booked Key]]="","",COUNTIF(Lessons[Double Booked Key],Lessons[[#This Row],[Double Booked Key]]))</f>
        <v>1</v>
      </c>
      <c r="AD264" s="6" t="str">
        <f>_xlfn.XLOOKUP(Lessons[[#This Row],[Location_External_Id__c]], Locations[Location Id], Locations[Location Name])</f>
        <v>Red Bank</v>
      </c>
      <c r="AE264" s="6" t="str">
        <f>TEXT(Lessons[[#This Row],[Lesson_Date__c]], "yyyy-mm")</f>
        <v>2026-04</v>
      </c>
      <c r="AF264" s="6" t="str">
        <f>IF(Lessons[[#This Row],[Lesson_Date__c]]&lt;=Data_Audit!$F$1, "Yes", "No")</f>
        <v>Yes</v>
      </c>
    </row>
    <row r="265" spans="1:32">
      <c r="A265" t="s">
        <v>52</v>
      </c>
      <c r="B265" t="s">
        <v>53</v>
      </c>
      <c r="C265">
        <v>30</v>
      </c>
      <c r="D265" t="s">
        <v>1072</v>
      </c>
      <c r="E265" t="s">
        <v>359</v>
      </c>
      <c r="F265" t="s">
        <v>360</v>
      </c>
      <c r="G265" t="s">
        <v>164</v>
      </c>
      <c r="H265" t="s">
        <v>78</v>
      </c>
      <c r="I265" t="b">
        <v>0</v>
      </c>
      <c r="K265" t="s">
        <v>52</v>
      </c>
      <c r="L265" t="s">
        <v>70</v>
      </c>
      <c r="O265" s="1">
        <v>46072</v>
      </c>
      <c r="P265" t="s">
        <v>1073</v>
      </c>
      <c r="Q265" t="s">
        <v>1074</v>
      </c>
      <c r="R265" t="s">
        <v>63</v>
      </c>
      <c r="S265" t="b">
        <v>0</v>
      </c>
      <c r="T265" t="b">
        <v>0</v>
      </c>
      <c r="U265" t="s">
        <v>1074</v>
      </c>
      <c r="V265" t="s">
        <v>102</v>
      </c>
      <c r="W265" t="s">
        <v>65</v>
      </c>
      <c r="X265" t="s">
        <v>1055</v>
      </c>
      <c r="Y265" t="s">
        <v>1056</v>
      </c>
      <c r="Z265" t="s">
        <v>70</v>
      </c>
      <c r="AA265" t="b">
        <f>ISNUMBER(SEARCH(";"&amp;Lessons[[#This Row],[Instrument__c]]&amp;";",";"&amp;_xlfn.XLOOKUP(Lessons[[#This Row],[Instructor_External_Id__c]], Instructors[Id], Instructors[Instruments_Taught__c])&amp;";"))</f>
        <v>1</v>
      </c>
      <c r="AB265" t="str">
        <f>IF(LEFT(Lessons[[#This Row],[Status__c]],9)="Cancelled","",Lessons[[#This Row],[Instructor_External_Id__c]]&amp;"|"&amp;TEXT(Lessons[[#This Row],[Lesson_Date__c]],"yyyy-mm-dd")&amp;"|"&amp;Lessons[[#This Row],[Start_Time__c]])</f>
        <v>a06ak00000amzBiAAI|2026-02-19|16:00:00.000Z</v>
      </c>
      <c r="AC265">
        <f>IF(Lessons[[#This Row],[Double Booked Key]]="","",COUNTIF(Lessons[Double Booked Key],Lessons[[#This Row],[Double Booked Key]]))</f>
        <v>1</v>
      </c>
      <c r="AD265" s="6" t="str">
        <f>_xlfn.XLOOKUP(Lessons[[#This Row],[Location_External_Id__c]], Locations[Location Id], Locations[Location Name])</f>
        <v>Red Bank</v>
      </c>
      <c r="AE265" s="6" t="str">
        <f>TEXT(Lessons[[#This Row],[Lesson_Date__c]], "yyyy-mm")</f>
        <v>2026-02</v>
      </c>
      <c r="AF265" s="6" t="str">
        <f>IF(Lessons[[#This Row],[Lesson_Date__c]]&lt;=Data_Audit!$F$1, "Yes", "No")</f>
        <v>Yes</v>
      </c>
    </row>
    <row r="266" spans="1:32">
      <c r="A266" t="s">
        <v>52</v>
      </c>
      <c r="B266" t="s">
        <v>53</v>
      </c>
      <c r="C266">
        <v>60</v>
      </c>
      <c r="D266" t="s">
        <v>1075</v>
      </c>
      <c r="E266" t="s">
        <v>1076</v>
      </c>
      <c r="F266" t="s">
        <v>1077</v>
      </c>
      <c r="G266" t="s">
        <v>106</v>
      </c>
      <c r="H266" t="s">
        <v>58</v>
      </c>
      <c r="I266" t="b">
        <v>0</v>
      </c>
      <c r="K266" t="s">
        <v>52</v>
      </c>
      <c r="L266" t="s">
        <v>70</v>
      </c>
      <c r="O266" s="1">
        <v>46273</v>
      </c>
      <c r="P266" t="s">
        <v>1078</v>
      </c>
      <c r="Q266" t="s">
        <v>1079</v>
      </c>
      <c r="R266" t="s">
        <v>83</v>
      </c>
      <c r="S266" t="b">
        <v>0</v>
      </c>
      <c r="T266" t="b">
        <v>0</v>
      </c>
      <c r="U266" t="s">
        <v>1079</v>
      </c>
      <c r="V266" t="s">
        <v>135</v>
      </c>
      <c r="W266" t="s">
        <v>65</v>
      </c>
      <c r="X266" t="s">
        <v>1080</v>
      </c>
      <c r="Y266" t="s">
        <v>1081</v>
      </c>
      <c r="Z266" t="s">
        <v>70</v>
      </c>
      <c r="AA266" t="b">
        <f>ISNUMBER(SEARCH(";"&amp;Lessons[[#This Row],[Instrument__c]]&amp;";",";"&amp;_xlfn.XLOOKUP(Lessons[[#This Row],[Instructor_External_Id__c]], Instructors[Id], Instructors[Instruments_Taught__c])&amp;";"))</f>
        <v>1</v>
      </c>
      <c r="AB266" t="str">
        <f>IF(LEFT(Lessons[[#This Row],[Status__c]],9)="Cancelled","",Lessons[[#This Row],[Instructor_External_Id__c]]&amp;"|"&amp;TEXT(Lessons[[#This Row],[Lesson_Date__c]],"yyyy-mm-dd")&amp;"|"&amp;Lessons[[#This Row],[Start_Time__c]])</f>
        <v>a06ak00000amzBsAAI|2026-09-08|15:30:00.000Z</v>
      </c>
      <c r="AC266">
        <f>IF(Lessons[[#This Row],[Double Booked Key]]="","",COUNTIF(Lessons[Double Booked Key],Lessons[[#This Row],[Double Booked Key]]))</f>
        <v>1</v>
      </c>
      <c r="AD266" s="6" t="str">
        <f>_xlfn.XLOOKUP(Lessons[[#This Row],[Location_External_Id__c]], Locations[Location Id], Locations[Location Name])</f>
        <v>Brick</v>
      </c>
      <c r="AE266" s="6" t="str">
        <f>TEXT(Lessons[[#This Row],[Lesson_Date__c]], "yyyy-mm")</f>
        <v>2026-09</v>
      </c>
      <c r="AF266" s="6" t="str">
        <f>IF(Lessons[[#This Row],[Lesson_Date__c]]&lt;=Data_Audit!$F$1, "Yes", "No")</f>
        <v>Yes</v>
      </c>
    </row>
    <row r="267" spans="1:32">
      <c r="A267" t="s">
        <v>52</v>
      </c>
      <c r="B267" t="s">
        <v>53</v>
      </c>
      <c r="C267">
        <v>30</v>
      </c>
      <c r="D267" t="s">
        <v>1082</v>
      </c>
      <c r="E267" t="s">
        <v>1076</v>
      </c>
      <c r="F267" t="s">
        <v>1077</v>
      </c>
      <c r="G267" t="s">
        <v>106</v>
      </c>
      <c r="H267" t="s">
        <v>58</v>
      </c>
      <c r="I267" t="b">
        <v>0</v>
      </c>
      <c r="K267" t="s">
        <v>52</v>
      </c>
      <c r="L267" t="s">
        <v>70</v>
      </c>
      <c r="O267" s="1">
        <v>46045</v>
      </c>
      <c r="P267" t="s">
        <v>1083</v>
      </c>
      <c r="Q267" t="s">
        <v>1084</v>
      </c>
      <c r="R267" t="s">
        <v>83</v>
      </c>
      <c r="S267" t="b">
        <v>0</v>
      </c>
      <c r="T267" t="b">
        <v>0</v>
      </c>
      <c r="U267" t="s">
        <v>1084</v>
      </c>
      <c r="V267" t="s">
        <v>140</v>
      </c>
      <c r="W267" t="s">
        <v>65</v>
      </c>
      <c r="X267" t="s">
        <v>1080</v>
      </c>
      <c r="Y267" t="s">
        <v>1081</v>
      </c>
      <c r="Z267" t="s">
        <v>70</v>
      </c>
      <c r="AA267" t="b">
        <f>ISNUMBER(SEARCH(";"&amp;Lessons[[#This Row],[Instrument__c]]&amp;";",";"&amp;_xlfn.XLOOKUP(Lessons[[#This Row],[Instructor_External_Id__c]], Instructors[Id], Instructors[Instruments_Taught__c])&amp;";"))</f>
        <v>1</v>
      </c>
      <c r="AB267" t="str">
        <f>IF(LEFT(Lessons[[#This Row],[Status__c]],9)="Cancelled","",Lessons[[#This Row],[Instructor_External_Id__c]]&amp;"|"&amp;TEXT(Lessons[[#This Row],[Lesson_Date__c]],"yyyy-mm-dd")&amp;"|"&amp;Lessons[[#This Row],[Start_Time__c]])</f>
        <v>a06ak00000amzBsAAI|2026-01-23|15:00:00.000Z</v>
      </c>
      <c r="AC267">
        <f>IF(Lessons[[#This Row],[Double Booked Key]]="","",COUNTIF(Lessons[Double Booked Key],Lessons[[#This Row],[Double Booked Key]]))</f>
        <v>1</v>
      </c>
      <c r="AD267" s="6" t="str">
        <f>_xlfn.XLOOKUP(Lessons[[#This Row],[Location_External_Id__c]], Locations[Location Id], Locations[Location Name])</f>
        <v>Brick</v>
      </c>
      <c r="AE267" s="6" t="str">
        <f>TEXT(Lessons[[#This Row],[Lesson_Date__c]], "yyyy-mm")</f>
        <v>2026-01</v>
      </c>
      <c r="AF267" s="6" t="str">
        <f>IF(Lessons[[#This Row],[Lesson_Date__c]]&lt;=Data_Audit!$F$1, "Yes", "No")</f>
        <v>Yes</v>
      </c>
    </row>
    <row r="268" spans="1:32">
      <c r="A268" t="s">
        <v>52</v>
      </c>
      <c r="B268" t="s">
        <v>53</v>
      </c>
      <c r="C268">
        <v>30</v>
      </c>
      <c r="D268" t="s">
        <v>1085</v>
      </c>
      <c r="E268" t="s">
        <v>1076</v>
      </c>
      <c r="F268" t="s">
        <v>1077</v>
      </c>
      <c r="G268" t="s">
        <v>106</v>
      </c>
      <c r="H268" t="s">
        <v>58</v>
      </c>
      <c r="I268" t="b">
        <v>0</v>
      </c>
      <c r="K268" t="s">
        <v>52</v>
      </c>
      <c r="L268" t="s">
        <v>70</v>
      </c>
      <c r="O268" s="1">
        <v>46157</v>
      </c>
      <c r="P268" t="s">
        <v>1086</v>
      </c>
      <c r="Q268" t="s">
        <v>1087</v>
      </c>
      <c r="R268" t="s">
        <v>83</v>
      </c>
      <c r="S268" t="b">
        <v>0</v>
      </c>
      <c r="T268" t="b">
        <v>0</v>
      </c>
      <c r="U268" t="s">
        <v>1087</v>
      </c>
      <c r="V268" t="s">
        <v>135</v>
      </c>
      <c r="W268" t="s">
        <v>65</v>
      </c>
      <c r="X268" t="s">
        <v>1080</v>
      </c>
      <c r="Y268" t="s">
        <v>1081</v>
      </c>
      <c r="Z268" t="s">
        <v>70</v>
      </c>
      <c r="AA268" t="b">
        <f>ISNUMBER(SEARCH(";"&amp;Lessons[[#This Row],[Instrument__c]]&amp;";",";"&amp;_xlfn.XLOOKUP(Lessons[[#This Row],[Instructor_External_Id__c]], Instructors[Id], Instructors[Instruments_Taught__c])&amp;";"))</f>
        <v>1</v>
      </c>
      <c r="AB268" t="str">
        <f>IF(LEFT(Lessons[[#This Row],[Status__c]],9)="Cancelled","",Lessons[[#This Row],[Instructor_External_Id__c]]&amp;"|"&amp;TEXT(Lessons[[#This Row],[Lesson_Date__c]],"yyyy-mm-dd")&amp;"|"&amp;Lessons[[#This Row],[Start_Time__c]])</f>
        <v>a06ak00000amzBsAAI|2026-05-15|15:30:00.000Z</v>
      </c>
      <c r="AC268">
        <f>IF(Lessons[[#This Row],[Double Booked Key]]="","",COUNTIF(Lessons[Double Booked Key],Lessons[[#This Row],[Double Booked Key]]))</f>
        <v>1</v>
      </c>
      <c r="AD268" s="6" t="str">
        <f>_xlfn.XLOOKUP(Lessons[[#This Row],[Location_External_Id__c]], Locations[Location Id], Locations[Location Name])</f>
        <v>Brick</v>
      </c>
      <c r="AE268" s="6" t="str">
        <f>TEXT(Lessons[[#This Row],[Lesson_Date__c]], "yyyy-mm")</f>
        <v>2026-05</v>
      </c>
      <c r="AF268" s="6" t="str">
        <f>IF(Lessons[[#This Row],[Lesson_Date__c]]&lt;=Data_Audit!$F$1, "Yes", "No")</f>
        <v>Yes</v>
      </c>
    </row>
    <row r="269" spans="1:32">
      <c r="A269" t="s">
        <v>52</v>
      </c>
      <c r="B269" t="s">
        <v>53</v>
      </c>
      <c r="C269">
        <v>60</v>
      </c>
      <c r="D269" t="s">
        <v>1088</v>
      </c>
      <c r="E269" t="s">
        <v>1076</v>
      </c>
      <c r="F269" t="s">
        <v>1077</v>
      </c>
      <c r="G269" t="s">
        <v>106</v>
      </c>
      <c r="H269" t="s">
        <v>58</v>
      </c>
      <c r="I269" t="b">
        <v>0</v>
      </c>
      <c r="K269" t="s">
        <v>52</v>
      </c>
      <c r="L269" t="s">
        <v>70</v>
      </c>
      <c r="O269" s="1">
        <v>46076</v>
      </c>
      <c r="P269" t="s">
        <v>1089</v>
      </c>
      <c r="Q269" t="s">
        <v>1090</v>
      </c>
      <c r="R269" t="s">
        <v>83</v>
      </c>
      <c r="S269" t="b">
        <v>0</v>
      </c>
      <c r="T269" t="b">
        <v>0</v>
      </c>
      <c r="U269" t="s">
        <v>1090</v>
      </c>
      <c r="V269" t="s">
        <v>94</v>
      </c>
      <c r="W269" t="s">
        <v>65</v>
      </c>
      <c r="X269" t="s">
        <v>1080</v>
      </c>
      <c r="Y269" t="s">
        <v>1081</v>
      </c>
      <c r="Z269" t="s">
        <v>70</v>
      </c>
      <c r="AA269" t="b">
        <f>ISNUMBER(SEARCH(";"&amp;Lessons[[#This Row],[Instrument__c]]&amp;";",";"&amp;_xlfn.XLOOKUP(Lessons[[#This Row],[Instructor_External_Id__c]], Instructors[Id], Instructors[Instruments_Taught__c])&amp;";"))</f>
        <v>1</v>
      </c>
      <c r="AB269" t="str">
        <f>IF(LEFT(Lessons[[#This Row],[Status__c]],9)="Cancelled","",Lessons[[#This Row],[Instructor_External_Id__c]]&amp;"|"&amp;TEXT(Lessons[[#This Row],[Lesson_Date__c]],"yyyy-mm-dd")&amp;"|"&amp;Lessons[[#This Row],[Start_Time__c]])</f>
        <v>a06ak00000amzBsAAI|2026-02-23|19:00:00.000Z</v>
      </c>
      <c r="AC269">
        <f>IF(Lessons[[#This Row],[Double Booked Key]]="","",COUNTIF(Lessons[Double Booked Key],Lessons[[#This Row],[Double Booked Key]]))</f>
        <v>1</v>
      </c>
      <c r="AD269" s="6" t="str">
        <f>_xlfn.XLOOKUP(Lessons[[#This Row],[Location_External_Id__c]], Locations[Location Id], Locations[Location Name])</f>
        <v>Brick</v>
      </c>
      <c r="AE269" s="6" t="str">
        <f>TEXT(Lessons[[#This Row],[Lesson_Date__c]], "yyyy-mm")</f>
        <v>2026-02</v>
      </c>
      <c r="AF269" s="6" t="str">
        <f>IF(Lessons[[#This Row],[Lesson_Date__c]]&lt;=Data_Audit!$F$1, "Yes", "No")</f>
        <v>Yes</v>
      </c>
    </row>
    <row r="270" spans="1:32">
      <c r="A270" t="s">
        <v>52</v>
      </c>
      <c r="B270" t="s">
        <v>53</v>
      </c>
      <c r="C270">
        <v>30</v>
      </c>
      <c r="D270" t="s">
        <v>1091</v>
      </c>
      <c r="E270" t="s">
        <v>1076</v>
      </c>
      <c r="F270" t="s">
        <v>1077</v>
      </c>
      <c r="H270" t="s">
        <v>58</v>
      </c>
      <c r="I270" t="b">
        <v>0</v>
      </c>
      <c r="K270" t="s">
        <v>52</v>
      </c>
      <c r="L270" t="s">
        <v>70</v>
      </c>
      <c r="O270" s="1">
        <v>46040</v>
      </c>
      <c r="P270" t="s">
        <v>1092</v>
      </c>
      <c r="Q270" t="s">
        <v>1093</v>
      </c>
      <c r="R270" t="s">
        <v>83</v>
      </c>
      <c r="S270" t="b">
        <v>0</v>
      </c>
      <c r="T270" t="b">
        <v>0</v>
      </c>
      <c r="U270" t="s">
        <v>1093</v>
      </c>
      <c r="V270" t="s">
        <v>94</v>
      </c>
      <c r="W270" t="s">
        <v>85</v>
      </c>
      <c r="X270" t="s">
        <v>1080</v>
      </c>
      <c r="Y270" t="s">
        <v>1081</v>
      </c>
      <c r="Z270" t="s">
        <v>70</v>
      </c>
      <c r="AA270" t="b">
        <f>ISNUMBER(SEARCH(";"&amp;Lessons[[#This Row],[Instrument__c]]&amp;";",";"&amp;_xlfn.XLOOKUP(Lessons[[#This Row],[Instructor_External_Id__c]], Instructors[Id], Instructors[Instruments_Taught__c])&amp;";"))</f>
        <v>1</v>
      </c>
      <c r="AB270" t="str">
        <f>IF(LEFT(Lessons[[#This Row],[Status__c]],9)="Cancelled","",Lessons[[#This Row],[Instructor_External_Id__c]]&amp;"|"&amp;TEXT(Lessons[[#This Row],[Lesson_Date__c]],"yyyy-mm-dd")&amp;"|"&amp;Lessons[[#This Row],[Start_Time__c]])</f>
        <v/>
      </c>
      <c r="AC270" t="str">
        <f>IF(Lessons[[#This Row],[Double Booked Key]]="","",COUNTIF(Lessons[Double Booked Key],Lessons[[#This Row],[Double Booked Key]]))</f>
        <v/>
      </c>
      <c r="AD270" s="6" t="str">
        <f>_xlfn.XLOOKUP(Lessons[[#This Row],[Location_External_Id__c]], Locations[Location Id], Locations[Location Name])</f>
        <v>Brick</v>
      </c>
      <c r="AE270" s="6" t="str">
        <f>TEXT(Lessons[[#This Row],[Lesson_Date__c]], "yyyy-mm")</f>
        <v>2026-01</v>
      </c>
      <c r="AF270" s="6" t="str">
        <f>IF(Lessons[[#This Row],[Lesson_Date__c]]&lt;=Data_Audit!$F$1, "Yes", "No")</f>
        <v>Yes</v>
      </c>
    </row>
    <row r="271" spans="1:32">
      <c r="A271" t="s">
        <v>52</v>
      </c>
      <c r="B271" t="s">
        <v>53</v>
      </c>
      <c r="C271">
        <v>60</v>
      </c>
      <c r="D271" t="s">
        <v>1094</v>
      </c>
      <c r="E271" t="s">
        <v>1076</v>
      </c>
      <c r="F271" t="s">
        <v>1077</v>
      </c>
      <c r="H271" t="s">
        <v>58</v>
      </c>
      <c r="I271" t="b">
        <v>0</v>
      </c>
      <c r="K271" t="s">
        <v>52</v>
      </c>
      <c r="L271" t="s">
        <v>70</v>
      </c>
      <c r="O271" s="1">
        <v>46141</v>
      </c>
      <c r="P271" t="s">
        <v>1095</v>
      </c>
      <c r="Q271" t="s">
        <v>1096</v>
      </c>
      <c r="R271" t="s">
        <v>83</v>
      </c>
      <c r="S271" t="b">
        <v>0</v>
      </c>
      <c r="T271" t="b">
        <v>0</v>
      </c>
      <c r="U271" t="s">
        <v>1096</v>
      </c>
      <c r="V271" t="s">
        <v>74</v>
      </c>
      <c r="W271" t="s">
        <v>65</v>
      </c>
      <c r="X271" t="s">
        <v>1080</v>
      </c>
      <c r="Y271" t="s">
        <v>1081</v>
      </c>
      <c r="Z271" t="s">
        <v>70</v>
      </c>
      <c r="AA271" t="b">
        <f>ISNUMBER(SEARCH(";"&amp;Lessons[[#This Row],[Instrument__c]]&amp;";",";"&amp;_xlfn.XLOOKUP(Lessons[[#This Row],[Instructor_External_Id__c]], Instructors[Id], Instructors[Instruments_Taught__c])&amp;";"))</f>
        <v>1</v>
      </c>
      <c r="AB271" t="str">
        <f>IF(LEFT(Lessons[[#This Row],[Status__c]],9)="Cancelled","",Lessons[[#This Row],[Instructor_External_Id__c]]&amp;"|"&amp;TEXT(Lessons[[#This Row],[Lesson_Date__c]],"yyyy-mm-dd")&amp;"|"&amp;Lessons[[#This Row],[Start_Time__c]])</f>
        <v>a06ak00000amzBsAAI|2026-04-29|16:30:00.000Z</v>
      </c>
      <c r="AC271">
        <f>IF(Lessons[[#This Row],[Double Booked Key]]="","",COUNTIF(Lessons[Double Booked Key],Lessons[[#This Row],[Double Booked Key]]))</f>
        <v>1</v>
      </c>
      <c r="AD271" s="6" t="str">
        <f>_xlfn.XLOOKUP(Lessons[[#This Row],[Location_External_Id__c]], Locations[Location Id], Locations[Location Name])</f>
        <v>Brick</v>
      </c>
      <c r="AE271" s="6" t="str">
        <f>TEXT(Lessons[[#This Row],[Lesson_Date__c]], "yyyy-mm")</f>
        <v>2026-04</v>
      </c>
      <c r="AF271" s="6" t="str">
        <f>IF(Lessons[[#This Row],[Lesson_Date__c]]&lt;=Data_Audit!$F$1, "Yes", "No")</f>
        <v>Yes</v>
      </c>
    </row>
    <row r="272" spans="1:32">
      <c r="A272" t="s">
        <v>52</v>
      </c>
      <c r="B272" t="s">
        <v>53</v>
      </c>
      <c r="C272">
        <v>30</v>
      </c>
      <c r="D272" t="s">
        <v>1097</v>
      </c>
      <c r="E272" t="s">
        <v>1076</v>
      </c>
      <c r="F272" t="s">
        <v>1077</v>
      </c>
      <c r="H272" t="s">
        <v>58</v>
      </c>
      <c r="I272" t="b">
        <v>0</v>
      </c>
      <c r="K272" t="s">
        <v>52</v>
      </c>
      <c r="L272" t="s">
        <v>70</v>
      </c>
      <c r="O272" s="1">
        <v>46216</v>
      </c>
      <c r="P272" t="s">
        <v>1098</v>
      </c>
      <c r="Q272" t="s">
        <v>1099</v>
      </c>
      <c r="R272" t="s">
        <v>83</v>
      </c>
      <c r="S272" t="b">
        <v>0</v>
      </c>
      <c r="T272" t="b">
        <v>0</v>
      </c>
      <c r="U272" t="s">
        <v>1099</v>
      </c>
      <c r="V272" t="s">
        <v>120</v>
      </c>
      <c r="W272" t="s">
        <v>65</v>
      </c>
      <c r="X272" t="s">
        <v>1080</v>
      </c>
      <c r="Y272" t="s">
        <v>1081</v>
      </c>
      <c r="Z272" t="s">
        <v>70</v>
      </c>
      <c r="AA272" t="b">
        <f>ISNUMBER(SEARCH(";"&amp;Lessons[[#This Row],[Instrument__c]]&amp;";",";"&amp;_xlfn.XLOOKUP(Lessons[[#This Row],[Instructor_External_Id__c]], Instructors[Id], Instructors[Instruments_Taught__c])&amp;";"))</f>
        <v>1</v>
      </c>
      <c r="AB272" t="str">
        <f>IF(LEFT(Lessons[[#This Row],[Status__c]],9)="Cancelled","",Lessons[[#This Row],[Instructor_External_Id__c]]&amp;"|"&amp;TEXT(Lessons[[#This Row],[Lesson_Date__c]],"yyyy-mm-dd")&amp;"|"&amp;Lessons[[#This Row],[Start_Time__c]])</f>
        <v>a06ak00000amzBsAAI|2026-07-13|18:00:00.000Z</v>
      </c>
      <c r="AC272">
        <f>IF(Lessons[[#This Row],[Double Booked Key]]="","",COUNTIF(Lessons[Double Booked Key],Lessons[[#This Row],[Double Booked Key]]))</f>
        <v>1</v>
      </c>
      <c r="AD272" s="6" t="str">
        <f>_xlfn.XLOOKUP(Lessons[[#This Row],[Location_External_Id__c]], Locations[Location Id], Locations[Location Name])</f>
        <v>Brick</v>
      </c>
      <c r="AE272" s="6" t="str">
        <f>TEXT(Lessons[[#This Row],[Lesson_Date__c]], "yyyy-mm")</f>
        <v>2026-07</v>
      </c>
      <c r="AF272" s="6" t="str">
        <f>IF(Lessons[[#This Row],[Lesson_Date__c]]&lt;=Data_Audit!$F$1, "Yes", "No")</f>
        <v>Yes</v>
      </c>
    </row>
    <row r="273" spans="1:32">
      <c r="A273" t="s">
        <v>52</v>
      </c>
      <c r="B273" t="s">
        <v>53</v>
      </c>
      <c r="C273">
        <v>30</v>
      </c>
      <c r="D273" t="s">
        <v>1100</v>
      </c>
      <c r="E273" t="s">
        <v>1076</v>
      </c>
      <c r="F273" t="s">
        <v>1077</v>
      </c>
      <c r="H273" t="s">
        <v>58</v>
      </c>
      <c r="I273" t="b">
        <v>0</v>
      </c>
      <c r="K273" t="s">
        <v>52</v>
      </c>
      <c r="L273" t="s">
        <v>70</v>
      </c>
      <c r="O273" s="1">
        <v>46108</v>
      </c>
      <c r="P273" t="s">
        <v>1101</v>
      </c>
      <c r="Q273" t="s">
        <v>1102</v>
      </c>
      <c r="R273" t="s">
        <v>83</v>
      </c>
      <c r="S273" t="b">
        <v>0</v>
      </c>
      <c r="T273" t="b">
        <v>0</v>
      </c>
      <c r="U273" t="s">
        <v>1102</v>
      </c>
      <c r="V273" t="s">
        <v>120</v>
      </c>
      <c r="W273" t="s">
        <v>65</v>
      </c>
      <c r="X273" t="s">
        <v>1103</v>
      </c>
      <c r="Y273" t="s">
        <v>1104</v>
      </c>
      <c r="Z273" t="s">
        <v>70</v>
      </c>
      <c r="AA273" t="b">
        <f>ISNUMBER(SEARCH(";"&amp;Lessons[[#This Row],[Instrument__c]]&amp;";",";"&amp;_xlfn.XLOOKUP(Lessons[[#This Row],[Instructor_External_Id__c]], Instructors[Id], Instructors[Instruments_Taught__c])&amp;";"))</f>
        <v>1</v>
      </c>
      <c r="AB273" t="str">
        <f>IF(LEFT(Lessons[[#This Row],[Status__c]],9)="Cancelled","",Lessons[[#This Row],[Instructor_External_Id__c]]&amp;"|"&amp;TEXT(Lessons[[#This Row],[Lesson_Date__c]],"yyyy-mm-dd")&amp;"|"&amp;Lessons[[#This Row],[Start_Time__c]])</f>
        <v>a06ak00000amzBsAAI|2026-03-27|18:00:00.000Z</v>
      </c>
      <c r="AC273">
        <f>IF(Lessons[[#This Row],[Double Booked Key]]="","",COUNTIF(Lessons[Double Booked Key],Lessons[[#This Row],[Double Booked Key]]))</f>
        <v>1</v>
      </c>
      <c r="AD273" s="6" t="str">
        <f>_xlfn.XLOOKUP(Lessons[[#This Row],[Location_External_Id__c]], Locations[Location Id], Locations[Location Name])</f>
        <v>Brick</v>
      </c>
      <c r="AE273" s="6" t="str">
        <f>TEXT(Lessons[[#This Row],[Lesson_Date__c]], "yyyy-mm")</f>
        <v>2026-03</v>
      </c>
      <c r="AF273" s="6" t="str">
        <f>IF(Lessons[[#This Row],[Lesson_Date__c]]&lt;=Data_Audit!$F$1, "Yes", "No")</f>
        <v>Yes</v>
      </c>
    </row>
    <row r="274" spans="1:32">
      <c r="A274" t="s">
        <v>52</v>
      </c>
      <c r="B274" t="s">
        <v>53</v>
      </c>
      <c r="C274">
        <v>60</v>
      </c>
      <c r="D274" t="s">
        <v>1105</v>
      </c>
      <c r="E274" t="s">
        <v>1076</v>
      </c>
      <c r="F274" t="s">
        <v>1077</v>
      </c>
      <c r="G274" t="s">
        <v>164</v>
      </c>
      <c r="H274" t="s">
        <v>58</v>
      </c>
      <c r="I274" t="b">
        <v>0</v>
      </c>
      <c r="K274" t="s">
        <v>52</v>
      </c>
      <c r="L274" t="s">
        <v>70</v>
      </c>
      <c r="O274" s="1">
        <v>46186</v>
      </c>
      <c r="P274" t="s">
        <v>1106</v>
      </c>
      <c r="Q274" t="s">
        <v>1107</v>
      </c>
      <c r="R274" t="s">
        <v>83</v>
      </c>
      <c r="S274" t="b">
        <v>0</v>
      </c>
      <c r="T274" t="b">
        <v>0</v>
      </c>
      <c r="U274" t="s">
        <v>1107</v>
      </c>
      <c r="V274" t="s">
        <v>120</v>
      </c>
      <c r="W274" t="s">
        <v>65</v>
      </c>
      <c r="X274" t="s">
        <v>1103</v>
      </c>
      <c r="Y274" t="s">
        <v>1104</v>
      </c>
      <c r="Z274" t="s">
        <v>70</v>
      </c>
      <c r="AA274" t="b">
        <f>ISNUMBER(SEARCH(";"&amp;Lessons[[#This Row],[Instrument__c]]&amp;";",";"&amp;_xlfn.XLOOKUP(Lessons[[#This Row],[Instructor_External_Id__c]], Instructors[Id], Instructors[Instruments_Taught__c])&amp;";"))</f>
        <v>1</v>
      </c>
      <c r="AB274" t="str">
        <f>IF(LEFT(Lessons[[#This Row],[Status__c]],9)="Cancelled","",Lessons[[#This Row],[Instructor_External_Id__c]]&amp;"|"&amp;TEXT(Lessons[[#This Row],[Lesson_Date__c]],"yyyy-mm-dd")&amp;"|"&amp;Lessons[[#This Row],[Start_Time__c]])</f>
        <v>a06ak00000amzBsAAI|2026-06-13|18:00:00.000Z</v>
      </c>
      <c r="AC274">
        <f>IF(Lessons[[#This Row],[Double Booked Key]]="","",COUNTIF(Lessons[Double Booked Key],Lessons[[#This Row],[Double Booked Key]]))</f>
        <v>1</v>
      </c>
      <c r="AD274" s="6" t="str">
        <f>_xlfn.XLOOKUP(Lessons[[#This Row],[Location_External_Id__c]], Locations[Location Id], Locations[Location Name])</f>
        <v>Brick</v>
      </c>
      <c r="AE274" s="6" t="str">
        <f>TEXT(Lessons[[#This Row],[Lesson_Date__c]], "yyyy-mm")</f>
        <v>2026-06</v>
      </c>
      <c r="AF274" s="6" t="str">
        <f>IF(Lessons[[#This Row],[Lesson_Date__c]]&lt;=Data_Audit!$F$1, "Yes", "No")</f>
        <v>Yes</v>
      </c>
    </row>
    <row r="275" spans="1:32">
      <c r="A275" t="s">
        <v>52</v>
      </c>
      <c r="B275" t="s">
        <v>53</v>
      </c>
      <c r="C275">
        <v>30</v>
      </c>
      <c r="D275" t="s">
        <v>1108</v>
      </c>
      <c r="E275" t="s">
        <v>1076</v>
      </c>
      <c r="F275" t="s">
        <v>1077</v>
      </c>
      <c r="H275" t="s">
        <v>58</v>
      </c>
      <c r="I275" t="b">
        <v>0</v>
      </c>
      <c r="K275" t="s">
        <v>52</v>
      </c>
      <c r="L275" t="s">
        <v>70</v>
      </c>
      <c r="O275" s="1">
        <v>46165</v>
      </c>
      <c r="P275" t="s">
        <v>1109</v>
      </c>
      <c r="Q275" t="s">
        <v>1110</v>
      </c>
      <c r="R275" t="s">
        <v>83</v>
      </c>
      <c r="S275" t="b">
        <v>0</v>
      </c>
      <c r="T275" t="b">
        <v>0</v>
      </c>
      <c r="U275" t="s">
        <v>1110</v>
      </c>
      <c r="V275" t="s">
        <v>84</v>
      </c>
      <c r="W275" t="s">
        <v>85</v>
      </c>
      <c r="X275" t="s">
        <v>1103</v>
      </c>
      <c r="Y275" t="s">
        <v>1104</v>
      </c>
      <c r="Z275" t="s">
        <v>70</v>
      </c>
      <c r="AA275" t="b">
        <f>ISNUMBER(SEARCH(";"&amp;Lessons[[#This Row],[Instrument__c]]&amp;";",";"&amp;_xlfn.XLOOKUP(Lessons[[#This Row],[Instructor_External_Id__c]], Instructors[Id], Instructors[Instruments_Taught__c])&amp;";"))</f>
        <v>1</v>
      </c>
      <c r="AB275" t="str">
        <f>IF(LEFT(Lessons[[#This Row],[Status__c]],9)="Cancelled","",Lessons[[#This Row],[Instructor_External_Id__c]]&amp;"|"&amp;TEXT(Lessons[[#This Row],[Lesson_Date__c]],"yyyy-mm-dd")&amp;"|"&amp;Lessons[[#This Row],[Start_Time__c]])</f>
        <v/>
      </c>
      <c r="AC275" t="str">
        <f>IF(Lessons[[#This Row],[Double Booked Key]]="","",COUNTIF(Lessons[Double Booked Key],Lessons[[#This Row],[Double Booked Key]]))</f>
        <v/>
      </c>
      <c r="AD275" s="6" t="str">
        <f>_xlfn.XLOOKUP(Lessons[[#This Row],[Location_External_Id__c]], Locations[Location Id], Locations[Location Name])</f>
        <v>Brick</v>
      </c>
      <c r="AE275" s="6" t="str">
        <f>TEXT(Lessons[[#This Row],[Lesson_Date__c]], "yyyy-mm")</f>
        <v>2026-05</v>
      </c>
      <c r="AF275" s="6" t="str">
        <f>IF(Lessons[[#This Row],[Lesson_Date__c]]&lt;=Data_Audit!$F$1, "Yes", "No")</f>
        <v>Yes</v>
      </c>
    </row>
    <row r="276" spans="1:32">
      <c r="A276" t="s">
        <v>52</v>
      </c>
      <c r="B276" t="s">
        <v>53</v>
      </c>
      <c r="C276">
        <v>60</v>
      </c>
      <c r="D276" t="s">
        <v>1111</v>
      </c>
      <c r="E276" t="s">
        <v>490</v>
      </c>
      <c r="F276" t="s">
        <v>491</v>
      </c>
      <c r="H276" t="s">
        <v>392</v>
      </c>
      <c r="I276" t="b">
        <v>0</v>
      </c>
      <c r="K276" t="s">
        <v>52</v>
      </c>
      <c r="L276" t="s">
        <v>70</v>
      </c>
      <c r="O276" s="1">
        <v>46149</v>
      </c>
      <c r="P276" t="s">
        <v>1112</v>
      </c>
      <c r="Q276" t="s">
        <v>1113</v>
      </c>
      <c r="R276" t="s">
        <v>63</v>
      </c>
      <c r="S276" t="b">
        <v>0</v>
      </c>
      <c r="T276" t="b">
        <v>0</v>
      </c>
      <c r="U276" t="s">
        <v>1113</v>
      </c>
      <c r="V276" t="s">
        <v>140</v>
      </c>
      <c r="W276" t="s">
        <v>65</v>
      </c>
      <c r="X276" t="s">
        <v>1114</v>
      </c>
      <c r="Y276" t="s">
        <v>1115</v>
      </c>
      <c r="Z276" t="s">
        <v>70</v>
      </c>
      <c r="AA276" t="b">
        <f>ISNUMBER(SEARCH(";"&amp;Lessons[[#This Row],[Instrument__c]]&amp;";",";"&amp;_xlfn.XLOOKUP(Lessons[[#This Row],[Instructor_External_Id__c]], Instructors[Id], Instructors[Instruments_Taught__c])&amp;";"))</f>
        <v>1</v>
      </c>
      <c r="AB276" t="str">
        <f>IF(LEFT(Lessons[[#This Row],[Status__c]],9)="Cancelled","",Lessons[[#This Row],[Instructor_External_Id__c]]&amp;"|"&amp;TEXT(Lessons[[#This Row],[Lesson_Date__c]],"yyyy-mm-dd")&amp;"|"&amp;Lessons[[#This Row],[Start_Time__c]])</f>
        <v>a06ak00000amzBrAAI|2026-05-07|15:00:00.000Z</v>
      </c>
      <c r="AC276">
        <f>IF(Lessons[[#This Row],[Double Booked Key]]="","",COUNTIF(Lessons[Double Booked Key],Lessons[[#This Row],[Double Booked Key]]))</f>
        <v>1</v>
      </c>
      <c r="AD276" s="6" t="str">
        <f>_xlfn.XLOOKUP(Lessons[[#This Row],[Location_External_Id__c]], Locations[Location Id], Locations[Location Name])</f>
        <v>Red Bank</v>
      </c>
      <c r="AE276" s="6" t="str">
        <f>TEXT(Lessons[[#This Row],[Lesson_Date__c]], "yyyy-mm")</f>
        <v>2026-05</v>
      </c>
      <c r="AF276" s="6" t="str">
        <f>IF(Lessons[[#This Row],[Lesson_Date__c]]&lt;=Data_Audit!$F$1, "Yes", "No")</f>
        <v>Yes</v>
      </c>
    </row>
    <row r="277" spans="1:32">
      <c r="A277" t="s">
        <v>52</v>
      </c>
      <c r="B277" t="s">
        <v>53</v>
      </c>
      <c r="C277">
        <v>30</v>
      </c>
      <c r="D277" t="s">
        <v>1116</v>
      </c>
      <c r="E277" t="s">
        <v>490</v>
      </c>
      <c r="F277" t="s">
        <v>491</v>
      </c>
      <c r="G277" t="s">
        <v>69</v>
      </c>
      <c r="H277" t="s">
        <v>392</v>
      </c>
      <c r="I277" t="b">
        <v>0</v>
      </c>
      <c r="K277" t="s">
        <v>52</v>
      </c>
      <c r="L277" t="s">
        <v>70</v>
      </c>
      <c r="O277" s="1">
        <v>46049</v>
      </c>
      <c r="P277" t="s">
        <v>1117</v>
      </c>
      <c r="Q277" t="s">
        <v>1118</v>
      </c>
      <c r="R277" t="s">
        <v>63</v>
      </c>
      <c r="S277" t="b">
        <v>0</v>
      </c>
      <c r="T277" t="b">
        <v>0</v>
      </c>
      <c r="U277" t="s">
        <v>1118</v>
      </c>
      <c r="V277" t="s">
        <v>64</v>
      </c>
      <c r="W277" t="s">
        <v>65</v>
      </c>
      <c r="X277" t="s">
        <v>1114</v>
      </c>
      <c r="Y277" t="s">
        <v>1115</v>
      </c>
      <c r="Z277" t="s">
        <v>70</v>
      </c>
      <c r="AA277" t="b">
        <f>ISNUMBER(SEARCH(";"&amp;Lessons[[#This Row],[Instrument__c]]&amp;";",";"&amp;_xlfn.XLOOKUP(Lessons[[#This Row],[Instructor_External_Id__c]], Instructors[Id], Instructors[Instruments_Taught__c])&amp;";"))</f>
        <v>1</v>
      </c>
      <c r="AB277" t="str">
        <f>IF(LEFT(Lessons[[#This Row],[Status__c]],9)="Cancelled","",Lessons[[#This Row],[Instructor_External_Id__c]]&amp;"|"&amp;TEXT(Lessons[[#This Row],[Lesson_Date__c]],"yyyy-mm-dd")&amp;"|"&amp;Lessons[[#This Row],[Start_Time__c]])</f>
        <v>a06ak00000amzBrAAI|2026-01-27|11:00:00.000Z</v>
      </c>
      <c r="AC277">
        <f>IF(Lessons[[#This Row],[Double Booked Key]]="","",COUNTIF(Lessons[Double Booked Key],Lessons[[#This Row],[Double Booked Key]]))</f>
        <v>1</v>
      </c>
      <c r="AD277" s="6" t="str">
        <f>_xlfn.XLOOKUP(Lessons[[#This Row],[Location_External_Id__c]], Locations[Location Id], Locations[Location Name])</f>
        <v>Red Bank</v>
      </c>
      <c r="AE277" s="6" t="str">
        <f>TEXT(Lessons[[#This Row],[Lesson_Date__c]], "yyyy-mm")</f>
        <v>2026-01</v>
      </c>
      <c r="AF277" s="6" t="str">
        <f>IF(Lessons[[#This Row],[Lesson_Date__c]]&lt;=Data_Audit!$F$1, "Yes", "No")</f>
        <v>Yes</v>
      </c>
    </row>
    <row r="278" spans="1:32">
      <c r="A278" t="s">
        <v>52</v>
      </c>
      <c r="B278" t="s">
        <v>53</v>
      </c>
      <c r="C278">
        <v>30</v>
      </c>
      <c r="D278" t="s">
        <v>1119</v>
      </c>
      <c r="E278" t="s">
        <v>490</v>
      </c>
      <c r="F278" t="s">
        <v>491</v>
      </c>
      <c r="G278" t="s">
        <v>57</v>
      </c>
      <c r="H278" t="s">
        <v>392</v>
      </c>
      <c r="I278" t="b">
        <v>0</v>
      </c>
      <c r="K278" t="s">
        <v>52</v>
      </c>
      <c r="L278" t="s">
        <v>70</v>
      </c>
      <c r="O278" s="1">
        <v>46256</v>
      </c>
      <c r="P278" t="s">
        <v>1120</v>
      </c>
      <c r="Q278" t="s">
        <v>1121</v>
      </c>
      <c r="R278" t="s">
        <v>63</v>
      </c>
      <c r="S278" t="b">
        <v>0</v>
      </c>
      <c r="T278" t="b">
        <v>0</v>
      </c>
      <c r="U278" t="s">
        <v>1121</v>
      </c>
      <c r="V278" t="s">
        <v>94</v>
      </c>
      <c r="W278" t="s">
        <v>65</v>
      </c>
      <c r="X278" t="s">
        <v>1114</v>
      </c>
      <c r="Y278" t="s">
        <v>1115</v>
      </c>
      <c r="Z278" t="s">
        <v>70</v>
      </c>
      <c r="AA278" t="b">
        <f>ISNUMBER(SEARCH(";"&amp;Lessons[[#This Row],[Instrument__c]]&amp;";",";"&amp;_xlfn.XLOOKUP(Lessons[[#This Row],[Instructor_External_Id__c]], Instructors[Id], Instructors[Instruments_Taught__c])&amp;";"))</f>
        <v>1</v>
      </c>
      <c r="AB278" t="str">
        <f>IF(LEFT(Lessons[[#This Row],[Status__c]],9)="Cancelled","",Lessons[[#This Row],[Instructor_External_Id__c]]&amp;"|"&amp;TEXT(Lessons[[#This Row],[Lesson_Date__c]],"yyyy-mm-dd")&amp;"|"&amp;Lessons[[#This Row],[Start_Time__c]])</f>
        <v>a06ak00000amzBrAAI|2026-08-22|19:00:00.000Z</v>
      </c>
      <c r="AC278">
        <f>IF(Lessons[[#This Row],[Double Booked Key]]="","",COUNTIF(Lessons[Double Booked Key],Lessons[[#This Row],[Double Booked Key]]))</f>
        <v>1</v>
      </c>
      <c r="AD278" s="6" t="str">
        <f>_xlfn.XLOOKUP(Lessons[[#This Row],[Location_External_Id__c]], Locations[Location Id], Locations[Location Name])</f>
        <v>Red Bank</v>
      </c>
      <c r="AE278" s="6" t="str">
        <f>TEXT(Lessons[[#This Row],[Lesson_Date__c]], "yyyy-mm")</f>
        <v>2026-08</v>
      </c>
      <c r="AF278" s="6" t="str">
        <f>IF(Lessons[[#This Row],[Lesson_Date__c]]&lt;=Data_Audit!$F$1, "Yes", "No")</f>
        <v>Yes</v>
      </c>
    </row>
    <row r="279" spans="1:32">
      <c r="A279" t="s">
        <v>52</v>
      </c>
      <c r="B279" t="s">
        <v>53</v>
      </c>
      <c r="C279">
        <v>45</v>
      </c>
      <c r="D279" t="s">
        <v>1122</v>
      </c>
      <c r="E279" t="s">
        <v>490</v>
      </c>
      <c r="F279" t="s">
        <v>491</v>
      </c>
      <c r="G279" t="s">
        <v>57</v>
      </c>
      <c r="H279" t="s">
        <v>392</v>
      </c>
      <c r="I279" t="b">
        <v>0</v>
      </c>
      <c r="K279" t="s">
        <v>52</v>
      </c>
      <c r="L279" t="s">
        <v>70</v>
      </c>
      <c r="O279" s="1">
        <v>46123</v>
      </c>
      <c r="P279" t="s">
        <v>1123</v>
      </c>
      <c r="Q279" t="s">
        <v>1124</v>
      </c>
      <c r="R279" t="s">
        <v>63</v>
      </c>
      <c r="S279" t="b">
        <v>0</v>
      </c>
      <c r="T279" t="b">
        <v>0</v>
      </c>
      <c r="U279" t="s">
        <v>1124</v>
      </c>
      <c r="V279" t="s">
        <v>84</v>
      </c>
      <c r="W279" t="s">
        <v>65</v>
      </c>
      <c r="X279" t="s">
        <v>1114</v>
      </c>
      <c r="Y279" t="s">
        <v>1115</v>
      </c>
      <c r="Z279" t="s">
        <v>70</v>
      </c>
      <c r="AA279" t="b">
        <f>ISNUMBER(SEARCH(";"&amp;Lessons[[#This Row],[Instrument__c]]&amp;";",";"&amp;_xlfn.XLOOKUP(Lessons[[#This Row],[Instructor_External_Id__c]], Instructors[Id], Instructors[Instruments_Taught__c])&amp;";"))</f>
        <v>1</v>
      </c>
      <c r="AB279" t="str">
        <f>IF(LEFT(Lessons[[#This Row],[Status__c]],9)="Cancelled","",Lessons[[#This Row],[Instructor_External_Id__c]]&amp;"|"&amp;TEXT(Lessons[[#This Row],[Lesson_Date__c]],"yyyy-mm-dd")&amp;"|"&amp;Lessons[[#This Row],[Start_Time__c]])</f>
        <v>a06ak00000amzBrAAI|2026-04-11|17:00:00.000Z</v>
      </c>
      <c r="AC279">
        <f>IF(Lessons[[#This Row],[Double Booked Key]]="","",COUNTIF(Lessons[Double Booked Key],Lessons[[#This Row],[Double Booked Key]]))</f>
        <v>1</v>
      </c>
      <c r="AD279" s="6" t="str">
        <f>_xlfn.XLOOKUP(Lessons[[#This Row],[Location_External_Id__c]], Locations[Location Id], Locations[Location Name])</f>
        <v>Red Bank</v>
      </c>
      <c r="AE279" s="6" t="str">
        <f>TEXT(Lessons[[#This Row],[Lesson_Date__c]], "yyyy-mm")</f>
        <v>2026-04</v>
      </c>
      <c r="AF279" s="6" t="str">
        <f>IF(Lessons[[#This Row],[Lesson_Date__c]]&lt;=Data_Audit!$F$1, "Yes", "No")</f>
        <v>Yes</v>
      </c>
    </row>
    <row r="280" spans="1:32">
      <c r="A280" t="s">
        <v>52</v>
      </c>
      <c r="B280" t="s">
        <v>53</v>
      </c>
      <c r="C280">
        <v>60</v>
      </c>
      <c r="D280" t="s">
        <v>1125</v>
      </c>
      <c r="E280" t="s">
        <v>490</v>
      </c>
      <c r="F280" t="s">
        <v>491</v>
      </c>
      <c r="G280" t="s">
        <v>69</v>
      </c>
      <c r="H280" t="s">
        <v>392</v>
      </c>
      <c r="I280" t="b">
        <v>0</v>
      </c>
      <c r="K280" t="s">
        <v>52</v>
      </c>
      <c r="L280" t="s">
        <v>70</v>
      </c>
      <c r="O280" s="1">
        <v>46127</v>
      </c>
      <c r="P280" t="s">
        <v>1126</v>
      </c>
      <c r="Q280" t="s">
        <v>1127</v>
      </c>
      <c r="R280" t="s">
        <v>63</v>
      </c>
      <c r="S280" t="b">
        <v>0</v>
      </c>
      <c r="T280" t="b">
        <v>0</v>
      </c>
      <c r="U280" t="s">
        <v>1127</v>
      </c>
      <c r="V280" t="s">
        <v>128</v>
      </c>
      <c r="W280" t="s">
        <v>65</v>
      </c>
      <c r="X280" t="s">
        <v>1114</v>
      </c>
      <c r="Y280" t="s">
        <v>1115</v>
      </c>
      <c r="Z280" t="s">
        <v>70</v>
      </c>
      <c r="AA280" t="b">
        <f>ISNUMBER(SEARCH(";"&amp;Lessons[[#This Row],[Instrument__c]]&amp;";",";"&amp;_xlfn.XLOOKUP(Lessons[[#This Row],[Instructor_External_Id__c]], Instructors[Id], Instructors[Instruments_Taught__c])&amp;";"))</f>
        <v>1</v>
      </c>
      <c r="AB280" t="str">
        <f>IF(LEFT(Lessons[[#This Row],[Status__c]],9)="Cancelled","",Lessons[[#This Row],[Instructor_External_Id__c]]&amp;"|"&amp;TEXT(Lessons[[#This Row],[Lesson_Date__c]],"yyyy-mm-dd")&amp;"|"&amp;Lessons[[#This Row],[Start_Time__c]])</f>
        <v>a06ak00000amzBrAAI|2026-04-15|18:30:00.000Z</v>
      </c>
      <c r="AC280">
        <f>IF(Lessons[[#This Row],[Double Booked Key]]="","",COUNTIF(Lessons[Double Booked Key],Lessons[[#This Row],[Double Booked Key]]))</f>
        <v>1</v>
      </c>
      <c r="AD280" s="6" t="str">
        <f>_xlfn.XLOOKUP(Lessons[[#This Row],[Location_External_Id__c]], Locations[Location Id], Locations[Location Name])</f>
        <v>Red Bank</v>
      </c>
      <c r="AE280" s="6" t="str">
        <f>TEXT(Lessons[[#This Row],[Lesson_Date__c]], "yyyy-mm")</f>
        <v>2026-04</v>
      </c>
      <c r="AF280" s="6" t="str">
        <f>IF(Lessons[[#This Row],[Lesson_Date__c]]&lt;=Data_Audit!$F$1, "Yes", "No")</f>
        <v>Yes</v>
      </c>
    </row>
    <row r="281" spans="1:32">
      <c r="A281" t="s">
        <v>52</v>
      </c>
      <c r="B281" t="s">
        <v>53</v>
      </c>
      <c r="C281">
        <v>30</v>
      </c>
      <c r="D281" t="s">
        <v>1128</v>
      </c>
      <c r="E281" t="s">
        <v>490</v>
      </c>
      <c r="F281" t="s">
        <v>491</v>
      </c>
      <c r="G281" t="s">
        <v>57</v>
      </c>
      <c r="H281" t="s">
        <v>392</v>
      </c>
      <c r="I281" t="b">
        <v>0</v>
      </c>
      <c r="K281" t="s">
        <v>52</v>
      </c>
      <c r="L281" t="s">
        <v>70</v>
      </c>
      <c r="O281" s="1">
        <v>46042</v>
      </c>
      <c r="P281" t="s">
        <v>1129</v>
      </c>
      <c r="Q281" t="s">
        <v>1130</v>
      </c>
      <c r="R281" t="s">
        <v>63</v>
      </c>
      <c r="S281" t="b">
        <v>0</v>
      </c>
      <c r="T281" t="b">
        <v>0</v>
      </c>
      <c r="U281" t="s">
        <v>1130</v>
      </c>
      <c r="V281" t="s">
        <v>84</v>
      </c>
      <c r="W281" t="s">
        <v>65</v>
      </c>
      <c r="X281" t="s">
        <v>1114</v>
      </c>
      <c r="Y281" t="s">
        <v>1115</v>
      </c>
      <c r="Z281" t="s">
        <v>70</v>
      </c>
      <c r="AA281" t="b">
        <f>ISNUMBER(SEARCH(";"&amp;Lessons[[#This Row],[Instrument__c]]&amp;";",";"&amp;_xlfn.XLOOKUP(Lessons[[#This Row],[Instructor_External_Id__c]], Instructors[Id], Instructors[Instruments_Taught__c])&amp;";"))</f>
        <v>1</v>
      </c>
      <c r="AB281" t="str">
        <f>IF(LEFT(Lessons[[#This Row],[Status__c]],9)="Cancelled","",Lessons[[#This Row],[Instructor_External_Id__c]]&amp;"|"&amp;TEXT(Lessons[[#This Row],[Lesson_Date__c]],"yyyy-mm-dd")&amp;"|"&amp;Lessons[[#This Row],[Start_Time__c]])</f>
        <v>a06ak00000amzBrAAI|2026-01-20|17:00:00.000Z</v>
      </c>
      <c r="AC281">
        <f>IF(Lessons[[#This Row],[Double Booked Key]]="","",COUNTIF(Lessons[Double Booked Key],Lessons[[#This Row],[Double Booked Key]]))</f>
        <v>1</v>
      </c>
      <c r="AD281" s="6" t="str">
        <f>_xlfn.XLOOKUP(Lessons[[#This Row],[Location_External_Id__c]], Locations[Location Id], Locations[Location Name])</f>
        <v>Red Bank</v>
      </c>
      <c r="AE281" s="6" t="str">
        <f>TEXT(Lessons[[#This Row],[Lesson_Date__c]], "yyyy-mm")</f>
        <v>2026-01</v>
      </c>
      <c r="AF281" s="6" t="str">
        <f>IF(Lessons[[#This Row],[Lesson_Date__c]]&lt;=Data_Audit!$F$1, "Yes", "No")</f>
        <v>Yes</v>
      </c>
    </row>
    <row r="282" spans="1:32">
      <c r="A282" t="s">
        <v>52</v>
      </c>
      <c r="B282" t="s">
        <v>53</v>
      </c>
      <c r="C282">
        <v>30</v>
      </c>
      <c r="D282" t="s">
        <v>1131</v>
      </c>
      <c r="E282" t="s">
        <v>282</v>
      </c>
      <c r="F282" t="s">
        <v>283</v>
      </c>
      <c r="H282" t="s">
        <v>284</v>
      </c>
      <c r="I282" t="b">
        <v>0</v>
      </c>
      <c r="K282" t="s">
        <v>52</v>
      </c>
      <c r="L282" t="s">
        <v>171</v>
      </c>
      <c r="O282" s="1">
        <v>46275</v>
      </c>
      <c r="P282" t="s">
        <v>1132</v>
      </c>
      <c r="Q282" t="s">
        <v>1133</v>
      </c>
      <c r="R282" t="s">
        <v>83</v>
      </c>
      <c r="S282" t="b">
        <v>1</v>
      </c>
      <c r="T282" t="b">
        <v>0</v>
      </c>
      <c r="U282" t="s">
        <v>1133</v>
      </c>
      <c r="V282" t="s">
        <v>84</v>
      </c>
      <c r="W282" t="s">
        <v>136</v>
      </c>
      <c r="X282" t="s">
        <v>1134</v>
      </c>
      <c r="Y282" t="s">
        <v>1135</v>
      </c>
      <c r="Z282" t="s">
        <v>171</v>
      </c>
      <c r="AA282" t="b">
        <f>ISNUMBER(SEARCH(";"&amp;Lessons[[#This Row],[Instrument__c]]&amp;";",";"&amp;_xlfn.XLOOKUP(Lessons[[#This Row],[Instructor_External_Id__c]], Instructors[Id], Instructors[Instruments_Taught__c])&amp;";"))</f>
        <v>1</v>
      </c>
      <c r="AB282" t="str">
        <f>IF(LEFT(Lessons[[#This Row],[Status__c]],9)="Cancelled","",Lessons[[#This Row],[Instructor_External_Id__c]]&amp;"|"&amp;TEXT(Lessons[[#This Row],[Lesson_Date__c]],"yyyy-mm-dd")&amp;"|"&amp;Lessons[[#This Row],[Start_Time__c]])</f>
        <v/>
      </c>
      <c r="AC282" t="str">
        <f>IF(Lessons[[#This Row],[Double Booked Key]]="","",COUNTIF(Lessons[Double Booked Key],Lessons[[#This Row],[Double Booked Key]]))</f>
        <v/>
      </c>
      <c r="AD282" s="6" t="str">
        <f>_xlfn.XLOOKUP(Lessons[[#This Row],[Location_External_Id__c]], Locations[Location Id], Locations[Location Name])</f>
        <v>Brick</v>
      </c>
      <c r="AE282" s="6" t="str">
        <f>TEXT(Lessons[[#This Row],[Lesson_Date__c]], "yyyy-mm")</f>
        <v>2026-09</v>
      </c>
      <c r="AF282" s="6" t="str">
        <f>IF(Lessons[[#This Row],[Lesson_Date__c]]&lt;=Data_Audit!$F$1, "Yes", "No")</f>
        <v>Yes</v>
      </c>
    </row>
    <row r="283" spans="1:32">
      <c r="A283" t="s">
        <v>52</v>
      </c>
      <c r="B283" t="s">
        <v>53</v>
      </c>
      <c r="C283">
        <v>60</v>
      </c>
      <c r="D283" t="s">
        <v>1136</v>
      </c>
      <c r="E283" t="s">
        <v>282</v>
      </c>
      <c r="F283" t="s">
        <v>283</v>
      </c>
      <c r="G283" t="s">
        <v>99</v>
      </c>
      <c r="H283" t="s">
        <v>284</v>
      </c>
      <c r="I283" t="b">
        <v>0</v>
      </c>
      <c r="K283" t="s">
        <v>52</v>
      </c>
      <c r="L283" t="s">
        <v>70</v>
      </c>
      <c r="O283" s="1">
        <v>46124</v>
      </c>
      <c r="P283" t="s">
        <v>1137</v>
      </c>
      <c r="Q283" t="s">
        <v>1138</v>
      </c>
      <c r="R283" t="s">
        <v>83</v>
      </c>
      <c r="S283" t="b">
        <v>0</v>
      </c>
      <c r="T283" t="b">
        <v>0</v>
      </c>
      <c r="U283" t="s">
        <v>1138</v>
      </c>
      <c r="V283" t="s">
        <v>120</v>
      </c>
      <c r="W283" t="s">
        <v>65</v>
      </c>
      <c r="X283" t="s">
        <v>1134</v>
      </c>
      <c r="Y283" t="s">
        <v>1135</v>
      </c>
      <c r="Z283" t="s">
        <v>70</v>
      </c>
      <c r="AA283" t="b">
        <f>ISNUMBER(SEARCH(";"&amp;Lessons[[#This Row],[Instrument__c]]&amp;";",";"&amp;_xlfn.XLOOKUP(Lessons[[#This Row],[Instructor_External_Id__c]], Instructors[Id], Instructors[Instruments_Taught__c])&amp;";"))</f>
        <v>1</v>
      </c>
      <c r="AB283" t="str">
        <f>IF(LEFT(Lessons[[#This Row],[Status__c]],9)="Cancelled","",Lessons[[#This Row],[Instructor_External_Id__c]]&amp;"|"&amp;TEXT(Lessons[[#This Row],[Lesson_Date__c]],"yyyy-mm-dd")&amp;"|"&amp;Lessons[[#This Row],[Start_Time__c]])</f>
        <v>a06ak00000amzBxAAI|2026-04-12|18:00:00.000Z</v>
      </c>
      <c r="AC283">
        <f>IF(Lessons[[#This Row],[Double Booked Key]]="","",COUNTIF(Lessons[Double Booked Key],Lessons[[#This Row],[Double Booked Key]]))</f>
        <v>1</v>
      </c>
      <c r="AD283" s="6" t="str">
        <f>_xlfn.XLOOKUP(Lessons[[#This Row],[Location_External_Id__c]], Locations[Location Id], Locations[Location Name])</f>
        <v>Brick</v>
      </c>
      <c r="AE283" s="6" t="str">
        <f>TEXT(Lessons[[#This Row],[Lesson_Date__c]], "yyyy-mm")</f>
        <v>2026-04</v>
      </c>
      <c r="AF283" s="6" t="str">
        <f>IF(Lessons[[#This Row],[Lesson_Date__c]]&lt;=Data_Audit!$F$1, "Yes", "No")</f>
        <v>Yes</v>
      </c>
    </row>
    <row r="284" spans="1:32">
      <c r="A284" t="s">
        <v>52</v>
      </c>
      <c r="B284" t="s">
        <v>53</v>
      </c>
      <c r="C284">
        <v>60</v>
      </c>
      <c r="D284" t="s">
        <v>1139</v>
      </c>
      <c r="E284" t="s">
        <v>261</v>
      </c>
      <c r="F284" t="s">
        <v>262</v>
      </c>
      <c r="G284" t="s">
        <v>69</v>
      </c>
      <c r="H284" t="s">
        <v>263</v>
      </c>
      <c r="I284" t="b">
        <v>0</v>
      </c>
      <c r="K284" t="s">
        <v>52</v>
      </c>
      <c r="L284" t="s">
        <v>70</v>
      </c>
      <c r="O284" s="1">
        <v>46225</v>
      </c>
      <c r="P284" t="s">
        <v>1140</v>
      </c>
      <c r="Q284" t="s">
        <v>1141</v>
      </c>
      <c r="R284" t="s">
        <v>63</v>
      </c>
      <c r="S284" t="b">
        <v>0</v>
      </c>
      <c r="T284" t="b">
        <v>0</v>
      </c>
      <c r="U284" t="s">
        <v>1141</v>
      </c>
      <c r="V284" t="s">
        <v>110</v>
      </c>
      <c r="W284" t="s">
        <v>65</v>
      </c>
      <c r="X284" t="s">
        <v>1142</v>
      </c>
      <c r="Y284" t="s">
        <v>1143</v>
      </c>
      <c r="Z284" t="s">
        <v>70</v>
      </c>
      <c r="AA284" t="b">
        <f>ISNUMBER(SEARCH(";"&amp;Lessons[[#This Row],[Instrument__c]]&amp;";",";"&amp;_xlfn.XLOOKUP(Lessons[[#This Row],[Instructor_External_Id__c]], Instructors[Id], Instructors[Instruments_Taught__c])&amp;";"))</f>
        <v>1</v>
      </c>
      <c r="AB284" t="str">
        <f>IF(LEFT(Lessons[[#This Row],[Status__c]],9)="Cancelled","",Lessons[[#This Row],[Instructor_External_Id__c]]&amp;"|"&amp;TEXT(Lessons[[#This Row],[Lesson_Date__c]],"yyyy-mm-dd")&amp;"|"&amp;Lessons[[#This Row],[Start_Time__c]])</f>
        <v>a06ak00000amzBmAAI|2026-07-22|10:00:00.000Z</v>
      </c>
      <c r="AC284">
        <f>IF(Lessons[[#This Row],[Double Booked Key]]="","",COUNTIF(Lessons[Double Booked Key],Lessons[[#This Row],[Double Booked Key]]))</f>
        <v>1</v>
      </c>
      <c r="AD284" s="6" t="str">
        <f>_xlfn.XLOOKUP(Lessons[[#This Row],[Location_External_Id__c]], Locations[Location Id], Locations[Location Name])</f>
        <v>Red Bank</v>
      </c>
      <c r="AE284" s="6" t="str">
        <f>TEXT(Lessons[[#This Row],[Lesson_Date__c]], "yyyy-mm")</f>
        <v>2026-07</v>
      </c>
      <c r="AF284" s="6" t="str">
        <f>IF(Lessons[[#This Row],[Lesson_Date__c]]&lt;=Data_Audit!$F$1, "Yes", "No")</f>
        <v>Yes</v>
      </c>
    </row>
    <row r="285" spans="1:32">
      <c r="A285" t="s">
        <v>52</v>
      </c>
      <c r="B285" t="s">
        <v>53</v>
      </c>
      <c r="C285">
        <v>30</v>
      </c>
      <c r="D285" t="s">
        <v>1144</v>
      </c>
      <c r="E285" t="s">
        <v>261</v>
      </c>
      <c r="F285" t="s">
        <v>262</v>
      </c>
      <c r="H285" t="s">
        <v>263</v>
      </c>
      <c r="I285" t="b">
        <v>0</v>
      </c>
      <c r="K285" t="s">
        <v>52</v>
      </c>
      <c r="L285" t="s">
        <v>70</v>
      </c>
      <c r="O285" s="1">
        <v>46220</v>
      </c>
      <c r="P285" t="s">
        <v>1145</v>
      </c>
      <c r="Q285" t="s">
        <v>1146</v>
      </c>
      <c r="R285" t="s">
        <v>63</v>
      </c>
      <c r="S285" t="b">
        <v>0</v>
      </c>
      <c r="T285" t="b">
        <v>0</v>
      </c>
      <c r="U285" t="s">
        <v>1146</v>
      </c>
      <c r="V285" t="s">
        <v>140</v>
      </c>
      <c r="W285" t="s">
        <v>85</v>
      </c>
      <c r="X285" t="s">
        <v>1142</v>
      </c>
      <c r="Y285" t="s">
        <v>1143</v>
      </c>
      <c r="Z285" t="s">
        <v>70</v>
      </c>
      <c r="AA285" t="b">
        <f>ISNUMBER(SEARCH(";"&amp;Lessons[[#This Row],[Instrument__c]]&amp;";",";"&amp;_xlfn.XLOOKUP(Lessons[[#This Row],[Instructor_External_Id__c]], Instructors[Id], Instructors[Instruments_Taught__c])&amp;";"))</f>
        <v>1</v>
      </c>
      <c r="AB285" t="str">
        <f>IF(LEFT(Lessons[[#This Row],[Status__c]],9)="Cancelled","",Lessons[[#This Row],[Instructor_External_Id__c]]&amp;"|"&amp;TEXT(Lessons[[#This Row],[Lesson_Date__c]],"yyyy-mm-dd")&amp;"|"&amp;Lessons[[#This Row],[Start_Time__c]])</f>
        <v/>
      </c>
      <c r="AC285" t="str">
        <f>IF(Lessons[[#This Row],[Double Booked Key]]="","",COUNTIF(Lessons[Double Booked Key],Lessons[[#This Row],[Double Booked Key]]))</f>
        <v/>
      </c>
      <c r="AD285" s="6" t="str">
        <f>_xlfn.XLOOKUP(Lessons[[#This Row],[Location_External_Id__c]], Locations[Location Id], Locations[Location Name])</f>
        <v>Red Bank</v>
      </c>
      <c r="AE285" s="6" t="str">
        <f>TEXT(Lessons[[#This Row],[Lesson_Date__c]], "yyyy-mm")</f>
        <v>2026-07</v>
      </c>
      <c r="AF285" s="6" t="str">
        <f>IF(Lessons[[#This Row],[Lesson_Date__c]]&lt;=Data_Audit!$F$1, "Yes", "No")</f>
        <v>Yes</v>
      </c>
    </row>
    <row r="286" spans="1:32">
      <c r="A286" t="s">
        <v>52</v>
      </c>
      <c r="B286" t="s">
        <v>53</v>
      </c>
      <c r="C286">
        <v>30</v>
      </c>
      <c r="D286" t="s">
        <v>1147</v>
      </c>
      <c r="E286" t="s">
        <v>261</v>
      </c>
      <c r="F286" t="s">
        <v>262</v>
      </c>
      <c r="H286" t="s">
        <v>263</v>
      </c>
      <c r="I286" t="b">
        <v>0</v>
      </c>
      <c r="K286" t="s">
        <v>52</v>
      </c>
      <c r="L286" t="s">
        <v>70</v>
      </c>
      <c r="O286" s="1">
        <v>46198</v>
      </c>
      <c r="P286" t="s">
        <v>1148</v>
      </c>
      <c r="Q286" t="s">
        <v>1149</v>
      </c>
      <c r="R286" t="s">
        <v>63</v>
      </c>
      <c r="S286" t="b">
        <v>0</v>
      </c>
      <c r="T286" t="b">
        <v>0</v>
      </c>
      <c r="U286" t="s">
        <v>1149</v>
      </c>
      <c r="V286" t="s">
        <v>102</v>
      </c>
      <c r="W286" t="s">
        <v>121</v>
      </c>
      <c r="X286" t="s">
        <v>1142</v>
      </c>
      <c r="Y286" t="s">
        <v>1143</v>
      </c>
      <c r="Z286" t="s">
        <v>70</v>
      </c>
      <c r="AA286" t="b">
        <f>ISNUMBER(SEARCH(";"&amp;Lessons[[#This Row],[Instrument__c]]&amp;";",";"&amp;_xlfn.XLOOKUP(Lessons[[#This Row],[Instructor_External_Id__c]], Instructors[Id], Instructors[Instruments_Taught__c])&amp;";"))</f>
        <v>1</v>
      </c>
      <c r="AB286" t="str">
        <f>IF(LEFT(Lessons[[#This Row],[Status__c]],9)="Cancelled","",Lessons[[#This Row],[Instructor_External_Id__c]]&amp;"|"&amp;TEXT(Lessons[[#This Row],[Lesson_Date__c]],"yyyy-mm-dd")&amp;"|"&amp;Lessons[[#This Row],[Start_Time__c]])</f>
        <v>a06ak00000amzBmAAI|2026-06-25|16:00:00.000Z</v>
      </c>
      <c r="AC286">
        <f>IF(Lessons[[#This Row],[Double Booked Key]]="","",COUNTIF(Lessons[Double Booked Key],Lessons[[#This Row],[Double Booked Key]]))</f>
        <v>1</v>
      </c>
      <c r="AD286" s="6" t="str">
        <f>_xlfn.XLOOKUP(Lessons[[#This Row],[Location_External_Id__c]], Locations[Location Id], Locations[Location Name])</f>
        <v>Red Bank</v>
      </c>
      <c r="AE286" s="6" t="str">
        <f>TEXT(Lessons[[#This Row],[Lesson_Date__c]], "yyyy-mm")</f>
        <v>2026-06</v>
      </c>
      <c r="AF286" s="6" t="str">
        <f>IF(Lessons[[#This Row],[Lesson_Date__c]]&lt;=Data_Audit!$F$1, "Yes", "No")</f>
        <v>Yes</v>
      </c>
    </row>
    <row r="287" spans="1:32">
      <c r="A287" t="s">
        <v>52</v>
      </c>
      <c r="B287" t="s">
        <v>53</v>
      </c>
      <c r="C287">
        <v>30</v>
      </c>
      <c r="D287" t="s">
        <v>1150</v>
      </c>
      <c r="E287" t="s">
        <v>261</v>
      </c>
      <c r="F287" t="s">
        <v>262</v>
      </c>
      <c r="H287" t="s">
        <v>263</v>
      </c>
      <c r="I287" t="b">
        <v>0</v>
      </c>
      <c r="K287" t="s">
        <v>52</v>
      </c>
      <c r="L287" t="s">
        <v>70</v>
      </c>
      <c r="O287" s="1">
        <v>46084</v>
      </c>
      <c r="P287" t="s">
        <v>1151</v>
      </c>
      <c r="Q287" t="s">
        <v>1152</v>
      </c>
      <c r="R287" t="s">
        <v>63</v>
      </c>
      <c r="S287" t="b">
        <v>0</v>
      </c>
      <c r="T287" t="b">
        <v>0</v>
      </c>
      <c r="U287" t="s">
        <v>1152</v>
      </c>
      <c r="V287" t="s">
        <v>140</v>
      </c>
      <c r="W287" t="s">
        <v>65</v>
      </c>
      <c r="X287" t="s">
        <v>1142</v>
      </c>
      <c r="Y287" t="s">
        <v>1143</v>
      </c>
      <c r="Z287" t="s">
        <v>70</v>
      </c>
      <c r="AA287" t="b">
        <f>ISNUMBER(SEARCH(";"&amp;Lessons[[#This Row],[Instrument__c]]&amp;";",";"&amp;_xlfn.XLOOKUP(Lessons[[#This Row],[Instructor_External_Id__c]], Instructors[Id], Instructors[Instruments_Taught__c])&amp;";"))</f>
        <v>1</v>
      </c>
      <c r="AB287" t="str">
        <f>IF(LEFT(Lessons[[#This Row],[Status__c]],9)="Cancelled","",Lessons[[#This Row],[Instructor_External_Id__c]]&amp;"|"&amp;TEXT(Lessons[[#This Row],[Lesson_Date__c]],"yyyy-mm-dd")&amp;"|"&amp;Lessons[[#This Row],[Start_Time__c]])</f>
        <v>a06ak00000amzBmAAI|2026-03-03|15:00:00.000Z</v>
      </c>
      <c r="AC287">
        <f>IF(Lessons[[#This Row],[Double Booked Key]]="","",COUNTIF(Lessons[Double Booked Key],Lessons[[#This Row],[Double Booked Key]]))</f>
        <v>1</v>
      </c>
      <c r="AD287" s="6" t="str">
        <f>_xlfn.XLOOKUP(Lessons[[#This Row],[Location_External_Id__c]], Locations[Location Id], Locations[Location Name])</f>
        <v>Red Bank</v>
      </c>
      <c r="AE287" s="6" t="str">
        <f>TEXT(Lessons[[#This Row],[Lesson_Date__c]], "yyyy-mm")</f>
        <v>2026-03</v>
      </c>
      <c r="AF287" s="6" t="str">
        <f>IF(Lessons[[#This Row],[Lesson_Date__c]]&lt;=Data_Audit!$F$1, "Yes", "No")</f>
        <v>Yes</v>
      </c>
    </row>
    <row r="288" spans="1:32">
      <c r="A288" t="s">
        <v>52</v>
      </c>
      <c r="B288" t="s">
        <v>53</v>
      </c>
      <c r="C288">
        <v>45</v>
      </c>
      <c r="D288" t="s">
        <v>1153</v>
      </c>
      <c r="E288" t="s">
        <v>261</v>
      </c>
      <c r="F288" t="s">
        <v>262</v>
      </c>
      <c r="G288" t="s">
        <v>57</v>
      </c>
      <c r="H288" t="s">
        <v>263</v>
      </c>
      <c r="I288" t="b">
        <v>0</v>
      </c>
      <c r="K288" t="s">
        <v>52</v>
      </c>
      <c r="L288" t="s">
        <v>70</v>
      </c>
      <c r="O288" s="1">
        <v>46258</v>
      </c>
      <c r="P288" t="s">
        <v>1154</v>
      </c>
      <c r="Q288" t="s">
        <v>1155</v>
      </c>
      <c r="R288" t="s">
        <v>63</v>
      </c>
      <c r="S288" t="b">
        <v>0</v>
      </c>
      <c r="T288" t="b">
        <v>0</v>
      </c>
      <c r="U288" t="s">
        <v>1155</v>
      </c>
      <c r="V288" t="s">
        <v>64</v>
      </c>
      <c r="W288" t="s">
        <v>65</v>
      </c>
      <c r="X288" t="s">
        <v>1142</v>
      </c>
      <c r="Y288" t="s">
        <v>1143</v>
      </c>
      <c r="Z288" t="s">
        <v>70</v>
      </c>
      <c r="AA288" t="b">
        <f>ISNUMBER(SEARCH(";"&amp;Lessons[[#This Row],[Instrument__c]]&amp;";",";"&amp;_xlfn.XLOOKUP(Lessons[[#This Row],[Instructor_External_Id__c]], Instructors[Id], Instructors[Instruments_Taught__c])&amp;";"))</f>
        <v>1</v>
      </c>
      <c r="AB288" t="str">
        <f>IF(LEFT(Lessons[[#This Row],[Status__c]],9)="Cancelled","",Lessons[[#This Row],[Instructor_External_Id__c]]&amp;"|"&amp;TEXT(Lessons[[#This Row],[Lesson_Date__c]],"yyyy-mm-dd")&amp;"|"&amp;Lessons[[#This Row],[Start_Time__c]])</f>
        <v>a06ak00000amzBmAAI|2026-08-24|11:00:00.000Z</v>
      </c>
      <c r="AC288">
        <f>IF(Lessons[[#This Row],[Double Booked Key]]="","",COUNTIF(Lessons[Double Booked Key],Lessons[[#This Row],[Double Booked Key]]))</f>
        <v>1</v>
      </c>
      <c r="AD288" s="6" t="str">
        <f>_xlfn.XLOOKUP(Lessons[[#This Row],[Location_External_Id__c]], Locations[Location Id], Locations[Location Name])</f>
        <v>Red Bank</v>
      </c>
      <c r="AE288" s="6" t="str">
        <f>TEXT(Lessons[[#This Row],[Lesson_Date__c]], "yyyy-mm")</f>
        <v>2026-08</v>
      </c>
      <c r="AF288" s="6" t="str">
        <f>IF(Lessons[[#This Row],[Lesson_Date__c]]&lt;=Data_Audit!$F$1, "Yes", "No")</f>
        <v>Yes</v>
      </c>
    </row>
    <row r="289" spans="1:32">
      <c r="A289" t="s">
        <v>52</v>
      </c>
      <c r="B289" t="s">
        <v>53</v>
      </c>
      <c r="C289">
        <v>45</v>
      </c>
      <c r="D289" t="s">
        <v>1156</v>
      </c>
      <c r="E289" t="s">
        <v>261</v>
      </c>
      <c r="F289" t="s">
        <v>262</v>
      </c>
      <c r="G289" t="s">
        <v>106</v>
      </c>
      <c r="H289" t="s">
        <v>263</v>
      </c>
      <c r="I289" t="b">
        <v>0</v>
      </c>
      <c r="K289" t="s">
        <v>52</v>
      </c>
      <c r="L289" t="s">
        <v>70</v>
      </c>
      <c r="O289" s="1">
        <v>46067</v>
      </c>
      <c r="P289" t="s">
        <v>1157</v>
      </c>
      <c r="Q289" t="s">
        <v>1158</v>
      </c>
      <c r="R289" t="s">
        <v>63</v>
      </c>
      <c r="S289" t="b">
        <v>0</v>
      </c>
      <c r="T289" t="b">
        <v>0</v>
      </c>
      <c r="U289" t="s">
        <v>1158</v>
      </c>
      <c r="V289" t="s">
        <v>128</v>
      </c>
      <c r="W289" t="s">
        <v>65</v>
      </c>
      <c r="X289" t="s">
        <v>1142</v>
      </c>
      <c r="Y289" t="s">
        <v>1143</v>
      </c>
      <c r="Z289" t="s">
        <v>70</v>
      </c>
      <c r="AA289" t="b">
        <f>ISNUMBER(SEARCH(";"&amp;Lessons[[#This Row],[Instrument__c]]&amp;";",";"&amp;_xlfn.XLOOKUP(Lessons[[#This Row],[Instructor_External_Id__c]], Instructors[Id], Instructors[Instruments_Taught__c])&amp;";"))</f>
        <v>1</v>
      </c>
      <c r="AB289" t="str">
        <f>IF(LEFT(Lessons[[#This Row],[Status__c]],9)="Cancelled","",Lessons[[#This Row],[Instructor_External_Id__c]]&amp;"|"&amp;TEXT(Lessons[[#This Row],[Lesson_Date__c]],"yyyy-mm-dd")&amp;"|"&amp;Lessons[[#This Row],[Start_Time__c]])</f>
        <v>a06ak00000amzBmAAI|2026-02-14|18:30:00.000Z</v>
      </c>
      <c r="AC289">
        <f>IF(Lessons[[#This Row],[Double Booked Key]]="","",COUNTIF(Lessons[Double Booked Key],Lessons[[#This Row],[Double Booked Key]]))</f>
        <v>1</v>
      </c>
      <c r="AD289" s="6" t="str">
        <f>_xlfn.XLOOKUP(Lessons[[#This Row],[Location_External_Id__c]], Locations[Location Id], Locations[Location Name])</f>
        <v>Red Bank</v>
      </c>
      <c r="AE289" s="6" t="str">
        <f>TEXT(Lessons[[#This Row],[Lesson_Date__c]], "yyyy-mm")</f>
        <v>2026-02</v>
      </c>
      <c r="AF289" s="6" t="str">
        <f>IF(Lessons[[#This Row],[Lesson_Date__c]]&lt;=Data_Audit!$F$1, "Yes", "No")</f>
        <v>Yes</v>
      </c>
    </row>
    <row r="290" spans="1:32">
      <c r="A290" t="s">
        <v>52</v>
      </c>
      <c r="B290" t="s">
        <v>53</v>
      </c>
      <c r="C290">
        <v>30</v>
      </c>
      <c r="D290" t="s">
        <v>1159</v>
      </c>
      <c r="E290" t="s">
        <v>261</v>
      </c>
      <c r="F290" t="s">
        <v>262</v>
      </c>
      <c r="H290" t="s">
        <v>263</v>
      </c>
      <c r="I290" t="b">
        <v>0</v>
      </c>
      <c r="K290" t="s">
        <v>52</v>
      </c>
      <c r="L290" t="s">
        <v>70</v>
      </c>
      <c r="O290" s="1">
        <v>46146</v>
      </c>
      <c r="P290" t="s">
        <v>1160</v>
      </c>
      <c r="Q290" t="s">
        <v>1161</v>
      </c>
      <c r="R290" t="s">
        <v>63</v>
      </c>
      <c r="S290" t="b">
        <v>0</v>
      </c>
      <c r="T290" t="b">
        <v>0</v>
      </c>
      <c r="U290" t="s">
        <v>1161</v>
      </c>
      <c r="V290" t="s">
        <v>120</v>
      </c>
      <c r="W290" t="s">
        <v>65</v>
      </c>
      <c r="X290" t="s">
        <v>1142</v>
      </c>
      <c r="Y290" t="s">
        <v>1143</v>
      </c>
      <c r="Z290" t="s">
        <v>70</v>
      </c>
      <c r="AA290" t="b">
        <f>ISNUMBER(SEARCH(";"&amp;Lessons[[#This Row],[Instrument__c]]&amp;";",";"&amp;_xlfn.XLOOKUP(Lessons[[#This Row],[Instructor_External_Id__c]], Instructors[Id], Instructors[Instruments_Taught__c])&amp;";"))</f>
        <v>1</v>
      </c>
      <c r="AB290" t="str">
        <f>IF(LEFT(Lessons[[#This Row],[Status__c]],9)="Cancelled","",Lessons[[#This Row],[Instructor_External_Id__c]]&amp;"|"&amp;TEXT(Lessons[[#This Row],[Lesson_Date__c]],"yyyy-mm-dd")&amp;"|"&amp;Lessons[[#This Row],[Start_Time__c]])</f>
        <v>a06ak00000amzBmAAI|2026-05-04|18:00:00.000Z</v>
      </c>
      <c r="AC290">
        <f>IF(Lessons[[#This Row],[Double Booked Key]]="","",COUNTIF(Lessons[Double Booked Key],Lessons[[#This Row],[Double Booked Key]]))</f>
        <v>1</v>
      </c>
      <c r="AD290" s="6" t="str">
        <f>_xlfn.XLOOKUP(Lessons[[#This Row],[Location_External_Id__c]], Locations[Location Id], Locations[Location Name])</f>
        <v>Red Bank</v>
      </c>
      <c r="AE290" s="6" t="str">
        <f>TEXT(Lessons[[#This Row],[Lesson_Date__c]], "yyyy-mm")</f>
        <v>2026-05</v>
      </c>
      <c r="AF290" s="6" t="str">
        <f>IF(Lessons[[#This Row],[Lesson_Date__c]]&lt;=Data_Audit!$F$1, "Yes", "No")</f>
        <v>Yes</v>
      </c>
    </row>
    <row r="291" spans="1:32">
      <c r="A291" t="s">
        <v>52</v>
      </c>
      <c r="B291" t="s">
        <v>53</v>
      </c>
      <c r="C291">
        <v>60</v>
      </c>
      <c r="D291" t="s">
        <v>1162</v>
      </c>
      <c r="E291" t="s">
        <v>261</v>
      </c>
      <c r="F291" t="s">
        <v>262</v>
      </c>
      <c r="G291" t="s">
        <v>164</v>
      </c>
      <c r="H291" t="s">
        <v>263</v>
      </c>
      <c r="I291" t="b">
        <v>0</v>
      </c>
      <c r="K291" t="s">
        <v>52</v>
      </c>
      <c r="L291" t="s">
        <v>70</v>
      </c>
      <c r="O291" s="1">
        <v>46225</v>
      </c>
      <c r="P291" t="s">
        <v>1163</v>
      </c>
      <c r="Q291" t="s">
        <v>1164</v>
      </c>
      <c r="R291" t="s">
        <v>63</v>
      </c>
      <c r="S291" t="b">
        <v>0</v>
      </c>
      <c r="T291" t="b">
        <v>0</v>
      </c>
      <c r="U291" t="s">
        <v>1164</v>
      </c>
      <c r="V291" t="s">
        <v>120</v>
      </c>
      <c r="W291" t="s">
        <v>65</v>
      </c>
      <c r="X291" t="s">
        <v>1142</v>
      </c>
      <c r="Y291" t="s">
        <v>1143</v>
      </c>
      <c r="Z291" t="s">
        <v>70</v>
      </c>
      <c r="AA291" t="b">
        <f>ISNUMBER(SEARCH(";"&amp;Lessons[[#This Row],[Instrument__c]]&amp;";",";"&amp;_xlfn.XLOOKUP(Lessons[[#This Row],[Instructor_External_Id__c]], Instructors[Id], Instructors[Instruments_Taught__c])&amp;";"))</f>
        <v>1</v>
      </c>
      <c r="AB291" t="str">
        <f>IF(LEFT(Lessons[[#This Row],[Status__c]],9)="Cancelled","",Lessons[[#This Row],[Instructor_External_Id__c]]&amp;"|"&amp;TEXT(Lessons[[#This Row],[Lesson_Date__c]],"yyyy-mm-dd")&amp;"|"&amp;Lessons[[#This Row],[Start_Time__c]])</f>
        <v>a06ak00000amzBmAAI|2026-07-22|18:00:00.000Z</v>
      </c>
      <c r="AC291">
        <f>IF(Lessons[[#This Row],[Double Booked Key]]="","",COUNTIF(Lessons[Double Booked Key],Lessons[[#This Row],[Double Booked Key]]))</f>
        <v>1</v>
      </c>
      <c r="AD291" s="6" t="str">
        <f>_xlfn.XLOOKUP(Lessons[[#This Row],[Location_External_Id__c]], Locations[Location Id], Locations[Location Name])</f>
        <v>Red Bank</v>
      </c>
      <c r="AE291" s="6" t="str">
        <f>TEXT(Lessons[[#This Row],[Lesson_Date__c]], "yyyy-mm")</f>
        <v>2026-07</v>
      </c>
      <c r="AF291" s="6" t="str">
        <f>IF(Lessons[[#This Row],[Lesson_Date__c]]&lt;=Data_Audit!$F$1, "Yes", "No")</f>
        <v>Yes</v>
      </c>
    </row>
    <row r="292" spans="1:32">
      <c r="A292" t="s">
        <v>52</v>
      </c>
      <c r="B292" t="s">
        <v>53</v>
      </c>
      <c r="C292">
        <v>45</v>
      </c>
      <c r="D292" t="s">
        <v>1165</v>
      </c>
      <c r="E292" t="s">
        <v>201</v>
      </c>
      <c r="F292" t="s">
        <v>202</v>
      </c>
      <c r="H292" t="s">
        <v>203</v>
      </c>
      <c r="I292" t="b">
        <v>0</v>
      </c>
      <c r="K292" t="s">
        <v>52</v>
      </c>
      <c r="L292" t="s">
        <v>70</v>
      </c>
      <c r="O292" s="1">
        <v>46135</v>
      </c>
      <c r="P292" t="s">
        <v>1166</v>
      </c>
      <c r="Q292" t="s">
        <v>1167</v>
      </c>
      <c r="R292" t="s">
        <v>150</v>
      </c>
      <c r="S292" t="b">
        <v>0</v>
      </c>
      <c r="T292" t="b">
        <v>0</v>
      </c>
      <c r="U292" t="s">
        <v>1167</v>
      </c>
      <c r="V292" t="s">
        <v>120</v>
      </c>
      <c r="W292" t="s">
        <v>121</v>
      </c>
      <c r="X292" t="s">
        <v>1168</v>
      </c>
      <c r="Y292" t="s">
        <v>1169</v>
      </c>
      <c r="Z292" t="s">
        <v>70</v>
      </c>
      <c r="AA292" t="b">
        <f>ISNUMBER(SEARCH(";"&amp;Lessons[[#This Row],[Instrument__c]]&amp;";",";"&amp;_xlfn.XLOOKUP(Lessons[[#This Row],[Instructor_External_Id__c]], Instructors[Id], Instructors[Instruments_Taught__c])&amp;";"))</f>
        <v>1</v>
      </c>
      <c r="AB292" t="str">
        <f>IF(LEFT(Lessons[[#This Row],[Status__c]],9)="Cancelled","",Lessons[[#This Row],[Instructor_External_Id__c]]&amp;"|"&amp;TEXT(Lessons[[#This Row],[Lesson_Date__c]],"yyyy-mm-dd")&amp;"|"&amp;Lessons[[#This Row],[Start_Time__c]])</f>
        <v>a06ak00000amzCJAAY|2026-04-23|18:00:00.000Z</v>
      </c>
      <c r="AC292">
        <f>IF(Lessons[[#This Row],[Double Booked Key]]="","",COUNTIF(Lessons[Double Booked Key],Lessons[[#This Row],[Double Booked Key]]))</f>
        <v>1</v>
      </c>
      <c r="AD292" s="6" t="str">
        <f>_xlfn.XLOOKUP(Lessons[[#This Row],[Location_External_Id__c]], Locations[Location Id], Locations[Location Name])</f>
        <v>Toms River</v>
      </c>
      <c r="AE292" s="6" t="str">
        <f>TEXT(Lessons[[#This Row],[Lesson_Date__c]], "yyyy-mm")</f>
        <v>2026-04</v>
      </c>
      <c r="AF292" s="6" t="str">
        <f>IF(Lessons[[#This Row],[Lesson_Date__c]]&lt;=Data_Audit!$F$1, "Yes", "No")</f>
        <v>Yes</v>
      </c>
    </row>
    <row r="293" spans="1:32">
      <c r="A293" t="s">
        <v>52</v>
      </c>
      <c r="B293" t="s">
        <v>53</v>
      </c>
      <c r="C293">
        <v>30</v>
      </c>
      <c r="D293" t="s">
        <v>1170</v>
      </c>
      <c r="E293" t="s">
        <v>201</v>
      </c>
      <c r="F293" t="s">
        <v>202</v>
      </c>
      <c r="H293" t="s">
        <v>203</v>
      </c>
      <c r="I293" t="b">
        <v>0</v>
      </c>
      <c r="K293" t="s">
        <v>52</v>
      </c>
      <c r="L293" t="s">
        <v>70</v>
      </c>
      <c r="O293" s="1">
        <v>46229</v>
      </c>
      <c r="P293" t="s">
        <v>1171</v>
      </c>
      <c r="Q293" t="s">
        <v>1172</v>
      </c>
      <c r="R293" t="s">
        <v>150</v>
      </c>
      <c r="S293" t="b">
        <v>0</v>
      </c>
      <c r="T293" t="b">
        <v>0</v>
      </c>
      <c r="U293" t="s">
        <v>1172</v>
      </c>
      <c r="V293" t="s">
        <v>94</v>
      </c>
      <c r="W293" t="s">
        <v>65</v>
      </c>
      <c r="X293" t="s">
        <v>1168</v>
      </c>
      <c r="Y293" t="s">
        <v>1169</v>
      </c>
      <c r="Z293" t="s">
        <v>70</v>
      </c>
      <c r="AA293" t="b">
        <f>ISNUMBER(SEARCH(";"&amp;Lessons[[#This Row],[Instrument__c]]&amp;";",";"&amp;_xlfn.XLOOKUP(Lessons[[#This Row],[Instructor_External_Id__c]], Instructors[Id], Instructors[Instruments_Taught__c])&amp;";"))</f>
        <v>1</v>
      </c>
      <c r="AB293" t="str">
        <f>IF(LEFT(Lessons[[#This Row],[Status__c]],9)="Cancelled","",Lessons[[#This Row],[Instructor_External_Id__c]]&amp;"|"&amp;TEXT(Lessons[[#This Row],[Lesson_Date__c]],"yyyy-mm-dd")&amp;"|"&amp;Lessons[[#This Row],[Start_Time__c]])</f>
        <v>a06ak00000amzCJAAY|2026-07-26|19:00:00.000Z</v>
      </c>
      <c r="AC293">
        <f>IF(Lessons[[#This Row],[Double Booked Key]]="","",COUNTIF(Lessons[Double Booked Key],Lessons[[#This Row],[Double Booked Key]]))</f>
        <v>1</v>
      </c>
      <c r="AD293" s="6" t="str">
        <f>_xlfn.XLOOKUP(Lessons[[#This Row],[Location_External_Id__c]], Locations[Location Id], Locations[Location Name])</f>
        <v>Toms River</v>
      </c>
      <c r="AE293" s="6" t="str">
        <f>TEXT(Lessons[[#This Row],[Lesson_Date__c]], "yyyy-mm")</f>
        <v>2026-07</v>
      </c>
      <c r="AF293" s="6" t="str">
        <f>IF(Lessons[[#This Row],[Lesson_Date__c]]&lt;=Data_Audit!$F$1, "Yes", "No")</f>
        <v>Yes</v>
      </c>
    </row>
    <row r="294" spans="1:32">
      <c r="A294" t="s">
        <v>52</v>
      </c>
      <c r="B294" t="s">
        <v>53</v>
      </c>
      <c r="C294">
        <v>60</v>
      </c>
      <c r="D294" t="s">
        <v>1173</v>
      </c>
      <c r="E294" t="s">
        <v>201</v>
      </c>
      <c r="F294" t="s">
        <v>202</v>
      </c>
      <c r="H294" t="s">
        <v>203</v>
      </c>
      <c r="I294" t="b">
        <v>0</v>
      </c>
      <c r="K294" t="s">
        <v>52</v>
      </c>
      <c r="L294" t="s">
        <v>70</v>
      </c>
      <c r="O294" s="1">
        <v>46161</v>
      </c>
      <c r="P294" t="s">
        <v>1174</v>
      </c>
      <c r="Q294" t="s">
        <v>1175</v>
      </c>
      <c r="R294" t="s">
        <v>150</v>
      </c>
      <c r="S294" t="b">
        <v>0</v>
      </c>
      <c r="T294" t="b">
        <v>0</v>
      </c>
      <c r="U294" t="s">
        <v>1175</v>
      </c>
      <c r="V294" t="s">
        <v>64</v>
      </c>
      <c r="W294" t="s">
        <v>65</v>
      </c>
      <c r="X294" t="s">
        <v>1168</v>
      </c>
      <c r="Y294" t="s">
        <v>1169</v>
      </c>
      <c r="Z294" t="s">
        <v>70</v>
      </c>
      <c r="AA294" t="b">
        <f>ISNUMBER(SEARCH(";"&amp;Lessons[[#This Row],[Instrument__c]]&amp;";",";"&amp;_xlfn.XLOOKUP(Lessons[[#This Row],[Instructor_External_Id__c]], Instructors[Id], Instructors[Instruments_Taught__c])&amp;";"))</f>
        <v>1</v>
      </c>
      <c r="AB294" t="str">
        <f>IF(LEFT(Lessons[[#This Row],[Status__c]],9)="Cancelled","",Lessons[[#This Row],[Instructor_External_Id__c]]&amp;"|"&amp;TEXT(Lessons[[#This Row],[Lesson_Date__c]],"yyyy-mm-dd")&amp;"|"&amp;Lessons[[#This Row],[Start_Time__c]])</f>
        <v>a06ak00000amzCJAAY|2026-05-19|11:00:00.000Z</v>
      </c>
      <c r="AC294">
        <f>IF(Lessons[[#This Row],[Double Booked Key]]="","",COUNTIF(Lessons[Double Booked Key],Lessons[[#This Row],[Double Booked Key]]))</f>
        <v>1</v>
      </c>
      <c r="AD294" s="6" t="str">
        <f>_xlfn.XLOOKUP(Lessons[[#This Row],[Location_External_Id__c]], Locations[Location Id], Locations[Location Name])</f>
        <v>Toms River</v>
      </c>
      <c r="AE294" s="6" t="str">
        <f>TEXT(Lessons[[#This Row],[Lesson_Date__c]], "yyyy-mm")</f>
        <v>2026-05</v>
      </c>
      <c r="AF294" s="6" t="str">
        <f>IF(Lessons[[#This Row],[Lesson_Date__c]]&lt;=Data_Audit!$F$1, "Yes", "No")</f>
        <v>Yes</v>
      </c>
    </row>
    <row r="295" spans="1:32">
      <c r="A295" t="s">
        <v>52</v>
      </c>
      <c r="B295" t="s">
        <v>53</v>
      </c>
      <c r="C295">
        <v>30</v>
      </c>
      <c r="D295" t="s">
        <v>1176</v>
      </c>
      <c r="E295" t="s">
        <v>201</v>
      </c>
      <c r="F295" t="s">
        <v>202</v>
      </c>
      <c r="G295" t="s">
        <v>57</v>
      </c>
      <c r="H295" t="s">
        <v>203</v>
      </c>
      <c r="I295" t="b">
        <v>0</v>
      </c>
      <c r="K295" t="s">
        <v>52</v>
      </c>
      <c r="L295" t="s">
        <v>70</v>
      </c>
      <c r="O295" s="1">
        <v>46145</v>
      </c>
      <c r="P295" t="s">
        <v>1177</v>
      </c>
      <c r="Q295" t="s">
        <v>1178</v>
      </c>
      <c r="R295" t="s">
        <v>150</v>
      </c>
      <c r="S295" t="b">
        <v>0</v>
      </c>
      <c r="T295" t="b">
        <v>0</v>
      </c>
      <c r="U295" t="s">
        <v>1178</v>
      </c>
      <c r="V295" t="s">
        <v>64</v>
      </c>
      <c r="W295" t="s">
        <v>65</v>
      </c>
      <c r="X295" t="s">
        <v>1168</v>
      </c>
      <c r="Y295" t="s">
        <v>1169</v>
      </c>
      <c r="Z295" t="s">
        <v>70</v>
      </c>
      <c r="AA295" t="b">
        <f>ISNUMBER(SEARCH(";"&amp;Lessons[[#This Row],[Instrument__c]]&amp;";",";"&amp;_xlfn.XLOOKUP(Lessons[[#This Row],[Instructor_External_Id__c]], Instructors[Id], Instructors[Instruments_Taught__c])&amp;";"))</f>
        <v>1</v>
      </c>
      <c r="AB295" t="str">
        <f>IF(LEFT(Lessons[[#This Row],[Status__c]],9)="Cancelled","",Lessons[[#This Row],[Instructor_External_Id__c]]&amp;"|"&amp;TEXT(Lessons[[#This Row],[Lesson_Date__c]],"yyyy-mm-dd")&amp;"|"&amp;Lessons[[#This Row],[Start_Time__c]])</f>
        <v>a06ak00000amzCJAAY|2026-05-03|11:00:00.000Z</v>
      </c>
      <c r="AC295">
        <f>IF(Lessons[[#This Row],[Double Booked Key]]="","",COUNTIF(Lessons[Double Booked Key],Lessons[[#This Row],[Double Booked Key]]))</f>
        <v>1</v>
      </c>
      <c r="AD295" s="6" t="str">
        <f>_xlfn.XLOOKUP(Lessons[[#This Row],[Location_External_Id__c]], Locations[Location Id], Locations[Location Name])</f>
        <v>Toms River</v>
      </c>
      <c r="AE295" s="6" t="str">
        <f>TEXT(Lessons[[#This Row],[Lesson_Date__c]], "yyyy-mm")</f>
        <v>2026-05</v>
      </c>
      <c r="AF295" s="6" t="str">
        <f>IF(Lessons[[#This Row],[Lesson_Date__c]]&lt;=Data_Audit!$F$1, "Yes", "No")</f>
        <v>Yes</v>
      </c>
    </row>
    <row r="296" spans="1:32">
      <c r="A296" t="s">
        <v>52</v>
      </c>
      <c r="B296" t="s">
        <v>53</v>
      </c>
      <c r="C296">
        <v>45</v>
      </c>
      <c r="D296" t="s">
        <v>1179</v>
      </c>
      <c r="E296" t="s">
        <v>201</v>
      </c>
      <c r="F296" t="s">
        <v>202</v>
      </c>
      <c r="H296" t="s">
        <v>203</v>
      </c>
      <c r="I296" t="b">
        <v>0</v>
      </c>
      <c r="K296" t="s">
        <v>52</v>
      </c>
      <c r="L296" t="s">
        <v>70</v>
      </c>
      <c r="O296" s="1">
        <v>46287</v>
      </c>
      <c r="P296" t="s">
        <v>1180</v>
      </c>
      <c r="Q296" t="s">
        <v>1181</v>
      </c>
      <c r="R296" t="s">
        <v>150</v>
      </c>
      <c r="S296" t="b">
        <v>1</v>
      </c>
      <c r="T296" t="b">
        <v>1</v>
      </c>
      <c r="U296" t="s">
        <v>1181</v>
      </c>
      <c r="V296" t="s">
        <v>74</v>
      </c>
      <c r="W296" t="s">
        <v>136</v>
      </c>
      <c r="X296" t="s">
        <v>1168</v>
      </c>
      <c r="Y296" t="s">
        <v>1169</v>
      </c>
      <c r="Z296" t="s">
        <v>70</v>
      </c>
      <c r="AA296" t="b">
        <f>ISNUMBER(SEARCH(";"&amp;Lessons[[#This Row],[Instrument__c]]&amp;";",";"&amp;_xlfn.XLOOKUP(Lessons[[#This Row],[Instructor_External_Id__c]], Instructors[Id], Instructors[Instruments_Taught__c])&amp;";"))</f>
        <v>1</v>
      </c>
      <c r="AB296" t="str">
        <f>IF(LEFT(Lessons[[#This Row],[Status__c]],9)="Cancelled","",Lessons[[#This Row],[Instructor_External_Id__c]]&amp;"|"&amp;TEXT(Lessons[[#This Row],[Lesson_Date__c]],"yyyy-mm-dd")&amp;"|"&amp;Lessons[[#This Row],[Start_Time__c]])</f>
        <v/>
      </c>
      <c r="AC296" t="str">
        <f>IF(Lessons[[#This Row],[Double Booked Key]]="","",COUNTIF(Lessons[Double Booked Key],Lessons[[#This Row],[Double Booked Key]]))</f>
        <v/>
      </c>
      <c r="AD296" s="6" t="str">
        <f>_xlfn.XLOOKUP(Lessons[[#This Row],[Location_External_Id__c]], Locations[Location Id], Locations[Location Name])</f>
        <v>Toms River</v>
      </c>
      <c r="AE296" s="6" t="str">
        <f>TEXT(Lessons[[#This Row],[Lesson_Date__c]], "yyyy-mm")</f>
        <v>2026-09</v>
      </c>
      <c r="AF296" s="6" t="str">
        <f>IF(Lessons[[#This Row],[Lesson_Date__c]]&lt;=Data_Audit!$F$1, "Yes", "No")</f>
        <v>Yes</v>
      </c>
    </row>
    <row r="297" spans="1:32">
      <c r="A297" t="s">
        <v>52</v>
      </c>
      <c r="B297" t="s">
        <v>53</v>
      </c>
      <c r="C297">
        <v>45</v>
      </c>
      <c r="D297" t="s">
        <v>1182</v>
      </c>
      <c r="E297" t="s">
        <v>201</v>
      </c>
      <c r="F297" t="s">
        <v>202</v>
      </c>
      <c r="H297" t="s">
        <v>203</v>
      </c>
      <c r="I297" t="b">
        <v>0</v>
      </c>
      <c r="K297" t="s">
        <v>52</v>
      </c>
      <c r="L297" t="s">
        <v>70</v>
      </c>
      <c r="O297" s="1">
        <v>46032</v>
      </c>
      <c r="P297" t="s">
        <v>1183</v>
      </c>
      <c r="Q297" t="s">
        <v>1184</v>
      </c>
      <c r="R297" t="s">
        <v>150</v>
      </c>
      <c r="S297" t="b">
        <v>0</v>
      </c>
      <c r="T297" t="b">
        <v>0</v>
      </c>
      <c r="U297" t="s">
        <v>1184</v>
      </c>
      <c r="V297" t="s">
        <v>94</v>
      </c>
      <c r="W297" t="s">
        <v>65</v>
      </c>
      <c r="X297" t="s">
        <v>1168</v>
      </c>
      <c r="Y297" t="s">
        <v>1169</v>
      </c>
      <c r="Z297" t="s">
        <v>70</v>
      </c>
      <c r="AA297" t="b">
        <f>ISNUMBER(SEARCH(";"&amp;Lessons[[#This Row],[Instrument__c]]&amp;";",";"&amp;_xlfn.XLOOKUP(Lessons[[#This Row],[Instructor_External_Id__c]], Instructors[Id], Instructors[Instruments_Taught__c])&amp;";"))</f>
        <v>1</v>
      </c>
      <c r="AB297" t="str">
        <f>IF(LEFT(Lessons[[#This Row],[Status__c]],9)="Cancelled","",Lessons[[#This Row],[Instructor_External_Id__c]]&amp;"|"&amp;TEXT(Lessons[[#This Row],[Lesson_Date__c]],"yyyy-mm-dd")&amp;"|"&amp;Lessons[[#This Row],[Start_Time__c]])</f>
        <v>a06ak00000amzCJAAY|2026-01-10|19:00:00.000Z</v>
      </c>
      <c r="AC297">
        <f>IF(Lessons[[#This Row],[Double Booked Key]]="","",COUNTIF(Lessons[Double Booked Key],Lessons[[#This Row],[Double Booked Key]]))</f>
        <v>1</v>
      </c>
      <c r="AD297" s="6" t="str">
        <f>_xlfn.XLOOKUP(Lessons[[#This Row],[Location_External_Id__c]], Locations[Location Id], Locations[Location Name])</f>
        <v>Toms River</v>
      </c>
      <c r="AE297" s="6" t="str">
        <f>TEXT(Lessons[[#This Row],[Lesson_Date__c]], "yyyy-mm")</f>
        <v>2026-01</v>
      </c>
      <c r="AF297" s="6" t="str">
        <f>IF(Lessons[[#This Row],[Lesson_Date__c]]&lt;=Data_Audit!$F$1, "Yes", "No")</f>
        <v>Yes</v>
      </c>
    </row>
    <row r="298" spans="1:32">
      <c r="A298" t="s">
        <v>52</v>
      </c>
      <c r="B298" t="s">
        <v>53</v>
      </c>
      <c r="C298">
        <v>30</v>
      </c>
      <c r="D298" t="s">
        <v>1185</v>
      </c>
      <c r="E298" t="s">
        <v>201</v>
      </c>
      <c r="F298" t="s">
        <v>202</v>
      </c>
      <c r="G298" t="s">
        <v>69</v>
      </c>
      <c r="H298" t="s">
        <v>203</v>
      </c>
      <c r="I298" t="b">
        <v>0</v>
      </c>
      <c r="K298" t="s">
        <v>52</v>
      </c>
      <c r="L298" t="s">
        <v>70</v>
      </c>
      <c r="O298" s="1">
        <v>46180</v>
      </c>
      <c r="P298" t="s">
        <v>1186</v>
      </c>
      <c r="Q298" t="s">
        <v>1187</v>
      </c>
      <c r="R298" t="s">
        <v>150</v>
      </c>
      <c r="S298" t="b">
        <v>0</v>
      </c>
      <c r="T298" t="b">
        <v>0</v>
      </c>
      <c r="U298" t="s">
        <v>1187</v>
      </c>
      <c r="V298" t="s">
        <v>110</v>
      </c>
      <c r="W298" t="s">
        <v>65</v>
      </c>
      <c r="X298" t="s">
        <v>1168</v>
      </c>
      <c r="Y298" t="s">
        <v>1169</v>
      </c>
      <c r="Z298" t="s">
        <v>70</v>
      </c>
      <c r="AA298" t="b">
        <f>ISNUMBER(SEARCH(";"&amp;Lessons[[#This Row],[Instrument__c]]&amp;";",";"&amp;_xlfn.XLOOKUP(Lessons[[#This Row],[Instructor_External_Id__c]], Instructors[Id], Instructors[Instruments_Taught__c])&amp;";"))</f>
        <v>1</v>
      </c>
      <c r="AB298" t="str">
        <f>IF(LEFT(Lessons[[#This Row],[Status__c]],9)="Cancelled","",Lessons[[#This Row],[Instructor_External_Id__c]]&amp;"|"&amp;TEXT(Lessons[[#This Row],[Lesson_Date__c]],"yyyy-mm-dd")&amp;"|"&amp;Lessons[[#This Row],[Start_Time__c]])</f>
        <v>a06ak00000amzCJAAY|2026-06-07|10:00:00.000Z</v>
      </c>
      <c r="AC298">
        <f>IF(Lessons[[#This Row],[Double Booked Key]]="","",COUNTIF(Lessons[Double Booked Key],Lessons[[#This Row],[Double Booked Key]]))</f>
        <v>1</v>
      </c>
      <c r="AD298" s="6" t="str">
        <f>_xlfn.XLOOKUP(Lessons[[#This Row],[Location_External_Id__c]], Locations[Location Id], Locations[Location Name])</f>
        <v>Toms River</v>
      </c>
      <c r="AE298" s="6" t="str">
        <f>TEXT(Lessons[[#This Row],[Lesson_Date__c]], "yyyy-mm")</f>
        <v>2026-06</v>
      </c>
      <c r="AF298" s="6" t="str">
        <f>IF(Lessons[[#This Row],[Lesson_Date__c]]&lt;=Data_Audit!$F$1, "Yes", "No")</f>
        <v>Yes</v>
      </c>
    </row>
    <row r="299" spans="1:32">
      <c r="A299" t="s">
        <v>52</v>
      </c>
      <c r="B299" t="s">
        <v>53</v>
      </c>
      <c r="C299">
        <v>60</v>
      </c>
      <c r="D299" t="s">
        <v>1188</v>
      </c>
      <c r="E299" t="s">
        <v>201</v>
      </c>
      <c r="F299" t="s">
        <v>202</v>
      </c>
      <c r="H299" t="s">
        <v>203</v>
      </c>
      <c r="I299" t="b">
        <v>0</v>
      </c>
      <c r="K299" t="s">
        <v>52</v>
      </c>
      <c r="L299" t="s">
        <v>70</v>
      </c>
      <c r="O299" s="1">
        <v>46197</v>
      </c>
      <c r="P299" t="s">
        <v>1189</v>
      </c>
      <c r="Q299" t="s">
        <v>1190</v>
      </c>
      <c r="R299" t="s">
        <v>150</v>
      </c>
      <c r="S299" t="b">
        <v>0</v>
      </c>
      <c r="T299" t="b">
        <v>0</v>
      </c>
      <c r="U299" t="s">
        <v>1190</v>
      </c>
      <c r="V299" t="s">
        <v>64</v>
      </c>
      <c r="W299" t="s">
        <v>65</v>
      </c>
      <c r="X299" t="s">
        <v>1168</v>
      </c>
      <c r="Y299" t="s">
        <v>1169</v>
      </c>
      <c r="Z299" t="s">
        <v>70</v>
      </c>
      <c r="AA299" t="b">
        <f>ISNUMBER(SEARCH(";"&amp;Lessons[[#This Row],[Instrument__c]]&amp;";",";"&amp;_xlfn.XLOOKUP(Lessons[[#This Row],[Instructor_External_Id__c]], Instructors[Id], Instructors[Instruments_Taught__c])&amp;";"))</f>
        <v>1</v>
      </c>
      <c r="AB299" t="str">
        <f>IF(LEFT(Lessons[[#This Row],[Status__c]],9)="Cancelled","",Lessons[[#This Row],[Instructor_External_Id__c]]&amp;"|"&amp;TEXT(Lessons[[#This Row],[Lesson_Date__c]],"yyyy-mm-dd")&amp;"|"&amp;Lessons[[#This Row],[Start_Time__c]])</f>
        <v>a06ak00000amzCJAAY|2026-06-24|11:00:00.000Z</v>
      </c>
      <c r="AC299">
        <f>IF(Lessons[[#This Row],[Double Booked Key]]="","",COUNTIF(Lessons[Double Booked Key],Lessons[[#This Row],[Double Booked Key]]))</f>
        <v>1</v>
      </c>
      <c r="AD299" s="6" t="str">
        <f>_xlfn.XLOOKUP(Lessons[[#This Row],[Location_External_Id__c]], Locations[Location Id], Locations[Location Name])</f>
        <v>Toms River</v>
      </c>
      <c r="AE299" s="6" t="str">
        <f>TEXT(Lessons[[#This Row],[Lesson_Date__c]], "yyyy-mm")</f>
        <v>2026-06</v>
      </c>
      <c r="AF299" s="6" t="str">
        <f>IF(Lessons[[#This Row],[Lesson_Date__c]]&lt;=Data_Audit!$F$1, "Yes", "No")</f>
        <v>Yes</v>
      </c>
    </row>
    <row r="300" spans="1:32">
      <c r="A300" t="s">
        <v>52</v>
      </c>
      <c r="B300" t="s">
        <v>53</v>
      </c>
      <c r="C300">
        <v>60</v>
      </c>
      <c r="D300" t="s">
        <v>1191</v>
      </c>
      <c r="E300" t="s">
        <v>201</v>
      </c>
      <c r="F300" t="s">
        <v>202</v>
      </c>
      <c r="G300" t="s">
        <v>99</v>
      </c>
      <c r="H300" t="s">
        <v>203</v>
      </c>
      <c r="I300" t="b">
        <v>0</v>
      </c>
      <c r="K300" t="s">
        <v>52</v>
      </c>
      <c r="L300" t="s">
        <v>70</v>
      </c>
      <c r="O300" s="1">
        <v>46124</v>
      </c>
      <c r="P300" t="s">
        <v>1192</v>
      </c>
      <c r="Q300" t="s">
        <v>1193</v>
      </c>
      <c r="R300" t="s">
        <v>83</v>
      </c>
      <c r="S300" t="b">
        <v>0</v>
      </c>
      <c r="T300" t="b">
        <v>0</v>
      </c>
      <c r="U300" t="s">
        <v>1193</v>
      </c>
      <c r="V300" t="s">
        <v>84</v>
      </c>
      <c r="W300" t="s">
        <v>65</v>
      </c>
      <c r="X300" t="s">
        <v>1194</v>
      </c>
      <c r="Y300" t="s">
        <v>1195</v>
      </c>
      <c r="Z300" t="s">
        <v>70</v>
      </c>
      <c r="AA300" t="b">
        <f>ISNUMBER(SEARCH(";"&amp;Lessons[[#This Row],[Instrument__c]]&amp;";",";"&amp;_xlfn.XLOOKUP(Lessons[[#This Row],[Instructor_External_Id__c]], Instructors[Id], Instructors[Instruments_Taught__c])&amp;";"))</f>
        <v>1</v>
      </c>
      <c r="AB300" t="str">
        <f>IF(LEFT(Lessons[[#This Row],[Status__c]],9)="Cancelled","",Lessons[[#This Row],[Instructor_External_Id__c]]&amp;"|"&amp;TEXT(Lessons[[#This Row],[Lesson_Date__c]],"yyyy-mm-dd")&amp;"|"&amp;Lessons[[#This Row],[Start_Time__c]])</f>
        <v>a06ak00000amzCJAAY|2026-04-12|17:00:00.000Z</v>
      </c>
      <c r="AC300">
        <f>IF(Lessons[[#This Row],[Double Booked Key]]="","",COUNTIF(Lessons[Double Booked Key],Lessons[[#This Row],[Double Booked Key]]))</f>
        <v>1</v>
      </c>
      <c r="AD300" s="6" t="str">
        <f>_xlfn.XLOOKUP(Lessons[[#This Row],[Location_External_Id__c]], Locations[Location Id], Locations[Location Name])</f>
        <v>Brick</v>
      </c>
      <c r="AE300" s="6" t="str">
        <f>TEXT(Lessons[[#This Row],[Lesson_Date__c]], "yyyy-mm")</f>
        <v>2026-04</v>
      </c>
      <c r="AF300" s="6" t="str">
        <f>IF(Lessons[[#This Row],[Lesson_Date__c]]&lt;=Data_Audit!$F$1, "Yes", "No")</f>
        <v>Yes</v>
      </c>
    </row>
    <row r="301" spans="1:32">
      <c r="A301" t="s">
        <v>52</v>
      </c>
      <c r="B301" t="s">
        <v>53</v>
      </c>
      <c r="C301">
        <v>30</v>
      </c>
      <c r="D301" t="s">
        <v>1196</v>
      </c>
      <c r="E301" t="s">
        <v>201</v>
      </c>
      <c r="F301" t="s">
        <v>202</v>
      </c>
      <c r="H301" t="s">
        <v>203</v>
      </c>
      <c r="I301" t="b">
        <v>0</v>
      </c>
      <c r="K301" t="s">
        <v>52</v>
      </c>
      <c r="L301" t="s">
        <v>171</v>
      </c>
      <c r="O301" s="1">
        <v>46184</v>
      </c>
      <c r="P301" t="s">
        <v>1197</v>
      </c>
      <c r="Q301" t="s">
        <v>1198</v>
      </c>
      <c r="R301" t="s">
        <v>83</v>
      </c>
      <c r="S301" t="b">
        <v>1</v>
      </c>
      <c r="T301" t="b">
        <v>1</v>
      </c>
      <c r="U301" t="s">
        <v>1198</v>
      </c>
      <c r="V301" t="s">
        <v>64</v>
      </c>
      <c r="W301" t="s">
        <v>136</v>
      </c>
      <c r="X301" t="s">
        <v>1194</v>
      </c>
      <c r="Y301" t="s">
        <v>1195</v>
      </c>
      <c r="Z301" t="s">
        <v>171</v>
      </c>
      <c r="AA301" t="b">
        <f>ISNUMBER(SEARCH(";"&amp;Lessons[[#This Row],[Instrument__c]]&amp;";",";"&amp;_xlfn.XLOOKUP(Lessons[[#This Row],[Instructor_External_Id__c]], Instructors[Id], Instructors[Instruments_Taught__c])&amp;";"))</f>
        <v>1</v>
      </c>
      <c r="AB301" t="str">
        <f>IF(LEFT(Lessons[[#This Row],[Status__c]],9)="Cancelled","",Lessons[[#This Row],[Instructor_External_Id__c]]&amp;"|"&amp;TEXT(Lessons[[#This Row],[Lesson_Date__c]],"yyyy-mm-dd")&amp;"|"&amp;Lessons[[#This Row],[Start_Time__c]])</f>
        <v/>
      </c>
      <c r="AC301" t="str">
        <f>IF(Lessons[[#This Row],[Double Booked Key]]="","",COUNTIF(Lessons[Double Booked Key],Lessons[[#This Row],[Double Booked Key]]))</f>
        <v/>
      </c>
      <c r="AD301" s="6" t="str">
        <f>_xlfn.XLOOKUP(Lessons[[#This Row],[Location_External_Id__c]], Locations[Location Id], Locations[Location Name])</f>
        <v>Brick</v>
      </c>
      <c r="AE301" s="6" t="str">
        <f>TEXT(Lessons[[#This Row],[Lesson_Date__c]], "yyyy-mm")</f>
        <v>2026-06</v>
      </c>
      <c r="AF301" s="6" t="str">
        <f>IF(Lessons[[#This Row],[Lesson_Date__c]]&lt;=Data_Audit!$F$1, "Yes", "No")</f>
        <v>Yes</v>
      </c>
    </row>
    <row r="302" spans="1:32">
      <c r="A302" t="s">
        <v>52</v>
      </c>
      <c r="B302" t="s">
        <v>53</v>
      </c>
      <c r="C302">
        <v>45</v>
      </c>
      <c r="D302" t="s">
        <v>1199</v>
      </c>
      <c r="E302" t="s">
        <v>201</v>
      </c>
      <c r="F302" t="s">
        <v>202</v>
      </c>
      <c r="H302" t="s">
        <v>203</v>
      </c>
      <c r="I302" t="b">
        <v>0</v>
      </c>
      <c r="K302" t="s">
        <v>52</v>
      </c>
      <c r="L302" t="s">
        <v>70</v>
      </c>
      <c r="O302" s="1">
        <v>46283</v>
      </c>
      <c r="P302" t="s">
        <v>1200</v>
      </c>
      <c r="Q302" t="s">
        <v>1201</v>
      </c>
      <c r="R302" t="s">
        <v>83</v>
      </c>
      <c r="S302" t="b">
        <v>1</v>
      </c>
      <c r="T302" t="b">
        <v>1</v>
      </c>
      <c r="U302" t="s">
        <v>1201</v>
      </c>
      <c r="V302" t="s">
        <v>74</v>
      </c>
      <c r="W302" t="s">
        <v>136</v>
      </c>
      <c r="X302" t="s">
        <v>1194</v>
      </c>
      <c r="Y302" t="s">
        <v>1195</v>
      </c>
      <c r="Z302" t="s">
        <v>70</v>
      </c>
      <c r="AA302" t="b">
        <f>ISNUMBER(SEARCH(";"&amp;Lessons[[#This Row],[Instrument__c]]&amp;";",";"&amp;_xlfn.XLOOKUP(Lessons[[#This Row],[Instructor_External_Id__c]], Instructors[Id], Instructors[Instruments_Taught__c])&amp;";"))</f>
        <v>1</v>
      </c>
      <c r="AB302" t="str">
        <f>IF(LEFT(Lessons[[#This Row],[Status__c]],9)="Cancelled","",Lessons[[#This Row],[Instructor_External_Id__c]]&amp;"|"&amp;TEXT(Lessons[[#This Row],[Lesson_Date__c]],"yyyy-mm-dd")&amp;"|"&amp;Lessons[[#This Row],[Start_Time__c]])</f>
        <v/>
      </c>
      <c r="AC302" t="str">
        <f>IF(Lessons[[#This Row],[Double Booked Key]]="","",COUNTIF(Lessons[Double Booked Key],Lessons[[#This Row],[Double Booked Key]]))</f>
        <v/>
      </c>
      <c r="AD302" s="6" t="str">
        <f>_xlfn.XLOOKUP(Lessons[[#This Row],[Location_External_Id__c]], Locations[Location Id], Locations[Location Name])</f>
        <v>Brick</v>
      </c>
      <c r="AE302" s="6" t="str">
        <f>TEXT(Lessons[[#This Row],[Lesson_Date__c]], "yyyy-mm")</f>
        <v>2026-09</v>
      </c>
      <c r="AF302" s="6" t="str">
        <f>IF(Lessons[[#This Row],[Lesson_Date__c]]&lt;=Data_Audit!$F$1, "Yes", "No")</f>
        <v>Yes</v>
      </c>
    </row>
    <row r="303" spans="1:32">
      <c r="A303" t="s">
        <v>52</v>
      </c>
      <c r="B303" t="s">
        <v>53</v>
      </c>
      <c r="C303">
        <v>30</v>
      </c>
      <c r="D303" t="s">
        <v>1202</v>
      </c>
      <c r="E303" t="s">
        <v>1203</v>
      </c>
      <c r="F303" t="s">
        <v>1204</v>
      </c>
      <c r="G303" t="s">
        <v>57</v>
      </c>
      <c r="H303" t="s">
        <v>392</v>
      </c>
      <c r="I303" t="b">
        <v>0</v>
      </c>
      <c r="K303" t="s">
        <v>52</v>
      </c>
      <c r="L303" t="s">
        <v>70</v>
      </c>
      <c r="O303" s="1">
        <v>46180</v>
      </c>
      <c r="P303" t="s">
        <v>1205</v>
      </c>
      <c r="Q303" t="s">
        <v>1206</v>
      </c>
      <c r="R303" t="s">
        <v>63</v>
      </c>
      <c r="S303" t="b">
        <v>0</v>
      </c>
      <c r="T303" t="b">
        <v>0</v>
      </c>
      <c r="U303" t="s">
        <v>1206</v>
      </c>
      <c r="V303" t="s">
        <v>128</v>
      </c>
      <c r="W303" t="s">
        <v>65</v>
      </c>
      <c r="X303" t="s">
        <v>1207</v>
      </c>
      <c r="Y303" t="s">
        <v>1208</v>
      </c>
      <c r="Z303" t="s">
        <v>70</v>
      </c>
      <c r="AA303" t="b">
        <f>ISNUMBER(SEARCH(";"&amp;Lessons[[#This Row],[Instrument__c]]&amp;";",";"&amp;_xlfn.XLOOKUP(Lessons[[#This Row],[Instructor_External_Id__c]], Instructors[Id], Instructors[Instruments_Taught__c])&amp;";"))</f>
        <v>1</v>
      </c>
      <c r="AB303" t="str">
        <f>IF(LEFT(Lessons[[#This Row],[Status__c]],9)="Cancelled","",Lessons[[#This Row],[Instructor_External_Id__c]]&amp;"|"&amp;TEXT(Lessons[[#This Row],[Lesson_Date__c]],"yyyy-mm-dd")&amp;"|"&amp;Lessons[[#This Row],[Start_Time__c]])</f>
        <v>a06ak00000amzBuAAI|2026-06-07|18:30:00.000Z</v>
      </c>
      <c r="AC303">
        <f>IF(Lessons[[#This Row],[Double Booked Key]]="","",COUNTIF(Lessons[Double Booked Key],Lessons[[#This Row],[Double Booked Key]]))</f>
        <v>1</v>
      </c>
      <c r="AD303" s="6" t="str">
        <f>_xlfn.XLOOKUP(Lessons[[#This Row],[Location_External_Id__c]], Locations[Location Id], Locations[Location Name])</f>
        <v>Red Bank</v>
      </c>
      <c r="AE303" s="6" t="str">
        <f>TEXT(Lessons[[#This Row],[Lesson_Date__c]], "yyyy-mm")</f>
        <v>2026-06</v>
      </c>
      <c r="AF303" s="6" t="str">
        <f>IF(Lessons[[#This Row],[Lesson_Date__c]]&lt;=Data_Audit!$F$1, "Yes", "No")</f>
        <v>Yes</v>
      </c>
    </row>
    <row r="304" spans="1:32">
      <c r="A304" t="s">
        <v>52</v>
      </c>
      <c r="B304" t="s">
        <v>53</v>
      </c>
      <c r="C304">
        <v>30</v>
      </c>
      <c r="D304" t="s">
        <v>1209</v>
      </c>
      <c r="E304" t="s">
        <v>1203</v>
      </c>
      <c r="F304" t="s">
        <v>1204</v>
      </c>
      <c r="H304" t="s">
        <v>392</v>
      </c>
      <c r="I304" t="b">
        <v>0</v>
      </c>
      <c r="K304" t="s">
        <v>52</v>
      </c>
      <c r="L304" t="s">
        <v>70</v>
      </c>
      <c r="O304" s="1">
        <v>46036</v>
      </c>
      <c r="P304" t="s">
        <v>1210</v>
      </c>
      <c r="Q304" t="s">
        <v>1211</v>
      </c>
      <c r="R304" t="s">
        <v>63</v>
      </c>
      <c r="S304" t="b">
        <v>0</v>
      </c>
      <c r="T304" t="b">
        <v>0</v>
      </c>
      <c r="U304" t="s">
        <v>1211</v>
      </c>
      <c r="V304" t="s">
        <v>64</v>
      </c>
      <c r="W304" t="s">
        <v>121</v>
      </c>
      <c r="X304" t="s">
        <v>1207</v>
      </c>
      <c r="Y304" t="s">
        <v>1208</v>
      </c>
      <c r="Z304" t="s">
        <v>70</v>
      </c>
      <c r="AA304" t="b">
        <f>ISNUMBER(SEARCH(";"&amp;Lessons[[#This Row],[Instrument__c]]&amp;";",";"&amp;_xlfn.XLOOKUP(Lessons[[#This Row],[Instructor_External_Id__c]], Instructors[Id], Instructors[Instruments_Taught__c])&amp;";"))</f>
        <v>1</v>
      </c>
      <c r="AB304" t="str">
        <f>IF(LEFT(Lessons[[#This Row],[Status__c]],9)="Cancelled","",Lessons[[#This Row],[Instructor_External_Id__c]]&amp;"|"&amp;TEXT(Lessons[[#This Row],[Lesson_Date__c]],"yyyy-mm-dd")&amp;"|"&amp;Lessons[[#This Row],[Start_Time__c]])</f>
        <v>a06ak00000amzBuAAI|2026-01-14|11:00:00.000Z</v>
      </c>
      <c r="AC304">
        <f>IF(Lessons[[#This Row],[Double Booked Key]]="","",COUNTIF(Lessons[Double Booked Key],Lessons[[#This Row],[Double Booked Key]]))</f>
        <v>1</v>
      </c>
      <c r="AD304" s="6" t="str">
        <f>_xlfn.XLOOKUP(Lessons[[#This Row],[Location_External_Id__c]], Locations[Location Id], Locations[Location Name])</f>
        <v>Red Bank</v>
      </c>
      <c r="AE304" s="6" t="str">
        <f>TEXT(Lessons[[#This Row],[Lesson_Date__c]], "yyyy-mm")</f>
        <v>2026-01</v>
      </c>
      <c r="AF304" s="6" t="str">
        <f>IF(Lessons[[#This Row],[Lesson_Date__c]]&lt;=Data_Audit!$F$1, "Yes", "No")</f>
        <v>Yes</v>
      </c>
    </row>
    <row r="305" spans="1:32">
      <c r="A305" t="s">
        <v>52</v>
      </c>
      <c r="B305" t="s">
        <v>53</v>
      </c>
      <c r="C305">
        <v>30</v>
      </c>
      <c r="D305" t="s">
        <v>1212</v>
      </c>
      <c r="E305" t="s">
        <v>1203</v>
      </c>
      <c r="F305" t="s">
        <v>1204</v>
      </c>
      <c r="G305" t="s">
        <v>164</v>
      </c>
      <c r="H305" t="s">
        <v>392</v>
      </c>
      <c r="I305" t="b">
        <v>0</v>
      </c>
      <c r="K305" t="s">
        <v>52</v>
      </c>
      <c r="L305" t="s">
        <v>70</v>
      </c>
      <c r="O305" s="1">
        <v>46089</v>
      </c>
      <c r="P305" t="s">
        <v>1213</v>
      </c>
      <c r="Q305" t="s">
        <v>1214</v>
      </c>
      <c r="R305" t="s">
        <v>63</v>
      </c>
      <c r="S305" t="b">
        <v>0</v>
      </c>
      <c r="T305" t="b">
        <v>0</v>
      </c>
      <c r="U305" t="s">
        <v>1214</v>
      </c>
      <c r="V305" t="s">
        <v>135</v>
      </c>
      <c r="W305" t="s">
        <v>65</v>
      </c>
      <c r="X305" t="s">
        <v>1207</v>
      </c>
      <c r="Y305" t="s">
        <v>1208</v>
      </c>
      <c r="Z305" t="s">
        <v>70</v>
      </c>
      <c r="AA305" t="b">
        <f>ISNUMBER(SEARCH(";"&amp;Lessons[[#This Row],[Instrument__c]]&amp;";",";"&amp;_xlfn.XLOOKUP(Lessons[[#This Row],[Instructor_External_Id__c]], Instructors[Id], Instructors[Instruments_Taught__c])&amp;";"))</f>
        <v>1</v>
      </c>
      <c r="AB305" t="str">
        <f>IF(LEFT(Lessons[[#This Row],[Status__c]],9)="Cancelled","",Lessons[[#This Row],[Instructor_External_Id__c]]&amp;"|"&amp;TEXT(Lessons[[#This Row],[Lesson_Date__c]],"yyyy-mm-dd")&amp;"|"&amp;Lessons[[#This Row],[Start_Time__c]])</f>
        <v>a06ak00000amzBuAAI|2026-03-08|15:30:00.000Z</v>
      </c>
      <c r="AC305">
        <f>IF(Lessons[[#This Row],[Double Booked Key]]="","",COUNTIF(Lessons[Double Booked Key],Lessons[[#This Row],[Double Booked Key]]))</f>
        <v>1</v>
      </c>
      <c r="AD305" s="6" t="str">
        <f>_xlfn.XLOOKUP(Lessons[[#This Row],[Location_External_Id__c]], Locations[Location Id], Locations[Location Name])</f>
        <v>Red Bank</v>
      </c>
      <c r="AE305" s="6" t="str">
        <f>TEXT(Lessons[[#This Row],[Lesson_Date__c]], "yyyy-mm")</f>
        <v>2026-03</v>
      </c>
      <c r="AF305" s="6" t="str">
        <f>IF(Lessons[[#This Row],[Lesson_Date__c]]&lt;=Data_Audit!$F$1, "Yes", "No")</f>
        <v>Yes</v>
      </c>
    </row>
    <row r="306" spans="1:32">
      <c r="A306" t="s">
        <v>52</v>
      </c>
      <c r="B306" t="s">
        <v>53</v>
      </c>
      <c r="D306" t="s">
        <v>1215</v>
      </c>
      <c r="E306" t="s">
        <v>1216</v>
      </c>
      <c r="F306" t="s">
        <v>1217</v>
      </c>
      <c r="G306" t="s">
        <v>164</v>
      </c>
      <c r="H306" t="s">
        <v>392</v>
      </c>
      <c r="I306" t="b">
        <v>0</v>
      </c>
      <c r="K306" t="s">
        <v>52</v>
      </c>
      <c r="L306" t="s">
        <v>91</v>
      </c>
      <c r="O306" s="1">
        <v>46120</v>
      </c>
      <c r="P306" t="s">
        <v>1218</v>
      </c>
      <c r="Q306" t="s">
        <v>1219</v>
      </c>
      <c r="R306" t="s">
        <v>63</v>
      </c>
      <c r="S306" t="b">
        <v>0</v>
      </c>
      <c r="T306" t="b">
        <v>0</v>
      </c>
      <c r="U306" t="s">
        <v>1219</v>
      </c>
      <c r="V306" t="s">
        <v>116</v>
      </c>
      <c r="W306" t="s">
        <v>65</v>
      </c>
      <c r="X306" t="s">
        <v>1207</v>
      </c>
      <c r="Y306" t="s">
        <v>1208</v>
      </c>
      <c r="Z306" t="s">
        <v>91</v>
      </c>
      <c r="AA306" t="b">
        <f>ISNUMBER(SEARCH(";"&amp;Lessons[[#This Row],[Instrument__c]]&amp;";",";"&amp;_xlfn.XLOOKUP(Lessons[[#This Row],[Instructor_External_Id__c]], Instructors[Id], Instructors[Instruments_Taught__c])&amp;";"))</f>
        <v>0</v>
      </c>
      <c r="AB306" t="str">
        <f>IF(LEFT(Lessons[[#This Row],[Status__c]],9)="Cancelled","",Lessons[[#This Row],[Instructor_External_Id__c]]&amp;"|"&amp;TEXT(Lessons[[#This Row],[Lesson_Date__c]],"yyyy-mm-dd")&amp;"|"&amp;Lessons[[#This Row],[Start_Time__c]])</f>
        <v>a06ak00000amzCKAAY|2026-04-08|17:30:00.000Z</v>
      </c>
      <c r="AC306">
        <f>IF(Lessons[[#This Row],[Double Booked Key]]="","",COUNTIF(Lessons[Double Booked Key],Lessons[[#This Row],[Double Booked Key]]))</f>
        <v>1</v>
      </c>
      <c r="AD306" s="6" t="str">
        <f>_xlfn.XLOOKUP(Lessons[[#This Row],[Location_External_Id__c]], Locations[Location Id], Locations[Location Name])</f>
        <v>Red Bank</v>
      </c>
      <c r="AE306" s="6" t="str">
        <f>TEXT(Lessons[[#This Row],[Lesson_Date__c]], "yyyy-mm")</f>
        <v>2026-04</v>
      </c>
      <c r="AF306" s="6" t="str">
        <f>IF(Lessons[[#This Row],[Lesson_Date__c]]&lt;=Data_Audit!$F$1, "Yes", "No")</f>
        <v>Yes</v>
      </c>
    </row>
    <row r="307" spans="1:32">
      <c r="A307" t="s">
        <v>52</v>
      </c>
      <c r="B307" t="s">
        <v>53</v>
      </c>
      <c r="C307">
        <v>60</v>
      </c>
      <c r="D307" t="s">
        <v>1220</v>
      </c>
      <c r="E307" t="s">
        <v>318</v>
      </c>
      <c r="F307" t="s">
        <v>319</v>
      </c>
      <c r="G307" t="s">
        <v>164</v>
      </c>
      <c r="H307" t="s">
        <v>237</v>
      </c>
      <c r="I307" t="b">
        <v>0</v>
      </c>
      <c r="K307" t="s">
        <v>52</v>
      </c>
      <c r="L307" t="s">
        <v>70</v>
      </c>
      <c r="O307" s="1">
        <v>46105</v>
      </c>
      <c r="P307" t="s">
        <v>1221</v>
      </c>
      <c r="Q307" t="s">
        <v>1222</v>
      </c>
      <c r="R307" t="s">
        <v>63</v>
      </c>
      <c r="S307" t="b">
        <v>0</v>
      </c>
      <c r="T307" t="b">
        <v>0</v>
      </c>
      <c r="U307" t="s">
        <v>1222</v>
      </c>
      <c r="V307" t="s">
        <v>102</v>
      </c>
      <c r="W307" t="s">
        <v>65</v>
      </c>
      <c r="X307" t="s">
        <v>1223</v>
      </c>
      <c r="Y307" t="s">
        <v>1224</v>
      </c>
      <c r="Z307" t="s">
        <v>70</v>
      </c>
      <c r="AA307" t="b">
        <f>ISNUMBER(SEARCH(";"&amp;Lessons[[#This Row],[Instrument__c]]&amp;";",";"&amp;_xlfn.XLOOKUP(Lessons[[#This Row],[Instructor_External_Id__c]], Instructors[Id], Instructors[Instruments_Taught__c])&amp;";"))</f>
        <v>1</v>
      </c>
      <c r="AB307" t="str">
        <f>IF(LEFT(Lessons[[#This Row],[Status__c]],9)="Cancelled","",Lessons[[#This Row],[Instructor_External_Id__c]]&amp;"|"&amp;TEXT(Lessons[[#This Row],[Lesson_Date__c]],"yyyy-mm-dd")&amp;"|"&amp;Lessons[[#This Row],[Start_Time__c]])</f>
        <v>a06ak00000amzBzAAI|2026-03-24|16:00:00.000Z</v>
      </c>
      <c r="AC307">
        <f>IF(Lessons[[#This Row],[Double Booked Key]]="","",COUNTIF(Lessons[Double Booked Key],Lessons[[#This Row],[Double Booked Key]]))</f>
        <v>1</v>
      </c>
      <c r="AD307" s="6" t="str">
        <f>_xlfn.XLOOKUP(Lessons[[#This Row],[Location_External_Id__c]], Locations[Location Id], Locations[Location Name])</f>
        <v>Red Bank</v>
      </c>
      <c r="AE307" s="6" t="str">
        <f>TEXT(Lessons[[#This Row],[Lesson_Date__c]], "yyyy-mm")</f>
        <v>2026-03</v>
      </c>
      <c r="AF307" s="6" t="str">
        <f>IF(Lessons[[#This Row],[Lesson_Date__c]]&lt;=Data_Audit!$F$1, "Yes", "No")</f>
        <v>Yes</v>
      </c>
    </row>
    <row r="308" spans="1:32">
      <c r="A308" t="s">
        <v>52</v>
      </c>
      <c r="B308" t="s">
        <v>53</v>
      </c>
      <c r="C308">
        <v>60</v>
      </c>
      <c r="D308" t="s">
        <v>1225</v>
      </c>
      <c r="E308" t="s">
        <v>318</v>
      </c>
      <c r="F308" t="s">
        <v>319</v>
      </c>
      <c r="G308" t="s">
        <v>164</v>
      </c>
      <c r="H308" t="s">
        <v>237</v>
      </c>
      <c r="I308" t="b">
        <v>0</v>
      </c>
      <c r="K308" t="s">
        <v>52</v>
      </c>
      <c r="L308" t="s">
        <v>70</v>
      </c>
      <c r="O308" s="1">
        <v>46119</v>
      </c>
      <c r="P308" t="s">
        <v>1226</v>
      </c>
      <c r="Q308" t="s">
        <v>1227</v>
      </c>
      <c r="R308" t="s">
        <v>63</v>
      </c>
      <c r="S308" t="b">
        <v>0</v>
      </c>
      <c r="T308" t="b">
        <v>0</v>
      </c>
      <c r="U308" t="s">
        <v>1227</v>
      </c>
      <c r="V308" t="s">
        <v>135</v>
      </c>
      <c r="W308" t="s">
        <v>65</v>
      </c>
      <c r="X308" t="s">
        <v>1223</v>
      </c>
      <c r="Y308" t="s">
        <v>1224</v>
      </c>
      <c r="Z308" t="s">
        <v>70</v>
      </c>
      <c r="AA308" t="b">
        <f>ISNUMBER(SEARCH(";"&amp;Lessons[[#This Row],[Instrument__c]]&amp;";",";"&amp;_xlfn.XLOOKUP(Lessons[[#This Row],[Instructor_External_Id__c]], Instructors[Id], Instructors[Instruments_Taught__c])&amp;";"))</f>
        <v>1</v>
      </c>
      <c r="AB308" t="str">
        <f>IF(LEFT(Lessons[[#This Row],[Status__c]],9)="Cancelled","",Lessons[[#This Row],[Instructor_External_Id__c]]&amp;"|"&amp;TEXT(Lessons[[#This Row],[Lesson_Date__c]],"yyyy-mm-dd")&amp;"|"&amp;Lessons[[#This Row],[Start_Time__c]])</f>
        <v>a06ak00000amzBzAAI|2026-04-07|15:30:00.000Z</v>
      </c>
      <c r="AC308">
        <f>IF(Lessons[[#This Row],[Double Booked Key]]="","",COUNTIF(Lessons[Double Booked Key],Lessons[[#This Row],[Double Booked Key]]))</f>
        <v>1</v>
      </c>
      <c r="AD308" s="6" t="str">
        <f>_xlfn.XLOOKUP(Lessons[[#This Row],[Location_External_Id__c]], Locations[Location Id], Locations[Location Name])</f>
        <v>Red Bank</v>
      </c>
      <c r="AE308" s="6" t="str">
        <f>TEXT(Lessons[[#This Row],[Lesson_Date__c]], "yyyy-mm")</f>
        <v>2026-04</v>
      </c>
      <c r="AF308" s="6" t="str">
        <f>IF(Lessons[[#This Row],[Lesson_Date__c]]&lt;=Data_Audit!$F$1, "Yes", "No")</f>
        <v>Yes</v>
      </c>
    </row>
    <row r="309" spans="1:32">
      <c r="A309" t="s">
        <v>52</v>
      </c>
      <c r="B309" t="s">
        <v>53</v>
      </c>
      <c r="C309">
        <v>60</v>
      </c>
      <c r="D309" t="s">
        <v>1228</v>
      </c>
      <c r="E309" t="s">
        <v>490</v>
      </c>
      <c r="F309" t="s">
        <v>491</v>
      </c>
      <c r="G309" t="s">
        <v>164</v>
      </c>
      <c r="H309" t="s">
        <v>392</v>
      </c>
      <c r="I309" t="b">
        <v>0</v>
      </c>
      <c r="K309" t="s">
        <v>52</v>
      </c>
      <c r="L309" t="s">
        <v>70</v>
      </c>
      <c r="O309" s="1">
        <v>46253</v>
      </c>
      <c r="P309" t="s">
        <v>1229</v>
      </c>
      <c r="Q309" t="s">
        <v>1230</v>
      </c>
      <c r="R309" t="s">
        <v>63</v>
      </c>
      <c r="S309" t="b">
        <v>0</v>
      </c>
      <c r="T309" t="b">
        <v>0</v>
      </c>
      <c r="U309" t="s">
        <v>1230</v>
      </c>
      <c r="V309" t="s">
        <v>64</v>
      </c>
      <c r="W309" t="s">
        <v>65</v>
      </c>
      <c r="X309" t="s">
        <v>1231</v>
      </c>
      <c r="Y309" t="s">
        <v>1232</v>
      </c>
      <c r="Z309" t="s">
        <v>70</v>
      </c>
      <c r="AA309" t="b">
        <f>ISNUMBER(SEARCH(";"&amp;Lessons[[#This Row],[Instrument__c]]&amp;";",";"&amp;_xlfn.XLOOKUP(Lessons[[#This Row],[Instructor_External_Id__c]], Instructors[Id], Instructors[Instruments_Taught__c])&amp;";"))</f>
        <v>1</v>
      </c>
      <c r="AB309" t="str">
        <f>IF(LEFT(Lessons[[#This Row],[Status__c]],9)="Cancelled","",Lessons[[#This Row],[Instructor_External_Id__c]]&amp;"|"&amp;TEXT(Lessons[[#This Row],[Lesson_Date__c]],"yyyy-mm-dd")&amp;"|"&amp;Lessons[[#This Row],[Start_Time__c]])</f>
        <v>a06ak00000amzBrAAI|2026-08-19|11:00:00.000Z</v>
      </c>
      <c r="AC309">
        <f>IF(Lessons[[#This Row],[Double Booked Key]]="","",COUNTIF(Lessons[Double Booked Key],Lessons[[#This Row],[Double Booked Key]]))</f>
        <v>1</v>
      </c>
      <c r="AD309" s="6" t="str">
        <f>_xlfn.XLOOKUP(Lessons[[#This Row],[Location_External_Id__c]], Locations[Location Id], Locations[Location Name])</f>
        <v>Red Bank</v>
      </c>
      <c r="AE309" s="6" t="str">
        <f>TEXT(Lessons[[#This Row],[Lesson_Date__c]], "yyyy-mm")</f>
        <v>2026-08</v>
      </c>
      <c r="AF309" s="6" t="str">
        <f>IF(Lessons[[#This Row],[Lesson_Date__c]]&lt;=Data_Audit!$F$1, "Yes", "No")</f>
        <v>Yes</v>
      </c>
    </row>
    <row r="310" spans="1:32">
      <c r="A310" t="s">
        <v>52</v>
      </c>
      <c r="B310" t="s">
        <v>53</v>
      </c>
      <c r="C310">
        <v>45</v>
      </c>
      <c r="D310" t="s">
        <v>1233</v>
      </c>
      <c r="E310" t="s">
        <v>490</v>
      </c>
      <c r="F310" t="s">
        <v>491</v>
      </c>
      <c r="G310" t="s">
        <v>69</v>
      </c>
      <c r="H310" t="s">
        <v>392</v>
      </c>
      <c r="I310" t="b">
        <v>0</v>
      </c>
      <c r="K310" t="s">
        <v>52</v>
      </c>
      <c r="L310" t="s">
        <v>70</v>
      </c>
      <c r="O310" s="1">
        <v>46109</v>
      </c>
      <c r="P310" t="s">
        <v>1234</v>
      </c>
      <c r="Q310" t="s">
        <v>1235</v>
      </c>
      <c r="R310" t="s">
        <v>63</v>
      </c>
      <c r="S310" t="b">
        <v>0</v>
      </c>
      <c r="T310" t="b">
        <v>0</v>
      </c>
      <c r="U310" t="s">
        <v>1235</v>
      </c>
      <c r="V310" t="s">
        <v>94</v>
      </c>
      <c r="W310" t="s">
        <v>65</v>
      </c>
      <c r="X310" t="s">
        <v>1231</v>
      </c>
      <c r="Y310" t="s">
        <v>1232</v>
      </c>
      <c r="Z310" t="s">
        <v>70</v>
      </c>
      <c r="AA310" t="b">
        <f>ISNUMBER(SEARCH(";"&amp;Lessons[[#This Row],[Instrument__c]]&amp;";",";"&amp;_xlfn.XLOOKUP(Lessons[[#This Row],[Instructor_External_Id__c]], Instructors[Id], Instructors[Instruments_Taught__c])&amp;";"))</f>
        <v>1</v>
      </c>
      <c r="AB310" t="str">
        <f>IF(LEFT(Lessons[[#This Row],[Status__c]],9)="Cancelled","",Lessons[[#This Row],[Instructor_External_Id__c]]&amp;"|"&amp;TEXT(Lessons[[#This Row],[Lesson_Date__c]],"yyyy-mm-dd")&amp;"|"&amp;Lessons[[#This Row],[Start_Time__c]])</f>
        <v>a06ak00000amzBrAAI|2026-03-28|19:00:00.000Z</v>
      </c>
      <c r="AC310">
        <f>IF(Lessons[[#This Row],[Double Booked Key]]="","",COUNTIF(Lessons[Double Booked Key],Lessons[[#This Row],[Double Booked Key]]))</f>
        <v>1</v>
      </c>
      <c r="AD310" s="6" t="str">
        <f>_xlfn.XLOOKUP(Lessons[[#This Row],[Location_External_Id__c]], Locations[Location Id], Locations[Location Name])</f>
        <v>Red Bank</v>
      </c>
      <c r="AE310" s="6" t="str">
        <f>TEXT(Lessons[[#This Row],[Lesson_Date__c]], "yyyy-mm")</f>
        <v>2026-03</v>
      </c>
      <c r="AF310" s="6" t="str">
        <f>IF(Lessons[[#This Row],[Lesson_Date__c]]&lt;=Data_Audit!$F$1, "Yes", "No")</f>
        <v>Yes</v>
      </c>
    </row>
    <row r="311" spans="1:32">
      <c r="A311" t="s">
        <v>52</v>
      </c>
      <c r="B311" t="s">
        <v>53</v>
      </c>
      <c r="C311">
        <v>60</v>
      </c>
      <c r="D311" t="s">
        <v>1236</v>
      </c>
      <c r="E311" t="s">
        <v>490</v>
      </c>
      <c r="F311" t="s">
        <v>491</v>
      </c>
      <c r="H311" t="s">
        <v>392</v>
      </c>
      <c r="I311" t="b">
        <v>0</v>
      </c>
      <c r="K311" t="s">
        <v>52</v>
      </c>
      <c r="L311" t="s">
        <v>70</v>
      </c>
      <c r="O311" s="1">
        <v>46068</v>
      </c>
      <c r="P311" t="s">
        <v>1237</v>
      </c>
      <c r="Q311" t="s">
        <v>1238</v>
      </c>
      <c r="R311" t="s">
        <v>63</v>
      </c>
      <c r="S311" t="b">
        <v>0</v>
      </c>
      <c r="T311" t="b">
        <v>0</v>
      </c>
      <c r="U311" t="s">
        <v>1238</v>
      </c>
      <c r="V311" t="s">
        <v>64</v>
      </c>
      <c r="W311" t="s">
        <v>65</v>
      </c>
      <c r="X311" t="s">
        <v>1231</v>
      </c>
      <c r="Y311" t="s">
        <v>1232</v>
      </c>
      <c r="Z311" t="s">
        <v>70</v>
      </c>
      <c r="AA311" t="b">
        <f>ISNUMBER(SEARCH(";"&amp;Lessons[[#This Row],[Instrument__c]]&amp;";",";"&amp;_xlfn.XLOOKUP(Lessons[[#This Row],[Instructor_External_Id__c]], Instructors[Id], Instructors[Instruments_Taught__c])&amp;";"))</f>
        <v>1</v>
      </c>
      <c r="AB311" t="str">
        <f>IF(LEFT(Lessons[[#This Row],[Status__c]],9)="Cancelled","",Lessons[[#This Row],[Instructor_External_Id__c]]&amp;"|"&amp;TEXT(Lessons[[#This Row],[Lesson_Date__c]],"yyyy-mm-dd")&amp;"|"&amp;Lessons[[#This Row],[Start_Time__c]])</f>
        <v>a06ak00000amzBrAAI|2026-02-15|11:00:00.000Z</v>
      </c>
      <c r="AC311">
        <f>IF(Lessons[[#This Row],[Double Booked Key]]="","",COUNTIF(Lessons[Double Booked Key],Lessons[[#This Row],[Double Booked Key]]))</f>
        <v>1</v>
      </c>
      <c r="AD311" s="6" t="str">
        <f>_xlfn.XLOOKUP(Lessons[[#This Row],[Location_External_Id__c]], Locations[Location Id], Locations[Location Name])</f>
        <v>Red Bank</v>
      </c>
      <c r="AE311" s="6" t="str">
        <f>TEXT(Lessons[[#This Row],[Lesson_Date__c]], "yyyy-mm")</f>
        <v>2026-02</v>
      </c>
      <c r="AF311" s="6" t="str">
        <f>IF(Lessons[[#This Row],[Lesson_Date__c]]&lt;=Data_Audit!$F$1, "Yes", "No")</f>
        <v>Yes</v>
      </c>
    </row>
    <row r="312" spans="1:32">
      <c r="A312" t="s">
        <v>52</v>
      </c>
      <c r="B312" t="s">
        <v>53</v>
      </c>
      <c r="C312">
        <v>30</v>
      </c>
      <c r="D312" t="s">
        <v>1239</v>
      </c>
      <c r="E312" t="s">
        <v>490</v>
      </c>
      <c r="F312" t="s">
        <v>491</v>
      </c>
      <c r="H312" t="s">
        <v>392</v>
      </c>
      <c r="I312" t="b">
        <v>0</v>
      </c>
      <c r="K312" t="s">
        <v>52</v>
      </c>
      <c r="L312" t="s">
        <v>70</v>
      </c>
      <c r="O312" s="1">
        <v>46210</v>
      </c>
      <c r="P312" t="s">
        <v>1240</v>
      </c>
      <c r="Q312" t="s">
        <v>1241</v>
      </c>
      <c r="R312" t="s">
        <v>63</v>
      </c>
      <c r="S312" t="b">
        <v>0</v>
      </c>
      <c r="T312" t="b">
        <v>0</v>
      </c>
      <c r="U312" t="s">
        <v>1241</v>
      </c>
      <c r="V312" t="s">
        <v>84</v>
      </c>
      <c r="W312" t="s">
        <v>65</v>
      </c>
      <c r="X312" t="s">
        <v>1231</v>
      </c>
      <c r="Y312" t="s">
        <v>1232</v>
      </c>
      <c r="Z312" t="s">
        <v>70</v>
      </c>
      <c r="AA312" t="b">
        <f>ISNUMBER(SEARCH(";"&amp;Lessons[[#This Row],[Instrument__c]]&amp;";",";"&amp;_xlfn.XLOOKUP(Lessons[[#This Row],[Instructor_External_Id__c]], Instructors[Id], Instructors[Instruments_Taught__c])&amp;";"))</f>
        <v>1</v>
      </c>
      <c r="AB312" t="str">
        <f>IF(LEFT(Lessons[[#This Row],[Status__c]],9)="Cancelled","",Lessons[[#This Row],[Instructor_External_Id__c]]&amp;"|"&amp;TEXT(Lessons[[#This Row],[Lesson_Date__c]],"yyyy-mm-dd")&amp;"|"&amp;Lessons[[#This Row],[Start_Time__c]])</f>
        <v>a06ak00000amzBrAAI|2026-07-07|17:00:00.000Z</v>
      </c>
      <c r="AC312">
        <f>IF(Lessons[[#This Row],[Double Booked Key]]="","",COUNTIF(Lessons[Double Booked Key],Lessons[[#This Row],[Double Booked Key]]))</f>
        <v>1</v>
      </c>
      <c r="AD312" s="6" t="str">
        <f>_xlfn.XLOOKUP(Lessons[[#This Row],[Location_External_Id__c]], Locations[Location Id], Locations[Location Name])</f>
        <v>Red Bank</v>
      </c>
      <c r="AE312" s="6" t="str">
        <f>TEXT(Lessons[[#This Row],[Lesson_Date__c]], "yyyy-mm")</f>
        <v>2026-07</v>
      </c>
      <c r="AF312" s="6" t="str">
        <f>IF(Lessons[[#This Row],[Lesson_Date__c]]&lt;=Data_Audit!$F$1, "Yes", "No")</f>
        <v>Yes</v>
      </c>
    </row>
    <row r="313" spans="1:32">
      <c r="A313" t="s">
        <v>52</v>
      </c>
      <c r="B313" t="s">
        <v>53</v>
      </c>
      <c r="C313">
        <v>30</v>
      </c>
      <c r="D313" t="s">
        <v>1242</v>
      </c>
      <c r="E313" t="s">
        <v>490</v>
      </c>
      <c r="F313" t="s">
        <v>491</v>
      </c>
      <c r="H313" t="s">
        <v>392</v>
      </c>
      <c r="I313" t="b">
        <v>0</v>
      </c>
      <c r="K313" t="s">
        <v>52</v>
      </c>
      <c r="L313" t="s">
        <v>70</v>
      </c>
      <c r="O313" s="1">
        <v>46181</v>
      </c>
      <c r="P313" t="s">
        <v>1243</v>
      </c>
      <c r="Q313" t="s">
        <v>1244</v>
      </c>
      <c r="R313" t="s">
        <v>63</v>
      </c>
      <c r="S313" t="b">
        <v>0</v>
      </c>
      <c r="T313" t="b">
        <v>0</v>
      </c>
      <c r="U313" t="s">
        <v>1244</v>
      </c>
      <c r="V313" t="s">
        <v>64</v>
      </c>
      <c r="W313" t="s">
        <v>121</v>
      </c>
      <c r="X313" t="s">
        <v>1231</v>
      </c>
      <c r="Y313" t="s">
        <v>1232</v>
      </c>
      <c r="Z313" t="s">
        <v>70</v>
      </c>
      <c r="AA313" t="b">
        <f>ISNUMBER(SEARCH(";"&amp;Lessons[[#This Row],[Instrument__c]]&amp;";",";"&amp;_xlfn.XLOOKUP(Lessons[[#This Row],[Instructor_External_Id__c]], Instructors[Id], Instructors[Instruments_Taught__c])&amp;";"))</f>
        <v>1</v>
      </c>
      <c r="AB313" t="str">
        <f>IF(LEFT(Lessons[[#This Row],[Status__c]],9)="Cancelled","",Lessons[[#This Row],[Instructor_External_Id__c]]&amp;"|"&amp;TEXT(Lessons[[#This Row],[Lesson_Date__c]],"yyyy-mm-dd")&amp;"|"&amp;Lessons[[#This Row],[Start_Time__c]])</f>
        <v>a06ak00000amzBrAAI|2026-06-08|11:00:00.000Z</v>
      </c>
      <c r="AC313">
        <f>IF(Lessons[[#This Row],[Double Booked Key]]="","",COUNTIF(Lessons[Double Booked Key],Lessons[[#This Row],[Double Booked Key]]))</f>
        <v>1</v>
      </c>
      <c r="AD313" s="6" t="str">
        <f>_xlfn.XLOOKUP(Lessons[[#This Row],[Location_External_Id__c]], Locations[Location Id], Locations[Location Name])</f>
        <v>Red Bank</v>
      </c>
      <c r="AE313" s="6" t="str">
        <f>TEXT(Lessons[[#This Row],[Lesson_Date__c]], "yyyy-mm")</f>
        <v>2026-06</v>
      </c>
      <c r="AF313" s="6" t="str">
        <f>IF(Lessons[[#This Row],[Lesson_Date__c]]&lt;=Data_Audit!$F$1, "Yes", "No")</f>
        <v>Yes</v>
      </c>
    </row>
    <row r="314" spans="1:32">
      <c r="A314" t="s">
        <v>52</v>
      </c>
      <c r="B314" t="s">
        <v>53</v>
      </c>
      <c r="C314">
        <v>30</v>
      </c>
      <c r="D314" t="s">
        <v>1245</v>
      </c>
      <c r="E314" t="s">
        <v>1203</v>
      </c>
      <c r="F314" t="s">
        <v>1204</v>
      </c>
      <c r="G314" t="s">
        <v>164</v>
      </c>
      <c r="H314" t="s">
        <v>392</v>
      </c>
      <c r="I314" t="b">
        <v>0</v>
      </c>
      <c r="K314" t="s">
        <v>52</v>
      </c>
      <c r="L314" t="s">
        <v>70</v>
      </c>
      <c r="O314" s="1">
        <v>46158</v>
      </c>
      <c r="P314" t="s">
        <v>1246</v>
      </c>
      <c r="Q314" t="s">
        <v>1247</v>
      </c>
      <c r="R314" t="s">
        <v>63</v>
      </c>
      <c r="S314" t="b">
        <v>0</v>
      </c>
      <c r="T314" t="b">
        <v>0</v>
      </c>
      <c r="U314" t="s">
        <v>1247</v>
      </c>
      <c r="V314" t="s">
        <v>64</v>
      </c>
      <c r="W314" t="s">
        <v>65</v>
      </c>
      <c r="X314" t="s">
        <v>1248</v>
      </c>
      <c r="Y314" t="s">
        <v>1249</v>
      </c>
      <c r="Z314" t="s">
        <v>70</v>
      </c>
      <c r="AA314" t="b">
        <f>ISNUMBER(SEARCH(";"&amp;Lessons[[#This Row],[Instrument__c]]&amp;";",";"&amp;_xlfn.XLOOKUP(Lessons[[#This Row],[Instructor_External_Id__c]], Instructors[Id], Instructors[Instruments_Taught__c])&amp;";"))</f>
        <v>1</v>
      </c>
      <c r="AB314" t="str">
        <f>IF(LEFT(Lessons[[#This Row],[Status__c]],9)="Cancelled","",Lessons[[#This Row],[Instructor_External_Id__c]]&amp;"|"&amp;TEXT(Lessons[[#This Row],[Lesson_Date__c]],"yyyy-mm-dd")&amp;"|"&amp;Lessons[[#This Row],[Start_Time__c]])</f>
        <v>a06ak00000amzBuAAI|2026-05-16|11:00:00.000Z</v>
      </c>
      <c r="AC314">
        <f>IF(Lessons[[#This Row],[Double Booked Key]]="","",COUNTIF(Lessons[Double Booked Key],Lessons[[#This Row],[Double Booked Key]]))</f>
        <v>1</v>
      </c>
      <c r="AD314" s="6" t="str">
        <f>_xlfn.XLOOKUP(Lessons[[#This Row],[Location_External_Id__c]], Locations[Location Id], Locations[Location Name])</f>
        <v>Red Bank</v>
      </c>
      <c r="AE314" s="6" t="str">
        <f>TEXT(Lessons[[#This Row],[Lesson_Date__c]], "yyyy-mm")</f>
        <v>2026-05</v>
      </c>
      <c r="AF314" s="6" t="str">
        <f>IF(Lessons[[#This Row],[Lesson_Date__c]]&lt;=Data_Audit!$F$1, "Yes", "No")</f>
        <v>Yes</v>
      </c>
    </row>
    <row r="315" spans="1:32">
      <c r="A315" t="s">
        <v>52</v>
      </c>
      <c r="B315" t="s">
        <v>53</v>
      </c>
      <c r="C315">
        <v>30</v>
      </c>
      <c r="D315" t="s">
        <v>1250</v>
      </c>
      <c r="E315" t="s">
        <v>1203</v>
      </c>
      <c r="F315" t="s">
        <v>1204</v>
      </c>
      <c r="G315" t="s">
        <v>106</v>
      </c>
      <c r="H315" t="s">
        <v>392</v>
      </c>
      <c r="I315" t="b">
        <v>0</v>
      </c>
      <c r="K315" t="s">
        <v>52</v>
      </c>
      <c r="L315" t="s">
        <v>70</v>
      </c>
      <c r="O315" s="1">
        <v>46133</v>
      </c>
      <c r="P315" t="s">
        <v>1251</v>
      </c>
      <c r="Q315" t="s">
        <v>1252</v>
      </c>
      <c r="R315" t="s">
        <v>63</v>
      </c>
      <c r="S315" t="b">
        <v>0</v>
      </c>
      <c r="T315" t="b">
        <v>0</v>
      </c>
      <c r="U315" t="s">
        <v>1252</v>
      </c>
      <c r="V315" t="s">
        <v>74</v>
      </c>
      <c r="W315" t="s">
        <v>65</v>
      </c>
      <c r="X315" t="s">
        <v>1248</v>
      </c>
      <c r="Y315" t="s">
        <v>1249</v>
      </c>
      <c r="Z315" t="s">
        <v>70</v>
      </c>
      <c r="AA315" t="b">
        <f>ISNUMBER(SEARCH(";"&amp;Lessons[[#This Row],[Instrument__c]]&amp;";",";"&amp;_xlfn.XLOOKUP(Lessons[[#This Row],[Instructor_External_Id__c]], Instructors[Id], Instructors[Instruments_Taught__c])&amp;";"))</f>
        <v>1</v>
      </c>
      <c r="AB315" t="str">
        <f>IF(LEFT(Lessons[[#This Row],[Status__c]],9)="Cancelled","",Lessons[[#This Row],[Instructor_External_Id__c]]&amp;"|"&amp;TEXT(Lessons[[#This Row],[Lesson_Date__c]],"yyyy-mm-dd")&amp;"|"&amp;Lessons[[#This Row],[Start_Time__c]])</f>
        <v>a06ak00000amzBuAAI|2026-04-21|16:30:00.000Z</v>
      </c>
      <c r="AC315">
        <f>IF(Lessons[[#This Row],[Double Booked Key]]="","",COUNTIF(Lessons[Double Booked Key],Lessons[[#This Row],[Double Booked Key]]))</f>
        <v>1</v>
      </c>
      <c r="AD315" s="6" t="str">
        <f>_xlfn.XLOOKUP(Lessons[[#This Row],[Location_External_Id__c]], Locations[Location Id], Locations[Location Name])</f>
        <v>Red Bank</v>
      </c>
      <c r="AE315" s="6" t="str">
        <f>TEXT(Lessons[[#This Row],[Lesson_Date__c]], "yyyy-mm")</f>
        <v>2026-04</v>
      </c>
      <c r="AF315" s="6" t="str">
        <f>IF(Lessons[[#This Row],[Lesson_Date__c]]&lt;=Data_Audit!$F$1, "Yes", "No")</f>
        <v>Yes</v>
      </c>
    </row>
    <row r="316" spans="1:32">
      <c r="A316" t="s">
        <v>52</v>
      </c>
      <c r="B316" t="s">
        <v>53</v>
      </c>
      <c r="C316">
        <v>30</v>
      </c>
      <c r="D316" t="s">
        <v>1253</v>
      </c>
      <c r="E316" t="s">
        <v>1203</v>
      </c>
      <c r="F316" t="s">
        <v>1204</v>
      </c>
      <c r="H316" t="s">
        <v>392</v>
      </c>
      <c r="I316" t="b">
        <v>0</v>
      </c>
      <c r="K316" t="s">
        <v>52</v>
      </c>
      <c r="L316" t="s">
        <v>70</v>
      </c>
      <c r="O316" s="1">
        <v>46228</v>
      </c>
      <c r="P316" t="s">
        <v>1254</v>
      </c>
      <c r="Q316" t="s">
        <v>1255</v>
      </c>
      <c r="R316" t="s">
        <v>63</v>
      </c>
      <c r="S316" t="b">
        <v>0</v>
      </c>
      <c r="T316" t="b">
        <v>0</v>
      </c>
      <c r="U316" t="s">
        <v>1255</v>
      </c>
      <c r="V316" t="s">
        <v>94</v>
      </c>
      <c r="W316" t="s">
        <v>65</v>
      </c>
      <c r="X316" t="s">
        <v>1248</v>
      </c>
      <c r="Y316" t="s">
        <v>1249</v>
      </c>
      <c r="Z316" t="s">
        <v>70</v>
      </c>
      <c r="AA316" t="b">
        <f>ISNUMBER(SEARCH(";"&amp;Lessons[[#This Row],[Instrument__c]]&amp;";",";"&amp;_xlfn.XLOOKUP(Lessons[[#This Row],[Instructor_External_Id__c]], Instructors[Id], Instructors[Instruments_Taught__c])&amp;";"))</f>
        <v>1</v>
      </c>
      <c r="AB316" t="str">
        <f>IF(LEFT(Lessons[[#This Row],[Status__c]],9)="Cancelled","",Lessons[[#This Row],[Instructor_External_Id__c]]&amp;"|"&amp;TEXT(Lessons[[#This Row],[Lesson_Date__c]],"yyyy-mm-dd")&amp;"|"&amp;Lessons[[#This Row],[Start_Time__c]])</f>
        <v>a06ak00000amzBuAAI|2026-07-25|19:00:00.000Z</v>
      </c>
      <c r="AC316">
        <f>IF(Lessons[[#This Row],[Double Booked Key]]="","",COUNTIF(Lessons[Double Booked Key],Lessons[[#This Row],[Double Booked Key]]))</f>
        <v>1</v>
      </c>
      <c r="AD316" s="6" t="str">
        <f>_xlfn.XLOOKUP(Lessons[[#This Row],[Location_External_Id__c]], Locations[Location Id], Locations[Location Name])</f>
        <v>Red Bank</v>
      </c>
      <c r="AE316" s="6" t="str">
        <f>TEXT(Lessons[[#This Row],[Lesson_Date__c]], "yyyy-mm")</f>
        <v>2026-07</v>
      </c>
      <c r="AF316" s="6" t="str">
        <f>IF(Lessons[[#This Row],[Lesson_Date__c]]&lt;=Data_Audit!$F$1, "Yes", "No")</f>
        <v>Yes</v>
      </c>
    </row>
    <row r="317" spans="1:32">
      <c r="A317" t="s">
        <v>52</v>
      </c>
      <c r="B317" t="s">
        <v>53</v>
      </c>
      <c r="C317">
        <v>45</v>
      </c>
      <c r="D317" t="s">
        <v>1256</v>
      </c>
      <c r="E317" t="s">
        <v>1203</v>
      </c>
      <c r="F317" t="s">
        <v>1204</v>
      </c>
      <c r="G317" t="s">
        <v>164</v>
      </c>
      <c r="H317" t="s">
        <v>392</v>
      </c>
      <c r="I317" t="b">
        <v>0</v>
      </c>
      <c r="K317" t="s">
        <v>52</v>
      </c>
      <c r="L317" t="s">
        <v>70</v>
      </c>
      <c r="O317" s="1">
        <v>46221</v>
      </c>
      <c r="P317" t="s">
        <v>1257</v>
      </c>
      <c r="Q317" t="s">
        <v>1258</v>
      </c>
      <c r="R317" t="s">
        <v>63</v>
      </c>
      <c r="S317" t="b">
        <v>0</v>
      </c>
      <c r="T317" t="b">
        <v>0</v>
      </c>
      <c r="U317" t="s">
        <v>1258</v>
      </c>
      <c r="V317" t="s">
        <v>84</v>
      </c>
      <c r="W317" t="s">
        <v>65</v>
      </c>
      <c r="X317" t="s">
        <v>1248</v>
      </c>
      <c r="Y317" t="s">
        <v>1249</v>
      </c>
      <c r="Z317" t="s">
        <v>70</v>
      </c>
      <c r="AA317" t="b">
        <f>ISNUMBER(SEARCH(";"&amp;Lessons[[#This Row],[Instrument__c]]&amp;";",";"&amp;_xlfn.XLOOKUP(Lessons[[#This Row],[Instructor_External_Id__c]], Instructors[Id], Instructors[Instruments_Taught__c])&amp;";"))</f>
        <v>1</v>
      </c>
      <c r="AB317" t="str">
        <f>IF(LEFT(Lessons[[#This Row],[Status__c]],9)="Cancelled","",Lessons[[#This Row],[Instructor_External_Id__c]]&amp;"|"&amp;TEXT(Lessons[[#This Row],[Lesson_Date__c]],"yyyy-mm-dd")&amp;"|"&amp;Lessons[[#This Row],[Start_Time__c]])</f>
        <v>a06ak00000amzBuAAI|2026-07-18|17:00:00.000Z</v>
      </c>
      <c r="AC317">
        <f>IF(Lessons[[#This Row],[Double Booked Key]]="","",COUNTIF(Lessons[Double Booked Key],Lessons[[#This Row],[Double Booked Key]]))</f>
        <v>1</v>
      </c>
      <c r="AD317" s="6" t="str">
        <f>_xlfn.XLOOKUP(Lessons[[#This Row],[Location_External_Id__c]], Locations[Location Id], Locations[Location Name])</f>
        <v>Red Bank</v>
      </c>
      <c r="AE317" s="6" t="str">
        <f>TEXT(Lessons[[#This Row],[Lesson_Date__c]], "yyyy-mm")</f>
        <v>2026-07</v>
      </c>
      <c r="AF317" s="6" t="str">
        <f>IF(Lessons[[#This Row],[Lesson_Date__c]]&lt;=Data_Audit!$F$1, "Yes", "No")</f>
        <v>Yes</v>
      </c>
    </row>
    <row r="318" spans="1:32">
      <c r="A318" t="s">
        <v>52</v>
      </c>
      <c r="B318" t="s">
        <v>53</v>
      </c>
      <c r="C318">
        <v>30</v>
      </c>
      <c r="D318" t="s">
        <v>1259</v>
      </c>
      <c r="E318" t="s">
        <v>1203</v>
      </c>
      <c r="F318" t="s">
        <v>1204</v>
      </c>
      <c r="G318" t="s">
        <v>99</v>
      </c>
      <c r="H318" t="s">
        <v>392</v>
      </c>
      <c r="I318" t="b">
        <v>0</v>
      </c>
      <c r="K318" t="s">
        <v>52</v>
      </c>
      <c r="L318" t="s">
        <v>70</v>
      </c>
      <c r="O318" s="1">
        <v>46067</v>
      </c>
      <c r="P318" t="s">
        <v>1260</v>
      </c>
      <c r="Q318" t="s">
        <v>1261</v>
      </c>
      <c r="R318" t="s">
        <v>63</v>
      </c>
      <c r="S318" t="b">
        <v>0</v>
      </c>
      <c r="T318" t="b">
        <v>0</v>
      </c>
      <c r="U318" t="s">
        <v>1261</v>
      </c>
      <c r="V318" t="s">
        <v>120</v>
      </c>
      <c r="W318" t="s">
        <v>65</v>
      </c>
      <c r="X318" t="s">
        <v>1248</v>
      </c>
      <c r="Y318" t="s">
        <v>1249</v>
      </c>
      <c r="Z318" t="s">
        <v>70</v>
      </c>
      <c r="AA318" t="b">
        <f>ISNUMBER(SEARCH(";"&amp;Lessons[[#This Row],[Instrument__c]]&amp;";",";"&amp;_xlfn.XLOOKUP(Lessons[[#This Row],[Instructor_External_Id__c]], Instructors[Id], Instructors[Instruments_Taught__c])&amp;";"))</f>
        <v>1</v>
      </c>
      <c r="AB318" t="str">
        <f>IF(LEFT(Lessons[[#This Row],[Status__c]],9)="Cancelled","",Lessons[[#This Row],[Instructor_External_Id__c]]&amp;"|"&amp;TEXT(Lessons[[#This Row],[Lesson_Date__c]],"yyyy-mm-dd")&amp;"|"&amp;Lessons[[#This Row],[Start_Time__c]])</f>
        <v>a06ak00000amzBuAAI|2026-02-14|18:00:00.000Z</v>
      </c>
      <c r="AC318">
        <f>IF(Lessons[[#This Row],[Double Booked Key]]="","",COUNTIF(Lessons[Double Booked Key],Lessons[[#This Row],[Double Booked Key]]))</f>
        <v>1</v>
      </c>
      <c r="AD318" s="6" t="str">
        <f>_xlfn.XLOOKUP(Lessons[[#This Row],[Location_External_Id__c]], Locations[Location Id], Locations[Location Name])</f>
        <v>Red Bank</v>
      </c>
      <c r="AE318" s="6" t="str">
        <f>TEXT(Lessons[[#This Row],[Lesson_Date__c]], "yyyy-mm")</f>
        <v>2026-02</v>
      </c>
      <c r="AF318" s="6" t="str">
        <f>IF(Lessons[[#This Row],[Lesson_Date__c]]&lt;=Data_Audit!$F$1, "Yes", "No")</f>
        <v>Yes</v>
      </c>
    </row>
    <row r="319" spans="1:32">
      <c r="A319" t="s">
        <v>52</v>
      </c>
      <c r="B319" t="s">
        <v>53</v>
      </c>
      <c r="C319">
        <v>45</v>
      </c>
      <c r="D319" t="s">
        <v>1262</v>
      </c>
      <c r="E319" t="s">
        <v>1203</v>
      </c>
      <c r="F319" t="s">
        <v>1204</v>
      </c>
      <c r="G319" t="s">
        <v>57</v>
      </c>
      <c r="H319" t="s">
        <v>392</v>
      </c>
      <c r="I319" t="b">
        <v>0</v>
      </c>
      <c r="K319" t="s">
        <v>52</v>
      </c>
      <c r="L319" t="s">
        <v>70</v>
      </c>
      <c r="O319" s="1">
        <v>46142</v>
      </c>
      <c r="P319" t="s">
        <v>1263</v>
      </c>
      <c r="Q319" t="s">
        <v>1264</v>
      </c>
      <c r="R319" t="s">
        <v>63</v>
      </c>
      <c r="S319" t="b">
        <v>0</v>
      </c>
      <c r="T319" t="b">
        <v>0</v>
      </c>
      <c r="U319" t="s">
        <v>1264</v>
      </c>
      <c r="V319" t="s">
        <v>128</v>
      </c>
      <c r="W319" t="s">
        <v>65</v>
      </c>
      <c r="X319" t="s">
        <v>1248</v>
      </c>
      <c r="Y319" t="s">
        <v>1249</v>
      </c>
      <c r="Z319" t="s">
        <v>70</v>
      </c>
      <c r="AA319" t="b">
        <f>ISNUMBER(SEARCH(";"&amp;Lessons[[#This Row],[Instrument__c]]&amp;";",";"&amp;_xlfn.XLOOKUP(Lessons[[#This Row],[Instructor_External_Id__c]], Instructors[Id], Instructors[Instruments_Taught__c])&amp;";"))</f>
        <v>1</v>
      </c>
      <c r="AB319" t="str">
        <f>IF(LEFT(Lessons[[#This Row],[Status__c]],9)="Cancelled","",Lessons[[#This Row],[Instructor_External_Id__c]]&amp;"|"&amp;TEXT(Lessons[[#This Row],[Lesson_Date__c]],"yyyy-mm-dd")&amp;"|"&amp;Lessons[[#This Row],[Start_Time__c]])</f>
        <v>a06ak00000amzBuAAI|2026-04-30|18:30:00.000Z</v>
      </c>
      <c r="AC319">
        <f>IF(Lessons[[#This Row],[Double Booked Key]]="","",COUNTIF(Lessons[Double Booked Key],Lessons[[#This Row],[Double Booked Key]]))</f>
        <v>1</v>
      </c>
      <c r="AD319" s="6" t="str">
        <f>_xlfn.XLOOKUP(Lessons[[#This Row],[Location_External_Id__c]], Locations[Location Id], Locations[Location Name])</f>
        <v>Red Bank</v>
      </c>
      <c r="AE319" s="6" t="str">
        <f>TEXT(Lessons[[#This Row],[Lesson_Date__c]], "yyyy-mm")</f>
        <v>2026-04</v>
      </c>
      <c r="AF319" s="6" t="str">
        <f>IF(Lessons[[#This Row],[Lesson_Date__c]]&lt;=Data_Audit!$F$1, "Yes", "No")</f>
        <v>Yes</v>
      </c>
    </row>
    <row r="320" spans="1:32">
      <c r="A320" t="s">
        <v>52</v>
      </c>
      <c r="B320" t="s">
        <v>53</v>
      </c>
      <c r="C320">
        <v>60</v>
      </c>
      <c r="D320" t="s">
        <v>1265</v>
      </c>
      <c r="E320" t="s">
        <v>804</v>
      </c>
      <c r="F320" t="s">
        <v>805</v>
      </c>
      <c r="G320" t="s">
        <v>99</v>
      </c>
      <c r="H320" t="s">
        <v>147</v>
      </c>
      <c r="I320" t="b">
        <v>0</v>
      </c>
      <c r="K320" t="s">
        <v>52</v>
      </c>
      <c r="L320" t="s">
        <v>70</v>
      </c>
      <c r="O320" s="1">
        <v>46220</v>
      </c>
      <c r="P320" t="s">
        <v>1266</v>
      </c>
      <c r="Q320" t="s">
        <v>1267</v>
      </c>
      <c r="R320" t="s">
        <v>63</v>
      </c>
      <c r="S320" t="b">
        <v>0</v>
      </c>
      <c r="T320" t="b">
        <v>0</v>
      </c>
      <c r="U320" t="s">
        <v>1267</v>
      </c>
      <c r="V320" t="s">
        <v>94</v>
      </c>
      <c r="W320" t="s">
        <v>65</v>
      </c>
      <c r="X320" t="s">
        <v>1268</v>
      </c>
      <c r="Y320" t="s">
        <v>1269</v>
      </c>
      <c r="Z320" t="s">
        <v>70</v>
      </c>
      <c r="AA320" t="b">
        <f>ISNUMBER(SEARCH(";"&amp;Lessons[[#This Row],[Instrument__c]]&amp;";",";"&amp;_xlfn.XLOOKUP(Lessons[[#This Row],[Instructor_External_Id__c]], Instructors[Id], Instructors[Instruments_Taught__c])&amp;";"))</f>
        <v>1</v>
      </c>
      <c r="AB320" t="str">
        <f>IF(LEFT(Lessons[[#This Row],[Status__c]],9)="Cancelled","",Lessons[[#This Row],[Instructor_External_Id__c]]&amp;"|"&amp;TEXT(Lessons[[#This Row],[Lesson_Date__c]],"yyyy-mm-dd")&amp;"|"&amp;Lessons[[#This Row],[Start_Time__c]])</f>
        <v>a06ak00000amzCBAAY|2026-07-17|19:00:00.000Z</v>
      </c>
      <c r="AC320">
        <f>IF(Lessons[[#This Row],[Double Booked Key]]="","",COUNTIF(Lessons[Double Booked Key],Lessons[[#This Row],[Double Booked Key]]))</f>
        <v>1</v>
      </c>
      <c r="AD320" s="6" t="str">
        <f>_xlfn.XLOOKUP(Lessons[[#This Row],[Location_External_Id__c]], Locations[Location Id], Locations[Location Name])</f>
        <v>Red Bank</v>
      </c>
      <c r="AE320" s="6" t="str">
        <f>TEXT(Lessons[[#This Row],[Lesson_Date__c]], "yyyy-mm")</f>
        <v>2026-07</v>
      </c>
      <c r="AF320" s="6" t="str">
        <f>IF(Lessons[[#This Row],[Lesson_Date__c]]&lt;=Data_Audit!$F$1, "Yes", "No")</f>
        <v>Yes</v>
      </c>
    </row>
    <row r="321" spans="1:32">
      <c r="A321" t="s">
        <v>52</v>
      </c>
      <c r="B321" t="s">
        <v>53</v>
      </c>
      <c r="C321">
        <v>45</v>
      </c>
      <c r="D321" t="s">
        <v>1270</v>
      </c>
      <c r="E321" t="s">
        <v>804</v>
      </c>
      <c r="F321" t="s">
        <v>805</v>
      </c>
      <c r="G321" t="s">
        <v>164</v>
      </c>
      <c r="H321" t="s">
        <v>147</v>
      </c>
      <c r="I321" t="b">
        <v>0</v>
      </c>
      <c r="K321" t="s">
        <v>52</v>
      </c>
      <c r="L321" t="s">
        <v>70</v>
      </c>
      <c r="O321" s="1">
        <v>46137</v>
      </c>
      <c r="P321" t="s">
        <v>1271</v>
      </c>
      <c r="Q321" t="s">
        <v>1272</v>
      </c>
      <c r="R321" t="s">
        <v>63</v>
      </c>
      <c r="S321" t="b">
        <v>0</v>
      </c>
      <c r="T321" t="b">
        <v>0</v>
      </c>
      <c r="U321" t="s">
        <v>1272</v>
      </c>
      <c r="V321" t="s">
        <v>64</v>
      </c>
      <c r="W321" t="s">
        <v>65</v>
      </c>
      <c r="X321" t="s">
        <v>1268</v>
      </c>
      <c r="Y321" t="s">
        <v>1269</v>
      </c>
      <c r="Z321" t="s">
        <v>70</v>
      </c>
      <c r="AA321" t="b">
        <f>ISNUMBER(SEARCH(";"&amp;Lessons[[#This Row],[Instrument__c]]&amp;";",";"&amp;_xlfn.XLOOKUP(Lessons[[#This Row],[Instructor_External_Id__c]], Instructors[Id], Instructors[Instruments_Taught__c])&amp;";"))</f>
        <v>1</v>
      </c>
      <c r="AB321" t="str">
        <f>IF(LEFT(Lessons[[#This Row],[Status__c]],9)="Cancelled","",Lessons[[#This Row],[Instructor_External_Id__c]]&amp;"|"&amp;TEXT(Lessons[[#This Row],[Lesson_Date__c]],"yyyy-mm-dd")&amp;"|"&amp;Lessons[[#This Row],[Start_Time__c]])</f>
        <v>a06ak00000amzCBAAY|2026-04-25|11:00:00.000Z</v>
      </c>
      <c r="AC321">
        <f>IF(Lessons[[#This Row],[Double Booked Key]]="","",COUNTIF(Lessons[Double Booked Key],Lessons[[#This Row],[Double Booked Key]]))</f>
        <v>1</v>
      </c>
      <c r="AD321" s="6" t="str">
        <f>_xlfn.XLOOKUP(Lessons[[#This Row],[Location_External_Id__c]], Locations[Location Id], Locations[Location Name])</f>
        <v>Red Bank</v>
      </c>
      <c r="AE321" s="6" t="str">
        <f>TEXT(Lessons[[#This Row],[Lesson_Date__c]], "yyyy-mm")</f>
        <v>2026-04</v>
      </c>
      <c r="AF321" s="6" t="str">
        <f>IF(Lessons[[#This Row],[Lesson_Date__c]]&lt;=Data_Audit!$F$1, "Yes", "No")</f>
        <v>Yes</v>
      </c>
    </row>
    <row r="322" spans="1:32">
      <c r="A322" t="s">
        <v>52</v>
      </c>
      <c r="B322" t="s">
        <v>53</v>
      </c>
      <c r="C322">
        <v>30</v>
      </c>
      <c r="D322" t="s">
        <v>1273</v>
      </c>
      <c r="E322" t="s">
        <v>804</v>
      </c>
      <c r="F322" t="s">
        <v>805</v>
      </c>
      <c r="G322" t="s">
        <v>106</v>
      </c>
      <c r="H322" t="s">
        <v>147</v>
      </c>
      <c r="I322" t="b">
        <v>0</v>
      </c>
      <c r="K322" t="s">
        <v>52</v>
      </c>
      <c r="L322" t="s">
        <v>70</v>
      </c>
      <c r="O322" s="1">
        <v>46165</v>
      </c>
      <c r="P322" t="s">
        <v>1274</v>
      </c>
      <c r="Q322" t="s">
        <v>1275</v>
      </c>
      <c r="R322" t="s">
        <v>63</v>
      </c>
      <c r="S322" t="b">
        <v>0</v>
      </c>
      <c r="T322" t="b">
        <v>0</v>
      </c>
      <c r="U322" t="s">
        <v>1275</v>
      </c>
      <c r="V322" t="s">
        <v>120</v>
      </c>
      <c r="W322" t="s">
        <v>65</v>
      </c>
      <c r="X322" t="s">
        <v>1268</v>
      </c>
      <c r="Y322" t="s">
        <v>1269</v>
      </c>
      <c r="Z322" t="s">
        <v>70</v>
      </c>
      <c r="AA322" t="b">
        <f>ISNUMBER(SEARCH(";"&amp;Lessons[[#This Row],[Instrument__c]]&amp;";",";"&amp;_xlfn.XLOOKUP(Lessons[[#This Row],[Instructor_External_Id__c]], Instructors[Id], Instructors[Instruments_Taught__c])&amp;";"))</f>
        <v>1</v>
      </c>
      <c r="AB322" t="str">
        <f>IF(LEFT(Lessons[[#This Row],[Status__c]],9)="Cancelled","",Lessons[[#This Row],[Instructor_External_Id__c]]&amp;"|"&amp;TEXT(Lessons[[#This Row],[Lesson_Date__c]],"yyyy-mm-dd")&amp;"|"&amp;Lessons[[#This Row],[Start_Time__c]])</f>
        <v>a06ak00000amzCBAAY|2026-05-23|18:00:00.000Z</v>
      </c>
      <c r="AC322">
        <f>IF(Lessons[[#This Row],[Double Booked Key]]="","",COUNTIF(Lessons[Double Booked Key],Lessons[[#This Row],[Double Booked Key]]))</f>
        <v>1</v>
      </c>
      <c r="AD322" s="6" t="str">
        <f>_xlfn.XLOOKUP(Lessons[[#This Row],[Location_External_Id__c]], Locations[Location Id], Locations[Location Name])</f>
        <v>Red Bank</v>
      </c>
      <c r="AE322" s="6" t="str">
        <f>TEXT(Lessons[[#This Row],[Lesson_Date__c]], "yyyy-mm")</f>
        <v>2026-05</v>
      </c>
      <c r="AF322" s="6" t="str">
        <f>IF(Lessons[[#This Row],[Lesson_Date__c]]&lt;=Data_Audit!$F$1, "Yes", "No")</f>
        <v>Yes</v>
      </c>
    </row>
    <row r="323" spans="1:32">
      <c r="A323" t="s">
        <v>52</v>
      </c>
      <c r="B323" t="s">
        <v>53</v>
      </c>
      <c r="C323">
        <v>30</v>
      </c>
      <c r="D323" t="s">
        <v>1276</v>
      </c>
      <c r="E323" t="s">
        <v>804</v>
      </c>
      <c r="F323" t="s">
        <v>805</v>
      </c>
      <c r="G323" t="s">
        <v>164</v>
      </c>
      <c r="H323" t="s">
        <v>147</v>
      </c>
      <c r="I323" t="b">
        <v>0</v>
      </c>
      <c r="K323" t="s">
        <v>52</v>
      </c>
      <c r="L323" t="s">
        <v>70</v>
      </c>
      <c r="O323" s="1">
        <v>46041</v>
      </c>
      <c r="P323" t="s">
        <v>1277</v>
      </c>
      <c r="Q323" t="s">
        <v>1278</v>
      </c>
      <c r="R323" t="s">
        <v>63</v>
      </c>
      <c r="S323" t="b">
        <v>0</v>
      </c>
      <c r="T323" t="b">
        <v>0</v>
      </c>
      <c r="U323" t="s">
        <v>1278</v>
      </c>
      <c r="V323" t="s">
        <v>74</v>
      </c>
      <c r="W323" t="s">
        <v>65</v>
      </c>
      <c r="X323" t="s">
        <v>1268</v>
      </c>
      <c r="Y323" t="s">
        <v>1269</v>
      </c>
      <c r="Z323" t="s">
        <v>70</v>
      </c>
      <c r="AA323" t="b">
        <f>ISNUMBER(SEARCH(";"&amp;Lessons[[#This Row],[Instrument__c]]&amp;";",";"&amp;_xlfn.XLOOKUP(Lessons[[#This Row],[Instructor_External_Id__c]], Instructors[Id], Instructors[Instruments_Taught__c])&amp;";"))</f>
        <v>1</v>
      </c>
      <c r="AB323" t="str">
        <f>IF(LEFT(Lessons[[#This Row],[Status__c]],9)="Cancelled","",Lessons[[#This Row],[Instructor_External_Id__c]]&amp;"|"&amp;TEXT(Lessons[[#This Row],[Lesson_Date__c]],"yyyy-mm-dd")&amp;"|"&amp;Lessons[[#This Row],[Start_Time__c]])</f>
        <v>a06ak00000amzCBAAY|2026-01-19|16:30:00.000Z</v>
      </c>
      <c r="AC323">
        <f>IF(Lessons[[#This Row],[Double Booked Key]]="","",COUNTIF(Lessons[Double Booked Key],Lessons[[#This Row],[Double Booked Key]]))</f>
        <v>1</v>
      </c>
      <c r="AD323" s="6" t="str">
        <f>_xlfn.XLOOKUP(Lessons[[#This Row],[Location_External_Id__c]], Locations[Location Id], Locations[Location Name])</f>
        <v>Red Bank</v>
      </c>
      <c r="AE323" s="6" t="str">
        <f>TEXT(Lessons[[#This Row],[Lesson_Date__c]], "yyyy-mm")</f>
        <v>2026-01</v>
      </c>
      <c r="AF323" s="6" t="str">
        <f>IF(Lessons[[#This Row],[Lesson_Date__c]]&lt;=Data_Audit!$F$1, "Yes", "No")</f>
        <v>Yes</v>
      </c>
    </row>
    <row r="324" spans="1:32">
      <c r="A324" t="s">
        <v>52</v>
      </c>
      <c r="B324" t="s">
        <v>53</v>
      </c>
      <c r="C324">
        <v>30</v>
      </c>
      <c r="D324" t="s">
        <v>1279</v>
      </c>
      <c r="E324" t="s">
        <v>282</v>
      </c>
      <c r="F324" t="s">
        <v>283</v>
      </c>
      <c r="G324" t="s">
        <v>106</v>
      </c>
      <c r="H324" t="s">
        <v>284</v>
      </c>
      <c r="I324" t="b">
        <v>0</v>
      </c>
      <c r="K324" t="s">
        <v>52</v>
      </c>
      <c r="L324" t="s">
        <v>70</v>
      </c>
      <c r="O324" s="1">
        <v>46140</v>
      </c>
      <c r="P324" t="s">
        <v>1280</v>
      </c>
      <c r="Q324" t="s">
        <v>1281</v>
      </c>
      <c r="R324" t="s">
        <v>83</v>
      </c>
      <c r="S324" t="b">
        <v>0</v>
      </c>
      <c r="T324" t="b">
        <v>0</v>
      </c>
      <c r="U324" t="s">
        <v>1281</v>
      </c>
      <c r="V324" t="s">
        <v>74</v>
      </c>
      <c r="W324" t="s">
        <v>65</v>
      </c>
      <c r="X324" t="s">
        <v>1282</v>
      </c>
      <c r="Y324" t="s">
        <v>1283</v>
      </c>
      <c r="Z324" t="s">
        <v>70</v>
      </c>
      <c r="AA324" t="b">
        <f>ISNUMBER(SEARCH(";"&amp;Lessons[[#This Row],[Instrument__c]]&amp;";",";"&amp;_xlfn.XLOOKUP(Lessons[[#This Row],[Instructor_External_Id__c]], Instructors[Id], Instructors[Instruments_Taught__c])&amp;";"))</f>
        <v>1</v>
      </c>
      <c r="AB324" t="str">
        <f>IF(LEFT(Lessons[[#This Row],[Status__c]],9)="Cancelled","",Lessons[[#This Row],[Instructor_External_Id__c]]&amp;"|"&amp;TEXT(Lessons[[#This Row],[Lesson_Date__c]],"yyyy-mm-dd")&amp;"|"&amp;Lessons[[#This Row],[Start_Time__c]])</f>
        <v>a06ak00000amzBxAAI|2026-04-28|16:30:00.000Z</v>
      </c>
      <c r="AC324">
        <f>IF(Lessons[[#This Row],[Double Booked Key]]="","",COUNTIF(Lessons[Double Booked Key],Lessons[[#This Row],[Double Booked Key]]))</f>
        <v>1</v>
      </c>
      <c r="AD324" s="6" t="str">
        <f>_xlfn.XLOOKUP(Lessons[[#This Row],[Location_External_Id__c]], Locations[Location Id], Locations[Location Name])</f>
        <v>Brick</v>
      </c>
      <c r="AE324" s="6" t="str">
        <f>TEXT(Lessons[[#This Row],[Lesson_Date__c]], "yyyy-mm")</f>
        <v>2026-04</v>
      </c>
      <c r="AF324" s="6" t="str">
        <f>IF(Lessons[[#This Row],[Lesson_Date__c]]&lt;=Data_Audit!$F$1, "Yes", "No")</f>
        <v>Yes</v>
      </c>
    </row>
    <row r="325" spans="1:32">
      <c r="A325" t="s">
        <v>52</v>
      </c>
      <c r="B325" t="s">
        <v>53</v>
      </c>
      <c r="C325">
        <v>30</v>
      </c>
      <c r="D325" t="s">
        <v>1284</v>
      </c>
      <c r="E325" t="s">
        <v>282</v>
      </c>
      <c r="F325" t="s">
        <v>283</v>
      </c>
      <c r="G325" t="s">
        <v>57</v>
      </c>
      <c r="H325" t="s">
        <v>284</v>
      </c>
      <c r="I325" t="b">
        <v>0</v>
      </c>
      <c r="K325" t="s">
        <v>52</v>
      </c>
      <c r="L325" t="s">
        <v>70</v>
      </c>
      <c r="O325" s="1">
        <v>46058</v>
      </c>
      <c r="P325" t="s">
        <v>1285</v>
      </c>
      <c r="Q325" t="s">
        <v>1286</v>
      </c>
      <c r="R325" t="s">
        <v>83</v>
      </c>
      <c r="S325" t="b">
        <v>0</v>
      </c>
      <c r="T325" t="b">
        <v>0</v>
      </c>
      <c r="U325" t="s">
        <v>1286</v>
      </c>
      <c r="V325" t="s">
        <v>64</v>
      </c>
      <c r="W325" t="s">
        <v>65</v>
      </c>
      <c r="X325" t="s">
        <v>1282</v>
      </c>
      <c r="Y325" t="s">
        <v>1283</v>
      </c>
      <c r="Z325" t="s">
        <v>70</v>
      </c>
      <c r="AA325" t="b">
        <f>ISNUMBER(SEARCH(";"&amp;Lessons[[#This Row],[Instrument__c]]&amp;";",";"&amp;_xlfn.XLOOKUP(Lessons[[#This Row],[Instructor_External_Id__c]], Instructors[Id], Instructors[Instruments_Taught__c])&amp;";"))</f>
        <v>1</v>
      </c>
      <c r="AB325" t="str">
        <f>IF(LEFT(Lessons[[#This Row],[Status__c]],9)="Cancelled","",Lessons[[#This Row],[Instructor_External_Id__c]]&amp;"|"&amp;TEXT(Lessons[[#This Row],[Lesson_Date__c]],"yyyy-mm-dd")&amp;"|"&amp;Lessons[[#This Row],[Start_Time__c]])</f>
        <v>a06ak00000amzBxAAI|2026-02-05|11:00:00.000Z</v>
      </c>
      <c r="AC325">
        <f>IF(Lessons[[#This Row],[Double Booked Key]]="","",COUNTIF(Lessons[Double Booked Key],Lessons[[#This Row],[Double Booked Key]]))</f>
        <v>1</v>
      </c>
      <c r="AD325" s="6" t="str">
        <f>_xlfn.XLOOKUP(Lessons[[#This Row],[Location_External_Id__c]], Locations[Location Id], Locations[Location Name])</f>
        <v>Brick</v>
      </c>
      <c r="AE325" s="6" t="str">
        <f>TEXT(Lessons[[#This Row],[Lesson_Date__c]], "yyyy-mm")</f>
        <v>2026-02</v>
      </c>
      <c r="AF325" s="6" t="str">
        <f>IF(Lessons[[#This Row],[Lesson_Date__c]]&lt;=Data_Audit!$F$1, "Yes", "No")</f>
        <v>Yes</v>
      </c>
    </row>
    <row r="326" spans="1:32">
      <c r="A326" t="s">
        <v>52</v>
      </c>
      <c r="B326" t="s">
        <v>53</v>
      </c>
      <c r="C326">
        <v>30</v>
      </c>
      <c r="D326" t="s">
        <v>1287</v>
      </c>
      <c r="E326" t="s">
        <v>282</v>
      </c>
      <c r="F326" t="s">
        <v>283</v>
      </c>
      <c r="H326" t="s">
        <v>284</v>
      </c>
      <c r="I326" t="b">
        <v>0</v>
      </c>
      <c r="K326" t="s">
        <v>52</v>
      </c>
      <c r="L326" t="s">
        <v>70</v>
      </c>
      <c r="O326" s="1">
        <v>46228</v>
      </c>
      <c r="P326" t="s">
        <v>1288</v>
      </c>
      <c r="Q326" t="s">
        <v>1289</v>
      </c>
      <c r="R326" t="s">
        <v>83</v>
      </c>
      <c r="S326" t="b">
        <v>0</v>
      </c>
      <c r="T326" t="b">
        <v>0</v>
      </c>
      <c r="U326" t="s">
        <v>1289</v>
      </c>
      <c r="V326" t="s">
        <v>116</v>
      </c>
      <c r="W326" t="s">
        <v>121</v>
      </c>
      <c r="X326" t="s">
        <v>1282</v>
      </c>
      <c r="Y326" t="s">
        <v>1283</v>
      </c>
      <c r="Z326" t="s">
        <v>70</v>
      </c>
      <c r="AA326" t="b">
        <f>ISNUMBER(SEARCH(";"&amp;Lessons[[#This Row],[Instrument__c]]&amp;";",";"&amp;_xlfn.XLOOKUP(Lessons[[#This Row],[Instructor_External_Id__c]], Instructors[Id], Instructors[Instruments_Taught__c])&amp;";"))</f>
        <v>1</v>
      </c>
      <c r="AB326" t="str">
        <f>IF(LEFT(Lessons[[#This Row],[Status__c]],9)="Cancelled","",Lessons[[#This Row],[Instructor_External_Id__c]]&amp;"|"&amp;TEXT(Lessons[[#This Row],[Lesson_Date__c]],"yyyy-mm-dd")&amp;"|"&amp;Lessons[[#This Row],[Start_Time__c]])</f>
        <v>a06ak00000amzBxAAI|2026-07-25|17:30:00.000Z</v>
      </c>
      <c r="AC326">
        <f>IF(Lessons[[#This Row],[Double Booked Key]]="","",COUNTIF(Lessons[Double Booked Key],Lessons[[#This Row],[Double Booked Key]]))</f>
        <v>1</v>
      </c>
      <c r="AD326" s="6" t="str">
        <f>_xlfn.XLOOKUP(Lessons[[#This Row],[Location_External_Id__c]], Locations[Location Id], Locations[Location Name])</f>
        <v>Brick</v>
      </c>
      <c r="AE326" s="6" t="str">
        <f>TEXT(Lessons[[#This Row],[Lesson_Date__c]], "yyyy-mm")</f>
        <v>2026-07</v>
      </c>
      <c r="AF326" s="6" t="str">
        <f>IF(Lessons[[#This Row],[Lesson_Date__c]]&lt;=Data_Audit!$F$1, "Yes", "No")</f>
        <v>Yes</v>
      </c>
    </row>
    <row r="327" spans="1:32">
      <c r="A327" t="s">
        <v>52</v>
      </c>
      <c r="B327" t="s">
        <v>53</v>
      </c>
      <c r="C327">
        <v>30</v>
      </c>
      <c r="D327" t="s">
        <v>1290</v>
      </c>
      <c r="E327" t="s">
        <v>525</v>
      </c>
      <c r="F327" t="s">
        <v>526</v>
      </c>
      <c r="G327" t="s">
        <v>57</v>
      </c>
      <c r="H327" t="s">
        <v>527</v>
      </c>
      <c r="I327" t="b">
        <v>0</v>
      </c>
      <c r="K327" t="s">
        <v>52</v>
      </c>
      <c r="L327" t="s">
        <v>70</v>
      </c>
      <c r="O327" s="1">
        <v>46183</v>
      </c>
      <c r="P327" t="s">
        <v>1291</v>
      </c>
      <c r="Q327" t="s">
        <v>1292</v>
      </c>
      <c r="R327" t="s">
        <v>63</v>
      </c>
      <c r="S327" t="b">
        <v>0</v>
      </c>
      <c r="T327" t="b">
        <v>0</v>
      </c>
      <c r="U327" t="s">
        <v>1292</v>
      </c>
      <c r="V327" t="s">
        <v>94</v>
      </c>
      <c r="W327" t="s">
        <v>65</v>
      </c>
      <c r="X327" t="s">
        <v>1293</v>
      </c>
      <c r="Y327" t="s">
        <v>1294</v>
      </c>
      <c r="Z327" t="s">
        <v>70</v>
      </c>
      <c r="AA327" t="b">
        <f>ISNUMBER(SEARCH(";"&amp;Lessons[[#This Row],[Instrument__c]]&amp;";",";"&amp;_xlfn.XLOOKUP(Lessons[[#This Row],[Instructor_External_Id__c]], Instructors[Id], Instructors[Instruments_Taught__c])&amp;";"))</f>
        <v>1</v>
      </c>
      <c r="AB327" t="str">
        <f>IF(LEFT(Lessons[[#This Row],[Status__c]],9)="Cancelled","",Lessons[[#This Row],[Instructor_External_Id__c]]&amp;"|"&amp;TEXT(Lessons[[#This Row],[Lesson_Date__c]],"yyyy-mm-dd")&amp;"|"&amp;Lessons[[#This Row],[Start_Time__c]])</f>
        <v>a06ak00000amzC7AAI|2026-06-10|19:00:00.000Z</v>
      </c>
      <c r="AC327">
        <f>IF(Lessons[[#This Row],[Double Booked Key]]="","",COUNTIF(Lessons[Double Booked Key],Lessons[[#This Row],[Double Booked Key]]))</f>
        <v>1</v>
      </c>
      <c r="AD327" s="6" t="str">
        <f>_xlfn.XLOOKUP(Lessons[[#This Row],[Location_External_Id__c]], Locations[Location Id], Locations[Location Name])</f>
        <v>Red Bank</v>
      </c>
      <c r="AE327" s="6" t="str">
        <f>TEXT(Lessons[[#This Row],[Lesson_Date__c]], "yyyy-mm")</f>
        <v>2026-06</v>
      </c>
      <c r="AF327" s="6" t="str">
        <f>IF(Lessons[[#This Row],[Lesson_Date__c]]&lt;=Data_Audit!$F$1, "Yes", "No")</f>
        <v>Yes</v>
      </c>
    </row>
    <row r="328" spans="1:32">
      <c r="A328" t="s">
        <v>52</v>
      </c>
      <c r="B328" t="s">
        <v>53</v>
      </c>
      <c r="C328">
        <v>45</v>
      </c>
      <c r="D328" t="s">
        <v>1295</v>
      </c>
      <c r="E328" t="s">
        <v>525</v>
      </c>
      <c r="F328" t="s">
        <v>526</v>
      </c>
      <c r="G328" t="s">
        <v>106</v>
      </c>
      <c r="H328" t="s">
        <v>527</v>
      </c>
      <c r="I328" t="b">
        <v>0</v>
      </c>
      <c r="K328" t="s">
        <v>52</v>
      </c>
      <c r="L328" t="s">
        <v>70</v>
      </c>
      <c r="O328" s="1">
        <v>46236</v>
      </c>
      <c r="P328" t="s">
        <v>1296</v>
      </c>
      <c r="Q328" t="s">
        <v>1297</v>
      </c>
      <c r="R328" t="s">
        <v>63</v>
      </c>
      <c r="S328" t="b">
        <v>0</v>
      </c>
      <c r="T328" t="b">
        <v>0</v>
      </c>
      <c r="U328" t="s">
        <v>1297</v>
      </c>
      <c r="V328" t="s">
        <v>94</v>
      </c>
      <c r="W328" t="s">
        <v>65</v>
      </c>
      <c r="X328" t="s">
        <v>1293</v>
      </c>
      <c r="Y328" t="s">
        <v>1294</v>
      </c>
      <c r="Z328" t="s">
        <v>70</v>
      </c>
      <c r="AA328" t="b">
        <f>ISNUMBER(SEARCH(";"&amp;Lessons[[#This Row],[Instrument__c]]&amp;";",";"&amp;_xlfn.XLOOKUP(Lessons[[#This Row],[Instructor_External_Id__c]], Instructors[Id], Instructors[Instruments_Taught__c])&amp;";"))</f>
        <v>1</v>
      </c>
      <c r="AB328" t="str">
        <f>IF(LEFT(Lessons[[#This Row],[Status__c]],9)="Cancelled","",Lessons[[#This Row],[Instructor_External_Id__c]]&amp;"|"&amp;TEXT(Lessons[[#This Row],[Lesson_Date__c]],"yyyy-mm-dd")&amp;"|"&amp;Lessons[[#This Row],[Start_Time__c]])</f>
        <v>a06ak00000amzC7AAI|2026-08-02|19:00:00.000Z</v>
      </c>
      <c r="AC328">
        <f>IF(Lessons[[#This Row],[Double Booked Key]]="","",COUNTIF(Lessons[Double Booked Key],Lessons[[#This Row],[Double Booked Key]]))</f>
        <v>1</v>
      </c>
      <c r="AD328" s="6" t="str">
        <f>_xlfn.XLOOKUP(Lessons[[#This Row],[Location_External_Id__c]], Locations[Location Id], Locations[Location Name])</f>
        <v>Red Bank</v>
      </c>
      <c r="AE328" s="6" t="str">
        <f>TEXT(Lessons[[#This Row],[Lesson_Date__c]], "yyyy-mm")</f>
        <v>2026-08</v>
      </c>
      <c r="AF328" s="6" t="str">
        <f>IF(Lessons[[#This Row],[Lesson_Date__c]]&lt;=Data_Audit!$F$1, "Yes", "No")</f>
        <v>Yes</v>
      </c>
    </row>
    <row r="329" spans="1:32">
      <c r="A329" t="s">
        <v>52</v>
      </c>
      <c r="B329" t="s">
        <v>53</v>
      </c>
      <c r="C329">
        <v>30</v>
      </c>
      <c r="D329" t="s">
        <v>1298</v>
      </c>
      <c r="E329" t="s">
        <v>525</v>
      </c>
      <c r="F329" t="s">
        <v>526</v>
      </c>
      <c r="G329" t="s">
        <v>106</v>
      </c>
      <c r="H329" t="s">
        <v>527</v>
      </c>
      <c r="I329" t="b">
        <v>0</v>
      </c>
      <c r="K329" t="s">
        <v>52</v>
      </c>
      <c r="L329" t="s">
        <v>70</v>
      </c>
      <c r="O329" s="1">
        <v>46094</v>
      </c>
      <c r="P329" t="s">
        <v>1299</v>
      </c>
      <c r="Q329" t="s">
        <v>1300</v>
      </c>
      <c r="R329" t="s">
        <v>63</v>
      </c>
      <c r="S329" t="b">
        <v>0</v>
      </c>
      <c r="T329" t="b">
        <v>0</v>
      </c>
      <c r="U329" t="s">
        <v>1300</v>
      </c>
      <c r="V329" t="s">
        <v>120</v>
      </c>
      <c r="W329" t="s">
        <v>65</v>
      </c>
      <c r="X329" t="s">
        <v>1293</v>
      </c>
      <c r="Y329" t="s">
        <v>1294</v>
      </c>
      <c r="Z329" t="s">
        <v>70</v>
      </c>
      <c r="AA329" t="b">
        <f>ISNUMBER(SEARCH(";"&amp;Lessons[[#This Row],[Instrument__c]]&amp;";",";"&amp;_xlfn.XLOOKUP(Lessons[[#This Row],[Instructor_External_Id__c]], Instructors[Id], Instructors[Instruments_Taught__c])&amp;";"))</f>
        <v>1</v>
      </c>
      <c r="AB329" t="str">
        <f>IF(LEFT(Lessons[[#This Row],[Status__c]],9)="Cancelled","",Lessons[[#This Row],[Instructor_External_Id__c]]&amp;"|"&amp;TEXT(Lessons[[#This Row],[Lesson_Date__c]],"yyyy-mm-dd")&amp;"|"&amp;Lessons[[#This Row],[Start_Time__c]])</f>
        <v>a06ak00000amzC7AAI|2026-03-13|18:00:00.000Z</v>
      </c>
      <c r="AC329">
        <f>IF(Lessons[[#This Row],[Double Booked Key]]="","",COUNTIF(Lessons[Double Booked Key],Lessons[[#This Row],[Double Booked Key]]))</f>
        <v>1</v>
      </c>
      <c r="AD329" s="6" t="str">
        <f>_xlfn.XLOOKUP(Lessons[[#This Row],[Location_External_Id__c]], Locations[Location Id], Locations[Location Name])</f>
        <v>Red Bank</v>
      </c>
      <c r="AE329" s="6" t="str">
        <f>TEXT(Lessons[[#This Row],[Lesson_Date__c]], "yyyy-mm")</f>
        <v>2026-03</v>
      </c>
      <c r="AF329" s="6" t="str">
        <f>IF(Lessons[[#This Row],[Lesson_Date__c]]&lt;=Data_Audit!$F$1, "Yes", "No")</f>
        <v>Yes</v>
      </c>
    </row>
    <row r="330" spans="1:32">
      <c r="A330" t="s">
        <v>52</v>
      </c>
      <c r="B330" t="s">
        <v>53</v>
      </c>
      <c r="C330">
        <v>30</v>
      </c>
      <c r="D330" t="s">
        <v>1301</v>
      </c>
      <c r="E330" t="s">
        <v>525</v>
      </c>
      <c r="F330" t="s">
        <v>526</v>
      </c>
      <c r="H330" t="s">
        <v>527</v>
      </c>
      <c r="I330" t="b">
        <v>0</v>
      </c>
      <c r="K330" t="s">
        <v>52</v>
      </c>
      <c r="L330" t="s">
        <v>70</v>
      </c>
      <c r="O330" s="1">
        <v>46198</v>
      </c>
      <c r="P330" t="s">
        <v>1302</v>
      </c>
      <c r="Q330" t="s">
        <v>1303</v>
      </c>
      <c r="R330" t="s">
        <v>63</v>
      </c>
      <c r="S330" t="b">
        <v>0</v>
      </c>
      <c r="T330" t="b">
        <v>0</v>
      </c>
      <c r="U330" t="s">
        <v>1303</v>
      </c>
      <c r="V330" t="s">
        <v>94</v>
      </c>
      <c r="W330" t="s">
        <v>121</v>
      </c>
      <c r="X330" t="s">
        <v>1293</v>
      </c>
      <c r="Y330" t="s">
        <v>1294</v>
      </c>
      <c r="Z330" t="s">
        <v>70</v>
      </c>
      <c r="AA330" t="b">
        <f>ISNUMBER(SEARCH(";"&amp;Lessons[[#This Row],[Instrument__c]]&amp;";",";"&amp;_xlfn.XLOOKUP(Lessons[[#This Row],[Instructor_External_Id__c]], Instructors[Id], Instructors[Instruments_Taught__c])&amp;";"))</f>
        <v>1</v>
      </c>
      <c r="AB330" t="str">
        <f>IF(LEFT(Lessons[[#This Row],[Status__c]],9)="Cancelled","",Lessons[[#This Row],[Instructor_External_Id__c]]&amp;"|"&amp;TEXT(Lessons[[#This Row],[Lesson_Date__c]],"yyyy-mm-dd")&amp;"|"&amp;Lessons[[#This Row],[Start_Time__c]])</f>
        <v>a06ak00000amzC7AAI|2026-06-25|19:00:00.000Z</v>
      </c>
      <c r="AC330">
        <f>IF(Lessons[[#This Row],[Double Booked Key]]="","",COUNTIF(Lessons[Double Booked Key],Lessons[[#This Row],[Double Booked Key]]))</f>
        <v>1</v>
      </c>
      <c r="AD330" s="6" t="str">
        <f>_xlfn.XLOOKUP(Lessons[[#This Row],[Location_External_Id__c]], Locations[Location Id], Locations[Location Name])</f>
        <v>Red Bank</v>
      </c>
      <c r="AE330" s="6" t="str">
        <f>TEXT(Lessons[[#This Row],[Lesson_Date__c]], "yyyy-mm")</f>
        <v>2026-06</v>
      </c>
      <c r="AF330" s="6" t="str">
        <f>IF(Lessons[[#This Row],[Lesson_Date__c]]&lt;=Data_Audit!$F$1, "Yes", "No")</f>
        <v>Yes</v>
      </c>
    </row>
    <row r="331" spans="1:32">
      <c r="A331" t="s">
        <v>52</v>
      </c>
      <c r="B331" t="s">
        <v>53</v>
      </c>
      <c r="C331">
        <v>45</v>
      </c>
      <c r="D331" t="s">
        <v>1304</v>
      </c>
      <c r="E331" t="s">
        <v>89</v>
      </c>
      <c r="F331" t="s">
        <v>90</v>
      </c>
      <c r="H331" t="s">
        <v>650</v>
      </c>
      <c r="I331" t="b">
        <v>0</v>
      </c>
      <c r="K331" t="s">
        <v>52</v>
      </c>
      <c r="L331" t="s">
        <v>171</v>
      </c>
      <c r="O331" s="1">
        <v>46040</v>
      </c>
      <c r="P331" t="s">
        <v>1305</v>
      </c>
      <c r="Q331" t="s">
        <v>1306</v>
      </c>
      <c r="R331" t="s">
        <v>83</v>
      </c>
      <c r="S331" t="b">
        <v>1</v>
      </c>
      <c r="T331" t="b">
        <v>1</v>
      </c>
      <c r="U331" t="s">
        <v>1306</v>
      </c>
      <c r="V331" t="s">
        <v>64</v>
      </c>
      <c r="W331" t="s">
        <v>136</v>
      </c>
      <c r="X331" t="s">
        <v>1307</v>
      </c>
      <c r="Y331" t="s">
        <v>1308</v>
      </c>
      <c r="Z331" t="s">
        <v>171</v>
      </c>
      <c r="AA331" t="b">
        <f>ISNUMBER(SEARCH(";"&amp;Lessons[[#This Row],[Instrument__c]]&amp;";",";"&amp;_xlfn.XLOOKUP(Lessons[[#This Row],[Instructor_External_Id__c]], Instructors[Id], Instructors[Instruments_Taught__c])&amp;";"))</f>
        <v>1</v>
      </c>
      <c r="AB331" t="str">
        <f>IF(LEFT(Lessons[[#This Row],[Status__c]],9)="Cancelled","",Lessons[[#This Row],[Instructor_External_Id__c]]&amp;"|"&amp;TEXT(Lessons[[#This Row],[Lesson_Date__c]],"yyyy-mm-dd")&amp;"|"&amp;Lessons[[#This Row],[Start_Time__c]])</f>
        <v/>
      </c>
      <c r="AC331" t="str">
        <f>IF(Lessons[[#This Row],[Double Booked Key]]="","",COUNTIF(Lessons[Double Booked Key],Lessons[[#This Row],[Double Booked Key]]))</f>
        <v/>
      </c>
      <c r="AD331" s="6" t="str">
        <f>_xlfn.XLOOKUP(Lessons[[#This Row],[Location_External_Id__c]], Locations[Location Id], Locations[Location Name])</f>
        <v>Brick</v>
      </c>
      <c r="AE331" s="6" t="str">
        <f>TEXT(Lessons[[#This Row],[Lesson_Date__c]], "yyyy-mm")</f>
        <v>2026-01</v>
      </c>
      <c r="AF331" s="6" t="str">
        <f>IF(Lessons[[#This Row],[Lesson_Date__c]]&lt;=Data_Audit!$F$1, "Yes", "No")</f>
        <v>Yes</v>
      </c>
    </row>
    <row r="332" spans="1:32">
      <c r="A332" t="s">
        <v>52</v>
      </c>
      <c r="B332" t="s">
        <v>53</v>
      </c>
      <c r="C332">
        <v>30</v>
      </c>
      <c r="D332" t="s">
        <v>1309</v>
      </c>
      <c r="E332" t="s">
        <v>89</v>
      </c>
      <c r="F332" t="s">
        <v>90</v>
      </c>
      <c r="G332" t="s">
        <v>164</v>
      </c>
      <c r="H332" t="s">
        <v>650</v>
      </c>
      <c r="I332" t="b">
        <v>0</v>
      </c>
      <c r="K332" t="s">
        <v>52</v>
      </c>
      <c r="L332" t="s">
        <v>70</v>
      </c>
      <c r="O332" s="1">
        <v>46207</v>
      </c>
      <c r="P332" t="s">
        <v>1310</v>
      </c>
      <c r="Q332" t="s">
        <v>1311</v>
      </c>
      <c r="R332" t="s">
        <v>83</v>
      </c>
      <c r="S332" t="b">
        <v>0</v>
      </c>
      <c r="T332" t="b">
        <v>0</v>
      </c>
      <c r="U332" t="s">
        <v>1311</v>
      </c>
      <c r="V332" t="s">
        <v>120</v>
      </c>
      <c r="W332" t="s">
        <v>65</v>
      </c>
      <c r="X332" t="s">
        <v>1307</v>
      </c>
      <c r="Y332" t="s">
        <v>1308</v>
      </c>
      <c r="Z332" t="s">
        <v>70</v>
      </c>
      <c r="AA332" t="b">
        <f>ISNUMBER(SEARCH(";"&amp;Lessons[[#This Row],[Instrument__c]]&amp;";",";"&amp;_xlfn.XLOOKUP(Lessons[[#This Row],[Instructor_External_Id__c]], Instructors[Id], Instructors[Instruments_Taught__c])&amp;";"))</f>
        <v>1</v>
      </c>
      <c r="AB332" t="str">
        <f>IF(LEFT(Lessons[[#This Row],[Status__c]],9)="Cancelled","",Lessons[[#This Row],[Instructor_External_Id__c]]&amp;"|"&amp;TEXT(Lessons[[#This Row],[Lesson_Date__c]],"yyyy-mm-dd")&amp;"|"&amp;Lessons[[#This Row],[Start_Time__c]])</f>
        <v>a06ak00000amzCFAAY|2026-07-04|18:00:00.000Z</v>
      </c>
      <c r="AC332">
        <f>IF(Lessons[[#This Row],[Double Booked Key]]="","",COUNTIF(Lessons[Double Booked Key],Lessons[[#This Row],[Double Booked Key]]))</f>
        <v>1</v>
      </c>
      <c r="AD332" s="6" t="str">
        <f>_xlfn.XLOOKUP(Lessons[[#This Row],[Location_External_Id__c]], Locations[Location Id], Locations[Location Name])</f>
        <v>Brick</v>
      </c>
      <c r="AE332" s="6" t="str">
        <f>TEXT(Lessons[[#This Row],[Lesson_Date__c]], "yyyy-mm")</f>
        <v>2026-07</v>
      </c>
      <c r="AF332" s="6" t="str">
        <f>IF(Lessons[[#This Row],[Lesson_Date__c]]&lt;=Data_Audit!$F$1, "Yes", "No")</f>
        <v>Yes</v>
      </c>
    </row>
    <row r="333" spans="1:32">
      <c r="A333" t="s">
        <v>52</v>
      </c>
      <c r="B333" t="s">
        <v>53</v>
      </c>
      <c r="C333">
        <v>30</v>
      </c>
      <c r="D333" t="s">
        <v>1312</v>
      </c>
      <c r="E333" t="s">
        <v>243</v>
      </c>
      <c r="F333" t="s">
        <v>244</v>
      </c>
      <c r="H333" t="s">
        <v>650</v>
      </c>
      <c r="I333" t="b">
        <v>0</v>
      </c>
      <c r="K333" t="s">
        <v>52</v>
      </c>
      <c r="L333" t="s">
        <v>79</v>
      </c>
      <c r="O333" s="1">
        <v>46294</v>
      </c>
      <c r="P333" t="s">
        <v>1313</v>
      </c>
      <c r="Q333" t="s">
        <v>1314</v>
      </c>
      <c r="R333" t="s">
        <v>83</v>
      </c>
      <c r="S333" t="b">
        <v>0</v>
      </c>
      <c r="T333" t="b">
        <v>0</v>
      </c>
      <c r="U333" t="s">
        <v>1314</v>
      </c>
      <c r="V333" t="s">
        <v>110</v>
      </c>
      <c r="W333" t="s">
        <v>85</v>
      </c>
      <c r="X333" t="s">
        <v>1307</v>
      </c>
      <c r="Y333" t="s">
        <v>1308</v>
      </c>
      <c r="Z333" t="s">
        <v>79</v>
      </c>
      <c r="AA333" t="b">
        <f>ISNUMBER(SEARCH(";"&amp;Lessons[[#This Row],[Instrument__c]]&amp;";",";"&amp;_xlfn.XLOOKUP(Lessons[[#This Row],[Instructor_External_Id__c]], Instructors[Id], Instructors[Instruments_Taught__c])&amp;";"))</f>
        <v>1</v>
      </c>
      <c r="AB333" t="str">
        <f>IF(LEFT(Lessons[[#This Row],[Status__c]],9)="Cancelled","",Lessons[[#This Row],[Instructor_External_Id__c]]&amp;"|"&amp;TEXT(Lessons[[#This Row],[Lesson_Date__c]],"yyyy-mm-dd")&amp;"|"&amp;Lessons[[#This Row],[Start_Time__c]])</f>
        <v/>
      </c>
      <c r="AC333" t="str">
        <f>IF(Lessons[[#This Row],[Double Booked Key]]="","",COUNTIF(Lessons[Double Booked Key],Lessons[[#This Row],[Double Booked Key]]))</f>
        <v/>
      </c>
      <c r="AD333" s="6" t="str">
        <f>_xlfn.XLOOKUP(Lessons[[#This Row],[Location_External_Id__c]], Locations[Location Id], Locations[Location Name])</f>
        <v>Brick</v>
      </c>
      <c r="AE333" s="6" t="str">
        <f>TEXT(Lessons[[#This Row],[Lesson_Date__c]], "yyyy-mm")</f>
        <v>2026-09</v>
      </c>
      <c r="AF333" s="6" t="str">
        <f>IF(Lessons[[#This Row],[Lesson_Date__c]]&lt;=Data_Audit!$F$1, "Yes", "No")</f>
        <v>Yes</v>
      </c>
    </row>
    <row r="334" spans="1:32">
      <c r="A334" t="s">
        <v>52</v>
      </c>
      <c r="B334" t="s">
        <v>53</v>
      </c>
      <c r="C334">
        <v>45</v>
      </c>
      <c r="D334" t="s">
        <v>1315</v>
      </c>
      <c r="E334" t="s">
        <v>89</v>
      </c>
      <c r="F334" t="s">
        <v>90</v>
      </c>
      <c r="G334" t="s">
        <v>106</v>
      </c>
      <c r="H334" t="s">
        <v>650</v>
      </c>
      <c r="I334" t="b">
        <v>0</v>
      </c>
      <c r="K334" t="s">
        <v>52</v>
      </c>
      <c r="L334" t="s">
        <v>70</v>
      </c>
      <c r="O334" s="1">
        <v>46147</v>
      </c>
      <c r="P334" t="s">
        <v>1316</v>
      </c>
      <c r="Q334" t="s">
        <v>1317</v>
      </c>
      <c r="R334" t="s">
        <v>83</v>
      </c>
      <c r="S334" t="b">
        <v>0</v>
      </c>
      <c r="T334" t="b">
        <v>0</v>
      </c>
      <c r="U334" t="s">
        <v>1317</v>
      </c>
      <c r="V334" t="s">
        <v>140</v>
      </c>
      <c r="W334" t="s">
        <v>65</v>
      </c>
      <c r="X334" t="s">
        <v>1307</v>
      </c>
      <c r="Y334" t="s">
        <v>1308</v>
      </c>
      <c r="Z334" t="s">
        <v>70</v>
      </c>
      <c r="AA334" t="b">
        <f>ISNUMBER(SEARCH(";"&amp;Lessons[[#This Row],[Instrument__c]]&amp;";",";"&amp;_xlfn.XLOOKUP(Lessons[[#This Row],[Instructor_External_Id__c]], Instructors[Id], Instructors[Instruments_Taught__c])&amp;";"))</f>
        <v>1</v>
      </c>
      <c r="AB334" t="str">
        <f>IF(LEFT(Lessons[[#This Row],[Status__c]],9)="Cancelled","",Lessons[[#This Row],[Instructor_External_Id__c]]&amp;"|"&amp;TEXT(Lessons[[#This Row],[Lesson_Date__c]],"yyyy-mm-dd")&amp;"|"&amp;Lessons[[#This Row],[Start_Time__c]])</f>
        <v>a06ak00000amzCFAAY|2026-05-05|15:00:00.000Z</v>
      </c>
      <c r="AC334">
        <f>IF(Lessons[[#This Row],[Double Booked Key]]="","",COUNTIF(Lessons[Double Booked Key],Lessons[[#This Row],[Double Booked Key]]))</f>
        <v>1</v>
      </c>
      <c r="AD334" s="6" t="str">
        <f>_xlfn.XLOOKUP(Lessons[[#This Row],[Location_External_Id__c]], Locations[Location Id], Locations[Location Name])</f>
        <v>Brick</v>
      </c>
      <c r="AE334" s="6" t="str">
        <f>TEXT(Lessons[[#This Row],[Lesson_Date__c]], "yyyy-mm")</f>
        <v>2026-05</v>
      </c>
      <c r="AF334" s="6" t="str">
        <f>IF(Lessons[[#This Row],[Lesson_Date__c]]&lt;=Data_Audit!$F$1, "Yes", "No")</f>
        <v>Yes</v>
      </c>
    </row>
    <row r="335" spans="1:32">
      <c r="A335" t="s">
        <v>52</v>
      </c>
      <c r="B335" t="s">
        <v>53</v>
      </c>
      <c r="C335">
        <v>45</v>
      </c>
      <c r="D335" t="s">
        <v>1318</v>
      </c>
      <c r="E335" t="s">
        <v>243</v>
      </c>
      <c r="F335" t="s">
        <v>244</v>
      </c>
      <c r="H335" t="s">
        <v>650</v>
      </c>
      <c r="I335" t="b">
        <v>0</v>
      </c>
      <c r="K335" t="s">
        <v>52</v>
      </c>
      <c r="L335" t="s">
        <v>79</v>
      </c>
      <c r="O335" s="1">
        <v>46296</v>
      </c>
      <c r="P335" t="s">
        <v>1319</v>
      </c>
      <c r="Q335" t="s">
        <v>1320</v>
      </c>
      <c r="R335" t="s">
        <v>83</v>
      </c>
      <c r="S335" t="b">
        <v>0</v>
      </c>
      <c r="T335" t="b">
        <v>0</v>
      </c>
      <c r="U335" t="s">
        <v>1320</v>
      </c>
      <c r="V335" t="s">
        <v>135</v>
      </c>
      <c r="W335" t="s">
        <v>85</v>
      </c>
      <c r="X335" t="s">
        <v>1307</v>
      </c>
      <c r="Y335" t="s">
        <v>1308</v>
      </c>
      <c r="Z335" t="s">
        <v>79</v>
      </c>
      <c r="AA335" t="b">
        <f>ISNUMBER(SEARCH(";"&amp;Lessons[[#This Row],[Instrument__c]]&amp;";",";"&amp;_xlfn.XLOOKUP(Lessons[[#This Row],[Instructor_External_Id__c]], Instructors[Id], Instructors[Instruments_Taught__c])&amp;";"))</f>
        <v>1</v>
      </c>
      <c r="AB335" t="str">
        <f>IF(LEFT(Lessons[[#This Row],[Status__c]],9)="Cancelled","",Lessons[[#This Row],[Instructor_External_Id__c]]&amp;"|"&amp;TEXT(Lessons[[#This Row],[Lesson_Date__c]],"yyyy-mm-dd")&amp;"|"&amp;Lessons[[#This Row],[Start_Time__c]])</f>
        <v/>
      </c>
      <c r="AC335" t="str">
        <f>IF(Lessons[[#This Row],[Double Booked Key]]="","",COUNTIF(Lessons[Double Booked Key],Lessons[[#This Row],[Double Booked Key]]))</f>
        <v/>
      </c>
      <c r="AD335" s="6" t="str">
        <f>_xlfn.XLOOKUP(Lessons[[#This Row],[Location_External_Id__c]], Locations[Location Id], Locations[Location Name])</f>
        <v>Brick</v>
      </c>
      <c r="AE335" s="6" t="str">
        <f>TEXT(Lessons[[#This Row],[Lesson_Date__c]], "yyyy-mm")</f>
        <v>2026-10</v>
      </c>
      <c r="AF335" s="6" t="str">
        <f>IF(Lessons[[#This Row],[Lesson_Date__c]]&lt;=Data_Audit!$F$1, "Yes", "No")</f>
        <v>Yes</v>
      </c>
    </row>
    <row r="336" spans="1:32">
      <c r="A336" t="s">
        <v>52</v>
      </c>
      <c r="B336" t="s">
        <v>53</v>
      </c>
      <c r="C336">
        <v>45</v>
      </c>
      <c r="D336" t="s">
        <v>1321</v>
      </c>
      <c r="E336" t="s">
        <v>89</v>
      </c>
      <c r="F336" t="s">
        <v>90</v>
      </c>
      <c r="H336" t="s">
        <v>650</v>
      </c>
      <c r="I336" t="b">
        <v>0</v>
      </c>
      <c r="K336" t="s">
        <v>52</v>
      </c>
      <c r="L336" t="s">
        <v>70</v>
      </c>
      <c r="O336" s="1">
        <v>46217</v>
      </c>
      <c r="P336" t="s">
        <v>1322</v>
      </c>
      <c r="Q336" t="s">
        <v>1323</v>
      </c>
      <c r="R336" t="s">
        <v>83</v>
      </c>
      <c r="S336" t="b">
        <v>0</v>
      </c>
      <c r="T336" t="b">
        <v>0</v>
      </c>
      <c r="U336" t="s">
        <v>1323</v>
      </c>
      <c r="V336" t="s">
        <v>135</v>
      </c>
      <c r="W336" t="s">
        <v>121</v>
      </c>
      <c r="X336" t="s">
        <v>1307</v>
      </c>
      <c r="Y336" t="s">
        <v>1308</v>
      </c>
      <c r="Z336" t="s">
        <v>70</v>
      </c>
      <c r="AA336" t="b">
        <f>ISNUMBER(SEARCH(";"&amp;Lessons[[#This Row],[Instrument__c]]&amp;";",";"&amp;_xlfn.XLOOKUP(Lessons[[#This Row],[Instructor_External_Id__c]], Instructors[Id], Instructors[Instruments_Taught__c])&amp;";"))</f>
        <v>1</v>
      </c>
      <c r="AB336" t="str">
        <f>IF(LEFT(Lessons[[#This Row],[Status__c]],9)="Cancelled","",Lessons[[#This Row],[Instructor_External_Id__c]]&amp;"|"&amp;TEXT(Lessons[[#This Row],[Lesson_Date__c]],"yyyy-mm-dd")&amp;"|"&amp;Lessons[[#This Row],[Start_Time__c]])</f>
        <v>a06ak00000amzCFAAY|2026-07-14|15:30:00.000Z</v>
      </c>
      <c r="AC336">
        <f>IF(Lessons[[#This Row],[Double Booked Key]]="","",COUNTIF(Lessons[Double Booked Key],Lessons[[#This Row],[Double Booked Key]]))</f>
        <v>1</v>
      </c>
      <c r="AD336" s="6" t="str">
        <f>_xlfn.XLOOKUP(Lessons[[#This Row],[Location_External_Id__c]], Locations[Location Id], Locations[Location Name])</f>
        <v>Brick</v>
      </c>
      <c r="AE336" s="6" t="str">
        <f>TEXT(Lessons[[#This Row],[Lesson_Date__c]], "yyyy-mm")</f>
        <v>2026-07</v>
      </c>
      <c r="AF336" s="6" t="str">
        <f>IF(Lessons[[#This Row],[Lesson_Date__c]]&lt;=Data_Audit!$F$1, "Yes", "No")</f>
        <v>Yes</v>
      </c>
    </row>
    <row r="337" spans="1:32">
      <c r="A337" t="s">
        <v>52</v>
      </c>
      <c r="B337" t="s">
        <v>53</v>
      </c>
      <c r="C337">
        <v>45</v>
      </c>
      <c r="D337" t="s">
        <v>1324</v>
      </c>
      <c r="E337" t="s">
        <v>89</v>
      </c>
      <c r="F337" t="s">
        <v>90</v>
      </c>
      <c r="G337" t="s">
        <v>57</v>
      </c>
      <c r="H337" t="s">
        <v>650</v>
      </c>
      <c r="I337" t="b">
        <v>0</v>
      </c>
      <c r="K337" t="s">
        <v>52</v>
      </c>
      <c r="L337" t="s">
        <v>70</v>
      </c>
      <c r="O337" s="1">
        <v>46043</v>
      </c>
      <c r="P337" t="s">
        <v>1325</v>
      </c>
      <c r="Q337" t="s">
        <v>1326</v>
      </c>
      <c r="R337" t="s">
        <v>83</v>
      </c>
      <c r="S337" t="b">
        <v>0</v>
      </c>
      <c r="T337" t="b">
        <v>0</v>
      </c>
      <c r="U337" t="s">
        <v>1326</v>
      </c>
      <c r="V337" t="s">
        <v>110</v>
      </c>
      <c r="W337" t="s">
        <v>65</v>
      </c>
      <c r="X337" t="s">
        <v>1307</v>
      </c>
      <c r="Y337" t="s">
        <v>1308</v>
      </c>
      <c r="Z337" t="s">
        <v>70</v>
      </c>
      <c r="AA337" t="b">
        <f>ISNUMBER(SEARCH(";"&amp;Lessons[[#This Row],[Instrument__c]]&amp;";",";"&amp;_xlfn.XLOOKUP(Lessons[[#This Row],[Instructor_External_Id__c]], Instructors[Id], Instructors[Instruments_Taught__c])&amp;";"))</f>
        <v>1</v>
      </c>
      <c r="AB337" t="str">
        <f>IF(LEFT(Lessons[[#This Row],[Status__c]],9)="Cancelled","",Lessons[[#This Row],[Instructor_External_Id__c]]&amp;"|"&amp;TEXT(Lessons[[#This Row],[Lesson_Date__c]],"yyyy-mm-dd")&amp;"|"&amp;Lessons[[#This Row],[Start_Time__c]])</f>
        <v>a06ak00000amzCFAAY|2026-01-21|10:00:00.000Z</v>
      </c>
      <c r="AC337">
        <f>IF(Lessons[[#This Row],[Double Booked Key]]="","",COUNTIF(Lessons[Double Booked Key],Lessons[[#This Row],[Double Booked Key]]))</f>
        <v>1</v>
      </c>
      <c r="AD337" s="6" t="str">
        <f>_xlfn.XLOOKUP(Lessons[[#This Row],[Location_External_Id__c]], Locations[Location Id], Locations[Location Name])</f>
        <v>Brick</v>
      </c>
      <c r="AE337" s="6" t="str">
        <f>TEXT(Lessons[[#This Row],[Lesson_Date__c]], "yyyy-mm")</f>
        <v>2026-01</v>
      </c>
      <c r="AF337" s="6" t="str">
        <f>IF(Lessons[[#This Row],[Lesson_Date__c]]&lt;=Data_Audit!$F$1, "Yes", "No")</f>
        <v>Yes</v>
      </c>
    </row>
    <row r="338" spans="1:32">
      <c r="A338" t="s">
        <v>52</v>
      </c>
      <c r="B338" t="s">
        <v>53</v>
      </c>
      <c r="C338">
        <v>60</v>
      </c>
      <c r="D338" t="s">
        <v>1327</v>
      </c>
      <c r="E338" t="s">
        <v>573</v>
      </c>
      <c r="F338" t="s">
        <v>574</v>
      </c>
      <c r="H338" t="s">
        <v>284</v>
      </c>
      <c r="I338" t="b">
        <v>0</v>
      </c>
      <c r="K338" t="s">
        <v>52</v>
      </c>
      <c r="L338" t="s">
        <v>70</v>
      </c>
      <c r="O338" s="1">
        <v>46034</v>
      </c>
      <c r="P338" t="s">
        <v>1328</v>
      </c>
      <c r="Q338" t="s">
        <v>1329</v>
      </c>
      <c r="R338" t="s">
        <v>83</v>
      </c>
      <c r="S338" t="b">
        <v>0</v>
      </c>
      <c r="T338" t="b">
        <v>0</v>
      </c>
      <c r="U338" t="s">
        <v>1329</v>
      </c>
      <c r="V338" t="s">
        <v>102</v>
      </c>
      <c r="W338" t="s">
        <v>65</v>
      </c>
      <c r="X338" t="s">
        <v>1330</v>
      </c>
      <c r="Y338" t="s">
        <v>1331</v>
      </c>
      <c r="Z338" t="s">
        <v>70</v>
      </c>
      <c r="AA338" t="b">
        <f>ISNUMBER(SEARCH(";"&amp;Lessons[[#This Row],[Instrument__c]]&amp;";",";"&amp;_xlfn.XLOOKUP(Lessons[[#This Row],[Instructor_External_Id__c]], Instructors[Id], Instructors[Instruments_Taught__c])&amp;";"))</f>
        <v>1</v>
      </c>
      <c r="AB338" t="str">
        <f>IF(LEFT(Lessons[[#This Row],[Status__c]],9)="Cancelled","",Lessons[[#This Row],[Instructor_External_Id__c]]&amp;"|"&amp;TEXT(Lessons[[#This Row],[Lesson_Date__c]],"yyyy-mm-dd")&amp;"|"&amp;Lessons[[#This Row],[Start_Time__c]])</f>
        <v>a06ak00000amzCCAAY|2026-01-12|16:00:00.000Z</v>
      </c>
      <c r="AC338">
        <f>IF(Lessons[[#This Row],[Double Booked Key]]="","",COUNTIF(Lessons[Double Booked Key],Lessons[[#This Row],[Double Booked Key]]))</f>
        <v>1</v>
      </c>
      <c r="AD338" s="6" t="str">
        <f>_xlfn.XLOOKUP(Lessons[[#This Row],[Location_External_Id__c]], Locations[Location Id], Locations[Location Name])</f>
        <v>Brick</v>
      </c>
      <c r="AE338" s="6" t="str">
        <f>TEXT(Lessons[[#This Row],[Lesson_Date__c]], "yyyy-mm")</f>
        <v>2026-01</v>
      </c>
      <c r="AF338" s="6" t="str">
        <f>IF(Lessons[[#This Row],[Lesson_Date__c]]&lt;=Data_Audit!$F$1, "Yes", "No")</f>
        <v>Yes</v>
      </c>
    </row>
    <row r="339" spans="1:32">
      <c r="A339" t="s">
        <v>52</v>
      </c>
      <c r="B339" t="s">
        <v>53</v>
      </c>
      <c r="C339">
        <v>45</v>
      </c>
      <c r="D339" t="s">
        <v>1332</v>
      </c>
      <c r="E339" t="s">
        <v>573</v>
      </c>
      <c r="F339" t="s">
        <v>574</v>
      </c>
      <c r="G339" t="s">
        <v>164</v>
      </c>
      <c r="H339" t="s">
        <v>284</v>
      </c>
      <c r="I339" t="b">
        <v>0</v>
      </c>
      <c r="K339" t="s">
        <v>52</v>
      </c>
      <c r="L339" t="s">
        <v>70</v>
      </c>
      <c r="O339" s="1">
        <v>46154</v>
      </c>
      <c r="P339" t="s">
        <v>1333</v>
      </c>
      <c r="Q339" t="s">
        <v>1334</v>
      </c>
      <c r="R339" t="s">
        <v>83</v>
      </c>
      <c r="S339" t="b">
        <v>0</v>
      </c>
      <c r="T339" t="b">
        <v>0</v>
      </c>
      <c r="U339" t="s">
        <v>1334</v>
      </c>
      <c r="V339" t="s">
        <v>110</v>
      </c>
      <c r="W339" t="s">
        <v>65</v>
      </c>
      <c r="X339" t="s">
        <v>1330</v>
      </c>
      <c r="Y339" t="s">
        <v>1331</v>
      </c>
      <c r="Z339" t="s">
        <v>70</v>
      </c>
      <c r="AA339" t="b">
        <f>ISNUMBER(SEARCH(";"&amp;Lessons[[#This Row],[Instrument__c]]&amp;";",";"&amp;_xlfn.XLOOKUP(Lessons[[#This Row],[Instructor_External_Id__c]], Instructors[Id], Instructors[Instruments_Taught__c])&amp;";"))</f>
        <v>1</v>
      </c>
      <c r="AB339" t="str">
        <f>IF(LEFT(Lessons[[#This Row],[Status__c]],9)="Cancelled","",Lessons[[#This Row],[Instructor_External_Id__c]]&amp;"|"&amp;TEXT(Lessons[[#This Row],[Lesson_Date__c]],"yyyy-mm-dd")&amp;"|"&amp;Lessons[[#This Row],[Start_Time__c]])</f>
        <v>a06ak00000amzCCAAY|2026-05-12|10:00:00.000Z</v>
      </c>
      <c r="AC339">
        <f>IF(Lessons[[#This Row],[Double Booked Key]]="","",COUNTIF(Lessons[Double Booked Key],Lessons[[#This Row],[Double Booked Key]]))</f>
        <v>1</v>
      </c>
      <c r="AD339" s="6" t="str">
        <f>_xlfn.XLOOKUP(Lessons[[#This Row],[Location_External_Id__c]], Locations[Location Id], Locations[Location Name])</f>
        <v>Brick</v>
      </c>
      <c r="AE339" s="6" t="str">
        <f>TEXT(Lessons[[#This Row],[Lesson_Date__c]], "yyyy-mm")</f>
        <v>2026-05</v>
      </c>
      <c r="AF339" s="6" t="str">
        <f>IF(Lessons[[#This Row],[Lesson_Date__c]]&lt;=Data_Audit!$F$1, "Yes", "No")</f>
        <v>Yes</v>
      </c>
    </row>
    <row r="340" spans="1:32">
      <c r="A340" t="s">
        <v>52</v>
      </c>
      <c r="B340" t="s">
        <v>53</v>
      </c>
      <c r="C340">
        <v>30</v>
      </c>
      <c r="D340" t="s">
        <v>1335</v>
      </c>
      <c r="E340" t="s">
        <v>573</v>
      </c>
      <c r="F340" t="s">
        <v>574</v>
      </c>
      <c r="G340" t="s">
        <v>99</v>
      </c>
      <c r="H340" t="s">
        <v>284</v>
      </c>
      <c r="I340" t="b">
        <v>0</v>
      </c>
      <c r="K340" t="s">
        <v>52</v>
      </c>
      <c r="L340" t="s">
        <v>70</v>
      </c>
      <c r="O340" s="1">
        <v>46068</v>
      </c>
      <c r="P340" t="s">
        <v>1336</v>
      </c>
      <c r="Q340" t="s">
        <v>1337</v>
      </c>
      <c r="R340" t="s">
        <v>83</v>
      </c>
      <c r="S340" t="b">
        <v>0</v>
      </c>
      <c r="T340" t="b">
        <v>0</v>
      </c>
      <c r="U340" t="s">
        <v>1337</v>
      </c>
      <c r="V340" t="s">
        <v>64</v>
      </c>
      <c r="W340" t="s">
        <v>65</v>
      </c>
      <c r="X340" t="s">
        <v>1330</v>
      </c>
      <c r="Y340" t="s">
        <v>1331</v>
      </c>
      <c r="Z340" t="s">
        <v>70</v>
      </c>
      <c r="AA340" t="b">
        <f>ISNUMBER(SEARCH(";"&amp;Lessons[[#This Row],[Instrument__c]]&amp;";",";"&amp;_xlfn.XLOOKUP(Lessons[[#This Row],[Instructor_External_Id__c]], Instructors[Id], Instructors[Instruments_Taught__c])&amp;";"))</f>
        <v>1</v>
      </c>
      <c r="AB340" t="str">
        <f>IF(LEFT(Lessons[[#This Row],[Status__c]],9)="Cancelled","",Lessons[[#This Row],[Instructor_External_Id__c]]&amp;"|"&amp;TEXT(Lessons[[#This Row],[Lesson_Date__c]],"yyyy-mm-dd")&amp;"|"&amp;Lessons[[#This Row],[Start_Time__c]])</f>
        <v>a06ak00000amzCCAAY|2026-02-15|11:00:00.000Z</v>
      </c>
      <c r="AC340">
        <f>IF(Lessons[[#This Row],[Double Booked Key]]="","",COUNTIF(Lessons[Double Booked Key],Lessons[[#This Row],[Double Booked Key]]))</f>
        <v>1</v>
      </c>
      <c r="AD340" s="6" t="str">
        <f>_xlfn.XLOOKUP(Lessons[[#This Row],[Location_External_Id__c]], Locations[Location Id], Locations[Location Name])</f>
        <v>Brick</v>
      </c>
      <c r="AE340" s="6" t="str">
        <f>TEXT(Lessons[[#This Row],[Lesson_Date__c]], "yyyy-mm")</f>
        <v>2026-02</v>
      </c>
      <c r="AF340" s="6" t="str">
        <f>IF(Lessons[[#This Row],[Lesson_Date__c]]&lt;=Data_Audit!$F$1, "Yes", "No")</f>
        <v>Yes</v>
      </c>
    </row>
    <row r="341" spans="1:32">
      <c r="A341" t="s">
        <v>52</v>
      </c>
      <c r="B341" t="s">
        <v>53</v>
      </c>
      <c r="C341">
        <v>60</v>
      </c>
      <c r="D341" t="s">
        <v>1338</v>
      </c>
      <c r="E341" t="s">
        <v>573</v>
      </c>
      <c r="F341" t="s">
        <v>574</v>
      </c>
      <c r="H341" t="s">
        <v>284</v>
      </c>
      <c r="I341" t="b">
        <v>0</v>
      </c>
      <c r="K341" t="s">
        <v>52</v>
      </c>
      <c r="L341" t="s">
        <v>70</v>
      </c>
      <c r="O341" s="1">
        <v>46101</v>
      </c>
      <c r="P341" t="s">
        <v>1339</v>
      </c>
      <c r="Q341" t="s">
        <v>1340</v>
      </c>
      <c r="R341" t="s">
        <v>83</v>
      </c>
      <c r="S341" t="b">
        <v>0</v>
      </c>
      <c r="T341" t="b">
        <v>0</v>
      </c>
      <c r="U341" t="s">
        <v>1340</v>
      </c>
      <c r="V341" t="s">
        <v>135</v>
      </c>
      <c r="W341" t="s">
        <v>65</v>
      </c>
      <c r="X341" t="s">
        <v>1330</v>
      </c>
      <c r="Y341" t="s">
        <v>1331</v>
      </c>
      <c r="Z341" t="s">
        <v>70</v>
      </c>
      <c r="AA341" t="b">
        <f>ISNUMBER(SEARCH(";"&amp;Lessons[[#This Row],[Instrument__c]]&amp;";",";"&amp;_xlfn.XLOOKUP(Lessons[[#This Row],[Instructor_External_Id__c]], Instructors[Id], Instructors[Instruments_Taught__c])&amp;";"))</f>
        <v>1</v>
      </c>
      <c r="AB341" t="str">
        <f>IF(LEFT(Lessons[[#This Row],[Status__c]],9)="Cancelled","",Lessons[[#This Row],[Instructor_External_Id__c]]&amp;"|"&amp;TEXT(Lessons[[#This Row],[Lesson_Date__c]],"yyyy-mm-dd")&amp;"|"&amp;Lessons[[#This Row],[Start_Time__c]])</f>
        <v>a06ak00000amzCCAAY|2026-03-20|15:30:00.000Z</v>
      </c>
      <c r="AC341">
        <f>IF(Lessons[[#This Row],[Double Booked Key]]="","",COUNTIF(Lessons[Double Booked Key],Lessons[[#This Row],[Double Booked Key]]))</f>
        <v>1</v>
      </c>
      <c r="AD341" s="6" t="str">
        <f>_xlfn.XLOOKUP(Lessons[[#This Row],[Location_External_Id__c]], Locations[Location Id], Locations[Location Name])</f>
        <v>Brick</v>
      </c>
      <c r="AE341" s="6" t="str">
        <f>TEXT(Lessons[[#This Row],[Lesson_Date__c]], "yyyy-mm")</f>
        <v>2026-03</v>
      </c>
      <c r="AF341" s="6" t="str">
        <f>IF(Lessons[[#This Row],[Lesson_Date__c]]&lt;=Data_Audit!$F$1, "Yes", "No")</f>
        <v>Yes</v>
      </c>
    </row>
    <row r="342" spans="1:32">
      <c r="A342" t="s">
        <v>52</v>
      </c>
      <c r="B342" t="s">
        <v>53</v>
      </c>
      <c r="C342">
        <v>45</v>
      </c>
      <c r="D342" t="s">
        <v>1341</v>
      </c>
      <c r="E342" t="s">
        <v>573</v>
      </c>
      <c r="F342" t="s">
        <v>574</v>
      </c>
      <c r="G342" t="s">
        <v>99</v>
      </c>
      <c r="H342" t="s">
        <v>284</v>
      </c>
      <c r="I342" t="b">
        <v>0</v>
      </c>
      <c r="K342" t="s">
        <v>52</v>
      </c>
      <c r="L342" t="s">
        <v>70</v>
      </c>
      <c r="M342" t="s">
        <v>1342</v>
      </c>
      <c r="N342" t="s">
        <v>1342</v>
      </c>
      <c r="O342" s="1">
        <v>46273</v>
      </c>
      <c r="P342" t="s">
        <v>1343</v>
      </c>
      <c r="Q342" t="s">
        <v>1344</v>
      </c>
      <c r="R342" t="s">
        <v>83</v>
      </c>
      <c r="S342" t="b">
        <v>0</v>
      </c>
      <c r="T342" t="b">
        <v>0</v>
      </c>
      <c r="U342" t="s">
        <v>1344</v>
      </c>
      <c r="V342" t="s">
        <v>74</v>
      </c>
      <c r="W342" t="s">
        <v>65</v>
      </c>
      <c r="X342" t="s">
        <v>1330</v>
      </c>
      <c r="Y342" t="s">
        <v>1331</v>
      </c>
      <c r="Z342" t="s">
        <v>70</v>
      </c>
      <c r="AA342" t="b">
        <f>ISNUMBER(SEARCH(";"&amp;Lessons[[#This Row],[Instrument__c]]&amp;";",";"&amp;_xlfn.XLOOKUP(Lessons[[#This Row],[Instructor_External_Id__c]], Instructors[Id], Instructors[Instruments_Taught__c])&amp;";"))</f>
        <v>1</v>
      </c>
      <c r="AB342" t="str">
        <f>IF(LEFT(Lessons[[#This Row],[Status__c]],9)="Cancelled","",Lessons[[#This Row],[Instructor_External_Id__c]]&amp;"|"&amp;TEXT(Lessons[[#This Row],[Lesson_Date__c]],"yyyy-mm-dd")&amp;"|"&amp;Lessons[[#This Row],[Start_Time__c]])</f>
        <v>a06ak00000amzCCAAY|2026-09-08|16:30:00.000Z</v>
      </c>
      <c r="AC342">
        <f>IF(Lessons[[#This Row],[Double Booked Key]]="","",COUNTIF(Lessons[Double Booked Key],Lessons[[#This Row],[Double Booked Key]]))</f>
        <v>1</v>
      </c>
      <c r="AD342" s="6" t="str">
        <f>_xlfn.XLOOKUP(Lessons[[#This Row],[Location_External_Id__c]], Locations[Location Id], Locations[Location Name])</f>
        <v>Brick</v>
      </c>
      <c r="AE342" s="6" t="str">
        <f>TEXT(Lessons[[#This Row],[Lesson_Date__c]], "yyyy-mm")</f>
        <v>2026-09</v>
      </c>
      <c r="AF342" s="6" t="str">
        <f>IF(Lessons[[#This Row],[Lesson_Date__c]]&lt;=Data_Audit!$F$1, "Yes", "No")</f>
        <v>Yes</v>
      </c>
    </row>
    <row r="343" spans="1:32">
      <c r="A343" t="s">
        <v>52</v>
      </c>
      <c r="B343" t="s">
        <v>53</v>
      </c>
      <c r="C343">
        <v>60</v>
      </c>
      <c r="D343" t="s">
        <v>1345</v>
      </c>
      <c r="E343" t="s">
        <v>573</v>
      </c>
      <c r="F343" t="s">
        <v>574</v>
      </c>
      <c r="H343" t="s">
        <v>284</v>
      </c>
      <c r="I343" t="b">
        <v>0</v>
      </c>
      <c r="K343" t="s">
        <v>52</v>
      </c>
      <c r="L343" t="s">
        <v>70</v>
      </c>
      <c r="O343" s="1">
        <v>46239</v>
      </c>
      <c r="P343" t="s">
        <v>1346</v>
      </c>
      <c r="Q343" t="s">
        <v>1347</v>
      </c>
      <c r="R343" t="s">
        <v>83</v>
      </c>
      <c r="S343" t="b">
        <v>0</v>
      </c>
      <c r="T343" t="b">
        <v>0</v>
      </c>
      <c r="U343" t="s">
        <v>1347</v>
      </c>
      <c r="V343" t="s">
        <v>120</v>
      </c>
      <c r="W343" t="s">
        <v>85</v>
      </c>
      <c r="X343" t="s">
        <v>1330</v>
      </c>
      <c r="Y343" t="s">
        <v>1331</v>
      </c>
      <c r="Z343" t="s">
        <v>70</v>
      </c>
      <c r="AA343" t="b">
        <f>ISNUMBER(SEARCH(";"&amp;Lessons[[#This Row],[Instrument__c]]&amp;";",";"&amp;_xlfn.XLOOKUP(Lessons[[#This Row],[Instructor_External_Id__c]], Instructors[Id], Instructors[Instruments_Taught__c])&amp;";"))</f>
        <v>1</v>
      </c>
      <c r="AB343" t="str">
        <f>IF(LEFT(Lessons[[#This Row],[Status__c]],9)="Cancelled","",Lessons[[#This Row],[Instructor_External_Id__c]]&amp;"|"&amp;TEXT(Lessons[[#This Row],[Lesson_Date__c]],"yyyy-mm-dd")&amp;"|"&amp;Lessons[[#This Row],[Start_Time__c]])</f>
        <v/>
      </c>
      <c r="AC343" t="str">
        <f>IF(Lessons[[#This Row],[Double Booked Key]]="","",COUNTIF(Lessons[Double Booked Key],Lessons[[#This Row],[Double Booked Key]]))</f>
        <v/>
      </c>
      <c r="AD343" s="6" t="str">
        <f>_xlfn.XLOOKUP(Lessons[[#This Row],[Location_External_Id__c]], Locations[Location Id], Locations[Location Name])</f>
        <v>Brick</v>
      </c>
      <c r="AE343" s="6" t="str">
        <f>TEXT(Lessons[[#This Row],[Lesson_Date__c]], "yyyy-mm")</f>
        <v>2026-08</v>
      </c>
      <c r="AF343" s="6" t="str">
        <f>IF(Lessons[[#This Row],[Lesson_Date__c]]&lt;=Data_Audit!$F$1, "Yes", "No")</f>
        <v>Yes</v>
      </c>
    </row>
    <row r="344" spans="1:32">
      <c r="A344" t="s">
        <v>52</v>
      </c>
      <c r="B344" t="s">
        <v>53</v>
      </c>
      <c r="C344">
        <v>30</v>
      </c>
      <c r="D344" t="s">
        <v>1348</v>
      </c>
      <c r="E344" t="s">
        <v>573</v>
      </c>
      <c r="F344" t="s">
        <v>574</v>
      </c>
      <c r="H344" t="s">
        <v>284</v>
      </c>
      <c r="I344" t="b">
        <v>0</v>
      </c>
      <c r="K344" t="s">
        <v>52</v>
      </c>
      <c r="L344" t="s">
        <v>70</v>
      </c>
      <c r="O344" s="1">
        <v>46058</v>
      </c>
      <c r="P344" t="s">
        <v>1349</v>
      </c>
      <c r="Q344" t="s">
        <v>1350</v>
      </c>
      <c r="R344" t="s">
        <v>83</v>
      </c>
      <c r="S344" t="b">
        <v>0</v>
      </c>
      <c r="T344" t="b">
        <v>0</v>
      </c>
      <c r="U344" t="s">
        <v>1350</v>
      </c>
      <c r="V344" t="s">
        <v>94</v>
      </c>
      <c r="W344" t="s">
        <v>65</v>
      </c>
      <c r="X344" t="s">
        <v>1330</v>
      </c>
      <c r="Y344" t="s">
        <v>1331</v>
      </c>
      <c r="Z344" t="s">
        <v>70</v>
      </c>
      <c r="AA344" t="b">
        <f>ISNUMBER(SEARCH(";"&amp;Lessons[[#This Row],[Instrument__c]]&amp;";",";"&amp;_xlfn.XLOOKUP(Lessons[[#This Row],[Instructor_External_Id__c]], Instructors[Id], Instructors[Instruments_Taught__c])&amp;";"))</f>
        <v>1</v>
      </c>
      <c r="AB344" t="str">
        <f>IF(LEFT(Lessons[[#This Row],[Status__c]],9)="Cancelled","",Lessons[[#This Row],[Instructor_External_Id__c]]&amp;"|"&amp;TEXT(Lessons[[#This Row],[Lesson_Date__c]],"yyyy-mm-dd")&amp;"|"&amp;Lessons[[#This Row],[Start_Time__c]])</f>
        <v>a06ak00000amzCCAAY|2026-02-05|19:00:00.000Z</v>
      </c>
      <c r="AC344">
        <f>IF(Lessons[[#This Row],[Double Booked Key]]="","",COUNTIF(Lessons[Double Booked Key],Lessons[[#This Row],[Double Booked Key]]))</f>
        <v>1</v>
      </c>
      <c r="AD344" s="6" t="str">
        <f>_xlfn.XLOOKUP(Lessons[[#This Row],[Location_External_Id__c]], Locations[Location Id], Locations[Location Name])</f>
        <v>Brick</v>
      </c>
      <c r="AE344" s="6" t="str">
        <f>TEXT(Lessons[[#This Row],[Lesson_Date__c]], "yyyy-mm")</f>
        <v>2026-02</v>
      </c>
      <c r="AF344" s="6" t="str">
        <f>IF(Lessons[[#This Row],[Lesson_Date__c]]&lt;=Data_Audit!$F$1, "Yes", "No")</f>
        <v>Yes</v>
      </c>
    </row>
    <row r="345" spans="1:32">
      <c r="A345" t="s">
        <v>52</v>
      </c>
      <c r="B345" t="s">
        <v>53</v>
      </c>
      <c r="C345">
        <v>30</v>
      </c>
      <c r="D345" t="s">
        <v>1351</v>
      </c>
      <c r="E345" t="s">
        <v>573</v>
      </c>
      <c r="F345" t="s">
        <v>574</v>
      </c>
      <c r="G345" t="s">
        <v>57</v>
      </c>
      <c r="H345" t="s">
        <v>284</v>
      </c>
      <c r="I345" t="b">
        <v>0</v>
      </c>
      <c r="K345" t="s">
        <v>52</v>
      </c>
      <c r="L345" t="s">
        <v>70</v>
      </c>
      <c r="O345" s="1">
        <v>46028</v>
      </c>
      <c r="P345" t="s">
        <v>1352</v>
      </c>
      <c r="Q345" t="s">
        <v>1353</v>
      </c>
      <c r="R345" t="s">
        <v>83</v>
      </c>
      <c r="S345" t="b">
        <v>0</v>
      </c>
      <c r="T345" t="b">
        <v>0</v>
      </c>
      <c r="U345" t="s">
        <v>1353</v>
      </c>
      <c r="V345" t="s">
        <v>102</v>
      </c>
      <c r="W345" t="s">
        <v>65</v>
      </c>
      <c r="X345" t="s">
        <v>1330</v>
      </c>
      <c r="Y345" t="s">
        <v>1331</v>
      </c>
      <c r="Z345" t="s">
        <v>70</v>
      </c>
      <c r="AA345" t="b">
        <f>ISNUMBER(SEARCH(";"&amp;Lessons[[#This Row],[Instrument__c]]&amp;";",";"&amp;_xlfn.XLOOKUP(Lessons[[#This Row],[Instructor_External_Id__c]], Instructors[Id], Instructors[Instruments_Taught__c])&amp;";"))</f>
        <v>1</v>
      </c>
      <c r="AB345" t="str">
        <f>IF(LEFT(Lessons[[#This Row],[Status__c]],9)="Cancelled","",Lessons[[#This Row],[Instructor_External_Id__c]]&amp;"|"&amp;TEXT(Lessons[[#This Row],[Lesson_Date__c]],"yyyy-mm-dd")&amp;"|"&amp;Lessons[[#This Row],[Start_Time__c]])</f>
        <v>a06ak00000amzCCAAY|2026-01-06|16:00:00.000Z</v>
      </c>
      <c r="AC345">
        <f>IF(Lessons[[#This Row],[Double Booked Key]]="","",COUNTIF(Lessons[Double Booked Key],Lessons[[#This Row],[Double Booked Key]]))</f>
        <v>1</v>
      </c>
      <c r="AD345" s="6" t="str">
        <f>_xlfn.XLOOKUP(Lessons[[#This Row],[Location_External_Id__c]], Locations[Location Id], Locations[Location Name])</f>
        <v>Brick</v>
      </c>
      <c r="AE345" s="6" t="str">
        <f>TEXT(Lessons[[#This Row],[Lesson_Date__c]], "yyyy-mm")</f>
        <v>2026-01</v>
      </c>
      <c r="AF345" s="6" t="str">
        <f>IF(Lessons[[#This Row],[Lesson_Date__c]]&lt;=Data_Audit!$F$1, "Yes", "No")</f>
        <v>Yes</v>
      </c>
    </row>
    <row r="346" spans="1:32">
      <c r="A346" t="s">
        <v>52</v>
      </c>
      <c r="B346" t="s">
        <v>53</v>
      </c>
      <c r="C346">
        <v>30</v>
      </c>
      <c r="D346" t="s">
        <v>1354</v>
      </c>
      <c r="E346" t="s">
        <v>804</v>
      </c>
      <c r="F346" t="s">
        <v>805</v>
      </c>
      <c r="H346" t="s">
        <v>147</v>
      </c>
      <c r="I346" t="b">
        <v>0</v>
      </c>
      <c r="K346" t="s">
        <v>52</v>
      </c>
      <c r="L346" t="s">
        <v>70</v>
      </c>
      <c r="O346" s="1">
        <v>46160</v>
      </c>
      <c r="P346" t="s">
        <v>1355</v>
      </c>
      <c r="Q346" t="s">
        <v>1356</v>
      </c>
      <c r="R346" t="s">
        <v>63</v>
      </c>
      <c r="S346" t="b">
        <v>0</v>
      </c>
      <c r="T346" t="b">
        <v>0</v>
      </c>
      <c r="U346" t="s">
        <v>1356</v>
      </c>
      <c r="V346" t="s">
        <v>135</v>
      </c>
      <c r="W346" t="s">
        <v>65</v>
      </c>
      <c r="X346" t="s">
        <v>1357</v>
      </c>
      <c r="Y346" t="s">
        <v>1358</v>
      </c>
      <c r="Z346" t="s">
        <v>70</v>
      </c>
      <c r="AA346" t="b">
        <f>ISNUMBER(SEARCH(";"&amp;Lessons[[#This Row],[Instrument__c]]&amp;";",";"&amp;_xlfn.XLOOKUP(Lessons[[#This Row],[Instructor_External_Id__c]], Instructors[Id], Instructors[Instruments_Taught__c])&amp;";"))</f>
        <v>1</v>
      </c>
      <c r="AB346" t="str">
        <f>IF(LEFT(Lessons[[#This Row],[Status__c]],9)="Cancelled","",Lessons[[#This Row],[Instructor_External_Id__c]]&amp;"|"&amp;TEXT(Lessons[[#This Row],[Lesson_Date__c]],"yyyy-mm-dd")&amp;"|"&amp;Lessons[[#This Row],[Start_Time__c]])</f>
        <v>a06ak00000amzCBAAY|2026-05-18|15:30:00.000Z</v>
      </c>
      <c r="AC346">
        <f>IF(Lessons[[#This Row],[Double Booked Key]]="","",COUNTIF(Lessons[Double Booked Key],Lessons[[#This Row],[Double Booked Key]]))</f>
        <v>1</v>
      </c>
      <c r="AD346" s="6" t="str">
        <f>_xlfn.XLOOKUP(Lessons[[#This Row],[Location_External_Id__c]], Locations[Location Id], Locations[Location Name])</f>
        <v>Red Bank</v>
      </c>
      <c r="AE346" s="6" t="str">
        <f>TEXT(Lessons[[#This Row],[Lesson_Date__c]], "yyyy-mm")</f>
        <v>2026-05</v>
      </c>
      <c r="AF346" s="6" t="str">
        <f>IF(Lessons[[#This Row],[Lesson_Date__c]]&lt;=Data_Audit!$F$1, "Yes", "No")</f>
        <v>Yes</v>
      </c>
    </row>
    <row r="347" spans="1:32">
      <c r="A347" t="s">
        <v>52</v>
      </c>
      <c r="B347" t="s">
        <v>53</v>
      </c>
      <c r="C347">
        <v>30</v>
      </c>
      <c r="D347" t="s">
        <v>1359</v>
      </c>
      <c r="E347" t="s">
        <v>804</v>
      </c>
      <c r="F347" t="s">
        <v>805</v>
      </c>
      <c r="G347" t="s">
        <v>99</v>
      </c>
      <c r="H347" t="s">
        <v>147</v>
      </c>
      <c r="I347" t="b">
        <v>0</v>
      </c>
      <c r="K347" t="s">
        <v>52</v>
      </c>
      <c r="L347" t="s">
        <v>70</v>
      </c>
      <c r="O347" s="1">
        <v>46146</v>
      </c>
      <c r="P347" t="s">
        <v>1360</v>
      </c>
      <c r="Q347" t="s">
        <v>1361</v>
      </c>
      <c r="R347" t="s">
        <v>63</v>
      </c>
      <c r="S347" t="b">
        <v>0</v>
      </c>
      <c r="T347" t="b">
        <v>0</v>
      </c>
      <c r="U347" t="s">
        <v>1361</v>
      </c>
      <c r="V347" t="s">
        <v>94</v>
      </c>
      <c r="W347" t="s">
        <v>65</v>
      </c>
      <c r="X347" t="s">
        <v>1357</v>
      </c>
      <c r="Y347" t="s">
        <v>1358</v>
      </c>
      <c r="Z347" t="s">
        <v>70</v>
      </c>
      <c r="AA347" t="b">
        <f>ISNUMBER(SEARCH(";"&amp;Lessons[[#This Row],[Instrument__c]]&amp;";",";"&amp;_xlfn.XLOOKUP(Lessons[[#This Row],[Instructor_External_Id__c]], Instructors[Id], Instructors[Instruments_Taught__c])&amp;";"))</f>
        <v>1</v>
      </c>
      <c r="AB347" t="str">
        <f>IF(LEFT(Lessons[[#This Row],[Status__c]],9)="Cancelled","",Lessons[[#This Row],[Instructor_External_Id__c]]&amp;"|"&amp;TEXT(Lessons[[#This Row],[Lesson_Date__c]],"yyyy-mm-dd")&amp;"|"&amp;Lessons[[#This Row],[Start_Time__c]])</f>
        <v>a06ak00000amzCBAAY|2026-05-04|19:00:00.000Z</v>
      </c>
      <c r="AC347">
        <f>IF(Lessons[[#This Row],[Double Booked Key]]="","",COUNTIF(Lessons[Double Booked Key],Lessons[[#This Row],[Double Booked Key]]))</f>
        <v>1</v>
      </c>
      <c r="AD347" s="6" t="str">
        <f>_xlfn.XLOOKUP(Lessons[[#This Row],[Location_External_Id__c]], Locations[Location Id], Locations[Location Name])</f>
        <v>Red Bank</v>
      </c>
      <c r="AE347" s="6" t="str">
        <f>TEXT(Lessons[[#This Row],[Lesson_Date__c]], "yyyy-mm")</f>
        <v>2026-05</v>
      </c>
      <c r="AF347" s="6" t="str">
        <f>IF(Lessons[[#This Row],[Lesson_Date__c]]&lt;=Data_Audit!$F$1, "Yes", "No")</f>
        <v>Yes</v>
      </c>
    </row>
    <row r="348" spans="1:32">
      <c r="A348" t="s">
        <v>52</v>
      </c>
      <c r="B348" t="s">
        <v>53</v>
      </c>
      <c r="C348">
        <v>60</v>
      </c>
      <c r="D348" t="s">
        <v>1362</v>
      </c>
      <c r="E348" t="s">
        <v>804</v>
      </c>
      <c r="F348" t="s">
        <v>805</v>
      </c>
      <c r="G348" t="s">
        <v>57</v>
      </c>
      <c r="H348" t="s">
        <v>147</v>
      </c>
      <c r="I348" t="b">
        <v>0</v>
      </c>
      <c r="K348" t="s">
        <v>52</v>
      </c>
      <c r="L348" t="s">
        <v>70</v>
      </c>
      <c r="O348" s="1">
        <v>46285</v>
      </c>
      <c r="P348" t="s">
        <v>1363</v>
      </c>
      <c r="Q348" t="s">
        <v>1364</v>
      </c>
      <c r="R348" t="s">
        <v>63</v>
      </c>
      <c r="S348" t="b">
        <v>0</v>
      </c>
      <c r="T348" t="b">
        <v>0</v>
      </c>
      <c r="U348" t="s">
        <v>1364</v>
      </c>
      <c r="V348" t="s">
        <v>84</v>
      </c>
      <c r="W348" t="s">
        <v>65</v>
      </c>
      <c r="X348" t="s">
        <v>1357</v>
      </c>
      <c r="Y348" t="s">
        <v>1358</v>
      </c>
      <c r="Z348" t="s">
        <v>70</v>
      </c>
      <c r="AA348" t="b">
        <f>ISNUMBER(SEARCH(";"&amp;Lessons[[#This Row],[Instrument__c]]&amp;";",";"&amp;_xlfn.XLOOKUP(Lessons[[#This Row],[Instructor_External_Id__c]], Instructors[Id], Instructors[Instruments_Taught__c])&amp;";"))</f>
        <v>1</v>
      </c>
      <c r="AB348" t="str">
        <f>IF(LEFT(Lessons[[#This Row],[Status__c]],9)="Cancelled","",Lessons[[#This Row],[Instructor_External_Id__c]]&amp;"|"&amp;TEXT(Lessons[[#This Row],[Lesson_Date__c]],"yyyy-mm-dd")&amp;"|"&amp;Lessons[[#This Row],[Start_Time__c]])</f>
        <v>a06ak00000amzCBAAY|2026-09-20|17:00:00.000Z</v>
      </c>
      <c r="AC348">
        <f>IF(Lessons[[#This Row],[Double Booked Key]]="","",COUNTIF(Lessons[Double Booked Key],Lessons[[#This Row],[Double Booked Key]]))</f>
        <v>1</v>
      </c>
      <c r="AD348" s="6" t="str">
        <f>_xlfn.XLOOKUP(Lessons[[#This Row],[Location_External_Id__c]], Locations[Location Id], Locations[Location Name])</f>
        <v>Red Bank</v>
      </c>
      <c r="AE348" s="6" t="str">
        <f>TEXT(Lessons[[#This Row],[Lesson_Date__c]], "yyyy-mm")</f>
        <v>2026-09</v>
      </c>
      <c r="AF348" s="6" t="str">
        <f>IF(Lessons[[#This Row],[Lesson_Date__c]]&lt;=Data_Audit!$F$1, "Yes", "No")</f>
        <v>Yes</v>
      </c>
    </row>
    <row r="349" spans="1:32">
      <c r="A349" t="s">
        <v>52</v>
      </c>
      <c r="B349" t="s">
        <v>53</v>
      </c>
      <c r="C349">
        <v>30</v>
      </c>
      <c r="D349" t="s">
        <v>1365</v>
      </c>
      <c r="E349" t="s">
        <v>804</v>
      </c>
      <c r="F349" t="s">
        <v>805</v>
      </c>
      <c r="G349" t="s">
        <v>69</v>
      </c>
      <c r="H349" t="s">
        <v>147</v>
      </c>
      <c r="I349" t="b">
        <v>0</v>
      </c>
      <c r="K349" t="s">
        <v>52</v>
      </c>
      <c r="L349" t="s">
        <v>70</v>
      </c>
      <c r="O349" s="1">
        <v>46211</v>
      </c>
      <c r="P349" t="s">
        <v>1366</v>
      </c>
      <c r="Q349" t="s">
        <v>1367</v>
      </c>
      <c r="R349" t="s">
        <v>63</v>
      </c>
      <c r="S349" t="b">
        <v>0</v>
      </c>
      <c r="T349" t="b">
        <v>0</v>
      </c>
      <c r="U349" t="s">
        <v>1367</v>
      </c>
      <c r="V349" t="s">
        <v>120</v>
      </c>
      <c r="W349" t="s">
        <v>65</v>
      </c>
      <c r="X349" t="s">
        <v>1357</v>
      </c>
      <c r="Y349" t="s">
        <v>1358</v>
      </c>
      <c r="Z349" t="s">
        <v>70</v>
      </c>
      <c r="AA349" t="b">
        <f>ISNUMBER(SEARCH(";"&amp;Lessons[[#This Row],[Instrument__c]]&amp;";",";"&amp;_xlfn.XLOOKUP(Lessons[[#This Row],[Instructor_External_Id__c]], Instructors[Id], Instructors[Instruments_Taught__c])&amp;";"))</f>
        <v>1</v>
      </c>
      <c r="AB349" t="str">
        <f>IF(LEFT(Lessons[[#This Row],[Status__c]],9)="Cancelled","",Lessons[[#This Row],[Instructor_External_Id__c]]&amp;"|"&amp;TEXT(Lessons[[#This Row],[Lesson_Date__c]],"yyyy-mm-dd")&amp;"|"&amp;Lessons[[#This Row],[Start_Time__c]])</f>
        <v>a06ak00000amzCBAAY|2026-07-08|18:00:00.000Z</v>
      </c>
      <c r="AC349">
        <f>IF(Lessons[[#This Row],[Double Booked Key]]="","",COUNTIF(Lessons[Double Booked Key],Lessons[[#This Row],[Double Booked Key]]))</f>
        <v>1</v>
      </c>
      <c r="AD349" s="6" t="str">
        <f>_xlfn.XLOOKUP(Lessons[[#This Row],[Location_External_Id__c]], Locations[Location Id], Locations[Location Name])</f>
        <v>Red Bank</v>
      </c>
      <c r="AE349" s="6" t="str">
        <f>TEXT(Lessons[[#This Row],[Lesson_Date__c]], "yyyy-mm")</f>
        <v>2026-07</v>
      </c>
      <c r="AF349" s="6" t="str">
        <f>IF(Lessons[[#This Row],[Lesson_Date__c]]&lt;=Data_Audit!$F$1, "Yes", "No")</f>
        <v>Yes</v>
      </c>
    </row>
    <row r="350" spans="1:32">
      <c r="A350" t="s">
        <v>52</v>
      </c>
      <c r="B350" t="s">
        <v>53</v>
      </c>
      <c r="C350">
        <v>30</v>
      </c>
      <c r="D350" t="s">
        <v>1368</v>
      </c>
      <c r="E350" t="s">
        <v>804</v>
      </c>
      <c r="F350" t="s">
        <v>805</v>
      </c>
      <c r="H350" t="s">
        <v>147</v>
      </c>
      <c r="I350" t="b">
        <v>0</v>
      </c>
      <c r="K350" t="s">
        <v>52</v>
      </c>
      <c r="L350" t="s">
        <v>70</v>
      </c>
      <c r="O350" s="1">
        <v>46289</v>
      </c>
      <c r="P350" t="s">
        <v>1369</v>
      </c>
      <c r="Q350" t="s">
        <v>1370</v>
      </c>
      <c r="R350" t="s">
        <v>63</v>
      </c>
      <c r="S350" t="b">
        <v>1</v>
      </c>
      <c r="T350" t="b">
        <v>1</v>
      </c>
      <c r="U350" t="s">
        <v>1370</v>
      </c>
      <c r="V350" t="s">
        <v>116</v>
      </c>
      <c r="W350" t="s">
        <v>136</v>
      </c>
      <c r="X350" t="s">
        <v>1357</v>
      </c>
      <c r="Y350" t="s">
        <v>1358</v>
      </c>
      <c r="Z350" t="s">
        <v>70</v>
      </c>
      <c r="AA350" t="b">
        <f>ISNUMBER(SEARCH(";"&amp;Lessons[[#This Row],[Instrument__c]]&amp;";",";"&amp;_xlfn.XLOOKUP(Lessons[[#This Row],[Instructor_External_Id__c]], Instructors[Id], Instructors[Instruments_Taught__c])&amp;";"))</f>
        <v>1</v>
      </c>
      <c r="AB350" t="str">
        <f>IF(LEFT(Lessons[[#This Row],[Status__c]],9)="Cancelled","",Lessons[[#This Row],[Instructor_External_Id__c]]&amp;"|"&amp;TEXT(Lessons[[#This Row],[Lesson_Date__c]],"yyyy-mm-dd")&amp;"|"&amp;Lessons[[#This Row],[Start_Time__c]])</f>
        <v/>
      </c>
      <c r="AC350" t="str">
        <f>IF(Lessons[[#This Row],[Double Booked Key]]="","",COUNTIF(Lessons[Double Booked Key],Lessons[[#This Row],[Double Booked Key]]))</f>
        <v/>
      </c>
      <c r="AD350" s="6" t="str">
        <f>_xlfn.XLOOKUP(Lessons[[#This Row],[Location_External_Id__c]], Locations[Location Id], Locations[Location Name])</f>
        <v>Red Bank</v>
      </c>
      <c r="AE350" s="6" t="str">
        <f>TEXT(Lessons[[#This Row],[Lesson_Date__c]], "yyyy-mm")</f>
        <v>2026-09</v>
      </c>
      <c r="AF350" s="6" t="str">
        <f>IF(Lessons[[#This Row],[Lesson_Date__c]]&lt;=Data_Audit!$F$1, "Yes", "No")</f>
        <v>Yes</v>
      </c>
    </row>
    <row r="351" spans="1:32">
      <c r="A351" t="s">
        <v>52</v>
      </c>
      <c r="B351" t="s">
        <v>53</v>
      </c>
      <c r="C351">
        <v>30</v>
      </c>
      <c r="D351" t="s">
        <v>1371</v>
      </c>
      <c r="E351" t="s">
        <v>804</v>
      </c>
      <c r="F351" t="s">
        <v>805</v>
      </c>
      <c r="G351" t="s">
        <v>57</v>
      </c>
      <c r="H351" t="s">
        <v>147</v>
      </c>
      <c r="I351" t="b">
        <v>0</v>
      </c>
      <c r="K351" t="s">
        <v>52</v>
      </c>
      <c r="L351" t="s">
        <v>70</v>
      </c>
      <c r="O351" s="1">
        <v>46290</v>
      </c>
      <c r="P351" t="s">
        <v>1372</v>
      </c>
      <c r="Q351" t="s">
        <v>1373</v>
      </c>
      <c r="R351" t="s">
        <v>63</v>
      </c>
      <c r="S351" t="b">
        <v>0</v>
      </c>
      <c r="T351" t="b">
        <v>0</v>
      </c>
      <c r="U351" t="s">
        <v>1373</v>
      </c>
      <c r="V351" t="s">
        <v>116</v>
      </c>
      <c r="W351" t="s">
        <v>65</v>
      </c>
      <c r="X351" t="s">
        <v>1357</v>
      </c>
      <c r="Y351" t="s">
        <v>1358</v>
      </c>
      <c r="Z351" t="s">
        <v>70</v>
      </c>
      <c r="AA351" t="b">
        <f>ISNUMBER(SEARCH(";"&amp;Lessons[[#This Row],[Instrument__c]]&amp;";",";"&amp;_xlfn.XLOOKUP(Lessons[[#This Row],[Instructor_External_Id__c]], Instructors[Id], Instructors[Instruments_Taught__c])&amp;";"))</f>
        <v>1</v>
      </c>
      <c r="AB351" t="str">
        <f>IF(LEFT(Lessons[[#This Row],[Status__c]],9)="Cancelled","",Lessons[[#This Row],[Instructor_External_Id__c]]&amp;"|"&amp;TEXT(Lessons[[#This Row],[Lesson_Date__c]],"yyyy-mm-dd")&amp;"|"&amp;Lessons[[#This Row],[Start_Time__c]])</f>
        <v>a06ak00000amzCBAAY|2026-09-25|17:30:00.000Z</v>
      </c>
      <c r="AC351">
        <f>IF(Lessons[[#This Row],[Double Booked Key]]="","",COUNTIF(Lessons[Double Booked Key],Lessons[[#This Row],[Double Booked Key]]))</f>
        <v>1</v>
      </c>
      <c r="AD351" s="6" t="str">
        <f>_xlfn.XLOOKUP(Lessons[[#This Row],[Location_External_Id__c]], Locations[Location Id], Locations[Location Name])</f>
        <v>Red Bank</v>
      </c>
      <c r="AE351" s="6" t="str">
        <f>TEXT(Lessons[[#This Row],[Lesson_Date__c]], "yyyy-mm")</f>
        <v>2026-09</v>
      </c>
      <c r="AF351" s="6" t="str">
        <f>IF(Lessons[[#This Row],[Lesson_Date__c]]&lt;=Data_Audit!$F$1, "Yes", "No")</f>
        <v>Yes</v>
      </c>
    </row>
    <row r="352" spans="1:32">
      <c r="A352" t="s">
        <v>52</v>
      </c>
      <c r="B352" t="s">
        <v>53</v>
      </c>
      <c r="C352">
        <v>30</v>
      </c>
      <c r="D352" t="s">
        <v>1374</v>
      </c>
      <c r="E352" t="s">
        <v>548</v>
      </c>
      <c r="F352" t="s">
        <v>549</v>
      </c>
      <c r="G352" t="s">
        <v>69</v>
      </c>
      <c r="H352" t="s">
        <v>203</v>
      </c>
      <c r="I352" t="b">
        <v>0</v>
      </c>
      <c r="K352" t="s">
        <v>52</v>
      </c>
      <c r="L352" t="s">
        <v>70</v>
      </c>
      <c r="O352" s="1">
        <v>46264</v>
      </c>
      <c r="P352" t="s">
        <v>1375</v>
      </c>
      <c r="Q352" t="s">
        <v>1376</v>
      </c>
      <c r="R352" t="s">
        <v>63</v>
      </c>
      <c r="S352" t="b">
        <v>0</v>
      </c>
      <c r="T352" t="b">
        <v>0</v>
      </c>
      <c r="U352" t="s">
        <v>1376</v>
      </c>
      <c r="V352" t="s">
        <v>94</v>
      </c>
      <c r="W352" t="s">
        <v>65</v>
      </c>
      <c r="X352" t="s">
        <v>1377</v>
      </c>
      <c r="Y352" t="s">
        <v>1378</v>
      </c>
      <c r="Z352" t="s">
        <v>70</v>
      </c>
      <c r="AA352" t="b">
        <f>ISNUMBER(SEARCH(";"&amp;Lessons[[#This Row],[Instrument__c]]&amp;";",";"&amp;_xlfn.XLOOKUP(Lessons[[#This Row],[Instructor_External_Id__c]], Instructors[Id], Instructors[Instruments_Taught__c])&amp;";"))</f>
        <v>1</v>
      </c>
      <c r="AB352" t="str">
        <f>IF(LEFT(Lessons[[#This Row],[Status__c]],9)="Cancelled","",Lessons[[#This Row],[Instructor_External_Id__c]]&amp;"|"&amp;TEXT(Lessons[[#This Row],[Lesson_Date__c]],"yyyy-mm-dd")&amp;"|"&amp;Lessons[[#This Row],[Start_Time__c]])</f>
        <v>a06ak00000amzCHAAY|2026-08-30|19:00:00.000Z</v>
      </c>
      <c r="AC352">
        <f>IF(Lessons[[#This Row],[Double Booked Key]]="","",COUNTIF(Lessons[Double Booked Key],Lessons[[#This Row],[Double Booked Key]]))</f>
        <v>1</v>
      </c>
      <c r="AD352" s="6" t="str">
        <f>_xlfn.XLOOKUP(Lessons[[#This Row],[Location_External_Id__c]], Locations[Location Id], Locations[Location Name])</f>
        <v>Red Bank</v>
      </c>
      <c r="AE352" s="6" t="str">
        <f>TEXT(Lessons[[#This Row],[Lesson_Date__c]], "yyyy-mm")</f>
        <v>2026-08</v>
      </c>
      <c r="AF352" s="6" t="str">
        <f>IF(Lessons[[#This Row],[Lesson_Date__c]]&lt;=Data_Audit!$F$1, "Yes", "No")</f>
        <v>Yes</v>
      </c>
    </row>
    <row r="353" spans="1:32">
      <c r="A353" t="s">
        <v>52</v>
      </c>
      <c r="B353" t="s">
        <v>53</v>
      </c>
      <c r="C353">
        <v>30</v>
      </c>
      <c r="D353" t="s">
        <v>1379</v>
      </c>
      <c r="E353" t="s">
        <v>548</v>
      </c>
      <c r="F353" t="s">
        <v>549</v>
      </c>
      <c r="H353" t="s">
        <v>203</v>
      </c>
      <c r="I353" t="b">
        <v>0</v>
      </c>
      <c r="K353" t="s">
        <v>52</v>
      </c>
      <c r="L353" t="s">
        <v>70</v>
      </c>
      <c r="O353" s="1">
        <v>46296</v>
      </c>
      <c r="P353" t="s">
        <v>1380</v>
      </c>
      <c r="Q353" t="s">
        <v>1381</v>
      </c>
      <c r="R353" t="s">
        <v>63</v>
      </c>
      <c r="S353" t="b">
        <v>0</v>
      </c>
      <c r="T353" t="b">
        <v>0</v>
      </c>
      <c r="U353" t="s">
        <v>1381</v>
      </c>
      <c r="V353" t="s">
        <v>120</v>
      </c>
      <c r="W353" t="s">
        <v>65</v>
      </c>
      <c r="X353" t="s">
        <v>1377</v>
      </c>
      <c r="Y353" t="s">
        <v>1378</v>
      </c>
      <c r="Z353" t="s">
        <v>70</v>
      </c>
      <c r="AA353" t="b">
        <f>ISNUMBER(SEARCH(";"&amp;Lessons[[#This Row],[Instrument__c]]&amp;";",";"&amp;_xlfn.XLOOKUP(Lessons[[#This Row],[Instructor_External_Id__c]], Instructors[Id], Instructors[Instruments_Taught__c])&amp;";"))</f>
        <v>1</v>
      </c>
      <c r="AB353" t="str">
        <f>IF(LEFT(Lessons[[#This Row],[Status__c]],9)="Cancelled","",Lessons[[#This Row],[Instructor_External_Id__c]]&amp;"|"&amp;TEXT(Lessons[[#This Row],[Lesson_Date__c]],"yyyy-mm-dd")&amp;"|"&amp;Lessons[[#This Row],[Start_Time__c]])</f>
        <v>a06ak00000amzCHAAY|2026-10-01|18:00:00.000Z</v>
      </c>
      <c r="AC353">
        <f>IF(Lessons[[#This Row],[Double Booked Key]]="","",COUNTIF(Lessons[Double Booked Key],Lessons[[#This Row],[Double Booked Key]]))</f>
        <v>1</v>
      </c>
      <c r="AD353" s="6" t="str">
        <f>_xlfn.XLOOKUP(Lessons[[#This Row],[Location_External_Id__c]], Locations[Location Id], Locations[Location Name])</f>
        <v>Red Bank</v>
      </c>
      <c r="AE353" s="6" t="str">
        <f>TEXT(Lessons[[#This Row],[Lesson_Date__c]], "yyyy-mm")</f>
        <v>2026-10</v>
      </c>
      <c r="AF353" s="6" t="str">
        <f>IF(Lessons[[#This Row],[Lesson_Date__c]]&lt;=Data_Audit!$F$1, "Yes", "No")</f>
        <v>Yes</v>
      </c>
    </row>
    <row r="354" spans="1:32">
      <c r="A354" t="s">
        <v>52</v>
      </c>
      <c r="B354" t="s">
        <v>53</v>
      </c>
      <c r="C354">
        <v>30</v>
      </c>
      <c r="D354" t="s">
        <v>1382</v>
      </c>
      <c r="E354" t="s">
        <v>548</v>
      </c>
      <c r="F354" t="s">
        <v>549</v>
      </c>
      <c r="G354" t="s">
        <v>164</v>
      </c>
      <c r="H354" t="s">
        <v>203</v>
      </c>
      <c r="I354" t="b">
        <v>0</v>
      </c>
      <c r="K354" t="s">
        <v>52</v>
      </c>
      <c r="L354" t="s">
        <v>70</v>
      </c>
      <c r="O354" s="1">
        <v>46277</v>
      </c>
      <c r="P354" t="s">
        <v>1383</v>
      </c>
      <c r="Q354" t="s">
        <v>1384</v>
      </c>
      <c r="R354" t="s">
        <v>63</v>
      </c>
      <c r="S354" t="b">
        <v>0</v>
      </c>
      <c r="T354" t="b">
        <v>0</v>
      </c>
      <c r="U354" t="s">
        <v>1384</v>
      </c>
      <c r="V354" t="s">
        <v>116</v>
      </c>
      <c r="W354" t="s">
        <v>65</v>
      </c>
      <c r="X354" t="s">
        <v>1377</v>
      </c>
      <c r="Y354" t="s">
        <v>1378</v>
      </c>
      <c r="Z354" t="s">
        <v>70</v>
      </c>
      <c r="AA354" t="b">
        <f>ISNUMBER(SEARCH(";"&amp;Lessons[[#This Row],[Instrument__c]]&amp;";",";"&amp;_xlfn.XLOOKUP(Lessons[[#This Row],[Instructor_External_Id__c]], Instructors[Id], Instructors[Instruments_Taught__c])&amp;";"))</f>
        <v>1</v>
      </c>
      <c r="AB354" t="str">
        <f>IF(LEFT(Lessons[[#This Row],[Status__c]],9)="Cancelled","",Lessons[[#This Row],[Instructor_External_Id__c]]&amp;"|"&amp;TEXT(Lessons[[#This Row],[Lesson_Date__c]],"yyyy-mm-dd")&amp;"|"&amp;Lessons[[#This Row],[Start_Time__c]])</f>
        <v>a06ak00000amzCHAAY|2026-09-12|17:30:00.000Z</v>
      </c>
      <c r="AC354">
        <f>IF(Lessons[[#This Row],[Double Booked Key]]="","",COUNTIF(Lessons[Double Booked Key],Lessons[[#This Row],[Double Booked Key]]))</f>
        <v>1</v>
      </c>
      <c r="AD354" s="6" t="str">
        <f>_xlfn.XLOOKUP(Lessons[[#This Row],[Location_External_Id__c]], Locations[Location Id], Locations[Location Name])</f>
        <v>Red Bank</v>
      </c>
      <c r="AE354" s="6" t="str">
        <f>TEXT(Lessons[[#This Row],[Lesson_Date__c]], "yyyy-mm")</f>
        <v>2026-09</v>
      </c>
      <c r="AF354" s="6" t="str">
        <f>IF(Lessons[[#This Row],[Lesson_Date__c]]&lt;=Data_Audit!$F$1, "Yes", "No")</f>
        <v>Yes</v>
      </c>
    </row>
    <row r="355" spans="1:32">
      <c r="A355" t="s">
        <v>52</v>
      </c>
      <c r="B355" t="s">
        <v>53</v>
      </c>
      <c r="C355">
        <v>60</v>
      </c>
      <c r="D355" t="s">
        <v>1385</v>
      </c>
      <c r="E355" t="s">
        <v>1386</v>
      </c>
      <c r="F355" t="s">
        <v>1387</v>
      </c>
      <c r="H355" t="s">
        <v>237</v>
      </c>
      <c r="I355" t="b">
        <v>0</v>
      </c>
      <c r="K355" t="s">
        <v>52</v>
      </c>
      <c r="L355" t="s">
        <v>70</v>
      </c>
      <c r="O355" s="1">
        <v>46204</v>
      </c>
      <c r="P355" t="s">
        <v>1388</v>
      </c>
      <c r="Q355" t="s">
        <v>1389</v>
      </c>
      <c r="R355" t="s">
        <v>63</v>
      </c>
      <c r="S355" t="b">
        <v>0</v>
      </c>
      <c r="T355" t="b">
        <v>0</v>
      </c>
      <c r="U355" t="s">
        <v>1389</v>
      </c>
      <c r="V355" t="s">
        <v>102</v>
      </c>
      <c r="W355" t="s">
        <v>85</v>
      </c>
      <c r="X355" t="s">
        <v>1390</v>
      </c>
      <c r="Y355" t="s">
        <v>1391</v>
      </c>
      <c r="Z355" t="s">
        <v>70</v>
      </c>
      <c r="AA355" t="b">
        <f>ISNUMBER(SEARCH(";"&amp;Lessons[[#This Row],[Instrument__c]]&amp;";",";"&amp;_xlfn.XLOOKUP(Lessons[[#This Row],[Instructor_External_Id__c]], Instructors[Id], Instructors[Instruments_Taught__c])&amp;";"))</f>
        <v>1</v>
      </c>
      <c r="AB355" t="str">
        <f>IF(LEFT(Lessons[[#This Row],[Status__c]],9)="Cancelled","",Lessons[[#This Row],[Instructor_External_Id__c]]&amp;"|"&amp;TEXT(Lessons[[#This Row],[Lesson_Date__c]],"yyyy-mm-dd")&amp;"|"&amp;Lessons[[#This Row],[Start_Time__c]])</f>
        <v/>
      </c>
      <c r="AC355" t="str">
        <f>IF(Lessons[[#This Row],[Double Booked Key]]="","",COUNTIF(Lessons[Double Booked Key],Lessons[[#This Row],[Double Booked Key]]))</f>
        <v/>
      </c>
      <c r="AD355" s="6" t="str">
        <f>_xlfn.XLOOKUP(Lessons[[#This Row],[Location_External_Id__c]], Locations[Location Id], Locations[Location Name])</f>
        <v>Red Bank</v>
      </c>
      <c r="AE355" s="6" t="str">
        <f>TEXT(Lessons[[#This Row],[Lesson_Date__c]], "yyyy-mm")</f>
        <v>2026-07</v>
      </c>
      <c r="AF355" s="6" t="str">
        <f>IF(Lessons[[#This Row],[Lesson_Date__c]]&lt;=Data_Audit!$F$1, "Yes", "No")</f>
        <v>Yes</v>
      </c>
    </row>
    <row r="356" spans="1:32">
      <c r="A356" t="s">
        <v>52</v>
      </c>
      <c r="B356" t="s">
        <v>53</v>
      </c>
      <c r="C356">
        <v>30</v>
      </c>
      <c r="D356" t="s">
        <v>1392</v>
      </c>
      <c r="E356" t="s">
        <v>1386</v>
      </c>
      <c r="F356" t="s">
        <v>1387</v>
      </c>
      <c r="H356" t="s">
        <v>237</v>
      </c>
      <c r="I356" t="b">
        <v>0</v>
      </c>
      <c r="K356" t="s">
        <v>52</v>
      </c>
      <c r="L356" t="s">
        <v>70</v>
      </c>
      <c r="O356" s="1">
        <v>46062</v>
      </c>
      <c r="P356" t="s">
        <v>1393</v>
      </c>
      <c r="Q356" t="s">
        <v>1394</v>
      </c>
      <c r="R356" t="s">
        <v>63</v>
      </c>
      <c r="S356" t="b">
        <v>0</v>
      </c>
      <c r="T356" t="b">
        <v>0</v>
      </c>
      <c r="U356" t="s">
        <v>1394</v>
      </c>
      <c r="V356" t="s">
        <v>94</v>
      </c>
      <c r="W356" t="s">
        <v>65</v>
      </c>
      <c r="X356" t="s">
        <v>1390</v>
      </c>
      <c r="Y356" t="s">
        <v>1391</v>
      </c>
      <c r="Z356" t="s">
        <v>70</v>
      </c>
      <c r="AA356" t="b">
        <f>ISNUMBER(SEARCH(";"&amp;Lessons[[#This Row],[Instrument__c]]&amp;";",";"&amp;_xlfn.XLOOKUP(Lessons[[#This Row],[Instructor_External_Id__c]], Instructors[Id], Instructors[Instruments_Taught__c])&amp;";"))</f>
        <v>1</v>
      </c>
      <c r="AB356" t="str">
        <f>IF(LEFT(Lessons[[#This Row],[Status__c]],9)="Cancelled","",Lessons[[#This Row],[Instructor_External_Id__c]]&amp;"|"&amp;TEXT(Lessons[[#This Row],[Lesson_Date__c]],"yyyy-mm-dd")&amp;"|"&amp;Lessons[[#This Row],[Start_Time__c]])</f>
        <v>a06ak00000amzC6AAI|2026-02-09|19:00:00.000Z</v>
      </c>
      <c r="AC356">
        <f>IF(Lessons[[#This Row],[Double Booked Key]]="","",COUNTIF(Lessons[Double Booked Key],Lessons[[#This Row],[Double Booked Key]]))</f>
        <v>1</v>
      </c>
      <c r="AD356" s="6" t="str">
        <f>_xlfn.XLOOKUP(Lessons[[#This Row],[Location_External_Id__c]], Locations[Location Id], Locations[Location Name])</f>
        <v>Red Bank</v>
      </c>
      <c r="AE356" s="6" t="str">
        <f>TEXT(Lessons[[#This Row],[Lesson_Date__c]], "yyyy-mm")</f>
        <v>2026-02</v>
      </c>
      <c r="AF356" s="6" t="str">
        <f>IF(Lessons[[#This Row],[Lesson_Date__c]]&lt;=Data_Audit!$F$1, "Yes", "No")</f>
        <v>Yes</v>
      </c>
    </row>
    <row r="357" spans="1:32">
      <c r="A357" t="s">
        <v>52</v>
      </c>
      <c r="B357" t="s">
        <v>53</v>
      </c>
      <c r="C357">
        <v>30</v>
      </c>
      <c r="D357" t="s">
        <v>1395</v>
      </c>
      <c r="E357" t="s">
        <v>1386</v>
      </c>
      <c r="F357" t="s">
        <v>1387</v>
      </c>
      <c r="H357" t="s">
        <v>237</v>
      </c>
      <c r="I357" t="b">
        <v>0</v>
      </c>
      <c r="K357" t="s">
        <v>52</v>
      </c>
      <c r="L357" t="s">
        <v>70</v>
      </c>
      <c r="O357" s="1">
        <v>46263</v>
      </c>
      <c r="P357" t="s">
        <v>1396</v>
      </c>
      <c r="Q357" t="s">
        <v>1397</v>
      </c>
      <c r="R357" t="s">
        <v>63</v>
      </c>
      <c r="S357" t="b">
        <v>0</v>
      </c>
      <c r="T357" t="b">
        <v>0</v>
      </c>
      <c r="U357" t="s">
        <v>1397</v>
      </c>
      <c r="V357" t="s">
        <v>110</v>
      </c>
      <c r="W357" t="s">
        <v>121</v>
      </c>
      <c r="X357" t="s">
        <v>1390</v>
      </c>
      <c r="Y357" t="s">
        <v>1391</v>
      </c>
      <c r="Z357" t="s">
        <v>70</v>
      </c>
      <c r="AA357" t="b">
        <f>ISNUMBER(SEARCH(";"&amp;Lessons[[#This Row],[Instrument__c]]&amp;";",";"&amp;_xlfn.XLOOKUP(Lessons[[#This Row],[Instructor_External_Id__c]], Instructors[Id], Instructors[Instruments_Taught__c])&amp;";"))</f>
        <v>1</v>
      </c>
      <c r="AB357" t="str">
        <f>IF(LEFT(Lessons[[#This Row],[Status__c]],9)="Cancelled","",Lessons[[#This Row],[Instructor_External_Id__c]]&amp;"|"&amp;TEXT(Lessons[[#This Row],[Lesson_Date__c]],"yyyy-mm-dd")&amp;"|"&amp;Lessons[[#This Row],[Start_Time__c]])</f>
        <v>a06ak00000amzC6AAI|2026-08-29|10:00:00.000Z</v>
      </c>
      <c r="AC357">
        <f>IF(Lessons[[#This Row],[Double Booked Key]]="","",COUNTIF(Lessons[Double Booked Key],Lessons[[#This Row],[Double Booked Key]]))</f>
        <v>1</v>
      </c>
      <c r="AD357" s="6" t="str">
        <f>_xlfn.XLOOKUP(Lessons[[#This Row],[Location_External_Id__c]], Locations[Location Id], Locations[Location Name])</f>
        <v>Red Bank</v>
      </c>
      <c r="AE357" s="6" t="str">
        <f>TEXT(Lessons[[#This Row],[Lesson_Date__c]], "yyyy-mm")</f>
        <v>2026-08</v>
      </c>
      <c r="AF357" s="6" t="str">
        <f>IF(Lessons[[#This Row],[Lesson_Date__c]]&lt;=Data_Audit!$F$1, "Yes", "No")</f>
        <v>Yes</v>
      </c>
    </row>
    <row r="358" spans="1:32">
      <c r="A358" t="s">
        <v>52</v>
      </c>
      <c r="B358" t="s">
        <v>53</v>
      </c>
      <c r="C358">
        <v>60</v>
      </c>
      <c r="D358" t="s">
        <v>1398</v>
      </c>
      <c r="E358" t="s">
        <v>1386</v>
      </c>
      <c r="F358" t="s">
        <v>1387</v>
      </c>
      <c r="H358" t="s">
        <v>237</v>
      </c>
      <c r="I358" t="b">
        <v>0</v>
      </c>
      <c r="K358" t="s">
        <v>52</v>
      </c>
      <c r="L358" t="s">
        <v>70</v>
      </c>
      <c r="O358" s="1">
        <v>46123</v>
      </c>
      <c r="P358" t="s">
        <v>1399</v>
      </c>
      <c r="Q358" t="s">
        <v>1400</v>
      </c>
      <c r="R358" t="s">
        <v>63</v>
      </c>
      <c r="S358" t="b">
        <v>0</v>
      </c>
      <c r="T358" t="b">
        <v>0</v>
      </c>
      <c r="U358" t="s">
        <v>1400</v>
      </c>
      <c r="V358" t="s">
        <v>120</v>
      </c>
      <c r="W358" t="s">
        <v>121</v>
      </c>
      <c r="X358" t="s">
        <v>1390</v>
      </c>
      <c r="Y358" t="s">
        <v>1391</v>
      </c>
      <c r="Z358" t="s">
        <v>70</v>
      </c>
      <c r="AA358" t="b">
        <f>ISNUMBER(SEARCH(";"&amp;Lessons[[#This Row],[Instrument__c]]&amp;";",";"&amp;_xlfn.XLOOKUP(Lessons[[#This Row],[Instructor_External_Id__c]], Instructors[Id], Instructors[Instruments_Taught__c])&amp;";"))</f>
        <v>1</v>
      </c>
      <c r="AB358" t="str">
        <f>IF(LEFT(Lessons[[#This Row],[Status__c]],9)="Cancelled","",Lessons[[#This Row],[Instructor_External_Id__c]]&amp;"|"&amp;TEXT(Lessons[[#This Row],[Lesson_Date__c]],"yyyy-mm-dd")&amp;"|"&amp;Lessons[[#This Row],[Start_Time__c]])</f>
        <v>a06ak00000amzC6AAI|2026-04-11|18:00:00.000Z</v>
      </c>
      <c r="AC358">
        <f>IF(Lessons[[#This Row],[Double Booked Key]]="","",COUNTIF(Lessons[Double Booked Key],Lessons[[#This Row],[Double Booked Key]]))</f>
        <v>1</v>
      </c>
      <c r="AD358" s="6" t="str">
        <f>_xlfn.XLOOKUP(Lessons[[#This Row],[Location_External_Id__c]], Locations[Location Id], Locations[Location Name])</f>
        <v>Red Bank</v>
      </c>
      <c r="AE358" s="6" t="str">
        <f>TEXT(Lessons[[#This Row],[Lesson_Date__c]], "yyyy-mm")</f>
        <v>2026-04</v>
      </c>
      <c r="AF358" s="6" t="str">
        <f>IF(Lessons[[#This Row],[Lesson_Date__c]]&lt;=Data_Audit!$F$1, "Yes", "No")</f>
        <v>Yes</v>
      </c>
    </row>
    <row r="359" spans="1:32">
      <c r="A359" t="s">
        <v>52</v>
      </c>
      <c r="B359" t="s">
        <v>53</v>
      </c>
      <c r="C359">
        <v>30</v>
      </c>
      <c r="D359" t="s">
        <v>1401</v>
      </c>
      <c r="E359" t="s">
        <v>1386</v>
      </c>
      <c r="F359" t="s">
        <v>1387</v>
      </c>
      <c r="G359" t="s">
        <v>106</v>
      </c>
      <c r="H359" t="s">
        <v>237</v>
      </c>
      <c r="I359" t="b">
        <v>0</v>
      </c>
      <c r="K359" t="s">
        <v>52</v>
      </c>
      <c r="L359" t="s">
        <v>70</v>
      </c>
      <c r="O359" s="1">
        <v>46067</v>
      </c>
      <c r="P359" t="s">
        <v>1402</v>
      </c>
      <c r="Q359" t="s">
        <v>1403</v>
      </c>
      <c r="R359" t="s">
        <v>63</v>
      </c>
      <c r="S359" t="b">
        <v>0</v>
      </c>
      <c r="T359" t="b">
        <v>0</v>
      </c>
      <c r="U359" t="s">
        <v>1403</v>
      </c>
      <c r="V359" t="s">
        <v>110</v>
      </c>
      <c r="W359" t="s">
        <v>65</v>
      </c>
      <c r="X359" t="s">
        <v>1390</v>
      </c>
      <c r="Y359" t="s">
        <v>1391</v>
      </c>
      <c r="Z359" t="s">
        <v>70</v>
      </c>
      <c r="AA359" t="b">
        <f>ISNUMBER(SEARCH(";"&amp;Lessons[[#This Row],[Instrument__c]]&amp;";",";"&amp;_xlfn.XLOOKUP(Lessons[[#This Row],[Instructor_External_Id__c]], Instructors[Id], Instructors[Instruments_Taught__c])&amp;";"))</f>
        <v>1</v>
      </c>
      <c r="AB359" t="str">
        <f>IF(LEFT(Lessons[[#This Row],[Status__c]],9)="Cancelled","",Lessons[[#This Row],[Instructor_External_Id__c]]&amp;"|"&amp;TEXT(Lessons[[#This Row],[Lesson_Date__c]],"yyyy-mm-dd")&amp;"|"&amp;Lessons[[#This Row],[Start_Time__c]])</f>
        <v>a06ak00000amzC6AAI|2026-02-14|10:00:00.000Z</v>
      </c>
      <c r="AC359">
        <f>IF(Lessons[[#This Row],[Double Booked Key]]="","",COUNTIF(Lessons[Double Booked Key],Lessons[[#This Row],[Double Booked Key]]))</f>
        <v>1</v>
      </c>
      <c r="AD359" s="6" t="str">
        <f>_xlfn.XLOOKUP(Lessons[[#This Row],[Location_External_Id__c]], Locations[Location Id], Locations[Location Name])</f>
        <v>Red Bank</v>
      </c>
      <c r="AE359" s="6" t="str">
        <f>TEXT(Lessons[[#This Row],[Lesson_Date__c]], "yyyy-mm")</f>
        <v>2026-02</v>
      </c>
      <c r="AF359" s="6" t="str">
        <f>IF(Lessons[[#This Row],[Lesson_Date__c]]&lt;=Data_Audit!$F$1, "Yes", "No")</f>
        <v>Yes</v>
      </c>
    </row>
    <row r="360" spans="1:32">
      <c r="A360" t="s">
        <v>52</v>
      </c>
      <c r="B360" t="s">
        <v>53</v>
      </c>
      <c r="C360">
        <v>30</v>
      </c>
      <c r="D360" t="s">
        <v>1404</v>
      </c>
      <c r="E360" t="s">
        <v>318</v>
      </c>
      <c r="F360" t="s">
        <v>319</v>
      </c>
      <c r="H360" t="s">
        <v>237</v>
      </c>
      <c r="I360" t="b">
        <v>0</v>
      </c>
      <c r="K360" t="s">
        <v>52</v>
      </c>
      <c r="L360" t="s">
        <v>79</v>
      </c>
      <c r="O360" s="1">
        <v>46292</v>
      </c>
      <c r="P360" t="s">
        <v>1405</v>
      </c>
      <c r="Q360" t="s">
        <v>1406</v>
      </c>
      <c r="R360" t="s">
        <v>63</v>
      </c>
      <c r="S360" t="b">
        <v>0</v>
      </c>
      <c r="T360" t="b">
        <v>0</v>
      </c>
      <c r="U360" t="s">
        <v>1406</v>
      </c>
      <c r="V360" t="s">
        <v>102</v>
      </c>
      <c r="W360" t="s">
        <v>85</v>
      </c>
      <c r="X360" t="s">
        <v>1390</v>
      </c>
      <c r="Y360" t="s">
        <v>1391</v>
      </c>
      <c r="Z360" t="s">
        <v>79</v>
      </c>
      <c r="AA360" t="b">
        <f>ISNUMBER(SEARCH(";"&amp;Lessons[[#This Row],[Instrument__c]]&amp;";",";"&amp;_xlfn.XLOOKUP(Lessons[[#This Row],[Instructor_External_Id__c]], Instructors[Id], Instructors[Instruments_Taught__c])&amp;";"))</f>
        <v>1</v>
      </c>
      <c r="AB360" t="str">
        <f>IF(LEFT(Lessons[[#This Row],[Status__c]],9)="Cancelled","",Lessons[[#This Row],[Instructor_External_Id__c]]&amp;"|"&amp;TEXT(Lessons[[#This Row],[Lesson_Date__c]],"yyyy-mm-dd")&amp;"|"&amp;Lessons[[#This Row],[Start_Time__c]])</f>
        <v/>
      </c>
      <c r="AC360" t="str">
        <f>IF(Lessons[[#This Row],[Double Booked Key]]="","",COUNTIF(Lessons[Double Booked Key],Lessons[[#This Row],[Double Booked Key]]))</f>
        <v/>
      </c>
      <c r="AD360" s="6" t="str">
        <f>_xlfn.XLOOKUP(Lessons[[#This Row],[Location_External_Id__c]], Locations[Location Id], Locations[Location Name])</f>
        <v>Red Bank</v>
      </c>
      <c r="AE360" s="6" t="str">
        <f>TEXT(Lessons[[#This Row],[Lesson_Date__c]], "yyyy-mm")</f>
        <v>2026-09</v>
      </c>
      <c r="AF360" s="6" t="str">
        <f>IF(Lessons[[#This Row],[Lesson_Date__c]]&lt;=Data_Audit!$F$1, "Yes", "No")</f>
        <v>Yes</v>
      </c>
    </row>
    <row r="361" spans="1:32">
      <c r="A361" t="s">
        <v>52</v>
      </c>
      <c r="B361" t="s">
        <v>53</v>
      </c>
      <c r="C361">
        <v>60</v>
      </c>
      <c r="D361" t="s">
        <v>1407</v>
      </c>
      <c r="E361" t="s">
        <v>1386</v>
      </c>
      <c r="F361" t="s">
        <v>1387</v>
      </c>
      <c r="G361" t="s">
        <v>57</v>
      </c>
      <c r="H361" t="s">
        <v>237</v>
      </c>
      <c r="I361" t="b">
        <v>0</v>
      </c>
      <c r="K361" t="s">
        <v>52</v>
      </c>
      <c r="L361" t="s">
        <v>70</v>
      </c>
      <c r="O361" s="1">
        <v>46139</v>
      </c>
      <c r="P361" t="s">
        <v>1408</v>
      </c>
      <c r="Q361" t="s">
        <v>1409</v>
      </c>
      <c r="R361" t="s">
        <v>63</v>
      </c>
      <c r="S361" t="b">
        <v>0</v>
      </c>
      <c r="T361" t="b">
        <v>0</v>
      </c>
      <c r="U361" t="s">
        <v>1409</v>
      </c>
      <c r="V361" t="s">
        <v>94</v>
      </c>
      <c r="W361" t="s">
        <v>65</v>
      </c>
      <c r="X361" t="s">
        <v>1390</v>
      </c>
      <c r="Y361" t="s">
        <v>1391</v>
      </c>
      <c r="Z361" t="s">
        <v>70</v>
      </c>
      <c r="AA361" t="b">
        <f>ISNUMBER(SEARCH(";"&amp;Lessons[[#This Row],[Instrument__c]]&amp;";",";"&amp;_xlfn.XLOOKUP(Lessons[[#This Row],[Instructor_External_Id__c]], Instructors[Id], Instructors[Instruments_Taught__c])&amp;";"))</f>
        <v>1</v>
      </c>
      <c r="AB361" t="str">
        <f>IF(LEFT(Lessons[[#This Row],[Status__c]],9)="Cancelled","",Lessons[[#This Row],[Instructor_External_Id__c]]&amp;"|"&amp;TEXT(Lessons[[#This Row],[Lesson_Date__c]],"yyyy-mm-dd")&amp;"|"&amp;Lessons[[#This Row],[Start_Time__c]])</f>
        <v>a06ak00000amzC6AAI|2026-04-27|19:00:00.000Z</v>
      </c>
      <c r="AC361">
        <f>IF(Lessons[[#This Row],[Double Booked Key]]="","",COUNTIF(Lessons[Double Booked Key],Lessons[[#This Row],[Double Booked Key]]))</f>
        <v>1</v>
      </c>
      <c r="AD361" s="6" t="str">
        <f>_xlfn.XLOOKUP(Lessons[[#This Row],[Location_External_Id__c]], Locations[Location Id], Locations[Location Name])</f>
        <v>Red Bank</v>
      </c>
      <c r="AE361" s="6" t="str">
        <f>TEXT(Lessons[[#This Row],[Lesson_Date__c]], "yyyy-mm")</f>
        <v>2026-04</v>
      </c>
      <c r="AF361" s="6" t="str">
        <f>IF(Lessons[[#This Row],[Lesson_Date__c]]&lt;=Data_Audit!$F$1, "Yes", "No")</f>
        <v>Yes</v>
      </c>
    </row>
    <row r="362" spans="1:32">
      <c r="A362" t="s">
        <v>52</v>
      </c>
      <c r="B362" t="s">
        <v>53</v>
      </c>
      <c r="C362">
        <v>30</v>
      </c>
      <c r="D362" t="s">
        <v>1410</v>
      </c>
      <c r="E362" t="s">
        <v>1386</v>
      </c>
      <c r="F362" t="s">
        <v>1387</v>
      </c>
      <c r="G362" t="s">
        <v>106</v>
      </c>
      <c r="H362" t="s">
        <v>237</v>
      </c>
      <c r="I362" t="b">
        <v>0</v>
      </c>
      <c r="K362" t="s">
        <v>52</v>
      </c>
      <c r="L362" t="s">
        <v>70</v>
      </c>
      <c r="O362" s="1">
        <v>46096</v>
      </c>
      <c r="P362" t="s">
        <v>1411</v>
      </c>
      <c r="Q362" t="s">
        <v>1412</v>
      </c>
      <c r="R362" t="s">
        <v>63</v>
      </c>
      <c r="S362" t="b">
        <v>0</v>
      </c>
      <c r="T362" t="b">
        <v>0</v>
      </c>
      <c r="U362" t="s">
        <v>1412</v>
      </c>
      <c r="V362" t="s">
        <v>94</v>
      </c>
      <c r="W362" t="s">
        <v>65</v>
      </c>
      <c r="X362" t="s">
        <v>1390</v>
      </c>
      <c r="Y362" t="s">
        <v>1391</v>
      </c>
      <c r="Z362" t="s">
        <v>70</v>
      </c>
      <c r="AA362" t="b">
        <f>ISNUMBER(SEARCH(";"&amp;Lessons[[#This Row],[Instrument__c]]&amp;";",";"&amp;_xlfn.XLOOKUP(Lessons[[#This Row],[Instructor_External_Id__c]], Instructors[Id], Instructors[Instruments_Taught__c])&amp;";"))</f>
        <v>1</v>
      </c>
      <c r="AB362" t="str">
        <f>IF(LEFT(Lessons[[#This Row],[Status__c]],9)="Cancelled","",Lessons[[#This Row],[Instructor_External_Id__c]]&amp;"|"&amp;TEXT(Lessons[[#This Row],[Lesson_Date__c]],"yyyy-mm-dd")&amp;"|"&amp;Lessons[[#This Row],[Start_Time__c]])</f>
        <v>a06ak00000amzC6AAI|2026-03-15|19:00:00.000Z</v>
      </c>
      <c r="AC362">
        <f>IF(Lessons[[#This Row],[Double Booked Key]]="","",COUNTIF(Lessons[Double Booked Key],Lessons[[#This Row],[Double Booked Key]]))</f>
        <v>1</v>
      </c>
      <c r="AD362" s="6" t="str">
        <f>_xlfn.XLOOKUP(Lessons[[#This Row],[Location_External_Id__c]], Locations[Location Id], Locations[Location Name])</f>
        <v>Red Bank</v>
      </c>
      <c r="AE362" s="6" t="str">
        <f>TEXT(Lessons[[#This Row],[Lesson_Date__c]], "yyyy-mm")</f>
        <v>2026-03</v>
      </c>
      <c r="AF362" s="6" t="str">
        <f>IF(Lessons[[#This Row],[Lesson_Date__c]]&lt;=Data_Audit!$F$1, "Yes", "No")</f>
        <v>Yes</v>
      </c>
    </row>
    <row r="363" spans="1:32">
      <c r="A363" t="s">
        <v>52</v>
      </c>
      <c r="B363" t="s">
        <v>53</v>
      </c>
      <c r="C363">
        <v>30</v>
      </c>
      <c r="D363" t="s">
        <v>1413</v>
      </c>
      <c r="E363" t="s">
        <v>1386</v>
      </c>
      <c r="F363" t="s">
        <v>1387</v>
      </c>
      <c r="G363" t="s">
        <v>106</v>
      </c>
      <c r="H363" t="s">
        <v>237</v>
      </c>
      <c r="I363" t="b">
        <v>0</v>
      </c>
      <c r="K363" t="s">
        <v>52</v>
      </c>
      <c r="L363" t="s">
        <v>70</v>
      </c>
      <c r="O363" s="1">
        <v>46220</v>
      </c>
      <c r="P363" t="s">
        <v>1414</v>
      </c>
      <c r="Q363" t="s">
        <v>1415</v>
      </c>
      <c r="R363" t="s">
        <v>63</v>
      </c>
      <c r="S363" t="b">
        <v>0</v>
      </c>
      <c r="T363" t="b">
        <v>0</v>
      </c>
      <c r="U363" t="s">
        <v>1415</v>
      </c>
      <c r="V363" t="s">
        <v>64</v>
      </c>
      <c r="W363" t="s">
        <v>65</v>
      </c>
      <c r="X363" t="s">
        <v>1390</v>
      </c>
      <c r="Y363" t="s">
        <v>1391</v>
      </c>
      <c r="Z363" t="s">
        <v>70</v>
      </c>
      <c r="AA363" t="b">
        <f>ISNUMBER(SEARCH(";"&amp;Lessons[[#This Row],[Instrument__c]]&amp;";",";"&amp;_xlfn.XLOOKUP(Lessons[[#This Row],[Instructor_External_Id__c]], Instructors[Id], Instructors[Instruments_Taught__c])&amp;";"))</f>
        <v>1</v>
      </c>
      <c r="AB363" t="str">
        <f>IF(LEFT(Lessons[[#This Row],[Status__c]],9)="Cancelled","",Lessons[[#This Row],[Instructor_External_Id__c]]&amp;"|"&amp;TEXT(Lessons[[#This Row],[Lesson_Date__c]],"yyyy-mm-dd")&amp;"|"&amp;Lessons[[#This Row],[Start_Time__c]])</f>
        <v>a06ak00000amzC6AAI|2026-07-17|11:00:00.000Z</v>
      </c>
      <c r="AC363">
        <f>IF(Lessons[[#This Row],[Double Booked Key]]="","",COUNTIF(Lessons[Double Booked Key],Lessons[[#This Row],[Double Booked Key]]))</f>
        <v>1</v>
      </c>
      <c r="AD363" s="6" t="str">
        <f>_xlfn.XLOOKUP(Lessons[[#This Row],[Location_External_Id__c]], Locations[Location Id], Locations[Location Name])</f>
        <v>Red Bank</v>
      </c>
      <c r="AE363" s="6" t="str">
        <f>TEXT(Lessons[[#This Row],[Lesson_Date__c]], "yyyy-mm")</f>
        <v>2026-07</v>
      </c>
      <c r="AF363" s="6" t="str">
        <f>IF(Lessons[[#This Row],[Lesson_Date__c]]&lt;=Data_Audit!$F$1, "Yes", "No")</f>
        <v>Yes</v>
      </c>
    </row>
    <row r="364" spans="1:32">
      <c r="A364" t="s">
        <v>52</v>
      </c>
      <c r="B364" t="s">
        <v>53</v>
      </c>
      <c r="C364">
        <v>60</v>
      </c>
      <c r="D364" t="s">
        <v>1416</v>
      </c>
      <c r="E364" t="s">
        <v>764</v>
      </c>
      <c r="F364" t="s">
        <v>765</v>
      </c>
      <c r="H364" t="s">
        <v>284</v>
      </c>
      <c r="I364" t="b">
        <v>0</v>
      </c>
      <c r="K364" t="s">
        <v>52</v>
      </c>
      <c r="L364" t="s">
        <v>70</v>
      </c>
      <c r="O364" s="1">
        <v>46071</v>
      </c>
      <c r="P364" t="s">
        <v>1417</v>
      </c>
      <c r="Q364" t="s">
        <v>1418</v>
      </c>
      <c r="R364" t="s">
        <v>63</v>
      </c>
      <c r="S364" t="b">
        <v>0</v>
      </c>
      <c r="T364" t="b">
        <v>0</v>
      </c>
      <c r="U364" t="s">
        <v>1418</v>
      </c>
      <c r="V364" t="s">
        <v>74</v>
      </c>
      <c r="W364" t="s">
        <v>85</v>
      </c>
      <c r="X364" t="s">
        <v>1419</v>
      </c>
      <c r="Y364" t="s">
        <v>1420</v>
      </c>
      <c r="Z364" t="s">
        <v>70</v>
      </c>
      <c r="AA364" t="b">
        <f>ISNUMBER(SEARCH(";"&amp;Lessons[[#This Row],[Instrument__c]]&amp;";",";"&amp;_xlfn.XLOOKUP(Lessons[[#This Row],[Instructor_External_Id__c]], Instructors[Id], Instructors[Instruments_Taught__c])&amp;";"))</f>
        <v>1</v>
      </c>
      <c r="AB364" t="str">
        <f>IF(LEFT(Lessons[[#This Row],[Status__c]],9)="Cancelled","",Lessons[[#This Row],[Instructor_External_Id__c]]&amp;"|"&amp;TEXT(Lessons[[#This Row],[Lesson_Date__c]],"yyyy-mm-dd")&amp;"|"&amp;Lessons[[#This Row],[Start_Time__c]])</f>
        <v/>
      </c>
      <c r="AC364" t="str">
        <f>IF(Lessons[[#This Row],[Double Booked Key]]="","",COUNTIF(Lessons[Double Booked Key],Lessons[[#This Row],[Double Booked Key]]))</f>
        <v/>
      </c>
      <c r="AD364" s="6" t="str">
        <f>_xlfn.XLOOKUP(Lessons[[#This Row],[Location_External_Id__c]], Locations[Location Id], Locations[Location Name])</f>
        <v>Red Bank</v>
      </c>
      <c r="AE364" s="6" t="str">
        <f>TEXT(Lessons[[#This Row],[Lesson_Date__c]], "yyyy-mm")</f>
        <v>2026-02</v>
      </c>
      <c r="AF364" s="6" t="str">
        <f>IF(Lessons[[#This Row],[Lesson_Date__c]]&lt;=Data_Audit!$F$1, "Yes", "No")</f>
        <v>Yes</v>
      </c>
    </row>
    <row r="365" spans="1:32">
      <c r="A365" t="s">
        <v>52</v>
      </c>
      <c r="B365" t="s">
        <v>53</v>
      </c>
      <c r="C365">
        <v>45</v>
      </c>
      <c r="D365" t="s">
        <v>1421</v>
      </c>
      <c r="E365" t="s">
        <v>764</v>
      </c>
      <c r="F365" t="s">
        <v>765</v>
      </c>
      <c r="H365" t="s">
        <v>284</v>
      </c>
      <c r="I365" t="b">
        <v>0</v>
      </c>
      <c r="K365" t="s">
        <v>52</v>
      </c>
      <c r="L365" t="s">
        <v>70</v>
      </c>
      <c r="O365" s="1">
        <v>46233</v>
      </c>
      <c r="P365" t="s">
        <v>1422</v>
      </c>
      <c r="Q365" t="s">
        <v>1423</v>
      </c>
      <c r="R365" t="s">
        <v>63</v>
      </c>
      <c r="S365" t="b">
        <v>0</v>
      </c>
      <c r="T365" t="b">
        <v>0</v>
      </c>
      <c r="U365" t="s">
        <v>1423</v>
      </c>
      <c r="V365" t="s">
        <v>110</v>
      </c>
      <c r="W365" t="s">
        <v>121</v>
      </c>
      <c r="X365" t="s">
        <v>1419</v>
      </c>
      <c r="Y365" t="s">
        <v>1420</v>
      </c>
      <c r="Z365" t="s">
        <v>70</v>
      </c>
      <c r="AA365" t="b">
        <f>ISNUMBER(SEARCH(";"&amp;Lessons[[#This Row],[Instrument__c]]&amp;";",";"&amp;_xlfn.XLOOKUP(Lessons[[#This Row],[Instructor_External_Id__c]], Instructors[Id], Instructors[Instruments_Taught__c])&amp;";"))</f>
        <v>1</v>
      </c>
      <c r="AB365" t="str">
        <f>IF(LEFT(Lessons[[#This Row],[Status__c]],9)="Cancelled","",Lessons[[#This Row],[Instructor_External_Id__c]]&amp;"|"&amp;TEXT(Lessons[[#This Row],[Lesson_Date__c]],"yyyy-mm-dd")&amp;"|"&amp;Lessons[[#This Row],[Start_Time__c]])</f>
        <v>a06ak00000amzBnAAI|2026-07-30|10:00:00.000Z</v>
      </c>
      <c r="AC365">
        <f>IF(Lessons[[#This Row],[Double Booked Key]]="","",COUNTIF(Lessons[Double Booked Key],Lessons[[#This Row],[Double Booked Key]]))</f>
        <v>1</v>
      </c>
      <c r="AD365" s="6" t="str">
        <f>_xlfn.XLOOKUP(Lessons[[#This Row],[Location_External_Id__c]], Locations[Location Id], Locations[Location Name])</f>
        <v>Red Bank</v>
      </c>
      <c r="AE365" s="6" t="str">
        <f>TEXT(Lessons[[#This Row],[Lesson_Date__c]], "yyyy-mm")</f>
        <v>2026-07</v>
      </c>
      <c r="AF365" s="6" t="str">
        <f>IF(Lessons[[#This Row],[Lesson_Date__c]]&lt;=Data_Audit!$F$1, "Yes", "No")</f>
        <v>Yes</v>
      </c>
    </row>
    <row r="366" spans="1:32">
      <c r="A366" t="s">
        <v>52</v>
      </c>
      <c r="B366" t="s">
        <v>53</v>
      </c>
      <c r="C366">
        <v>30</v>
      </c>
      <c r="D366" t="s">
        <v>1424</v>
      </c>
      <c r="E366" t="s">
        <v>764</v>
      </c>
      <c r="F366" t="s">
        <v>765</v>
      </c>
      <c r="G366" t="s">
        <v>106</v>
      </c>
      <c r="H366" t="s">
        <v>284</v>
      </c>
      <c r="I366" t="b">
        <v>0</v>
      </c>
      <c r="K366" t="s">
        <v>52</v>
      </c>
      <c r="L366" t="s">
        <v>70</v>
      </c>
      <c r="O366" s="1">
        <v>46114</v>
      </c>
      <c r="P366" t="s">
        <v>1425</v>
      </c>
      <c r="Q366" t="s">
        <v>1426</v>
      </c>
      <c r="R366" t="s">
        <v>63</v>
      </c>
      <c r="S366" t="b">
        <v>0</v>
      </c>
      <c r="T366" t="b">
        <v>0</v>
      </c>
      <c r="U366" t="s">
        <v>1426</v>
      </c>
      <c r="V366" t="s">
        <v>116</v>
      </c>
      <c r="W366" t="s">
        <v>65</v>
      </c>
      <c r="X366" t="s">
        <v>1419</v>
      </c>
      <c r="Y366" t="s">
        <v>1420</v>
      </c>
      <c r="Z366" t="s">
        <v>70</v>
      </c>
      <c r="AA366" t="b">
        <f>ISNUMBER(SEARCH(";"&amp;Lessons[[#This Row],[Instrument__c]]&amp;";",";"&amp;_xlfn.XLOOKUP(Lessons[[#This Row],[Instructor_External_Id__c]], Instructors[Id], Instructors[Instruments_Taught__c])&amp;";"))</f>
        <v>1</v>
      </c>
      <c r="AB366" t="str">
        <f>IF(LEFT(Lessons[[#This Row],[Status__c]],9)="Cancelled","",Lessons[[#This Row],[Instructor_External_Id__c]]&amp;"|"&amp;TEXT(Lessons[[#This Row],[Lesson_Date__c]],"yyyy-mm-dd")&amp;"|"&amp;Lessons[[#This Row],[Start_Time__c]])</f>
        <v>a06ak00000amzBnAAI|2026-04-02|17:30:00.000Z</v>
      </c>
      <c r="AC366">
        <f>IF(Lessons[[#This Row],[Double Booked Key]]="","",COUNTIF(Lessons[Double Booked Key],Lessons[[#This Row],[Double Booked Key]]))</f>
        <v>1</v>
      </c>
      <c r="AD366" s="6" t="str">
        <f>_xlfn.XLOOKUP(Lessons[[#This Row],[Location_External_Id__c]], Locations[Location Id], Locations[Location Name])</f>
        <v>Red Bank</v>
      </c>
      <c r="AE366" s="6" t="str">
        <f>TEXT(Lessons[[#This Row],[Lesson_Date__c]], "yyyy-mm")</f>
        <v>2026-04</v>
      </c>
      <c r="AF366" s="6" t="str">
        <f>IF(Lessons[[#This Row],[Lesson_Date__c]]&lt;=Data_Audit!$F$1, "Yes", "No")</f>
        <v>Yes</v>
      </c>
    </row>
    <row r="367" spans="1:32">
      <c r="A367" t="s">
        <v>52</v>
      </c>
      <c r="B367" t="s">
        <v>53</v>
      </c>
      <c r="C367">
        <v>45</v>
      </c>
      <c r="D367" t="s">
        <v>1427</v>
      </c>
      <c r="E367" t="s">
        <v>764</v>
      </c>
      <c r="F367" t="s">
        <v>765</v>
      </c>
      <c r="G367" t="s">
        <v>57</v>
      </c>
      <c r="H367" t="s">
        <v>284</v>
      </c>
      <c r="I367" t="b">
        <v>0</v>
      </c>
      <c r="K367" t="s">
        <v>52</v>
      </c>
      <c r="L367" t="s">
        <v>70</v>
      </c>
      <c r="O367" s="1">
        <v>46217</v>
      </c>
      <c r="P367" t="s">
        <v>1428</v>
      </c>
      <c r="Q367" t="s">
        <v>1429</v>
      </c>
      <c r="R367" t="s">
        <v>63</v>
      </c>
      <c r="S367" t="b">
        <v>0</v>
      </c>
      <c r="T367" t="b">
        <v>0</v>
      </c>
      <c r="U367" t="s">
        <v>1429</v>
      </c>
      <c r="V367" t="s">
        <v>64</v>
      </c>
      <c r="W367" t="s">
        <v>65</v>
      </c>
      <c r="X367" t="s">
        <v>1419</v>
      </c>
      <c r="Y367" t="s">
        <v>1420</v>
      </c>
      <c r="Z367" t="s">
        <v>70</v>
      </c>
      <c r="AA367" t="b">
        <f>ISNUMBER(SEARCH(";"&amp;Lessons[[#This Row],[Instrument__c]]&amp;";",";"&amp;_xlfn.XLOOKUP(Lessons[[#This Row],[Instructor_External_Id__c]], Instructors[Id], Instructors[Instruments_Taught__c])&amp;";"))</f>
        <v>1</v>
      </c>
      <c r="AB367" t="str">
        <f>IF(LEFT(Lessons[[#This Row],[Status__c]],9)="Cancelled","",Lessons[[#This Row],[Instructor_External_Id__c]]&amp;"|"&amp;TEXT(Lessons[[#This Row],[Lesson_Date__c]],"yyyy-mm-dd")&amp;"|"&amp;Lessons[[#This Row],[Start_Time__c]])</f>
        <v>a06ak00000amzBnAAI|2026-07-14|11:00:00.000Z</v>
      </c>
      <c r="AC367">
        <f>IF(Lessons[[#This Row],[Double Booked Key]]="","",COUNTIF(Lessons[Double Booked Key],Lessons[[#This Row],[Double Booked Key]]))</f>
        <v>1</v>
      </c>
      <c r="AD367" s="6" t="str">
        <f>_xlfn.XLOOKUP(Lessons[[#This Row],[Location_External_Id__c]], Locations[Location Id], Locations[Location Name])</f>
        <v>Red Bank</v>
      </c>
      <c r="AE367" s="6" t="str">
        <f>TEXT(Lessons[[#This Row],[Lesson_Date__c]], "yyyy-mm")</f>
        <v>2026-07</v>
      </c>
      <c r="AF367" s="6" t="str">
        <f>IF(Lessons[[#This Row],[Lesson_Date__c]]&lt;=Data_Audit!$F$1, "Yes", "No")</f>
        <v>Yes</v>
      </c>
    </row>
    <row r="368" spans="1:32">
      <c r="A368" t="s">
        <v>52</v>
      </c>
      <c r="B368" t="s">
        <v>53</v>
      </c>
      <c r="C368">
        <v>45</v>
      </c>
      <c r="D368" t="s">
        <v>1430</v>
      </c>
      <c r="E368" t="s">
        <v>764</v>
      </c>
      <c r="F368" t="s">
        <v>765</v>
      </c>
      <c r="H368" t="s">
        <v>284</v>
      </c>
      <c r="I368" t="b">
        <v>0</v>
      </c>
      <c r="K368" t="s">
        <v>52</v>
      </c>
      <c r="L368" t="s">
        <v>70</v>
      </c>
      <c r="O368" s="1">
        <v>46160</v>
      </c>
      <c r="P368" t="s">
        <v>1431</v>
      </c>
      <c r="Q368" t="s">
        <v>1432</v>
      </c>
      <c r="R368" t="s">
        <v>63</v>
      </c>
      <c r="S368" t="b">
        <v>0</v>
      </c>
      <c r="T368" t="b">
        <v>0</v>
      </c>
      <c r="U368" t="s">
        <v>1432</v>
      </c>
      <c r="V368" t="s">
        <v>140</v>
      </c>
      <c r="W368" t="s">
        <v>65</v>
      </c>
      <c r="X368" t="s">
        <v>1419</v>
      </c>
      <c r="Y368" t="s">
        <v>1420</v>
      </c>
      <c r="Z368" t="s">
        <v>70</v>
      </c>
      <c r="AA368" t="b">
        <f>ISNUMBER(SEARCH(";"&amp;Lessons[[#This Row],[Instrument__c]]&amp;";",";"&amp;_xlfn.XLOOKUP(Lessons[[#This Row],[Instructor_External_Id__c]], Instructors[Id], Instructors[Instruments_Taught__c])&amp;";"))</f>
        <v>1</v>
      </c>
      <c r="AB368" t="str">
        <f>IF(LEFT(Lessons[[#This Row],[Status__c]],9)="Cancelled","",Lessons[[#This Row],[Instructor_External_Id__c]]&amp;"|"&amp;TEXT(Lessons[[#This Row],[Lesson_Date__c]],"yyyy-mm-dd")&amp;"|"&amp;Lessons[[#This Row],[Start_Time__c]])</f>
        <v>a06ak00000amzBnAAI|2026-05-18|15:00:00.000Z</v>
      </c>
      <c r="AC368">
        <f>IF(Lessons[[#This Row],[Double Booked Key]]="","",COUNTIF(Lessons[Double Booked Key],Lessons[[#This Row],[Double Booked Key]]))</f>
        <v>1</v>
      </c>
      <c r="AD368" s="6" t="str">
        <f>_xlfn.XLOOKUP(Lessons[[#This Row],[Location_External_Id__c]], Locations[Location Id], Locations[Location Name])</f>
        <v>Red Bank</v>
      </c>
      <c r="AE368" s="6" t="str">
        <f>TEXT(Lessons[[#This Row],[Lesson_Date__c]], "yyyy-mm")</f>
        <v>2026-05</v>
      </c>
      <c r="AF368" s="6" t="str">
        <f>IF(Lessons[[#This Row],[Lesson_Date__c]]&lt;=Data_Audit!$F$1, "Yes", "No")</f>
        <v>Yes</v>
      </c>
    </row>
    <row r="369" spans="1:32">
      <c r="A369" t="s">
        <v>52</v>
      </c>
      <c r="B369" t="s">
        <v>53</v>
      </c>
      <c r="C369">
        <v>60</v>
      </c>
      <c r="D369" t="s">
        <v>1433</v>
      </c>
      <c r="E369" t="s">
        <v>764</v>
      </c>
      <c r="F369" t="s">
        <v>765</v>
      </c>
      <c r="G369" t="s">
        <v>164</v>
      </c>
      <c r="H369" t="s">
        <v>284</v>
      </c>
      <c r="I369" t="b">
        <v>0</v>
      </c>
      <c r="K369" t="s">
        <v>52</v>
      </c>
      <c r="L369" t="s">
        <v>70</v>
      </c>
      <c r="O369" s="1">
        <v>46204</v>
      </c>
      <c r="P369" t="s">
        <v>1434</v>
      </c>
      <c r="Q369" t="s">
        <v>1435</v>
      </c>
      <c r="R369" t="s">
        <v>63</v>
      </c>
      <c r="S369" t="b">
        <v>0</v>
      </c>
      <c r="T369" t="b">
        <v>0</v>
      </c>
      <c r="U369" t="s">
        <v>1435</v>
      </c>
      <c r="V369" t="s">
        <v>102</v>
      </c>
      <c r="W369" t="s">
        <v>65</v>
      </c>
      <c r="X369" t="s">
        <v>1419</v>
      </c>
      <c r="Y369" t="s">
        <v>1420</v>
      </c>
      <c r="Z369" t="s">
        <v>70</v>
      </c>
      <c r="AA369" t="b">
        <f>ISNUMBER(SEARCH(";"&amp;Lessons[[#This Row],[Instrument__c]]&amp;";",";"&amp;_xlfn.XLOOKUP(Lessons[[#This Row],[Instructor_External_Id__c]], Instructors[Id], Instructors[Instruments_Taught__c])&amp;";"))</f>
        <v>1</v>
      </c>
      <c r="AB369" t="str">
        <f>IF(LEFT(Lessons[[#This Row],[Status__c]],9)="Cancelled","",Lessons[[#This Row],[Instructor_External_Id__c]]&amp;"|"&amp;TEXT(Lessons[[#This Row],[Lesson_Date__c]],"yyyy-mm-dd")&amp;"|"&amp;Lessons[[#This Row],[Start_Time__c]])</f>
        <v>a06ak00000amzBnAAI|2026-07-01|16:00:00.000Z</v>
      </c>
      <c r="AC369">
        <f>IF(Lessons[[#This Row],[Double Booked Key]]="","",COUNTIF(Lessons[Double Booked Key],Lessons[[#This Row],[Double Booked Key]]))</f>
        <v>1</v>
      </c>
      <c r="AD369" s="6" t="str">
        <f>_xlfn.XLOOKUP(Lessons[[#This Row],[Location_External_Id__c]], Locations[Location Id], Locations[Location Name])</f>
        <v>Red Bank</v>
      </c>
      <c r="AE369" s="6" t="str">
        <f>TEXT(Lessons[[#This Row],[Lesson_Date__c]], "yyyy-mm")</f>
        <v>2026-07</v>
      </c>
      <c r="AF369" s="6" t="str">
        <f>IF(Lessons[[#This Row],[Lesson_Date__c]]&lt;=Data_Audit!$F$1, "Yes", "No")</f>
        <v>Yes</v>
      </c>
    </row>
    <row r="370" spans="1:32">
      <c r="A370" t="s">
        <v>52</v>
      </c>
      <c r="B370" t="s">
        <v>53</v>
      </c>
      <c r="C370">
        <v>30</v>
      </c>
      <c r="D370" t="s">
        <v>1436</v>
      </c>
      <c r="E370" t="s">
        <v>764</v>
      </c>
      <c r="F370" t="s">
        <v>765</v>
      </c>
      <c r="G370" t="s">
        <v>69</v>
      </c>
      <c r="H370" t="s">
        <v>284</v>
      </c>
      <c r="I370" t="b">
        <v>0</v>
      </c>
      <c r="K370" t="s">
        <v>52</v>
      </c>
      <c r="L370" t="s">
        <v>70</v>
      </c>
      <c r="O370" s="1">
        <v>46091</v>
      </c>
      <c r="P370" t="s">
        <v>1437</v>
      </c>
      <c r="Q370" t="s">
        <v>1438</v>
      </c>
      <c r="R370" t="s">
        <v>63</v>
      </c>
      <c r="S370" t="b">
        <v>0</v>
      </c>
      <c r="T370" t="b">
        <v>0</v>
      </c>
      <c r="U370" t="s">
        <v>1438</v>
      </c>
      <c r="V370" t="s">
        <v>140</v>
      </c>
      <c r="W370" t="s">
        <v>65</v>
      </c>
      <c r="X370" t="s">
        <v>1419</v>
      </c>
      <c r="Y370" t="s">
        <v>1420</v>
      </c>
      <c r="Z370" t="s">
        <v>70</v>
      </c>
      <c r="AA370" t="b">
        <f>ISNUMBER(SEARCH(";"&amp;Lessons[[#This Row],[Instrument__c]]&amp;";",";"&amp;_xlfn.XLOOKUP(Lessons[[#This Row],[Instructor_External_Id__c]], Instructors[Id], Instructors[Instruments_Taught__c])&amp;";"))</f>
        <v>1</v>
      </c>
      <c r="AB370" t="str">
        <f>IF(LEFT(Lessons[[#This Row],[Status__c]],9)="Cancelled","",Lessons[[#This Row],[Instructor_External_Id__c]]&amp;"|"&amp;TEXT(Lessons[[#This Row],[Lesson_Date__c]],"yyyy-mm-dd")&amp;"|"&amp;Lessons[[#This Row],[Start_Time__c]])</f>
        <v>a06ak00000amzBnAAI|2026-03-10|15:00:00.000Z</v>
      </c>
      <c r="AC370">
        <f>IF(Lessons[[#This Row],[Double Booked Key]]="","",COUNTIF(Lessons[Double Booked Key],Lessons[[#This Row],[Double Booked Key]]))</f>
        <v>1</v>
      </c>
      <c r="AD370" s="6" t="str">
        <f>_xlfn.XLOOKUP(Lessons[[#This Row],[Location_External_Id__c]], Locations[Location Id], Locations[Location Name])</f>
        <v>Red Bank</v>
      </c>
      <c r="AE370" s="6" t="str">
        <f>TEXT(Lessons[[#This Row],[Lesson_Date__c]], "yyyy-mm")</f>
        <v>2026-03</v>
      </c>
      <c r="AF370" s="6" t="str">
        <f>IF(Lessons[[#This Row],[Lesson_Date__c]]&lt;=Data_Audit!$F$1, "Yes", "No")</f>
        <v>Yes</v>
      </c>
    </row>
    <row r="371" spans="1:32">
      <c r="A371" t="s">
        <v>52</v>
      </c>
      <c r="B371" t="s">
        <v>53</v>
      </c>
      <c r="C371">
        <v>30</v>
      </c>
      <c r="D371" t="s">
        <v>1439</v>
      </c>
      <c r="E371" t="s">
        <v>55</v>
      </c>
      <c r="F371" t="s">
        <v>56</v>
      </c>
      <c r="G371" t="s">
        <v>106</v>
      </c>
      <c r="H371" t="s">
        <v>58</v>
      </c>
      <c r="I371" t="b">
        <v>0</v>
      </c>
      <c r="K371" t="s">
        <v>52</v>
      </c>
      <c r="L371" t="s">
        <v>70</v>
      </c>
      <c r="O371" s="1">
        <v>46158</v>
      </c>
      <c r="P371" t="s">
        <v>1440</v>
      </c>
      <c r="Q371" t="s">
        <v>1441</v>
      </c>
      <c r="R371" t="s">
        <v>63</v>
      </c>
      <c r="S371" t="b">
        <v>0</v>
      </c>
      <c r="T371" t="b">
        <v>0</v>
      </c>
      <c r="U371" t="s">
        <v>1441</v>
      </c>
      <c r="V371" t="s">
        <v>110</v>
      </c>
      <c r="W371" t="s">
        <v>65</v>
      </c>
      <c r="X371" t="s">
        <v>1442</v>
      </c>
      <c r="Y371" t="s">
        <v>1443</v>
      </c>
      <c r="Z371" t="s">
        <v>70</v>
      </c>
      <c r="AA371" t="b">
        <f>ISNUMBER(SEARCH(";"&amp;Lessons[[#This Row],[Instrument__c]]&amp;";",";"&amp;_xlfn.XLOOKUP(Lessons[[#This Row],[Instructor_External_Id__c]], Instructors[Id], Instructors[Instruments_Taught__c])&amp;";"))</f>
        <v>1</v>
      </c>
      <c r="AB371" t="str">
        <f>IF(LEFT(Lessons[[#This Row],[Status__c]],9)="Cancelled","",Lessons[[#This Row],[Instructor_External_Id__c]]&amp;"|"&amp;TEXT(Lessons[[#This Row],[Lesson_Date__c]],"yyyy-mm-dd")&amp;"|"&amp;Lessons[[#This Row],[Start_Time__c]])</f>
        <v>a06ak00000amzC9AAI|2026-05-16|10:00:00.000Z</v>
      </c>
      <c r="AC371">
        <f>IF(Lessons[[#This Row],[Double Booked Key]]="","",COUNTIF(Lessons[Double Booked Key],Lessons[[#This Row],[Double Booked Key]]))</f>
        <v>1</v>
      </c>
      <c r="AD371" s="6" t="str">
        <f>_xlfn.XLOOKUP(Lessons[[#This Row],[Location_External_Id__c]], Locations[Location Id], Locations[Location Name])</f>
        <v>Red Bank</v>
      </c>
      <c r="AE371" s="6" t="str">
        <f>TEXT(Lessons[[#This Row],[Lesson_Date__c]], "yyyy-mm")</f>
        <v>2026-05</v>
      </c>
      <c r="AF371" s="6" t="str">
        <f>IF(Lessons[[#This Row],[Lesson_Date__c]]&lt;=Data_Audit!$F$1, "Yes", "No")</f>
        <v>Yes</v>
      </c>
    </row>
    <row r="372" spans="1:32">
      <c r="A372" t="s">
        <v>52</v>
      </c>
      <c r="B372" t="s">
        <v>53</v>
      </c>
      <c r="C372">
        <v>30</v>
      </c>
      <c r="D372" t="s">
        <v>1444</v>
      </c>
      <c r="E372" t="s">
        <v>55</v>
      </c>
      <c r="F372" t="s">
        <v>56</v>
      </c>
      <c r="H372" t="s">
        <v>58</v>
      </c>
      <c r="I372" t="b">
        <v>0</v>
      </c>
      <c r="K372" t="s">
        <v>52</v>
      </c>
      <c r="L372" t="s">
        <v>70</v>
      </c>
      <c r="O372" s="1">
        <v>46285</v>
      </c>
      <c r="P372" t="s">
        <v>1445</v>
      </c>
      <c r="Q372" t="s">
        <v>1446</v>
      </c>
      <c r="R372" t="s">
        <v>63</v>
      </c>
      <c r="S372" t="b">
        <v>1</v>
      </c>
      <c r="T372" t="b">
        <v>1</v>
      </c>
      <c r="U372" t="s">
        <v>1446</v>
      </c>
      <c r="V372" t="s">
        <v>84</v>
      </c>
      <c r="W372" t="s">
        <v>136</v>
      </c>
      <c r="X372" t="s">
        <v>1442</v>
      </c>
      <c r="Y372" t="s">
        <v>1443</v>
      </c>
      <c r="Z372" t="s">
        <v>70</v>
      </c>
      <c r="AA372" t="b">
        <f>ISNUMBER(SEARCH(";"&amp;Lessons[[#This Row],[Instrument__c]]&amp;";",";"&amp;_xlfn.XLOOKUP(Lessons[[#This Row],[Instructor_External_Id__c]], Instructors[Id], Instructors[Instruments_Taught__c])&amp;";"))</f>
        <v>1</v>
      </c>
      <c r="AB372" t="str">
        <f>IF(LEFT(Lessons[[#This Row],[Status__c]],9)="Cancelled","",Lessons[[#This Row],[Instructor_External_Id__c]]&amp;"|"&amp;TEXT(Lessons[[#This Row],[Lesson_Date__c]],"yyyy-mm-dd")&amp;"|"&amp;Lessons[[#This Row],[Start_Time__c]])</f>
        <v/>
      </c>
      <c r="AC372" t="str">
        <f>IF(Lessons[[#This Row],[Double Booked Key]]="","",COUNTIF(Lessons[Double Booked Key],Lessons[[#This Row],[Double Booked Key]]))</f>
        <v/>
      </c>
      <c r="AD372" s="6" t="str">
        <f>_xlfn.XLOOKUP(Lessons[[#This Row],[Location_External_Id__c]], Locations[Location Id], Locations[Location Name])</f>
        <v>Red Bank</v>
      </c>
      <c r="AE372" s="6" t="str">
        <f>TEXT(Lessons[[#This Row],[Lesson_Date__c]], "yyyy-mm")</f>
        <v>2026-09</v>
      </c>
      <c r="AF372" s="6" t="str">
        <f>IF(Lessons[[#This Row],[Lesson_Date__c]]&lt;=Data_Audit!$F$1, "Yes", "No")</f>
        <v>Yes</v>
      </c>
    </row>
    <row r="373" spans="1:32">
      <c r="A373" t="s">
        <v>52</v>
      </c>
      <c r="B373" t="s">
        <v>53</v>
      </c>
      <c r="C373">
        <v>60</v>
      </c>
      <c r="D373" t="s">
        <v>1447</v>
      </c>
      <c r="E373" t="s">
        <v>55</v>
      </c>
      <c r="F373" t="s">
        <v>56</v>
      </c>
      <c r="G373" t="s">
        <v>99</v>
      </c>
      <c r="H373" t="s">
        <v>58</v>
      </c>
      <c r="I373" t="b">
        <v>0</v>
      </c>
      <c r="K373" t="s">
        <v>52</v>
      </c>
      <c r="L373" t="s">
        <v>70</v>
      </c>
      <c r="O373" s="1">
        <v>46108</v>
      </c>
      <c r="P373" t="s">
        <v>1448</v>
      </c>
      <c r="Q373" t="s">
        <v>1449</v>
      </c>
      <c r="R373" t="s">
        <v>63</v>
      </c>
      <c r="S373" t="b">
        <v>0</v>
      </c>
      <c r="T373" t="b">
        <v>0</v>
      </c>
      <c r="U373" t="s">
        <v>1449</v>
      </c>
      <c r="V373" t="s">
        <v>135</v>
      </c>
      <c r="W373" t="s">
        <v>65</v>
      </c>
      <c r="X373" t="s">
        <v>1442</v>
      </c>
      <c r="Y373" t="s">
        <v>1443</v>
      </c>
      <c r="Z373" t="s">
        <v>70</v>
      </c>
      <c r="AA373" t="b">
        <f>ISNUMBER(SEARCH(";"&amp;Lessons[[#This Row],[Instrument__c]]&amp;";",";"&amp;_xlfn.XLOOKUP(Lessons[[#This Row],[Instructor_External_Id__c]], Instructors[Id], Instructors[Instruments_Taught__c])&amp;";"))</f>
        <v>1</v>
      </c>
      <c r="AB373" t="str">
        <f>IF(LEFT(Lessons[[#This Row],[Status__c]],9)="Cancelled","",Lessons[[#This Row],[Instructor_External_Id__c]]&amp;"|"&amp;TEXT(Lessons[[#This Row],[Lesson_Date__c]],"yyyy-mm-dd")&amp;"|"&amp;Lessons[[#This Row],[Start_Time__c]])</f>
        <v>a06ak00000amzC9AAI|2026-03-27|15:30:00.000Z</v>
      </c>
      <c r="AC373">
        <f>IF(Lessons[[#This Row],[Double Booked Key]]="","",COUNTIF(Lessons[Double Booked Key],Lessons[[#This Row],[Double Booked Key]]))</f>
        <v>1</v>
      </c>
      <c r="AD373" s="6" t="str">
        <f>_xlfn.XLOOKUP(Lessons[[#This Row],[Location_External_Id__c]], Locations[Location Id], Locations[Location Name])</f>
        <v>Red Bank</v>
      </c>
      <c r="AE373" s="6" t="str">
        <f>TEXT(Lessons[[#This Row],[Lesson_Date__c]], "yyyy-mm")</f>
        <v>2026-03</v>
      </c>
      <c r="AF373" s="6" t="str">
        <f>IF(Lessons[[#This Row],[Lesson_Date__c]]&lt;=Data_Audit!$F$1, "Yes", "No")</f>
        <v>Yes</v>
      </c>
    </row>
    <row r="374" spans="1:32">
      <c r="A374" t="s">
        <v>52</v>
      </c>
      <c r="B374" t="s">
        <v>53</v>
      </c>
      <c r="C374">
        <v>30</v>
      </c>
      <c r="D374" t="s">
        <v>1450</v>
      </c>
      <c r="E374" t="s">
        <v>55</v>
      </c>
      <c r="F374" t="s">
        <v>56</v>
      </c>
      <c r="G374" t="s">
        <v>99</v>
      </c>
      <c r="H374" t="s">
        <v>58</v>
      </c>
      <c r="I374" t="b">
        <v>0</v>
      </c>
      <c r="K374" t="s">
        <v>52</v>
      </c>
      <c r="L374" t="s">
        <v>70</v>
      </c>
      <c r="O374" s="1">
        <v>46211</v>
      </c>
      <c r="P374" t="s">
        <v>1451</v>
      </c>
      <c r="Q374" t="s">
        <v>1452</v>
      </c>
      <c r="R374" t="s">
        <v>63</v>
      </c>
      <c r="S374" t="b">
        <v>0</v>
      </c>
      <c r="T374" t="b">
        <v>0</v>
      </c>
      <c r="U374" t="s">
        <v>1452</v>
      </c>
      <c r="V374" t="s">
        <v>102</v>
      </c>
      <c r="W374" t="s">
        <v>65</v>
      </c>
      <c r="X374" t="s">
        <v>1442</v>
      </c>
      <c r="Y374" t="s">
        <v>1443</v>
      </c>
      <c r="Z374" t="s">
        <v>70</v>
      </c>
      <c r="AA374" t="b">
        <f>ISNUMBER(SEARCH(";"&amp;Lessons[[#This Row],[Instrument__c]]&amp;";",";"&amp;_xlfn.XLOOKUP(Lessons[[#This Row],[Instructor_External_Id__c]], Instructors[Id], Instructors[Instruments_Taught__c])&amp;";"))</f>
        <v>1</v>
      </c>
      <c r="AB374" t="str">
        <f>IF(LEFT(Lessons[[#This Row],[Status__c]],9)="Cancelled","",Lessons[[#This Row],[Instructor_External_Id__c]]&amp;"|"&amp;TEXT(Lessons[[#This Row],[Lesson_Date__c]],"yyyy-mm-dd")&amp;"|"&amp;Lessons[[#This Row],[Start_Time__c]])</f>
        <v>a06ak00000amzC9AAI|2026-07-08|16:00:00.000Z</v>
      </c>
      <c r="AC374">
        <f>IF(Lessons[[#This Row],[Double Booked Key]]="","",COUNTIF(Lessons[Double Booked Key],Lessons[[#This Row],[Double Booked Key]]))</f>
        <v>1</v>
      </c>
      <c r="AD374" s="6" t="str">
        <f>_xlfn.XLOOKUP(Lessons[[#This Row],[Location_External_Id__c]], Locations[Location Id], Locations[Location Name])</f>
        <v>Red Bank</v>
      </c>
      <c r="AE374" s="6" t="str">
        <f>TEXT(Lessons[[#This Row],[Lesson_Date__c]], "yyyy-mm")</f>
        <v>2026-07</v>
      </c>
      <c r="AF374" s="6" t="str">
        <f>IF(Lessons[[#This Row],[Lesson_Date__c]]&lt;=Data_Audit!$F$1, "Yes", "No")</f>
        <v>Yes</v>
      </c>
    </row>
    <row r="375" spans="1:32">
      <c r="A375" t="s">
        <v>52</v>
      </c>
      <c r="B375" t="s">
        <v>53</v>
      </c>
      <c r="C375">
        <v>30</v>
      </c>
      <c r="D375" t="s">
        <v>1453</v>
      </c>
      <c r="E375" t="s">
        <v>55</v>
      </c>
      <c r="F375" t="s">
        <v>56</v>
      </c>
      <c r="G375" t="s">
        <v>69</v>
      </c>
      <c r="H375" t="s">
        <v>58</v>
      </c>
      <c r="I375" t="b">
        <v>0</v>
      </c>
      <c r="K375" t="s">
        <v>52</v>
      </c>
      <c r="L375" t="s">
        <v>70</v>
      </c>
      <c r="O375" s="1">
        <v>46034</v>
      </c>
      <c r="P375" t="s">
        <v>1454</v>
      </c>
      <c r="Q375" t="s">
        <v>1455</v>
      </c>
      <c r="R375" t="s">
        <v>63</v>
      </c>
      <c r="S375" t="b">
        <v>0</v>
      </c>
      <c r="T375" t="b">
        <v>0</v>
      </c>
      <c r="U375" t="s">
        <v>1455</v>
      </c>
      <c r="V375" t="s">
        <v>94</v>
      </c>
      <c r="W375" t="s">
        <v>65</v>
      </c>
      <c r="X375" t="s">
        <v>1442</v>
      </c>
      <c r="Y375" t="s">
        <v>1443</v>
      </c>
      <c r="Z375" t="s">
        <v>70</v>
      </c>
      <c r="AA375" t="b">
        <f>ISNUMBER(SEARCH(";"&amp;Lessons[[#This Row],[Instrument__c]]&amp;";",";"&amp;_xlfn.XLOOKUP(Lessons[[#This Row],[Instructor_External_Id__c]], Instructors[Id], Instructors[Instruments_Taught__c])&amp;";"))</f>
        <v>1</v>
      </c>
      <c r="AB375" t="str">
        <f>IF(LEFT(Lessons[[#This Row],[Status__c]],9)="Cancelled","",Lessons[[#This Row],[Instructor_External_Id__c]]&amp;"|"&amp;TEXT(Lessons[[#This Row],[Lesson_Date__c]],"yyyy-mm-dd")&amp;"|"&amp;Lessons[[#This Row],[Start_Time__c]])</f>
        <v>a06ak00000amzC9AAI|2026-01-12|19:00:00.000Z</v>
      </c>
      <c r="AC375">
        <f>IF(Lessons[[#This Row],[Double Booked Key]]="","",COUNTIF(Lessons[Double Booked Key],Lessons[[#This Row],[Double Booked Key]]))</f>
        <v>1</v>
      </c>
      <c r="AD375" s="6" t="str">
        <f>_xlfn.XLOOKUP(Lessons[[#This Row],[Location_External_Id__c]], Locations[Location Id], Locations[Location Name])</f>
        <v>Red Bank</v>
      </c>
      <c r="AE375" s="6" t="str">
        <f>TEXT(Lessons[[#This Row],[Lesson_Date__c]], "yyyy-mm")</f>
        <v>2026-01</v>
      </c>
      <c r="AF375" s="6" t="str">
        <f>IF(Lessons[[#This Row],[Lesson_Date__c]]&lt;=Data_Audit!$F$1, "Yes", "No")</f>
        <v>Yes</v>
      </c>
    </row>
    <row r="376" spans="1:32">
      <c r="A376" t="s">
        <v>52</v>
      </c>
      <c r="B376" t="s">
        <v>53</v>
      </c>
      <c r="C376">
        <v>30</v>
      </c>
      <c r="D376" t="s">
        <v>1456</v>
      </c>
      <c r="E376" t="s">
        <v>243</v>
      </c>
      <c r="F376" t="s">
        <v>244</v>
      </c>
      <c r="G376" t="s">
        <v>69</v>
      </c>
      <c r="H376" t="s">
        <v>237</v>
      </c>
      <c r="I376" t="b">
        <v>0</v>
      </c>
      <c r="K376" t="s">
        <v>52</v>
      </c>
      <c r="L376" t="s">
        <v>70</v>
      </c>
      <c r="O376" s="1">
        <v>46209</v>
      </c>
      <c r="P376" t="s">
        <v>1457</v>
      </c>
      <c r="Q376" t="s">
        <v>1458</v>
      </c>
      <c r="R376" t="s">
        <v>83</v>
      </c>
      <c r="S376" t="b">
        <v>0</v>
      </c>
      <c r="T376" t="b">
        <v>0</v>
      </c>
      <c r="U376" t="s">
        <v>1458</v>
      </c>
      <c r="V376" t="s">
        <v>128</v>
      </c>
      <c r="W376" t="s">
        <v>65</v>
      </c>
      <c r="X376" t="s">
        <v>1459</v>
      </c>
      <c r="Y376" t="s">
        <v>1460</v>
      </c>
      <c r="Z376" t="s">
        <v>70</v>
      </c>
      <c r="AA376" t="b">
        <f>ISNUMBER(SEARCH(";"&amp;Lessons[[#This Row],[Instrument__c]]&amp;";",";"&amp;_xlfn.XLOOKUP(Lessons[[#This Row],[Instructor_External_Id__c]], Instructors[Id], Instructors[Instruments_Taught__c])&amp;";"))</f>
        <v>1</v>
      </c>
      <c r="AB376" t="str">
        <f>IF(LEFT(Lessons[[#This Row],[Status__c]],9)="Cancelled","",Lessons[[#This Row],[Instructor_External_Id__c]]&amp;"|"&amp;TEXT(Lessons[[#This Row],[Lesson_Date__c]],"yyyy-mm-dd")&amp;"|"&amp;Lessons[[#This Row],[Start_Time__c]])</f>
        <v>a06ak00000amzC1AAI|2026-07-06|18:30:00.000Z</v>
      </c>
      <c r="AC376">
        <f>IF(Lessons[[#This Row],[Double Booked Key]]="","",COUNTIF(Lessons[Double Booked Key],Lessons[[#This Row],[Double Booked Key]]))</f>
        <v>1</v>
      </c>
      <c r="AD376" s="6" t="str">
        <f>_xlfn.XLOOKUP(Lessons[[#This Row],[Location_External_Id__c]], Locations[Location Id], Locations[Location Name])</f>
        <v>Brick</v>
      </c>
      <c r="AE376" s="6" t="str">
        <f>TEXT(Lessons[[#This Row],[Lesson_Date__c]], "yyyy-mm")</f>
        <v>2026-07</v>
      </c>
      <c r="AF376" s="6" t="str">
        <f>IF(Lessons[[#This Row],[Lesson_Date__c]]&lt;=Data_Audit!$F$1, "Yes", "No")</f>
        <v>Yes</v>
      </c>
    </row>
    <row r="377" spans="1:32">
      <c r="A377" t="s">
        <v>52</v>
      </c>
      <c r="B377" t="s">
        <v>53</v>
      </c>
      <c r="C377">
        <v>60</v>
      </c>
      <c r="D377" t="s">
        <v>1461</v>
      </c>
      <c r="E377" t="s">
        <v>243</v>
      </c>
      <c r="F377" t="s">
        <v>244</v>
      </c>
      <c r="G377" t="s">
        <v>69</v>
      </c>
      <c r="H377" t="s">
        <v>237</v>
      </c>
      <c r="I377" t="b">
        <v>0</v>
      </c>
      <c r="K377" t="s">
        <v>52</v>
      </c>
      <c r="L377" t="s">
        <v>70</v>
      </c>
      <c r="O377" s="1">
        <v>46257</v>
      </c>
      <c r="P377" t="s">
        <v>1462</v>
      </c>
      <c r="Q377" t="s">
        <v>1463</v>
      </c>
      <c r="R377" t="s">
        <v>83</v>
      </c>
      <c r="S377" t="b">
        <v>0</v>
      </c>
      <c r="T377" t="b">
        <v>0</v>
      </c>
      <c r="U377" t="s">
        <v>1463</v>
      </c>
      <c r="V377" t="s">
        <v>116</v>
      </c>
      <c r="W377" t="s">
        <v>65</v>
      </c>
      <c r="X377" t="s">
        <v>1459</v>
      </c>
      <c r="Y377" t="s">
        <v>1460</v>
      </c>
      <c r="Z377" t="s">
        <v>70</v>
      </c>
      <c r="AA377" t="b">
        <f>ISNUMBER(SEARCH(";"&amp;Lessons[[#This Row],[Instrument__c]]&amp;";",";"&amp;_xlfn.XLOOKUP(Lessons[[#This Row],[Instructor_External_Id__c]], Instructors[Id], Instructors[Instruments_Taught__c])&amp;";"))</f>
        <v>1</v>
      </c>
      <c r="AB377" t="str">
        <f>IF(LEFT(Lessons[[#This Row],[Status__c]],9)="Cancelled","",Lessons[[#This Row],[Instructor_External_Id__c]]&amp;"|"&amp;TEXT(Lessons[[#This Row],[Lesson_Date__c]],"yyyy-mm-dd")&amp;"|"&amp;Lessons[[#This Row],[Start_Time__c]])</f>
        <v>a06ak00000amzC1AAI|2026-08-23|17:30:00.000Z</v>
      </c>
      <c r="AC377">
        <f>IF(Lessons[[#This Row],[Double Booked Key]]="","",COUNTIF(Lessons[Double Booked Key],Lessons[[#This Row],[Double Booked Key]]))</f>
        <v>1</v>
      </c>
      <c r="AD377" s="6" t="str">
        <f>_xlfn.XLOOKUP(Lessons[[#This Row],[Location_External_Id__c]], Locations[Location Id], Locations[Location Name])</f>
        <v>Brick</v>
      </c>
      <c r="AE377" s="6" t="str">
        <f>TEXT(Lessons[[#This Row],[Lesson_Date__c]], "yyyy-mm")</f>
        <v>2026-08</v>
      </c>
      <c r="AF377" s="6" t="str">
        <f>IF(Lessons[[#This Row],[Lesson_Date__c]]&lt;=Data_Audit!$F$1, "Yes", "No")</f>
        <v>Yes</v>
      </c>
    </row>
    <row r="378" spans="1:32">
      <c r="A378" t="s">
        <v>52</v>
      </c>
      <c r="B378" t="s">
        <v>53</v>
      </c>
      <c r="C378">
        <v>60</v>
      </c>
      <c r="D378" t="s">
        <v>1464</v>
      </c>
      <c r="E378" t="s">
        <v>243</v>
      </c>
      <c r="F378" t="s">
        <v>244</v>
      </c>
      <c r="G378" t="s">
        <v>106</v>
      </c>
      <c r="H378" t="s">
        <v>237</v>
      </c>
      <c r="I378" t="b">
        <v>0</v>
      </c>
      <c r="K378" t="s">
        <v>52</v>
      </c>
      <c r="L378" t="s">
        <v>70</v>
      </c>
      <c r="O378" s="1">
        <v>46165</v>
      </c>
      <c r="P378" t="s">
        <v>1465</v>
      </c>
      <c r="Q378" t="s">
        <v>1466</v>
      </c>
      <c r="R378" t="s">
        <v>83</v>
      </c>
      <c r="S378" t="b">
        <v>0</v>
      </c>
      <c r="T378" t="b">
        <v>0</v>
      </c>
      <c r="U378" t="s">
        <v>1466</v>
      </c>
      <c r="V378" t="s">
        <v>110</v>
      </c>
      <c r="W378" t="s">
        <v>65</v>
      </c>
      <c r="X378" t="s">
        <v>1459</v>
      </c>
      <c r="Y378" t="s">
        <v>1460</v>
      </c>
      <c r="Z378" t="s">
        <v>70</v>
      </c>
      <c r="AA378" t="b">
        <f>ISNUMBER(SEARCH(";"&amp;Lessons[[#This Row],[Instrument__c]]&amp;";",";"&amp;_xlfn.XLOOKUP(Lessons[[#This Row],[Instructor_External_Id__c]], Instructors[Id], Instructors[Instruments_Taught__c])&amp;";"))</f>
        <v>1</v>
      </c>
      <c r="AB378" t="str">
        <f>IF(LEFT(Lessons[[#This Row],[Status__c]],9)="Cancelled","",Lessons[[#This Row],[Instructor_External_Id__c]]&amp;"|"&amp;TEXT(Lessons[[#This Row],[Lesson_Date__c]],"yyyy-mm-dd")&amp;"|"&amp;Lessons[[#This Row],[Start_Time__c]])</f>
        <v>a06ak00000amzC1AAI|2026-05-23|10:00:00.000Z</v>
      </c>
      <c r="AC378">
        <f>IF(Lessons[[#This Row],[Double Booked Key]]="","",COUNTIF(Lessons[Double Booked Key],Lessons[[#This Row],[Double Booked Key]]))</f>
        <v>1</v>
      </c>
      <c r="AD378" s="6" t="str">
        <f>_xlfn.XLOOKUP(Lessons[[#This Row],[Location_External_Id__c]], Locations[Location Id], Locations[Location Name])</f>
        <v>Brick</v>
      </c>
      <c r="AE378" s="6" t="str">
        <f>TEXT(Lessons[[#This Row],[Lesson_Date__c]], "yyyy-mm")</f>
        <v>2026-05</v>
      </c>
      <c r="AF378" s="6" t="str">
        <f>IF(Lessons[[#This Row],[Lesson_Date__c]]&lt;=Data_Audit!$F$1, "Yes", "No")</f>
        <v>Yes</v>
      </c>
    </row>
    <row r="379" spans="1:32">
      <c r="A379" t="s">
        <v>52</v>
      </c>
      <c r="B379" t="s">
        <v>53</v>
      </c>
      <c r="C379">
        <v>30</v>
      </c>
      <c r="D379" t="s">
        <v>1467</v>
      </c>
      <c r="E379" t="s">
        <v>243</v>
      </c>
      <c r="F379" t="s">
        <v>244</v>
      </c>
      <c r="H379" t="s">
        <v>237</v>
      </c>
      <c r="I379" t="b">
        <v>0</v>
      </c>
      <c r="K379" t="s">
        <v>52</v>
      </c>
      <c r="L379" t="s">
        <v>70</v>
      </c>
      <c r="O379" s="1">
        <v>46253</v>
      </c>
      <c r="P379" t="s">
        <v>1468</v>
      </c>
      <c r="Q379" t="s">
        <v>1469</v>
      </c>
      <c r="R379" t="s">
        <v>83</v>
      </c>
      <c r="S379" t="b">
        <v>0</v>
      </c>
      <c r="T379" t="b">
        <v>0</v>
      </c>
      <c r="U379" t="s">
        <v>1469</v>
      </c>
      <c r="V379" t="s">
        <v>64</v>
      </c>
      <c r="W379" t="s">
        <v>65</v>
      </c>
      <c r="X379" t="s">
        <v>1459</v>
      </c>
      <c r="Y379" t="s">
        <v>1460</v>
      </c>
      <c r="Z379" t="s">
        <v>70</v>
      </c>
      <c r="AA379" t="b">
        <f>ISNUMBER(SEARCH(";"&amp;Lessons[[#This Row],[Instrument__c]]&amp;";",";"&amp;_xlfn.XLOOKUP(Lessons[[#This Row],[Instructor_External_Id__c]], Instructors[Id], Instructors[Instruments_Taught__c])&amp;";"))</f>
        <v>1</v>
      </c>
      <c r="AB379" t="str">
        <f>IF(LEFT(Lessons[[#This Row],[Status__c]],9)="Cancelled","",Lessons[[#This Row],[Instructor_External_Id__c]]&amp;"|"&amp;TEXT(Lessons[[#This Row],[Lesson_Date__c]],"yyyy-mm-dd")&amp;"|"&amp;Lessons[[#This Row],[Start_Time__c]])</f>
        <v>a06ak00000amzC1AAI|2026-08-19|11:00:00.000Z</v>
      </c>
      <c r="AC379">
        <f>IF(Lessons[[#This Row],[Double Booked Key]]="","",COUNTIF(Lessons[Double Booked Key],Lessons[[#This Row],[Double Booked Key]]))</f>
        <v>1</v>
      </c>
      <c r="AD379" s="6" t="str">
        <f>_xlfn.XLOOKUP(Lessons[[#This Row],[Location_External_Id__c]], Locations[Location Id], Locations[Location Name])</f>
        <v>Brick</v>
      </c>
      <c r="AE379" s="6" t="str">
        <f>TEXT(Lessons[[#This Row],[Lesson_Date__c]], "yyyy-mm")</f>
        <v>2026-08</v>
      </c>
      <c r="AF379" s="6" t="str">
        <f>IF(Lessons[[#This Row],[Lesson_Date__c]]&lt;=Data_Audit!$F$1, "Yes", "No")</f>
        <v>Yes</v>
      </c>
    </row>
    <row r="380" spans="1:32">
      <c r="A380" t="s">
        <v>52</v>
      </c>
      <c r="B380" t="s">
        <v>53</v>
      </c>
      <c r="C380">
        <v>30</v>
      </c>
      <c r="D380" t="s">
        <v>1470</v>
      </c>
      <c r="E380" t="s">
        <v>243</v>
      </c>
      <c r="F380" t="s">
        <v>244</v>
      </c>
      <c r="G380" t="s">
        <v>69</v>
      </c>
      <c r="H380" t="s">
        <v>237</v>
      </c>
      <c r="I380" t="b">
        <v>0</v>
      </c>
      <c r="K380" t="s">
        <v>52</v>
      </c>
      <c r="L380" t="s">
        <v>70</v>
      </c>
      <c r="O380" s="1">
        <v>46067</v>
      </c>
      <c r="P380" t="s">
        <v>1471</v>
      </c>
      <c r="Q380" t="s">
        <v>1472</v>
      </c>
      <c r="R380" t="s">
        <v>83</v>
      </c>
      <c r="S380" t="b">
        <v>0</v>
      </c>
      <c r="T380" t="b">
        <v>0</v>
      </c>
      <c r="U380" t="s">
        <v>1472</v>
      </c>
      <c r="V380" t="s">
        <v>128</v>
      </c>
      <c r="W380" t="s">
        <v>65</v>
      </c>
      <c r="X380" t="s">
        <v>1459</v>
      </c>
      <c r="Y380" t="s">
        <v>1460</v>
      </c>
      <c r="Z380" t="s">
        <v>70</v>
      </c>
      <c r="AA380" t="b">
        <f>ISNUMBER(SEARCH(";"&amp;Lessons[[#This Row],[Instrument__c]]&amp;";",";"&amp;_xlfn.XLOOKUP(Lessons[[#This Row],[Instructor_External_Id__c]], Instructors[Id], Instructors[Instruments_Taught__c])&amp;";"))</f>
        <v>1</v>
      </c>
      <c r="AB380" t="str">
        <f>IF(LEFT(Lessons[[#This Row],[Status__c]],9)="Cancelled","",Lessons[[#This Row],[Instructor_External_Id__c]]&amp;"|"&amp;TEXT(Lessons[[#This Row],[Lesson_Date__c]],"yyyy-mm-dd")&amp;"|"&amp;Lessons[[#This Row],[Start_Time__c]])</f>
        <v>a06ak00000amzC1AAI|2026-02-14|18:30:00.000Z</v>
      </c>
      <c r="AC380">
        <f>IF(Lessons[[#This Row],[Double Booked Key]]="","",COUNTIF(Lessons[Double Booked Key],Lessons[[#This Row],[Double Booked Key]]))</f>
        <v>1</v>
      </c>
      <c r="AD380" s="6" t="str">
        <f>_xlfn.XLOOKUP(Lessons[[#This Row],[Location_External_Id__c]], Locations[Location Id], Locations[Location Name])</f>
        <v>Brick</v>
      </c>
      <c r="AE380" s="6" t="str">
        <f>TEXT(Lessons[[#This Row],[Lesson_Date__c]], "yyyy-mm")</f>
        <v>2026-02</v>
      </c>
      <c r="AF380" s="6" t="str">
        <f>IF(Lessons[[#This Row],[Lesson_Date__c]]&lt;=Data_Audit!$F$1, "Yes", "No")</f>
        <v>Yes</v>
      </c>
    </row>
    <row r="381" spans="1:32">
      <c r="A381" t="s">
        <v>52</v>
      </c>
      <c r="B381" t="s">
        <v>53</v>
      </c>
      <c r="C381">
        <v>30</v>
      </c>
      <c r="D381" t="s">
        <v>1473</v>
      </c>
      <c r="E381" t="s">
        <v>243</v>
      </c>
      <c r="F381" t="s">
        <v>244</v>
      </c>
      <c r="G381" t="s">
        <v>99</v>
      </c>
      <c r="H381" t="s">
        <v>237</v>
      </c>
      <c r="I381" t="b">
        <v>0</v>
      </c>
      <c r="K381" t="s">
        <v>52</v>
      </c>
      <c r="L381" t="s">
        <v>70</v>
      </c>
      <c r="O381" s="1">
        <v>46210</v>
      </c>
      <c r="P381" t="s">
        <v>1474</v>
      </c>
      <c r="Q381" t="s">
        <v>1475</v>
      </c>
      <c r="R381" t="s">
        <v>83</v>
      </c>
      <c r="S381" t="b">
        <v>0</v>
      </c>
      <c r="T381" t="b">
        <v>0</v>
      </c>
      <c r="U381" t="s">
        <v>1475</v>
      </c>
      <c r="V381" t="s">
        <v>84</v>
      </c>
      <c r="W381" t="s">
        <v>65</v>
      </c>
      <c r="X381" t="s">
        <v>1459</v>
      </c>
      <c r="Y381" t="s">
        <v>1460</v>
      </c>
      <c r="Z381" t="s">
        <v>70</v>
      </c>
      <c r="AA381" t="b">
        <f>ISNUMBER(SEARCH(";"&amp;Lessons[[#This Row],[Instrument__c]]&amp;";",";"&amp;_xlfn.XLOOKUP(Lessons[[#This Row],[Instructor_External_Id__c]], Instructors[Id], Instructors[Instruments_Taught__c])&amp;";"))</f>
        <v>1</v>
      </c>
      <c r="AB381" t="str">
        <f>IF(LEFT(Lessons[[#This Row],[Status__c]],9)="Cancelled","",Lessons[[#This Row],[Instructor_External_Id__c]]&amp;"|"&amp;TEXT(Lessons[[#This Row],[Lesson_Date__c]],"yyyy-mm-dd")&amp;"|"&amp;Lessons[[#This Row],[Start_Time__c]])</f>
        <v>a06ak00000amzC1AAI|2026-07-07|17:00:00.000Z</v>
      </c>
      <c r="AC381">
        <f>IF(Lessons[[#This Row],[Double Booked Key]]="","",COUNTIF(Lessons[Double Booked Key],Lessons[[#This Row],[Double Booked Key]]))</f>
        <v>1</v>
      </c>
      <c r="AD381" s="6" t="str">
        <f>_xlfn.XLOOKUP(Lessons[[#This Row],[Location_External_Id__c]], Locations[Location Id], Locations[Location Name])</f>
        <v>Brick</v>
      </c>
      <c r="AE381" s="6" t="str">
        <f>TEXT(Lessons[[#This Row],[Lesson_Date__c]], "yyyy-mm")</f>
        <v>2026-07</v>
      </c>
      <c r="AF381" s="6" t="str">
        <f>IF(Lessons[[#This Row],[Lesson_Date__c]]&lt;=Data_Audit!$F$1, "Yes", "No")</f>
        <v>Yes</v>
      </c>
    </row>
    <row r="382" spans="1:32">
      <c r="A382" t="s">
        <v>52</v>
      </c>
      <c r="B382" t="s">
        <v>53</v>
      </c>
      <c r="C382">
        <v>30</v>
      </c>
      <c r="D382" t="s">
        <v>1476</v>
      </c>
      <c r="E382" t="s">
        <v>243</v>
      </c>
      <c r="F382" t="s">
        <v>244</v>
      </c>
      <c r="H382" t="s">
        <v>237</v>
      </c>
      <c r="I382" t="b">
        <v>0</v>
      </c>
      <c r="K382" t="s">
        <v>52</v>
      </c>
      <c r="L382" t="s">
        <v>70</v>
      </c>
      <c r="O382" s="1">
        <v>46109</v>
      </c>
      <c r="P382" t="s">
        <v>1477</v>
      </c>
      <c r="Q382" t="s">
        <v>1478</v>
      </c>
      <c r="R382" t="s">
        <v>83</v>
      </c>
      <c r="S382" t="b">
        <v>0</v>
      </c>
      <c r="T382" t="b">
        <v>0</v>
      </c>
      <c r="U382" t="s">
        <v>1478</v>
      </c>
      <c r="V382" t="s">
        <v>64</v>
      </c>
      <c r="W382" t="s">
        <v>121</v>
      </c>
      <c r="X382" t="s">
        <v>1459</v>
      </c>
      <c r="Y382" t="s">
        <v>1460</v>
      </c>
      <c r="Z382" t="s">
        <v>70</v>
      </c>
      <c r="AA382" t="b">
        <f>ISNUMBER(SEARCH(";"&amp;Lessons[[#This Row],[Instrument__c]]&amp;";",";"&amp;_xlfn.XLOOKUP(Lessons[[#This Row],[Instructor_External_Id__c]], Instructors[Id], Instructors[Instruments_Taught__c])&amp;";"))</f>
        <v>1</v>
      </c>
      <c r="AB382" t="str">
        <f>IF(LEFT(Lessons[[#This Row],[Status__c]],9)="Cancelled","",Lessons[[#This Row],[Instructor_External_Id__c]]&amp;"|"&amp;TEXT(Lessons[[#This Row],[Lesson_Date__c]],"yyyy-mm-dd")&amp;"|"&amp;Lessons[[#This Row],[Start_Time__c]])</f>
        <v>a06ak00000amzC1AAI|2026-03-28|11:00:00.000Z</v>
      </c>
      <c r="AC382">
        <f>IF(Lessons[[#This Row],[Double Booked Key]]="","",COUNTIF(Lessons[Double Booked Key],Lessons[[#This Row],[Double Booked Key]]))</f>
        <v>1</v>
      </c>
      <c r="AD382" s="6" t="str">
        <f>_xlfn.XLOOKUP(Lessons[[#This Row],[Location_External_Id__c]], Locations[Location Id], Locations[Location Name])</f>
        <v>Brick</v>
      </c>
      <c r="AE382" s="6" t="str">
        <f>TEXT(Lessons[[#This Row],[Lesson_Date__c]], "yyyy-mm")</f>
        <v>2026-03</v>
      </c>
      <c r="AF382" s="6" t="str">
        <f>IF(Lessons[[#This Row],[Lesson_Date__c]]&lt;=Data_Audit!$F$1, "Yes", "No")</f>
        <v>Yes</v>
      </c>
    </row>
    <row r="383" spans="1:32">
      <c r="A383" t="s">
        <v>52</v>
      </c>
      <c r="B383" t="s">
        <v>53</v>
      </c>
      <c r="C383">
        <v>45</v>
      </c>
      <c r="D383" t="s">
        <v>1479</v>
      </c>
      <c r="E383" t="s">
        <v>243</v>
      </c>
      <c r="F383" t="s">
        <v>244</v>
      </c>
      <c r="G383" t="s">
        <v>106</v>
      </c>
      <c r="H383" t="s">
        <v>237</v>
      </c>
      <c r="I383" t="b">
        <v>0</v>
      </c>
      <c r="K383" t="s">
        <v>52</v>
      </c>
      <c r="L383" t="s">
        <v>70</v>
      </c>
      <c r="O383" s="1">
        <v>46264</v>
      </c>
      <c r="P383" t="s">
        <v>1480</v>
      </c>
      <c r="Q383" t="s">
        <v>1481</v>
      </c>
      <c r="R383" t="s">
        <v>83</v>
      </c>
      <c r="S383" t="b">
        <v>0</v>
      </c>
      <c r="T383" t="b">
        <v>0</v>
      </c>
      <c r="U383" t="s">
        <v>1481</v>
      </c>
      <c r="V383" t="s">
        <v>128</v>
      </c>
      <c r="W383" t="s">
        <v>65</v>
      </c>
      <c r="X383" t="s">
        <v>1459</v>
      </c>
      <c r="Y383" t="s">
        <v>1460</v>
      </c>
      <c r="Z383" t="s">
        <v>70</v>
      </c>
      <c r="AA383" t="b">
        <f>ISNUMBER(SEARCH(";"&amp;Lessons[[#This Row],[Instrument__c]]&amp;";",";"&amp;_xlfn.XLOOKUP(Lessons[[#This Row],[Instructor_External_Id__c]], Instructors[Id], Instructors[Instruments_Taught__c])&amp;";"))</f>
        <v>1</v>
      </c>
      <c r="AB383" t="str">
        <f>IF(LEFT(Lessons[[#This Row],[Status__c]],9)="Cancelled","",Lessons[[#This Row],[Instructor_External_Id__c]]&amp;"|"&amp;TEXT(Lessons[[#This Row],[Lesson_Date__c]],"yyyy-mm-dd")&amp;"|"&amp;Lessons[[#This Row],[Start_Time__c]])</f>
        <v>a06ak00000amzC1AAI|2026-08-30|18:30:00.000Z</v>
      </c>
      <c r="AC383">
        <f>IF(Lessons[[#This Row],[Double Booked Key]]="","",COUNTIF(Lessons[Double Booked Key],Lessons[[#This Row],[Double Booked Key]]))</f>
        <v>1</v>
      </c>
      <c r="AD383" s="6" t="str">
        <f>_xlfn.XLOOKUP(Lessons[[#This Row],[Location_External_Id__c]], Locations[Location Id], Locations[Location Name])</f>
        <v>Brick</v>
      </c>
      <c r="AE383" s="6" t="str">
        <f>TEXT(Lessons[[#This Row],[Lesson_Date__c]], "yyyy-mm")</f>
        <v>2026-08</v>
      </c>
      <c r="AF383" s="6" t="str">
        <f>IF(Lessons[[#This Row],[Lesson_Date__c]]&lt;=Data_Audit!$F$1, "Yes", "No")</f>
        <v>Yes</v>
      </c>
    </row>
    <row r="384" spans="1:32">
      <c r="A384" t="s">
        <v>52</v>
      </c>
      <c r="B384" t="s">
        <v>53</v>
      </c>
      <c r="C384">
        <v>45</v>
      </c>
      <c r="D384" t="s">
        <v>1482</v>
      </c>
      <c r="E384" t="s">
        <v>318</v>
      </c>
      <c r="F384" t="s">
        <v>319</v>
      </c>
      <c r="G384" t="s">
        <v>99</v>
      </c>
      <c r="H384" t="s">
        <v>58</v>
      </c>
      <c r="I384" t="b">
        <v>0</v>
      </c>
      <c r="K384" t="s">
        <v>52</v>
      </c>
      <c r="L384" t="s">
        <v>70</v>
      </c>
      <c r="O384" s="1">
        <v>46052</v>
      </c>
      <c r="P384" t="s">
        <v>1483</v>
      </c>
      <c r="Q384" t="s">
        <v>1484</v>
      </c>
      <c r="R384" t="s">
        <v>63</v>
      </c>
      <c r="S384" t="b">
        <v>0</v>
      </c>
      <c r="T384" t="b">
        <v>0</v>
      </c>
      <c r="U384" t="s">
        <v>1484</v>
      </c>
      <c r="V384" t="s">
        <v>94</v>
      </c>
      <c r="W384" t="s">
        <v>65</v>
      </c>
      <c r="X384" t="s">
        <v>1485</v>
      </c>
      <c r="Y384" t="s">
        <v>1486</v>
      </c>
      <c r="Z384" t="s">
        <v>70</v>
      </c>
      <c r="AA384" t="b">
        <f>ISNUMBER(SEARCH(";"&amp;Lessons[[#This Row],[Instrument__c]]&amp;";",";"&amp;_xlfn.XLOOKUP(Lessons[[#This Row],[Instructor_External_Id__c]], Instructors[Id], Instructors[Instruments_Taught__c])&amp;";"))</f>
        <v>1</v>
      </c>
      <c r="AB384" t="str">
        <f>IF(LEFT(Lessons[[#This Row],[Status__c]],9)="Cancelled","",Lessons[[#This Row],[Instructor_External_Id__c]]&amp;"|"&amp;TEXT(Lessons[[#This Row],[Lesson_Date__c]],"yyyy-mm-dd")&amp;"|"&amp;Lessons[[#This Row],[Start_Time__c]])</f>
        <v>a06ak00000amzBzAAI|2026-01-30|19:00:00.000Z</v>
      </c>
      <c r="AC384">
        <f>IF(Lessons[[#This Row],[Double Booked Key]]="","",COUNTIF(Lessons[Double Booked Key],Lessons[[#This Row],[Double Booked Key]]))</f>
        <v>1</v>
      </c>
      <c r="AD384" s="6" t="str">
        <f>_xlfn.XLOOKUP(Lessons[[#This Row],[Location_External_Id__c]], Locations[Location Id], Locations[Location Name])</f>
        <v>Red Bank</v>
      </c>
      <c r="AE384" s="6" t="str">
        <f>TEXT(Lessons[[#This Row],[Lesson_Date__c]], "yyyy-mm")</f>
        <v>2026-01</v>
      </c>
      <c r="AF384" s="6" t="str">
        <f>IF(Lessons[[#This Row],[Lesson_Date__c]]&lt;=Data_Audit!$F$1, "Yes", "No")</f>
        <v>Yes</v>
      </c>
    </row>
    <row r="385" spans="1:32">
      <c r="A385" t="s">
        <v>52</v>
      </c>
      <c r="B385" t="s">
        <v>53</v>
      </c>
      <c r="C385">
        <v>60</v>
      </c>
      <c r="D385" t="s">
        <v>1487</v>
      </c>
      <c r="E385" t="s">
        <v>318</v>
      </c>
      <c r="F385" t="s">
        <v>319</v>
      </c>
      <c r="H385" t="s">
        <v>58</v>
      </c>
      <c r="I385" t="b">
        <v>0</v>
      </c>
      <c r="K385" t="s">
        <v>52</v>
      </c>
      <c r="L385" t="s">
        <v>70</v>
      </c>
      <c r="O385" s="1">
        <v>46027</v>
      </c>
      <c r="P385" t="s">
        <v>1488</v>
      </c>
      <c r="Q385" t="s">
        <v>1489</v>
      </c>
      <c r="R385" t="s">
        <v>63</v>
      </c>
      <c r="S385" t="b">
        <v>0</v>
      </c>
      <c r="T385" t="b">
        <v>0</v>
      </c>
      <c r="U385" t="s">
        <v>1489</v>
      </c>
      <c r="V385" t="s">
        <v>94</v>
      </c>
      <c r="W385" t="s">
        <v>65</v>
      </c>
      <c r="X385" t="s">
        <v>1485</v>
      </c>
      <c r="Y385" t="s">
        <v>1486</v>
      </c>
      <c r="Z385" t="s">
        <v>70</v>
      </c>
      <c r="AA385" t="b">
        <f>ISNUMBER(SEARCH(";"&amp;Lessons[[#This Row],[Instrument__c]]&amp;";",";"&amp;_xlfn.XLOOKUP(Lessons[[#This Row],[Instructor_External_Id__c]], Instructors[Id], Instructors[Instruments_Taught__c])&amp;";"))</f>
        <v>1</v>
      </c>
      <c r="AB385" t="str">
        <f>IF(LEFT(Lessons[[#This Row],[Status__c]],9)="Cancelled","",Lessons[[#This Row],[Instructor_External_Id__c]]&amp;"|"&amp;TEXT(Lessons[[#This Row],[Lesson_Date__c]],"yyyy-mm-dd")&amp;"|"&amp;Lessons[[#This Row],[Start_Time__c]])</f>
        <v>a06ak00000amzBzAAI|2026-01-05|19:00:00.000Z</v>
      </c>
      <c r="AC385">
        <f>IF(Lessons[[#This Row],[Double Booked Key]]="","",COUNTIF(Lessons[Double Booked Key],Lessons[[#This Row],[Double Booked Key]]))</f>
        <v>1</v>
      </c>
      <c r="AD385" s="6" t="str">
        <f>_xlfn.XLOOKUP(Lessons[[#This Row],[Location_External_Id__c]], Locations[Location Id], Locations[Location Name])</f>
        <v>Red Bank</v>
      </c>
      <c r="AE385" s="6" t="str">
        <f>TEXT(Lessons[[#This Row],[Lesson_Date__c]], "yyyy-mm")</f>
        <v>2026-01</v>
      </c>
      <c r="AF385" s="6" t="str">
        <f>IF(Lessons[[#This Row],[Lesson_Date__c]]&lt;=Data_Audit!$F$1, "Yes", "No")</f>
        <v>Yes</v>
      </c>
    </row>
    <row r="386" spans="1:32">
      <c r="A386" t="s">
        <v>52</v>
      </c>
      <c r="B386" t="s">
        <v>53</v>
      </c>
      <c r="C386">
        <v>45</v>
      </c>
      <c r="D386" t="s">
        <v>1490</v>
      </c>
      <c r="E386" t="s">
        <v>318</v>
      </c>
      <c r="F386" t="s">
        <v>319</v>
      </c>
      <c r="H386" t="s">
        <v>58</v>
      </c>
      <c r="I386" t="b">
        <v>0</v>
      </c>
      <c r="K386" t="s">
        <v>52</v>
      </c>
      <c r="L386" t="s">
        <v>70</v>
      </c>
      <c r="O386" s="1">
        <v>46227</v>
      </c>
      <c r="P386" t="s">
        <v>1491</v>
      </c>
      <c r="Q386" t="s">
        <v>1492</v>
      </c>
      <c r="R386" t="s">
        <v>63</v>
      </c>
      <c r="S386" t="b">
        <v>0</v>
      </c>
      <c r="T386" t="b">
        <v>0</v>
      </c>
      <c r="U386" t="s">
        <v>1492</v>
      </c>
      <c r="V386" t="s">
        <v>102</v>
      </c>
      <c r="W386" t="s">
        <v>65</v>
      </c>
      <c r="X386" t="s">
        <v>1485</v>
      </c>
      <c r="Y386" t="s">
        <v>1486</v>
      </c>
      <c r="Z386" t="s">
        <v>70</v>
      </c>
      <c r="AA386" t="b">
        <f>ISNUMBER(SEARCH(";"&amp;Lessons[[#This Row],[Instrument__c]]&amp;";",";"&amp;_xlfn.XLOOKUP(Lessons[[#This Row],[Instructor_External_Id__c]], Instructors[Id], Instructors[Instruments_Taught__c])&amp;";"))</f>
        <v>1</v>
      </c>
      <c r="AB386" t="str">
        <f>IF(LEFT(Lessons[[#This Row],[Status__c]],9)="Cancelled","",Lessons[[#This Row],[Instructor_External_Id__c]]&amp;"|"&amp;TEXT(Lessons[[#This Row],[Lesson_Date__c]],"yyyy-mm-dd")&amp;"|"&amp;Lessons[[#This Row],[Start_Time__c]])</f>
        <v>a06ak00000amzBzAAI|2026-07-24|16:00:00.000Z</v>
      </c>
      <c r="AC386">
        <f>IF(Lessons[[#This Row],[Double Booked Key]]="","",COUNTIF(Lessons[Double Booked Key],Lessons[[#This Row],[Double Booked Key]]))</f>
        <v>1</v>
      </c>
      <c r="AD386" s="6" t="str">
        <f>_xlfn.XLOOKUP(Lessons[[#This Row],[Location_External_Id__c]], Locations[Location Id], Locations[Location Name])</f>
        <v>Red Bank</v>
      </c>
      <c r="AE386" s="6" t="str">
        <f>TEXT(Lessons[[#This Row],[Lesson_Date__c]], "yyyy-mm")</f>
        <v>2026-07</v>
      </c>
      <c r="AF386" s="6" t="str">
        <f>IF(Lessons[[#This Row],[Lesson_Date__c]]&lt;=Data_Audit!$F$1, "Yes", "No")</f>
        <v>Yes</v>
      </c>
    </row>
    <row r="387" spans="1:32">
      <c r="A387" t="s">
        <v>52</v>
      </c>
      <c r="B387" t="s">
        <v>53</v>
      </c>
      <c r="C387">
        <v>45</v>
      </c>
      <c r="D387" t="s">
        <v>1493</v>
      </c>
      <c r="E387" t="s">
        <v>318</v>
      </c>
      <c r="F387" t="s">
        <v>319</v>
      </c>
      <c r="G387" t="s">
        <v>57</v>
      </c>
      <c r="H387" t="s">
        <v>58</v>
      </c>
      <c r="I387" t="b">
        <v>0</v>
      </c>
      <c r="K387" t="s">
        <v>52</v>
      </c>
      <c r="L387" t="s">
        <v>70</v>
      </c>
      <c r="O387" s="1">
        <v>46187</v>
      </c>
      <c r="P387" t="s">
        <v>1494</v>
      </c>
      <c r="Q387" t="s">
        <v>1495</v>
      </c>
      <c r="R387" t="s">
        <v>63</v>
      </c>
      <c r="S387" t="b">
        <v>0</v>
      </c>
      <c r="T387" t="b">
        <v>0</v>
      </c>
      <c r="U387" t="s">
        <v>1495</v>
      </c>
      <c r="V387" t="s">
        <v>110</v>
      </c>
      <c r="W387" t="s">
        <v>65</v>
      </c>
      <c r="X387" t="s">
        <v>1485</v>
      </c>
      <c r="Y387" t="s">
        <v>1486</v>
      </c>
      <c r="Z387" t="s">
        <v>70</v>
      </c>
      <c r="AA387" t="b">
        <f>ISNUMBER(SEARCH(";"&amp;Lessons[[#This Row],[Instrument__c]]&amp;";",";"&amp;_xlfn.XLOOKUP(Lessons[[#This Row],[Instructor_External_Id__c]], Instructors[Id], Instructors[Instruments_Taught__c])&amp;";"))</f>
        <v>1</v>
      </c>
      <c r="AB387" t="str">
        <f>IF(LEFT(Lessons[[#This Row],[Status__c]],9)="Cancelled","",Lessons[[#This Row],[Instructor_External_Id__c]]&amp;"|"&amp;TEXT(Lessons[[#This Row],[Lesson_Date__c]],"yyyy-mm-dd")&amp;"|"&amp;Lessons[[#This Row],[Start_Time__c]])</f>
        <v>a06ak00000amzBzAAI|2026-06-14|10:00:00.000Z</v>
      </c>
      <c r="AC387">
        <f>IF(Lessons[[#This Row],[Double Booked Key]]="","",COUNTIF(Lessons[Double Booked Key],Lessons[[#This Row],[Double Booked Key]]))</f>
        <v>1</v>
      </c>
      <c r="AD387" s="6" t="str">
        <f>_xlfn.XLOOKUP(Lessons[[#This Row],[Location_External_Id__c]], Locations[Location Id], Locations[Location Name])</f>
        <v>Red Bank</v>
      </c>
      <c r="AE387" s="6" t="str">
        <f>TEXT(Lessons[[#This Row],[Lesson_Date__c]], "yyyy-mm")</f>
        <v>2026-06</v>
      </c>
      <c r="AF387" s="6" t="str">
        <f>IF(Lessons[[#This Row],[Lesson_Date__c]]&lt;=Data_Audit!$F$1, "Yes", "No")</f>
        <v>Yes</v>
      </c>
    </row>
    <row r="388" spans="1:32">
      <c r="A388" t="s">
        <v>52</v>
      </c>
      <c r="B388" t="s">
        <v>53</v>
      </c>
      <c r="C388">
        <v>45</v>
      </c>
      <c r="D388" t="s">
        <v>1496</v>
      </c>
      <c r="E388" t="s">
        <v>318</v>
      </c>
      <c r="F388" t="s">
        <v>319</v>
      </c>
      <c r="H388" t="s">
        <v>58</v>
      </c>
      <c r="I388" t="b">
        <v>0</v>
      </c>
      <c r="K388" t="s">
        <v>52</v>
      </c>
      <c r="L388" t="s">
        <v>70</v>
      </c>
      <c r="O388" s="1">
        <v>46084</v>
      </c>
      <c r="P388" t="s">
        <v>1497</v>
      </c>
      <c r="Q388" t="s">
        <v>1498</v>
      </c>
      <c r="R388" t="s">
        <v>63</v>
      </c>
      <c r="S388" t="b">
        <v>0</v>
      </c>
      <c r="T388" t="b">
        <v>0</v>
      </c>
      <c r="U388" t="s">
        <v>1498</v>
      </c>
      <c r="V388" t="s">
        <v>140</v>
      </c>
      <c r="W388" t="s">
        <v>121</v>
      </c>
      <c r="X388" t="s">
        <v>1485</v>
      </c>
      <c r="Y388" t="s">
        <v>1486</v>
      </c>
      <c r="Z388" t="s">
        <v>70</v>
      </c>
      <c r="AA388" t="b">
        <f>ISNUMBER(SEARCH(";"&amp;Lessons[[#This Row],[Instrument__c]]&amp;";",";"&amp;_xlfn.XLOOKUP(Lessons[[#This Row],[Instructor_External_Id__c]], Instructors[Id], Instructors[Instruments_Taught__c])&amp;";"))</f>
        <v>1</v>
      </c>
      <c r="AB388" t="str">
        <f>IF(LEFT(Lessons[[#This Row],[Status__c]],9)="Cancelled","",Lessons[[#This Row],[Instructor_External_Id__c]]&amp;"|"&amp;TEXT(Lessons[[#This Row],[Lesson_Date__c]],"yyyy-mm-dd")&amp;"|"&amp;Lessons[[#This Row],[Start_Time__c]])</f>
        <v>a06ak00000amzBzAAI|2026-03-03|15:00:00.000Z</v>
      </c>
      <c r="AC388">
        <f>IF(Lessons[[#This Row],[Double Booked Key]]="","",COUNTIF(Lessons[Double Booked Key],Lessons[[#This Row],[Double Booked Key]]))</f>
        <v>1</v>
      </c>
      <c r="AD388" s="6" t="str">
        <f>_xlfn.XLOOKUP(Lessons[[#This Row],[Location_External_Id__c]], Locations[Location Id], Locations[Location Name])</f>
        <v>Red Bank</v>
      </c>
      <c r="AE388" s="6" t="str">
        <f>TEXT(Lessons[[#This Row],[Lesson_Date__c]], "yyyy-mm")</f>
        <v>2026-03</v>
      </c>
      <c r="AF388" s="6" t="str">
        <f>IF(Lessons[[#This Row],[Lesson_Date__c]]&lt;=Data_Audit!$F$1, "Yes", "No")</f>
        <v>Yes</v>
      </c>
    </row>
    <row r="389" spans="1:32">
      <c r="A389" t="s">
        <v>52</v>
      </c>
      <c r="B389" t="s">
        <v>53</v>
      </c>
      <c r="C389">
        <v>30</v>
      </c>
      <c r="D389" t="s">
        <v>1499</v>
      </c>
      <c r="E389" t="s">
        <v>318</v>
      </c>
      <c r="F389" t="s">
        <v>319</v>
      </c>
      <c r="H389" t="s">
        <v>58</v>
      </c>
      <c r="I389" t="b">
        <v>0</v>
      </c>
      <c r="K389" t="s">
        <v>52</v>
      </c>
      <c r="L389" t="s">
        <v>70</v>
      </c>
      <c r="O389" s="1">
        <v>46042</v>
      </c>
      <c r="P389" t="s">
        <v>1500</v>
      </c>
      <c r="Q389" t="s">
        <v>1501</v>
      </c>
      <c r="R389" t="s">
        <v>63</v>
      </c>
      <c r="S389" t="b">
        <v>0</v>
      </c>
      <c r="T389" t="b">
        <v>0</v>
      </c>
      <c r="U389" t="s">
        <v>1501</v>
      </c>
      <c r="V389" t="s">
        <v>120</v>
      </c>
      <c r="W389" t="s">
        <v>65</v>
      </c>
      <c r="X389" t="s">
        <v>1485</v>
      </c>
      <c r="Y389" t="s">
        <v>1486</v>
      </c>
      <c r="Z389" t="s">
        <v>70</v>
      </c>
      <c r="AA389" t="b">
        <f>ISNUMBER(SEARCH(";"&amp;Lessons[[#This Row],[Instrument__c]]&amp;";",";"&amp;_xlfn.XLOOKUP(Lessons[[#This Row],[Instructor_External_Id__c]], Instructors[Id], Instructors[Instruments_Taught__c])&amp;";"))</f>
        <v>1</v>
      </c>
      <c r="AB389" t="str">
        <f>IF(LEFT(Lessons[[#This Row],[Status__c]],9)="Cancelled","",Lessons[[#This Row],[Instructor_External_Id__c]]&amp;"|"&amp;TEXT(Lessons[[#This Row],[Lesson_Date__c]],"yyyy-mm-dd")&amp;"|"&amp;Lessons[[#This Row],[Start_Time__c]])</f>
        <v>a06ak00000amzBzAAI|2026-01-20|18:00:00.000Z</v>
      </c>
      <c r="AC389">
        <f>IF(Lessons[[#This Row],[Double Booked Key]]="","",COUNTIF(Lessons[Double Booked Key],Lessons[[#This Row],[Double Booked Key]]))</f>
        <v>1</v>
      </c>
      <c r="AD389" s="6" t="str">
        <f>_xlfn.XLOOKUP(Lessons[[#This Row],[Location_External_Id__c]], Locations[Location Id], Locations[Location Name])</f>
        <v>Red Bank</v>
      </c>
      <c r="AE389" s="6" t="str">
        <f>TEXT(Lessons[[#This Row],[Lesson_Date__c]], "yyyy-mm")</f>
        <v>2026-01</v>
      </c>
      <c r="AF389" s="6" t="str">
        <f>IF(Lessons[[#This Row],[Lesson_Date__c]]&lt;=Data_Audit!$F$1, "Yes", "No")</f>
        <v>Yes</v>
      </c>
    </row>
    <row r="390" spans="1:32">
      <c r="A390" t="s">
        <v>52</v>
      </c>
      <c r="B390" t="s">
        <v>53</v>
      </c>
      <c r="C390">
        <v>30</v>
      </c>
      <c r="D390" t="s">
        <v>1502</v>
      </c>
      <c r="E390" t="s">
        <v>318</v>
      </c>
      <c r="F390" t="s">
        <v>319</v>
      </c>
      <c r="G390" t="s">
        <v>106</v>
      </c>
      <c r="H390" t="s">
        <v>58</v>
      </c>
      <c r="I390" t="b">
        <v>0</v>
      </c>
      <c r="K390" t="s">
        <v>52</v>
      </c>
      <c r="L390" t="s">
        <v>70</v>
      </c>
      <c r="O390" s="1">
        <v>46179</v>
      </c>
      <c r="P390" t="s">
        <v>1503</v>
      </c>
      <c r="Q390" t="s">
        <v>1504</v>
      </c>
      <c r="R390" t="s">
        <v>63</v>
      </c>
      <c r="S390" t="b">
        <v>0</v>
      </c>
      <c r="T390" t="b">
        <v>0</v>
      </c>
      <c r="U390" t="s">
        <v>1504</v>
      </c>
      <c r="V390" t="s">
        <v>140</v>
      </c>
      <c r="W390" t="s">
        <v>65</v>
      </c>
      <c r="X390" t="s">
        <v>1485</v>
      </c>
      <c r="Y390" t="s">
        <v>1486</v>
      </c>
      <c r="Z390" t="s">
        <v>70</v>
      </c>
      <c r="AA390" t="b">
        <f>ISNUMBER(SEARCH(";"&amp;Lessons[[#This Row],[Instrument__c]]&amp;";",";"&amp;_xlfn.XLOOKUP(Lessons[[#This Row],[Instructor_External_Id__c]], Instructors[Id], Instructors[Instruments_Taught__c])&amp;";"))</f>
        <v>1</v>
      </c>
      <c r="AB390" t="str">
        <f>IF(LEFT(Lessons[[#This Row],[Status__c]],9)="Cancelled","",Lessons[[#This Row],[Instructor_External_Id__c]]&amp;"|"&amp;TEXT(Lessons[[#This Row],[Lesson_Date__c]],"yyyy-mm-dd")&amp;"|"&amp;Lessons[[#This Row],[Start_Time__c]])</f>
        <v>a06ak00000amzBzAAI|2026-06-06|15:00:00.000Z</v>
      </c>
      <c r="AC390">
        <f>IF(Lessons[[#This Row],[Double Booked Key]]="","",COUNTIF(Lessons[Double Booked Key],Lessons[[#This Row],[Double Booked Key]]))</f>
        <v>1</v>
      </c>
      <c r="AD390" s="6" t="str">
        <f>_xlfn.XLOOKUP(Lessons[[#This Row],[Location_External_Id__c]], Locations[Location Id], Locations[Location Name])</f>
        <v>Red Bank</v>
      </c>
      <c r="AE390" s="6" t="str">
        <f>TEXT(Lessons[[#This Row],[Lesson_Date__c]], "yyyy-mm")</f>
        <v>2026-06</v>
      </c>
      <c r="AF390" s="6" t="str">
        <f>IF(Lessons[[#This Row],[Lesson_Date__c]]&lt;=Data_Audit!$F$1, "Yes", "No")</f>
        <v>Yes</v>
      </c>
    </row>
    <row r="391" spans="1:32">
      <c r="A391" t="s">
        <v>52</v>
      </c>
      <c r="B391" t="s">
        <v>53</v>
      </c>
      <c r="C391">
        <v>45</v>
      </c>
      <c r="D391" t="s">
        <v>1505</v>
      </c>
      <c r="E391" t="s">
        <v>318</v>
      </c>
      <c r="F391" t="s">
        <v>319</v>
      </c>
      <c r="G391" t="s">
        <v>106</v>
      </c>
      <c r="H391" t="s">
        <v>58</v>
      </c>
      <c r="I391" t="b">
        <v>0</v>
      </c>
      <c r="K391" t="s">
        <v>52</v>
      </c>
      <c r="L391" t="s">
        <v>70</v>
      </c>
      <c r="O391" s="1">
        <v>46196</v>
      </c>
      <c r="P391" t="s">
        <v>1506</v>
      </c>
      <c r="Q391" t="s">
        <v>1507</v>
      </c>
      <c r="R391" t="s">
        <v>63</v>
      </c>
      <c r="S391" t="b">
        <v>0</v>
      </c>
      <c r="T391" t="b">
        <v>0</v>
      </c>
      <c r="U391" t="s">
        <v>1507</v>
      </c>
      <c r="V391" t="s">
        <v>74</v>
      </c>
      <c r="W391" t="s">
        <v>65</v>
      </c>
      <c r="X391" t="s">
        <v>1485</v>
      </c>
      <c r="Y391" t="s">
        <v>1486</v>
      </c>
      <c r="Z391" t="s">
        <v>70</v>
      </c>
      <c r="AA391" t="b">
        <f>ISNUMBER(SEARCH(";"&amp;Lessons[[#This Row],[Instrument__c]]&amp;";",";"&amp;_xlfn.XLOOKUP(Lessons[[#This Row],[Instructor_External_Id__c]], Instructors[Id], Instructors[Instruments_Taught__c])&amp;";"))</f>
        <v>1</v>
      </c>
      <c r="AB391" t="str">
        <f>IF(LEFT(Lessons[[#This Row],[Status__c]],9)="Cancelled","",Lessons[[#This Row],[Instructor_External_Id__c]]&amp;"|"&amp;TEXT(Lessons[[#This Row],[Lesson_Date__c]],"yyyy-mm-dd")&amp;"|"&amp;Lessons[[#This Row],[Start_Time__c]])</f>
        <v>a06ak00000amzBzAAI|2026-06-23|16:30:00.000Z</v>
      </c>
      <c r="AC391">
        <f>IF(Lessons[[#This Row],[Double Booked Key]]="","",COUNTIF(Lessons[Double Booked Key],Lessons[[#This Row],[Double Booked Key]]))</f>
        <v>1</v>
      </c>
      <c r="AD391" s="6" t="str">
        <f>_xlfn.XLOOKUP(Lessons[[#This Row],[Location_External_Id__c]], Locations[Location Id], Locations[Location Name])</f>
        <v>Red Bank</v>
      </c>
      <c r="AE391" s="6" t="str">
        <f>TEXT(Lessons[[#This Row],[Lesson_Date__c]], "yyyy-mm")</f>
        <v>2026-06</v>
      </c>
      <c r="AF391" s="6" t="str">
        <f>IF(Lessons[[#This Row],[Lesson_Date__c]]&lt;=Data_Audit!$F$1, "Yes", "No")</f>
        <v>Yes</v>
      </c>
    </row>
    <row r="392" spans="1:32">
      <c r="A392" t="s">
        <v>52</v>
      </c>
      <c r="B392" t="s">
        <v>53</v>
      </c>
      <c r="C392">
        <v>30</v>
      </c>
      <c r="D392" t="s">
        <v>1508</v>
      </c>
      <c r="E392" t="s">
        <v>318</v>
      </c>
      <c r="F392" t="s">
        <v>319</v>
      </c>
      <c r="H392" t="s">
        <v>58</v>
      </c>
      <c r="I392" t="b">
        <v>0</v>
      </c>
      <c r="K392" t="s">
        <v>52</v>
      </c>
      <c r="L392" t="s">
        <v>70</v>
      </c>
      <c r="O392" s="1">
        <v>46274</v>
      </c>
      <c r="P392" t="s">
        <v>1509</v>
      </c>
      <c r="Q392" t="s">
        <v>1510</v>
      </c>
      <c r="R392" t="s">
        <v>63</v>
      </c>
      <c r="S392" t="b">
        <v>0</v>
      </c>
      <c r="T392" t="b">
        <v>0</v>
      </c>
      <c r="U392" t="s">
        <v>1510</v>
      </c>
      <c r="V392" t="s">
        <v>64</v>
      </c>
      <c r="W392" t="s">
        <v>65</v>
      </c>
      <c r="X392" t="s">
        <v>1485</v>
      </c>
      <c r="Y392" t="s">
        <v>1486</v>
      </c>
      <c r="Z392" t="s">
        <v>70</v>
      </c>
      <c r="AA392" t="b">
        <f>ISNUMBER(SEARCH(";"&amp;Lessons[[#This Row],[Instrument__c]]&amp;";",";"&amp;_xlfn.XLOOKUP(Lessons[[#This Row],[Instructor_External_Id__c]], Instructors[Id], Instructors[Instruments_Taught__c])&amp;";"))</f>
        <v>1</v>
      </c>
      <c r="AB392" t="str">
        <f>IF(LEFT(Lessons[[#This Row],[Status__c]],9)="Cancelled","",Lessons[[#This Row],[Instructor_External_Id__c]]&amp;"|"&amp;TEXT(Lessons[[#This Row],[Lesson_Date__c]],"yyyy-mm-dd")&amp;"|"&amp;Lessons[[#This Row],[Start_Time__c]])</f>
        <v>a06ak00000amzBzAAI|2026-09-09|11:00:00.000Z</v>
      </c>
      <c r="AC392">
        <f>IF(Lessons[[#This Row],[Double Booked Key]]="","",COUNTIF(Lessons[Double Booked Key],Lessons[[#This Row],[Double Booked Key]]))</f>
        <v>1</v>
      </c>
      <c r="AD392" s="6" t="str">
        <f>_xlfn.XLOOKUP(Lessons[[#This Row],[Location_External_Id__c]], Locations[Location Id], Locations[Location Name])</f>
        <v>Red Bank</v>
      </c>
      <c r="AE392" s="6" t="str">
        <f>TEXT(Lessons[[#This Row],[Lesson_Date__c]], "yyyy-mm")</f>
        <v>2026-09</v>
      </c>
      <c r="AF392" s="6" t="str">
        <f>IF(Lessons[[#This Row],[Lesson_Date__c]]&lt;=Data_Audit!$F$1, "Yes", "No")</f>
        <v>Yes</v>
      </c>
    </row>
    <row r="393" spans="1:32">
      <c r="A393" t="s">
        <v>52</v>
      </c>
      <c r="B393" t="s">
        <v>53</v>
      </c>
      <c r="C393">
        <v>30</v>
      </c>
      <c r="D393" t="s">
        <v>1511</v>
      </c>
      <c r="E393" t="s">
        <v>713</v>
      </c>
      <c r="F393" t="s">
        <v>714</v>
      </c>
      <c r="H393" t="s">
        <v>107</v>
      </c>
      <c r="I393" t="b">
        <v>0</v>
      </c>
      <c r="K393" t="s">
        <v>52</v>
      </c>
      <c r="L393" t="s">
        <v>70</v>
      </c>
      <c r="O393" s="1">
        <v>46192</v>
      </c>
      <c r="P393" t="s">
        <v>1512</v>
      </c>
      <c r="Q393" t="s">
        <v>1513</v>
      </c>
      <c r="R393" t="s">
        <v>83</v>
      </c>
      <c r="S393" t="b">
        <v>0</v>
      </c>
      <c r="T393" t="b">
        <v>0</v>
      </c>
      <c r="U393" t="s">
        <v>1513</v>
      </c>
      <c r="V393" t="s">
        <v>94</v>
      </c>
      <c r="W393" t="s">
        <v>65</v>
      </c>
      <c r="X393" t="s">
        <v>1514</v>
      </c>
      <c r="Y393" t="s">
        <v>1515</v>
      </c>
      <c r="Z393" t="s">
        <v>70</v>
      </c>
      <c r="AA393" t="b">
        <f>ISNUMBER(SEARCH(";"&amp;Lessons[[#This Row],[Instrument__c]]&amp;";",";"&amp;_xlfn.XLOOKUP(Lessons[[#This Row],[Instructor_External_Id__c]], Instructors[Id], Instructors[Instruments_Taught__c])&amp;";"))</f>
        <v>1</v>
      </c>
      <c r="AB393" t="str">
        <f>IF(LEFT(Lessons[[#This Row],[Status__c]],9)="Cancelled","",Lessons[[#This Row],[Instructor_External_Id__c]]&amp;"|"&amp;TEXT(Lessons[[#This Row],[Lesson_Date__c]],"yyyy-mm-dd")&amp;"|"&amp;Lessons[[#This Row],[Start_Time__c]])</f>
        <v>a06ak00000amzC4AAI|2026-06-19|19:00:00.000Z</v>
      </c>
      <c r="AC393">
        <f>IF(Lessons[[#This Row],[Double Booked Key]]="","",COUNTIF(Lessons[Double Booked Key],Lessons[[#This Row],[Double Booked Key]]))</f>
        <v>1</v>
      </c>
      <c r="AD393" s="6" t="str">
        <f>_xlfn.XLOOKUP(Lessons[[#This Row],[Location_External_Id__c]], Locations[Location Id], Locations[Location Name])</f>
        <v>Brick</v>
      </c>
      <c r="AE393" s="6" t="str">
        <f>TEXT(Lessons[[#This Row],[Lesson_Date__c]], "yyyy-mm")</f>
        <v>2026-06</v>
      </c>
      <c r="AF393" s="6" t="str">
        <f>IF(Lessons[[#This Row],[Lesson_Date__c]]&lt;=Data_Audit!$F$1, "Yes", "No")</f>
        <v>Yes</v>
      </c>
    </row>
    <row r="394" spans="1:32">
      <c r="A394" t="s">
        <v>52</v>
      </c>
      <c r="B394" t="s">
        <v>53</v>
      </c>
      <c r="C394">
        <v>60</v>
      </c>
      <c r="D394" t="s">
        <v>1516</v>
      </c>
      <c r="E394" t="s">
        <v>713</v>
      </c>
      <c r="F394" t="s">
        <v>714</v>
      </c>
      <c r="G394" t="s">
        <v>106</v>
      </c>
      <c r="H394" t="s">
        <v>107</v>
      </c>
      <c r="I394" t="b">
        <v>0</v>
      </c>
      <c r="K394" t="s">
        <v>52</v>
      </c>
      <c r="L394" t="s">
        <v>1517</v>
      </c>
      <c r="O394" s="1">
        <v>46217</v>
      </c>
      <c r="P394" t="s">
        <v>1518</v>
      </c>
      <c r="Q394" t="s">
        <v>1519</v>
      </c>
      <c r="R394" t="s">
        <v>83</v>
      </c>
      <c r="S394" t="b">
        <v>0</v>
      </c>
      <c r="T394" t="b">
        <v>0</v>
      </c>
      <c r="U394" t="s">
        <v>1519</v>
      </c>
      <c r="V394" t="s">
        <v>84</v>
      </c>
      <c r="W394" t="s">
        <v>65</v>
      </c>
      <c r="X394" t="s">
        <v>1514</v>
      </c>
      <c r="Y394" t="s">
        <v>1515</v>
      </c>
      <c r="Z394" t="s">
        <v>1517</v>
      </c>
      <c r="AA394" t="b">
        <f>ISNUMBER(SEARCH(";"&amp;Lessons[[#This Row],[Instrument__c]]&amp;";",";"&amp;_xlfn.XLOOKUP(Lessons[[#This Row],[Instructor_External_Id__c]], Instructors[Id], Instructors[Instruments_Taught__c])&amp;";"))</f>
        <v>1</v>
      </c>
      <c r="AB394" t="str">
        <f>IF(LEFT(Lessons[[#This Row],[Status__c]],9)="Cancelled","",Lessons[[#This Row],[Instructor_External_Id__c]]&amp;"|"&amp;TEXT(Lessons[[#This Row],[Lesson_Date__c]],"yyyy-mm-dd")&amp;"|"&amp;Lessons[[#This Row],[Start_Time__c]])</f>
        <v>a06ak00000amzC4AAI|2026-07-14|17:00:00.000Z</v>
      </c>
      <c r="AC394">
        <f>IF(Lessons[[#This Row],[Double Booked Key]]="","",COUNTIF(Lessons[Double Booked Key],Lessons[[#This Row],[Double Booked Key]]))</f>
        <v>1</v>
      </c>
      <c r="AD394" s="6" t="str">
        <f>_xlfn.XLOOKUP(Lessons[[#This Row],[Location_External_Id__c]], Locations[Location Id], Locations[Location Name])</f>
        <v>Brick</v>
      </c>
      <c r="AE394" s="6" t="str">
        <f>TEXT(Lessons[[#This Row],[Lesson_Date__c]], "yyyy-mm")</f>
        <v>2026-07</v>
      </c>
      <c r="AF394" s="6" t="str">
        <f>IF(Lessons[[#This Row],[Lesson_Date__c]]&lt;=Data_Audit!$F$1, "Yes", "No")</f>
        <v>Yes</v>
      </c>
    </row>
    <row r="395" spans="1:32">
      <c r="A395" t="s">
        <v>52</v>
      </c>
      <c r="B395" t="s">
        <v>53</v>
      </c>
      <c r="C395">
        <v>30</v>
      </c>
      <c r="D395" t="s">
        <v>1520</v>
      </c>
      <c r="E395" t="s">
        <v>459</v>
      </c>
      <c r="F395" t="s">
        <v>460</v>
      </c>
      <c r="H395" t="s">
        <v>107</v>
      </c>
      <c r="I395" t="b">
        <v>0</v>
      </c>
      <c r="K395" t="s">
        <v>52</v>
      </c>
      <c r="L395" t="s">
        <v>79</v>
      </c>
      <c r="O395" s="1">
        <v>46297</v>
      </c>
      <c r="P395" t="s">
        <v>1521</v>
      </c>
      <c r="Q395" t="s">
        <v>1522</v>
      </c>
      <c r="R395" t="s">
        <v>83</v>
      </c>
      <c r="S395" t="b">
        <v>1</v>
      </c>
      <c r="T395" t="b">
        <v>1</v>
      </c>
      <c r="U395" t="s">
        <v>1522</v>
      </c>
      <c r="V395" t="s">
        <v>120</v>
      </c>
      <c r="W395" t="s">
        <v>136</v>
      </c>
      <c r="X395" t="s">
        <v>1514</v>
      </c>
      <c r="Y395" t="s">
        <v>1515</v>
      </c>
      <c r="Z395" t="s">
        <v>79</v>
      </c>
      <c r="AA395" t="b">
        <f>ISNUMBER(SEARCH(";"&amp;Lessons[[#This Row],[Instrument__c]]&amp;";",";"&amp;_xlfn.XLOOKUP(Lessons[[#This Row],[Instructor_External_Id__c]], Instructors[Id], Instructors[Instruments_Taught__c])&amp;";"))</f>
        <v>1</v>
      </c>
      <c r="AB395" t="str">
        <f>IF(LEFT(Lessons[[#This Row],[Status__c]],9)="Cancelled","",Lessons[[#This Row],[Instructor_External_Id__c]]&amp;"|"&amp;TEXT(Lessons[[#This Row],[Lesson_Date__c]],"yyyy-mm-dd")&amp;"|"&amp;Lessons[[#This Row],[Start_Time__c]])</f>
        <v/>
      </c>
      <c r="AC395" t="str">
        <f>IF(Lessons[[#This Row],[Double Booked Key]]="","",COUNTIF(Lessons[Double Booked Key],Lessons[[#This Row],[Double Booked Key]]))</f>
        <v/>
      </c>
      <c r="AD395" s="6" t="str">
        <f>_xlfn.XLOOKUP(Lessons[[#This Row],[Location_External_Id__c]], Locations[Location Id], Locations[Location Name])</f>
        <v>Brick</v>
      </c>
      <c r="AE395" s="6" t="str">
        <f>TEXT(Lessons[[#This Row],[Lesson_Date__c]], "yyyy-mm")</f>
        <v>2026-10</v>
      </c>
      <c r="AF395" s="6" t="str">
        <f>IF(Lessons[[#This Row],[Lesson_Date__c]]&lt;=Data_Audit!$F$1, "Yes", "No")</f>
        <v>Yes</v>
      </c>
    </row>
    <row r="396" spans="1:32">
      <c r="A396" t="s">
        <v>52</v>
      </c>
      <c r="B396" t="s">
        <v>53</v>
      </c>
      <c r="C396">
        <v>30</v>
      </c>
      <c r="D396" t="s">
        <v>1523</v>
      </c>
      <c r="E396" t="s">
        <v>713</v>
      </c>
      <c r="F396" t="s">
        <v>714</v>
      </c>
      <c r="H396" t="s">
        <v>107</v>
      </c>
      <c r="I396" t="b">
        <v>0</v>
      </c>
      <c r="K396" t="s">
        <v>52</v>
      </c>
      <c r="L396" t="s">
        <v>1517</v>
      </c>
      <c r="O396" s="1">
        <v>46079</v>
      </c>
      <c r="P396" t="s">
        <v>1524</v>
      </c>
      <c r="Q396" t="s">
        <v>1525</v>
      </c>
      <c r="R396" t="s">
        <v>83</v>
      </c>
      <c r="S396" t="b">
        <v>0</v>
      </c>
      <c r="T396" t="b">
        <v>0</v>
      </c>
      <c r="U396" t="s">
        <v>1525</v>
      </c>
      <c r="V396" t="s">
        <v>110</v>
      </c>
      <c r="W396" t="s">
        <v>121</v>
      </c>
      <c r="X396" t="s">
        <v>1514</v>
      </c>
      <c r="Y396" t="s">
        <v>1515</v>
      </c>
      <c r="Z396" t="s">
        <v>1517</v>
      </c>
      <c r="AA396" t="b">
        <f>ISNUMBER(SEARCH(";"&amp;Lessons[[#This Row],[Instrument__c]]&amp;";",";"&amp;_xlfn.XLOOKUP(Lessons[[#This Row],[Instructor_External_Id__c]], Instructors[Id], Instructors[Instruments_Taught__c])&amp;";"))</f>
        <v>1</v>
      </c>
      <c r="AB396" t="str">
        <f>IF(LEFT(Lessons[[#This Row],[Status__c]],9)="Cancelled","",Lessons[[#This Row],[Instructor_External_Id__c]]&amp;"|"&amp;TEXT(Lessons[[#This Row],[Lesson_Date__c]],"yyyy-mm-dd")&amp;"|"&amp;Lessons[[#This Row],[Start_Time__c]])</f>
        <v>a06ak00000amzC4AAI|2026-02-26|10:00:00.000Z</v>
      </c>
      <c r="AC396">
        <f>IF(Lessons[[#This Row],[Double Booked Key]]="","",COUNTIF(Lessons[Double Booked Key],Lessons[[#This Row],[Double Booked Key]]))</f>
        <v>1</v>
      </c>
      <c r="AD396" s="6" t="str">
        <f>_xlfn.XLOOKUP(Lessons[[#This Row],[Location_External_Id__c]], Locations[Location Id], Locations[Location Name])</f>
        <v>Brick</v>
      </c>
      <c r="AE396" s="6" t="str">
        <f>TEXT(Lessons[[#This Row],[Lesson_Date__c]], "yyyy-mm")</f>
        <v>2026-02</v>
      </c>
      <c r="AF396" s="6" t="str">
        <f>IF(Lessons[[#This Row],[Lesson_Date__c]]&lt;=Data_Audit!$F$1, "Yes", "No")</f>
        <v>Yes</v>
      </c>
    </row>
    <row r="397" spans="1:32">
      <c r="A397" t="s">
        <v>52</v>
      </c>
      <c r="B397" t="s">
        <v>53</v>
      </c>
      <c r="C397">
        <v>45</v>
      </c>
      <c r="D397" t="s">
        <v>1526</v>
      </c>
      <c r="E397" t="s">
        <v>713</v>
      </c>
      <c r="F397" t="s">
        <v>714</v>
      </c>
      <c r="G397" t="s">
        <v>164</v>
      </c>
      <c r="H397" t="s">
        <v>107</v>
      </c>
      <c r="I397" t="b">
        <v>0</v>
      </c>
      <c r="K397" t="s">
        <v>52</v>
      </c>
      <c r="L397" t="s">
        <v>1517</v>
      </c>
      <c r="O397" s="1">
        <v>46263</v>
      </c>
      <c r="P397" t="s">
        <v>1527</v>
      </c>
      <c r="Q397" t="s">
        <v>1528</v>
      </c>
      <c r="R397" t="s">
        <v>83</v>
      </c>
      <c r="S397" t="b">
        <v>0</v>
      </c>
      <c r="T397" t="b">
        <v>0</v>
      </c>
      <c r="U397" t="s">
        <v>1528</v>
      </c>
      <c r="V397" t="s">
        <v>94</v>
      </c>
      <c r="W397" t="s">
        <v>65</v>
      </c>
      <c r="X397" t="s">
        <v>1514</v>
      </c>
      <c r="Y397" t="s">
        <v>1515</v>
      </c>
      <c r="Z397" t="s">
        <v>1517</v>
      </c>
      <c r="AA397" t="b">
        <f>ISNUMBER(SEARCH(";"&amp;Lessons[[#This Row],[Instrument__c]]&amp;";",";"&amp;_xlfn.XLOOKUP(Lessons[[#This Row],[Instructor_External_Id__c]], Instructors[Id], Instructors[Instruments_Taught__c])&amp;";"))</f>
        <v>1</v>
      </c>
      <c r="AB397" t="str">
        <f>IF(LEFT(Lessons[[#This Row],[Status__c]],9)="Cancelled","",Lessons[[#This Row],[Instructor_External_Id__c]]&amp;"|"&amp;TEXT(Lessons[[#This Row],[Lesson_Date__c]],"yyyy-mm-dd")&amp;"|"&amp;Lessons[[#This Row],[Start_Time__c]])</f>
        <v>a06ak00000amzC4AAI|2026-08-29|19:00:00.000Z</v>
      </c>
      <c r="AC397">
        <f>IF(Lessons[[#This Row],[Double Booked Key]]="","",COUNTIF(Lessons[Double Booked Key],Lessons[[#This Row],[Double Booked Key]]))</f>
        <v>1</v>
      </c>
      <c r="AD397" s="6" t="str">
        <f>_xlfn.XLOOKUP(Lessons[[#This Row],[Location_External_Id__c]], Locations[Location Id], Locations[Location Name])</f>
        <v>Brick</v>
      </c>
      <c r="AE397" s="6" t="str">
        <f>TEXT(Lessons[[#This Row],[Lesson_Date__c]], "yyyy-mm")</f>
        <v>2026-08</v>
      </c>
      <c r="AF397" s="6" t="str">
        <f>IF(Lessons[[#This Row],[Lesson_Date__c]]&lt;=Data_Audit!$F$1, "Yes", "No")</f>
        <v>Yes</v>
      </c>
    </row>
    <row r="398" spans="1:32">
      <c r="A398" t="s">
        <v>52</v>
      </c>
      <c r="B398" t="s">
        <v>53</v>
      </c>
      <c r="C398">
        <v>45</v>
      </c>
      <c r="D398" t="s">
        <v>1529</v>
      </c>
      <c r="E398" t="s">
        <v>503</v>
      </c>
      <c r="F398" t="s">
        <v>504</v>
      </c>
      <c r="G398" t="s">
        <v>106</v>
      </c>
      <c r="H398" t="s">
        <v>461</v>
      </c>
      <c r="I398" t="b">
        <v>0</v>
      </c>
      <c r="K398" t="s">
        <v>52</v>
      </c>
      <c r="L398" t="s">
        <v>1517</v>
      </c>
      <c r="O398" s="1">
        <v>46075</v>
      </c>
      <c r="P398" t="s">
        <v>1530</v>
      </c>
      <c r="Q398" t="s">
        <v>1531</v>
      </c>
      <c r="R398" t="s">
        <v>63</v>
      </c>
      <c r="S398" t="b">
        <v>0</v>
      </c>
      <c r="T398" t="b">
        <v>0</v>
      </c>
      <c r="U398" t="s">
        <v>1531</v>
      </c>
      <c r="V398" t="s">
        <v>64</v>
      </c>
      <c r="W398" t="s">
        <v>65</v>
      </c>
      <c r="X398" t="s">
        <v>1532</v>
      </c>
      <c r="Y398" t="s">
        <v>1533</v>
      </c>
      <c r="Z398" t="s">
        <v>1517</v>
      </c>
      <c r="AA398" t="b">
        <f>ISNUMBER(SEARCH(";"&amp;Lessons[[#This Row],[Instrument__c]]&amp;";",";"&amp;_xlfn.XLOOKUP(Lessons[[#This Row],[Instructor_External_Id__c]], Instructors[Id], Instructors[Instruments_Taught__c])&amp;";"))</f>
        <v>1</v>
      </c>
      <c r="AB398" t="str">
        <f>IF(LEFT(Lessons[[#This Row],[Status__c]],9)="Cancelled","",Lessons[[#This Row],[Instructor_External_Id__c]]&amp;"|"&amp;TEXT(Lessons[[#This Row],[Lesson_Date__c]],"yyyy-mm-dd")&amp;"|"&amp;Lessons[[#This Row],[Start_Time__c]])</f>
        <v>a06ak00000amzBjAAI|2026-02-22|11:00:00.000Z</v>
      </c>
      <c r="AC398">
        <f>IF(Lessons[[#This Row],[Double Booked Key]]="","",COUNTIF(Lessons[Double Booked Key],Lessons[[#This Row],[Double Booked Key]]))</f>
        <v>1</v>
      </c>
      <c r="AD398" s="6" t="str">
        <f>_xlfn.XLOOKUP(Lessons[[#This Row],[Location_External_Id__c]], Locations[Location Id], Locations[Location Name])</f>
        <v>Red Bank</v>
      </c>
      <c r="AE398" s="6" t="str">
        <f>TEXT(Lessons[[#This Row],[Lesson_Date__c]], "yyyy-mm")</f>
        <v>2026-02</v>
      </c>
      <c r="AF398" s="6" t="str">
        <f>IF(Lessons[[#This Row],[Lesson_Date__c]]&lt;=Data_Audit!$F$1, "Yes", "No")</f>
        <v>Yes</v>
      </c>
    </row>
    <row r="399" spans="1:32">
      <c r="A399" t="s">
        <v>52</v>
      </c>
      <c r="B399" t="s">
        <v>53</v>
      </c>
      <c r="C399">
        <v>30</v>
      </c>
      <c r="D399" t="s">
        <v>1534</v>
      </c>
      <c r="E399" t="s">
        <v>503</v>
      </c>
      <c r="F399" t="s">
        <v>504</v>
      </c>
      <c r="G399" t="s">
        <v>99</v>
      </c>
      <c r="H399" t="s">
        <v>461</v>
      </c>
      <c r="I399" t="b">
        <v>0</v>
      </c>
      <c r="K399" t="s">
        <v>52</v>
      </c>
      <c r="L399" t="s">
        <v>1517</v>
      </c>
      <c r="O399" s="1">
        <v>46141</v>
      </c>
      <c r="P399" t="s">
        <v>1535</v>
      </c>
      <c r="Q399" t="s">
        <v>1536</v>
      </c>
      <c r="R399" t="s">
        <v>63</v>
      </c>
      <c r="S399" t="b">
        <v>0</v>
      </c>
      <c r="T399" t="b">
        <v>0</v>
      </c>
      <c r="U399" t="s">
        <v>1536</v>
      </c>
      <c r="V399" t="s">
        <v>128</v>
      </c>
      <c r="W399" t="s">
        <v>65</v>
      </c>
      <c r="X399" t="s">
        <v>1532</v>
      </c>
      <c r="Y399" t="s">
        <v>1533</v>
      </c>
      <c r="Z399" t="s">
        <v>1517</v>
      </c>
      <c r="AA399" t="b">
        <f>ISNUMBER(SEARCH(";"&amp;Lessons[[#This Row],[Instrument__c]]&amp;";",";"&amp;_xlfn.XLOOKUP(Lessons[[#This Row],[Instructor_External_Id__c]], Instructors[Id], Instructors[Instruments_Taught__c])&amp;";"))</f>
        <v>1</v>
      </c>
      <c r="AB399" t="str">
        <f>IF(LEFT(Lessons[[#This Row],[Status__c]],9)="Cancelled","",Lessons[[#This Row],[Instructor_External_Id__c]]&amp;"|"&amp;TEXT(Lessons[[#This Row],[Lesson_Date__c]],"yyyy-mm-dd")&amp;"|"&amp;Lessons[[#This Row],[Start_Time__c]])</f>
        <v>a06ak00000amzBjAAI|2026-04-29|18:30:00.000Z</v>
      </c>
      <c r="AC399">
        <f>IF(Lessons[[#This Row],[Double Booked Key]]="","",COUNTIF(Lessons[Double Booked Key],Lessons[[#This Row],[Double Booked Key]]))</f>
        <v>1</v>
      </c>
      <c r="AD399" s="6" t="str">
        <f>_xlfn.XLOOKUP(Lessons[[#This Row],[Location_External_Id__c]], Locations[Location Id], Locations[Location Name])</f>
        <v>Red Bank</v>
      </c>
      <c r="AE399" s="6" t="str">
        <f>TEXT(Lessons[[#This Row],[Lesson_Date__c]], "yyyy-mm")</f>
        <v>2026-04</v>
      </c>
      <c r="AF399" s="6" t="str">
        <f>IF(Lessons[[#This Row],[Lesson_Date__c]]&lt;=Data_Audit!$F$1, "Yes", "No")</f>
        <v>Yes</v>
      </c>
    </row>
    <row r="400" spans="1:32">
      <c r="A400" t="s">
        <v>52</v>
      </c>
      <c r="B400" t="s">
        <v>53</v>
      </c>
      <c r="C400">
        <v>30</v>
      </c>
      <c r="D400" t="s">
        <v>1537</v>
      </c>
      <c r="E400" t="s">
        <v>503</v>
      </c>
      <c r="F400" t="s">
        <v>504</v>
      </c>
      <c r="G400" t="s">
        <v>106</v>
      </c>
      <c r="H400" t="s">
        <v>461</v>
      </c>
      <c r="I400" t="b">
        <v>0</v>
      </c>
      <c r="K400" t="s">
        <v>52</v>
      </c>
      <c r="L400" t="s">
        <v>1517</v>
      </c>
      <c r="O400" s="1">
        <v>46072</v>
      </c>
      <c r="P400" t="s">
        <v>1538</v>
      </c>
      <c r="Q400" t="s">
        <v>1539</v>
      </c>
      <c r="R400" t="s">
        <v>63</v>
      </c>
      <c r="S400" t="b">
        <v>0</v>
      </c>
      <c r="T400" t="b">
        <v>0</v>
      </c>
      <c r="U400" t="s">
        <v>1539</v>
      </c>
      <c r="V400" t="s">
        <v>84</v>
      </c>
      <c r="W400" t="s">
        <v>65</v>
      </c>
      <c r="X400" t="s">
        <v>1532</v>
      </c>
      <c r="Y400" t="s">
        <v>1533</v>
      </c>
      <c r="Z400" t="s">
        <v>1517</v>
      </c>
      <c r="AA400" t="b">
        <f>ISNUMBER(SEARCH(";"&amp;Lessons[[#This Row],[Instrument__c]]&amp;";",";"&amp;_xlfn.XLOOKUP(Lessons[[#This Row],[Instructor_External_Id__c]], Instructors[Id], Instructors[Instruments_Taught__c])&amp;";"))</f>
        <v>1</v>
      </c>
      <c r="AB400" t="str">
        <f>IF(LEFT(Lessons[[#This Row],[Status__c]],9)="Cancelled","",Lessons[[#This Row],[Instructor_External_Id__c]]&amp;"|"&amp;TEXT(Lessons[[#This Row],[Lesson_Date__c]],"yyyy-mm-dd")&amp;"|"&amp;Lessons[[#This Row],[Start_Time__c]])</f>
        <v>a06ak00000amzBjAAI|2026-02-19|17:00:00.000Z</v>
      </c>
      <c r="AC400">
        <f>IF(Lessons[[#This Row],[Double Booked Key]]="","",COUNTIF(Lessons[Double Booked Key],Lessons[[#This Row],[Double Booked Key]]))</f>
        <v>1</v>
      </c>
      <c r="AD400" s="6" t="str">
        <f>_xlfn.XLOOKUP(Lessons[[#This Row],[Location_External_Id__c]], Locations[Location Id], Locations[Location Name])</f>
        <v>Red Bank</v>
      </c>
      <c r="AE400" s="6" t="str">
        <f>TEXT(Lessons[[#This Row],[Lesson_Date__c]], "yyyy-mm")</f>
        <v>2026-02</v>
      </c>
      <c r="AF400" s="6" t="str">
        <f>IF(Lessons[[#This Row],[Lesson_Date__c]]&lt;=Data_Audit!$F$1, "Yes", "No")</f>
        <v>Yes</v>
      </c>
    </row>
    <row r="401" spans="1:32">
      <c r="A401" t="s">
        <v>52</v>
      </c>
      <c r="B401" t="s">
        <v>53</v>
      </c>
      <c r="C401">
        <v>30</v>
      </c>
      <c r="D401" t="s">
        <v>1540</v>
      </c>
      <c r="E401" t="s">
        <v>503</v>
      </c>
      <c r="F401" t="s">
        <v>504</v>
      </c>
      <c r="G401" t="s">
        <v>106</v>
      </c>
      <c r="H401" t="s">
        <v>461</v>
      </c>
      <c r="I401" t="b">
        <v>0</v>
      </c>
      <c r="K401" t="s">
        <v>52</v>
      </c>
      <c r="L401" t="s">
        <v>1517</v>
      </c>
      <c r="O401" s="1">
        <v>46203</v>
      </c>
      <c r="P401" t="s">
        <v>1541</v>
      </c>
      <c r="Q401" t="s">
        <v>1542</v>
      </c>
      <c r="R401" t="s">
        <v>63</v>
      </c>
      <c r="S401" t="b">
        <v>0</v>
      </c>
      <c r="T401" t="b">
        <v>0</v>
      </c>
      <c r="U401" t="s">
        <v>1542</v>
      </c>
      <c r="V401" t="s">
        <v>120</v>
      </c>
      <c r="W401" t="s">
        <v>65</v>
      </c>
      <c r="X401" t="s">
        <v>1532</v>
      </c>
      <c r="Y401" t="s">
        <v>1533</v>
      </c>
      <c r="Z401" t="s">
        <v>1517</v>
      </c>
      <c r="AA401" t="b">
        <f>ISNUMBER(SEARCH(";"&amp;Lessons[[#This Row],[Instrument__c]]&amp;";",";"&amp;_xlfn.XLOOKUP(Lessons[[#This Row],[Instructor_External_Id__c]], Instructors[Id], Instructors[Instruments_Taught__c])&amp;";"))</f>
        <v>1</v>
      </c>
      <c r="AB401" t="str">
        <f>IF(LEFT(Lessons[[#This Row],[Status__c]],9)="Cancelled","",Lessons[[#This Row],[Instructor_External_Id__c]]&amp;"|"&amp;TEXT(Lessons[[#This Row],[Lesson_Date__c]],"yyyy-mm-dd")&amp;"|"&amp;Lessons[[#This Row],[Start_Time__c]])</f>
        <v>a06ak00000amzBjAAI|2026-06-30|18:00:00.000Z</v>
      </c>
      <c r="AC401">
        <f>IF(Lessons[[#This Row],[Double Booked Key]]="","",COUNTIF(Lessons[Double Booked Key],Lessons[[#This Row],[Double Booked Key]]))</f>
        <v>1</v>
      </c>
      <c r="AD401" s="6" t="str">
        <f>_xlfn.XLOOKUP(Lessons[[#This Row],[Location_External_Id__c]], Locations[Location Id], Locations[Location Name])</f>
        <v>Red Bank</v>
      </c>
      <c r="AE401" s="6" t="str">
        <f>TEXT(Lessons[[#This Row],[Lesson_Date__c]], "yyyy-mm")</f>
        <v>2026-06</v>
      </c>
      <c r="AF401" s="6" t="str">
        <f>IF(Lessons[[#This Row],[Lesson_Date__c]]&lt;=Data_Audit!$F$1, "Yes", "No")</f>
        <v>Yes</v>
      </c>
    </row>
    <row r="402" spans="1:32">
      <c r="A402" t="s">
        <v>52</v>
      </c>
      <c r="B402" t="s">
        <v>53</v>
      </c>
      <c r="C402">
        <v>30</v>
      </c>
      <c r="D402" t="s">
        <v>1543</v>
      </c>
      <c r="E402" t="s">
        <v>503</v>
      </c>
      <c r="F402" t="s">
        <v>504</v>
      </c>
      <c r="H402" t="s">
        <v>461</v>
      </c>
      <c r="I402" t="b">
        <v>0</v>
      </c>
      <c r="K402" t="s">
        <v>52</v>
      </c>
      <c r="L402" t="s">
        <v>1517</v>
      </c>
      <c r="O402" s="1">
        <v>46175</v>
      </c>
      <c r="P402" t="s">
        <v>1544</v>
      </c>
      <c r="Q402" t="s">
        <v>1545</v>
      </c>
      <c r="R402" t="s">
        <v>63</v>
      </c>
      <c r="S402" t="b">
        <v>0</v>
      </c>
      <c r="T402" t="b">
        <v>0</v>
      </c>
      <c r="U402" t="s">
        <v>1545</v>
      </c>
      <c r="V402" t="s">
        <v>94</v>
      </c>
      <c r="W402" t="s">
        <v>121</v>
      </c>
      <c r="X402" t="s">
        <v>1532</v>
      </c>
      <c r="Y402" t="s">
        <v>1533</v>
      </c>
      <c r="Z402" t="s">
        <v>1517</v>
      </c>
      <c r="AA402" t="b">
        <f>ISNUMBER(SEARCH(";"&amp;Lessons[[#This Row],[Instrument__c]]&amp;";",";"&amp;_xlfn.XLOOKUP(Lessons[[#This Row],[Instructor_External_Id__c]], Instructors[Id], Instructors[Instruments_Taught__c])&amp;";"))</f>
        <v>1</v>
      </c>
      <c r="AB402" t="str">
        <f>IF(LEFT(Lessons[[#This Row],[Status__c]],9)="Cancelled","",Lessons[[#This Row],[Instructor_External_Id__c]]&amp;"|"&amp;TEXT(Lessons[[#This Row],[Lesson_Date__c]],"yyyy-mm-dd")&amp;"|"&amp;Lessons[[#This Row],[Start_Time__c]])</f>
        <v>a06ak00000amzBjAAI|2026-06-02|19:00:00.000Z</v>
      </c>
      <c r="AC402">
        <f>IF(Lessons[[#This Row],[Double Booked Key]]="","",COUNTIF(Lessons[Double Booked Key],Lessons[[#This Row],[Double Booked Key]]))</f>
        <v>1</v>
      </c>
      <c r="AD402" s="6" t="str">
        <f>_xlfn.XLOOKUP(Lessons[[#This Row],[Location_External_Id__c]], Locations[Location Id], Locations[Location Name])</f>
        <v>Red Bank</v>
      </c>
      <c r="AE402" s="6" t="str">
        <f>TEXT(Lessons[[#This Row],[Lesson_Date__c]], "yyyy-mm")</f>
        <v>2026-06</v>
      </c>
      <c r="AF402" s="6" t="str">
        <f>IF(Lessons[[#This Row],[Lesson_Date__c]]&lt;=Data_Audit!$F$1, "Yes", "No")</f>
        <v>Yes</v>
      </c>
    </row>
    <row r="403" spans="1:32">
      <c r="A403" t="s">
        <v>52</v>
      </c>
      <c r="B403" t="s">
        <v>53</v>
      </c>
      <c r="C403">
        <v>30</v>
      </c>
      <c r="D403" t="s">
        <v>1546</v>
      </c>
      <c r="E403" t="s">
        <v>436</v>
      </c>
      <c r="F403" t="s">
        <v>437</v>
      </c>
      <c r="H403" t="s">
        <v>461</v>
      </c>
      <c r="I403" t="b">
        <v>0</v>
      </c>
      <c r="K403" t="s">
        <v>52</v>
      </c>
      <c r="L403" t="s">
        <v>79</v>
      </c>
      <c r="O403" s="1">
        <v>46291</v>
      </c>
      <c r="P403" t="s">
        <v>1547</v>
      </c>
      <c r="Q403" t="s">
        <v>1548</v>
      </c>
      <c r="R403" t="s">
        <v>63</v>
      </c>
      <c r="S403" t="b">
        <v>0</v>
      </c>
      <c r="T403" t="b">
        <v>0</v>
      </c>
      <c r="U403" t="s">
        <v>1548</v>
      </c>
      <c r="V403" t="s">
        <v>102</v>
      </c>
      <c r="W403" t="s">
        <v>121</v>
      </c>
      <c r="X403" t="s">
        <v>1532</v>
      </c>
      <c r="Y403" t="s">
        <v>1533</v>
      </c>
      <c r="Z403" t="s">
        <v>79</v>
      </c>
      <c r="AA403" t="b">
        <f>ISNUMBER(SEARCH(";"&amp;Lessons[[#This Row],[Instrument__c]]&amp;";",";"&amp;_xlfn.XLOOKUP(Lessons[[#This Row],[Instructor_External_Id__c]], Instructors[Id], Instructors[Instruments_Taught__c])&amp;";"))</f>
        <v>1</v>
      </c>
      <c r="AB403" t="str">
        <f>IF(LEFT(Lessons[[#This Row],[Status__c]],9)="Cancelled","",Lessons[[#This Row],[Instructor_External_Id__c]]&amp;"|"&amp;TEXT(Lessons[[#This Row],[Lesson_Date__c]],"yyyy-mm-dd")&amp;"|"&amp;Lessons[[#This Row],[Start_Time__c]])</f>
        <v>a06ak00000amzC0AAI|2026-09-26|16:00:00.000Z</v>
      </c>
      <c r="AC403">
        <f>IF(Lessons[[#This Row],[Double Booked Key]]="","",COUNTIF(Lessons[Double Booked Key],Lessons[[#This Row],[Double Booked Key]]))</f>
        <v>1</v>
      </c>
      <c r="AD403" s="6" t="str">
        <f>_xlfn.XLOOKUP(Lessons[[#This Row],[Location_External_Id__c]], Locations[Location Id], Locations[Location Name])</f>
        <v>Red Bank</v>
      </c>
      <c r="AE403" s="6" t="str">
        <f>TEXT(Lessons[[#This Row],[Lesson_Date__c]], "yyyy-mm")</f>
        <v>2026-09</v>
      </c>
      <c r="AF403" s="6" t="str">
        <f>IF(Lessons[[#This Row],[Lesson_Date__c]]&lt;=Data_Audit!$F$1, "Yes", "No")</f>
        <v>Yes</v>
      </c>
    </row>
    <row r="404" spans="1:32">
      <c r="A404" t="s">
        <v>52</v>
      </c>
      <c r="B404" t="s">
        <v>53</v>
      </c>
      <c r="C404">
        <v>30</v>
      </c>
      <c r="D404" t="s">
        <v>1549</v>
      </c>
      <c r="E404" t="s">
        <v>503</v>
      </c>
      <c r="F404" t="s">
        <v>504</v>
      </c>
      <c r="G404" t="s">
        <v>106</v>
      </c>
      <c r="H404" t="s">
        <v>461</v>
      </c>
      <c r="I404" t="b">
        <v>0</v>
      </c>
      <c r="K404" t="s">
        <v>52</v>
      </c>
      <c r="L404" t="s">
        <v>1517</v>
      </c>
      <c r="O404" s="1">
        <v>46107</v>
      </c>
      <c r="P404" t="s">
        <v>1550</v>
      </c>
      <c r="Q404" t="s">
        <v>1551</v>
      </c>
      <c r="R404" t="s">
        <v>63</v>
      </c>
      <c r="S404" t="b">
        <v>0</v>
      </c>
      <c r="T404" t="b">
        <v>0</v>
      </c>
      <c r="U404" t="s">
        <v>1551</v>
      </c>
      <c r="V404" t="s">
        <v>140</v>
      </c>
      <c r="W404" t="s">
        <v>65</v>
      </c>
      <c r="X404" t="s">
        <v>1532</v>
      </c>
      <c r="Y404" t="s">
        <v>1533</v>
      </c>
      <c r="Z404" t="s">
        <v>1517</v>
      </c>
      <c r="AA404" t="b">
        <f>ISNUMBER(SEARCH(";"&amp;Lessons[[#This Row],[Instrument__c]]&amp;";",";"&amp;_xlfn.XLOOKUP(Lessons[[#This Row],[Instructor_External_Id__c]], Instructors[Id], Instructors[Instruments_Taught__c])&amp;";"))</f>
        <v>1</v>
      </c>
      <c r="AB404" t="str">
        <f>IF(LEFT(Lessons[[#This Row],[Status__c]],9)="Cancelled","",Lessons[[#This Row],[Instructor_External_Id__c]]&amp;"|"&amp;TEXT(Lessons[[#This Row],[Lesson_Date__c]],"yyyy-mm-dd")&amp;"|"&amp;Lessons[[#This Row],[Start_Time__c]])</f>
        <v>a06ak00000amzBjAAI|2026-03-26|15:00:00.000Z</v>
      </c>
      <c r="AC404">
        <f>IF(Lessons[[#This Row],[Double Booked Key]]="","",COUNTIF(Lessons[Double Booked Key],Lessons[[#This Row],[Double Booked Key]]))</f>
        <v>1</v>
      </c>
      <c r="AD404" s="6" t="str">
        <f>_xlfn.XLOOKUP(Lessons[[#This Row],[Location_External_Id__c]], Locations[Location Id], Locations[Location Name])</f>
        <v>Red Bank</v>
      </c>
      <c r="AE404" s="6" t="str">
        <f>TEXT(Lessons[[#This Row],[Lesson_Date__c]], "yyyy-mm")</f>
        <v>2026-03</v>
      </c>
      <c r="AF404" s="6" t="str">
        <f>IF(Lessons[[#This Row],[Lesson_Date__c]]&lt;=Data_Audit!$F$1, "Yes", "No")</f>
        <v>Yes</v>
      </c>
    </row>
    <row r="405" spans="1:32">
      <c r="A405" t="s">
        <v>52</v>
      </c>
      <c r="B405" t="s">
        <v>53</v>
      </c>
      <c r="C405">
        <v>45</v>
      </c>
      <c r="D405" t="s">
        <v>1552</v>
      </c>
      <c r="E405" t="s">
        <v>503</v>
      </c>
      <c r="F405" t="s">
        <v>504</v>
      </c>
      <c r="G405" t="s">
        <v>99</v>
      </c>
      <c r="H405" t="s">
        <v>461</v>
      </c>
      <c r="I405" t="b">
        <v>0</v>
      </c>
      <c r="K405" t="s">
        <v>52</v>
      </c>
      <c r="L405" t="s">
        <v>1517</v>
      </c>
      <c r="O405" s="1">
        <v>46092</v>
      </c>
      <c r="P405" t="s">
        <v>1553</v>
      </c>
      <c r="Q405" t="s">
        <v>1554</v>
      </c>
      <c r="R405" t="s">
        <v>63</v>
      </c>
      <c r="S405" t="b">
        <v>0</v>
      </c>
      <c r="T405" t="b">
        <v>0</v>
      </c>
      <c r="U405" t="s">
        <v>1554</v>
      </c>
      <c r="V405" t="s">
        <v>140</v>
      </c>
      <c r="W405" t="s">
        <v>65</v>
      </c>
      <c r="X405" t="s">
        <v>1532</v>
      </c>
      <c r="Y405" t="s">
        <v>1533</v>
      </c>
      <c r="Z405" t="s">
        <v>1517</v>
      </c>
      <c r="AA405" t="b">
        <f>ISNUMBER(SEARCH(";"&amp;Lessons[[#This Row],[Instrument__c]]&amp;";",";"&amp;_xlfn.XLOOKUP(Lessons[[#This Row],[Instructor_External_Id__c]], Instructors[Id], Instructors[Instruments_Taught__c])&amp;";"))</f>
        <v>1</v>
      </c>
      <c r="AB405" t="str">
        <f>IF(LEFT(Lessons[[#This Row],[Status__c]],9)="Cancelled","",Lessons[[#This Row],[Instructor_External_Id__c]]&amp;"|"&amp;TEXT(Lessons[[#This Row],[Lesson_Date__c]],"yyyy-mm-dd")&amp;"|"&amp;Lessons[[#This Row],[Start_Time__c]])</f>
        <v>a06ak00000amzBjAAI|2026-03-11|15:00:00.000Z</v>
      </c>
      <c r="AC405">
        <f>IF(Lessons[[#This Row],[Double Booked Key]]="","",COUNTIF(Lessons[Double Booked Key],Lessons[[#This Row],[Double Booked Key]]))</f>
        <v>1</v>
      </c>
      <c r="AD405" s="6" t="str">
        <f>_xlfn.XLOOKUP(Lessons[[#This Row],[Location_External_Id__c]], Locations[Location Id], Locations[Location Name])</f>
        <v>Red Bank</v>
      </c>
      <c r="AE405" s="6" t="str">
        <f>TEXT(Lessons[[#This Row],[Lesson_Date__c]], "yyyy-mm")</f>
        <v>2026-03</v>
      </c>
      <c r="AF405" s="6" t="str">
        <f>IF(Lessons[[#This Row],[Lesson_Date__c]]&lt;=Data_Audit!$F$1, "Yes", "No")</f>
        <v>Yes</v>
      </c>
    </row>
    <row r="406" spans="1:32">
      <c r="A406" t="s">
        <v>52</v>
      </c>
      <c r="B406" t="s">
        <v>53</v>
      </c>
      <c r="C406">
        <v>30</v>
      </c>
      <c r="D406" t="s">
        <v>1555</v>
      </c>
      <c r="E406" t="s">
        <v>503</v>
      </c>
      <c r="F406" t="s">
        <v>504</v>
      </c>
      <c r="H406" t="s">
        <v>461</v>
      </c>
      <c r="I406" t="b">
        <v>0</v>
      </c>
      <c r="K406" t="s">
        <v>52</v>
      </c>
      <c r="L406" t="s">
        <v>1517</v>
      </c>
      <c r="O406" s="1">
        <v>46096</v>
      </c>
      <c r="P406" t="s">
        <v>1556</v>
      </c>
      <c r="Q406" t="s">
        <v>1557</v>
      </c>
      <c r="R406" t="s">
        <v>63</v>
      </c>
      <c r="S406" t="b">
        <v>0</v>
      </c>
      <c r="T406" t="b">
        <v>0</v>
      </c>
      <c r="U406" t="s">
        <v>1557</v>
      </c>
      <c r="V406" t="s">
        <v>116</v>
      </c>
      <c r="W406" t="s">
        <v>65</v>
      </c>
      <c r="X406" t="s">
        <v>1532</v>
      </c>
      <c r="Y406" t="s">
        <v>1533</v>
      </c>
      <c r="Z406" t="s">
        <v>1517</v>
      </c>
      <c r="AA406" t="b">
        <f>ISNUMBER(SEARCH(";"&amp;Lessons[[#This Row],[Instrument__c]]&amp;";",";"&amp;_xlfn.XLOOKUP(Lessons[[#This Row],[Instructor_External_Id__c]], Instructors[Id], Instructors[Instruments_Taught__c])&amp;";"))</f>
        <v>1</v>
      </c>
      <c r="AB406" t="str">
        <f>IF(LEFT(Lessons[[#This Row],[Status__c]],9)="Cancelled","",Lessons[[#This Row],[Instructor_External_Id__c]]&amp;"|"&amp;TEXT(Lessons[[#This Row],[Lesson_Date__c]],"yyyy-mm-dd")&amp;"|"&amp;Lessons[[#This Row],[Start_Time__c]])</f>
        <v>a06ak00000amzBjAAI|2026-03-15|17:30:00.000Z</v>
      </c>
      <c r="AC406">
        <f>IF(Lessons[[#This Row],[Double Booked Key]]="","",COUNTIF(Lessons[Double Booked Key],Lessons[[#This Row],[Double Booked Key]]))</f>
        <v>1</v>
      </c>
      <c r="AD406" s="6" t="str">
        <f>_xlfn.XLOOKUP(Lessons[[#This Row],[Location_External_Id__c]], Locations[Location Id], Locations[Location Name])</f>
        <v>Red Bank</v>
      </c>
      <c r="AE406" s="6" t="str">
        <f>TEXT(Lessons[[#This Row],[Lesson_Date__c]], "yyyy-mm")</f>
        <v>2026-03</v>
      </c>
      <c r="AF406" s="6" t="str">
        <f>IF(Lessons[[#This Row],[Lesson_Date__c]]&lt;=Data_Audit!$F$1, "Yes", "No")</f>
        <v>Yes</v>
      </c>
    </row>
    <row r="407" spans="1:32">
      <c r="A407" t="s">
        <v>52</v>
      </c>
      <c r="B407" t="s">
        <v>53</v>
      </c>
      <c r="C407">
        <v>60</v>
      </c>
      <c r="D407" t="s">
        <v>1558</v>
      </c>
      <c r="E407" t="s">
        <v>401</v>
      </c>
      <c r="F407" t="s">
        <v>402</v>
      </c>
      <c r="G407" t="s">
        <v>106</v>
      </c>
      <c r="H407" t="s">
        <v>263</v>
      </c>
      <c r="I407" t="b">
        <v>0</v>
      </c>
      <c r="K407" t="s">
        <v>52</v>
      </c>
      <c r="L407" t="s">
        <v>1517</v>
      </c>
      <c r="O407" s="1">
        <v>46069</v>
      </c>
      <c r="P407" t="s">
        <v>1559</v>
      </c>
      <c r="Q407" t="s">
        <v>1560</v>
      </c>
      <c r="R407" t="s">
        <v>83</v>
      </c>
      <c r="S407" t="b">
        <v>0</v>
      </c>
      <c r="T407" t="b">
        <v>0</v>
      </c>
      <c r="U407" t="s">
        <v>1560</v>
      </c>
      <c r="V407" t="s">
        <v>94</v>
      </c>
      <c r="W407" t="s">
        <v>65</v>
      </c>
      <c r="X407" t="s">
        <v>1561</v>
      </c>
      <c r="Y407" t="s">
        <v>1562</v>
      </c>
      <c r="Z407" t="s">
        <v>1517</v>
      </c>
      <c r="AA407" t="b">
        <f>ISNUMBER(SEARCH(";"&amp;Lessons[[#This Row],[Instrument__c]]&amp;";",";"&amp;_xlfn.XLOOKUP(Lessons[[#This Row],[Instructor_External_Id__c]], Instructors[Id], Instructors[Instruments_Taught__c])&amp;";"))</f>
        <v>1</v>
      </c>
      <c r="AB407" t="str">
        <f>IF(LEFT(Lessons[[#This Row],[Status__c]],9)="Cancelled","",Lessons[[#This Row],[Instructor_External_Id__c]]&amp;"|"&amp;TEXT(Lessons[[#This Row],[Lesson_Date__c]],"yyyy-mm-dd")&amp;"|"&amp;Lessons[[#This Row],[Start_Time__c]])</f>
        <v>a06ak00000amzBfAAI|2026-02-16|19:00:00.000Z</v>
      </c>
      <c r="AC407">
        <f>IF(Lessons[[#This Row],[Double Booked Key]]="","",COUNTIF(Lessons[Double Booked Key],Lessons[[#This Row],[Double Booked Key]]))</f>
        <v>1</v>
      </c>
      <c r="AD407" s="6" t="str">
        <f>_xlfn.XLOOKUP(Lessons[[#This Row],[Location_External_Id__c]], Locations[Location Id], Locations[Location Name])</f>
        <v>Brick</v>
      </c>
      <c r="AE407" s="6" t="str">
        <f>TEXT(Lessons[[#This Row],[Lesson_Date__c]], "yyyy-mm")</f>
        <v>2026-02</v>
      </c>
      <c r="AF407" s="6" t="str">
        <f>IF(Lessons[[#This Row],[Lesson_Date__c]]&lt;=Data_Audit!$F$1, "Yes", "No")</f>
        <v>Yes</v>
      </c>
    </row>
    <row r="408" spans="1:32">
      <c r="A408" t="s">
        <v>52</v>
      </c>
      <c r="B408" t="s">
        <v>53</v>
      </c>
      <c r="C408">
        <v>45</v>
      </c>
      <c r="D408" t="s">
        <v>1563</v>
      </c>
      <c r="E408" t="s">
        <v>401</v>
      </c>
      <c r="F408" t="s">
        <v>402</v>
      </c>
      <c r="G408" t="s">
        <v>69</v>
      </c>
      <c r="H408" t="s">
        <v>263</v>
      </c>
      <c r="I408" t="b">
        <v>0</v>
      </c>
      <c r="K408" t="s">
        <v>52</v>
      </c>
      <c r="L408" t="s">
        <v>1517</v>
      </c>
      <c r="O408" s="1">
        <v>46288</v>
      </c>
      <c r="P408" t="s">
        <v>1564</v>
      </c>
      <c r="Q408" t="s">
        <v>1565</v>
      </c>
      <c r="R408" t="s">
        <v>83</v>
      </c>
      <c r="S408" t="b">
        <v>0</v>
      </c>
      <c r="T408" t="b">
        <v>0</v>
      </c>
      <c r="U408" t="s">
        <v>1565</v>
      </c>
      <c r="V408" t="s">
        <v>120</v>
      </c>
      <c r="W408" t="s">
        <v>65</v>
      </c>
      <c r="X408" t="s">
        <v>1561</v>
      </c>
      <c r="Y408" t="s">
        <v>1562</v>
      </c>
      <c r="Z408" t="s">
        <v>1517</v>
      </c>
      <c r="AA408" t="b">
        <f>ISNUMBER(SEARCH(";"&amp;Lessons[[#This Row],[Instrument__c]]&amp;";",";"&amp;_xlfn.XLOOKUP(Lessons[[#This Row],[Instructor_External_Id__c]], Instructors[Id], Instructors[Instruments_Taught__c])&amp;";"))</f>
        <v>1</v>
      </c>
      <c r="AB408" t="str">
        <f>IF(LEFT(Lessons[[#This Row],[Status__c]],9)="Cancelled","",Lessons[[#This Row],[Instructor_External_Id__c]]&amp;"|"&amp;TEXT(Lessons[[#This Row],[Lesson_Date__c]],"yyyy-mm-dd")&amp;"|"&amp;Lessons[[#This Row],[Start_Time__c]])</f>
        <v>a06ak00000amzBfAAI|2026-09-23|18:00:00.000Z</v>
      </c>
      <c r="AC408">
        <f>IF(Lessons[[#This Row],[Double Booked Key]]="","",COUNTIF(Lessons[Double Booked Key],Lessons[[#This Row],[Double Booked Key]]))</f>
        <v>1</v>
      </c>
      <c r="AD408" s="6" t="str">
        <f>_xlfn.XLOOKUP(Lessons[[#This Row],[Location_External_Id__c]], Locations[Location Id], Locations[Location Name])</f>
        <v>Brick</v>
      </c>
      <c r="AE408" s="6" t="str">
        <f>TEXT(Lessons[[#This Row],[Lesson_Date__c]], "yyyy-mm")</f>
        <v>2026-09</v>
      </c>
      <c r="AF408" s="6" t="str">
        <f>IF(Lessons[[#This Row],[Lesson_Date__c]]&lt;=Data_Audit!$F$1, "Yes", "No")</f>
        <v>Yes</v>
      </c>
    </row>
    <row r="409" spans="1:32">
      <c r="A409" t="s">
        <v>52</v>
      </c>
      <c r="B409" t="s">
        <v>53</v>
      </c>
      <c r="C409">
        <v>45</v>
      </c>
      <c r="D409" t="s">
        <v>1566</v>
      </c>
      <c r="E409" t="s">
        <v>1076</v>
      </c>
      <c r="F409" t="s">
        <v>1077</v>
      </c>
      <c r="G409" t="s">
        <v>57</v>
      </c>
      <c r="H409" t="s">
        <v>263</v>
      </c>
      <c r="I409" t="b">
        <v>0</v>
      </c>
      <c r="K409" t="s">
        <v>52</v>
      </c>
      <c r="L409" t="s">
        <v>91</v>
      </c>
      <c r="O409" s="1">
        <v>46092</v>
      </c>
      <c r="P409" t="s">
        <v>1567</v>
      </c>
      <c r="Q409" t="s">
        <v>1568</v>
      </c>
      <c r="R409" t="s">
        <v>83</v>
      </c>
      <c r="S409" t="b">
        <v>0</v>
      </c>
      <c r="T409" t="b">
        <v>0</v>
      </c>
      <c r="U409" t="s">
        <v>1568</v>
      </c>
      <c r="V409" t="s">
        <v>110</v>
      </c>
      <c r="W409" t="s">
        <v>95</v>
      </c>
      <c r="X409" t="s">
        <v>1561</v>
      </c>
      <c r="Y409" t="s">
        <v>1562</v>
      </c>
      <c r="Z409" t="s">
        <v>91</v>
      </c>
      <c r="AA409" t="b">
        <f>ISNUMBER(SEARCH(";"&amp;Lessons[[#This Row],[Instrument__c]]&amp;";",";"&amp;_xlfn.XLOOKUP(Lessons[[#This Row],[Instructor_External_Id__c]], Instructors[Id], Instructors[Instruments_Taught__c])&amp;";"))</f>
        <v>0</v>
      </c>
      <c r="AB409" t="str">
        <f>IF(LEFT(Lessons[[#This Row],[Status__c]],9)="Cancelled","",Lessons[[#This Row],[Instructor_External_Id__c]]&amp;"|"&amp;TEXT(Lessons[[#This Row],[Lesson_Date__c]],"yyyy-mm-dd")&amp;"|"&amp;Lessons[[#This Row],[Start_Time__c]])</f>
        <v>a06ak00000amzBsAAI|2026-03-11|10:00:00.000Z</v>
      </c>
      <c r="AC409">
        <f>IF(Lessons[[#This Row],[Double Booked Key]]="","",COUNTIF(Lessons[Double Booked Key],Lessons[[#This Row],[Double Booked Key]]))</f>
        <v>1</v>
      </c>
      <c r="AD409" s="6" t="str">
        <f>_xlfn.XLOOKUP(Lessons[[#This Row],[Location_External_Id__c]], Locations[Location Id], Locations[Location Name])</f>
        <v>Brick</v>
      </c>
      <c r="AE409" s="6" t="str">
        <f>TEXT(Lessons[[#This Row],[Lesson_Date__c]], "yyyy-mm")</f>
        <v>2026-03</v>
      </c>
      <c r="AF409" s="6" t="str">
        <f>IF(Lessons[[#This Row],[Lesson_Date__c]]&lt;=Data_Audit!$F$1, "Yes", "No")</f>
        <v>Yes</v>
      </c>
    </row>
    <row r="410" spans="1:32">
      <c r="A410" t="s">
        <v>52</v>
      </c>
      <c r="B410" t="s">
        <v>53</v>
      </c>
      <c r="C410">
        <v>60</v>
      </c>
      <c r="D410" t="s">
        <v>1569</v>
      </c>
      <c r="E410" t="s">
        <v>401</v>
      </c>
      <c r="F410" t="s">
        <v>402</v>
      </c>
      <c r="H410" t="s">
        <v>263</v>
      </c>
      <c r="I410" t="b">
        <v>0</v>
      </c>
      <c r="K410" t="s">
        <v>52</v>
      </c>
      <c r="L410" t="s">
        <v>1517</v>
      </c>
      <c r="O410" s="1">
        <v>46148</v>
      </c>
      <c r="P410" t="s">
        <v>1570</v>
      </c>
      <c r="Q410" t="s">
        <v>1571</v>
      </c>
      <c r="R410" t="s">
        <v>83</v>
      </c>
      <c r="S410" t="b">
        <v>0</v>
      </c>
      <c r="T410" t="b">
        <v>0</v>
      </c>
      <c r="U410" t="s">
        <v>1571</v>
      </c>
      <c r="V410" t="s">
        <v>128</v>
      </c>
      <c r="W410" t="s">
        <v>65</v>
      </c>
      <c r="X410" t="s">
        <v>1561</v>
      </c>
      <c r="Y410" t="s">
        <v>1562</v>
      </c>
      <c r="Z410" t="s">
        <v>1517</v>
      </c>
      <c r="AA410" t="b">
        <f>ISNUMBER(SEARCH(";"&amp;Lessons[[#This Row],[Instrument__c]]&amp;";",";"&amp;_xlfn.XLOOKUP(Lessons[[#This Row],[Instructor_External_Id__c]], Instructors[Id], Instructors[Instruments_Taught__c])&amp;";"))</f>
        <v>1</v>
      </c>
      <c r="AB410" t="str">
        <f>IF(LEFT(Lessons[[#This Row],[Status__c]],9)="Cancelled","",Lessons[[#This Row],[Instructor_External_Id__c]]&amp;"|"&amp;TEXT(Lessons[[#This Row],[Lesson_Date__c]],"yyyy-mm-dd")&amp;"|"&amp;Lessons[[#This Row],[Start_Time__c]])</f>
        <v>a06ak00000amzBfAAI|2026-05-06|18:30:00.000Z</v>
      </c>
      <c r="AC410">
        <f>IF(Lessons[[#This Row],[Double Booked Key]]="","",COUNTIF(Lessons[Double Booked Key],Lessons[[#This Row],[Double Booked Key]]))</f>
        <v>1</v>
      </c>
      <c r="AD410" s="6" t="str">
        <f>_xlfn.XLOOKUP(Lessons[[#This Row],[Location_External_Id__c]], Locations[Location Id], Locations[Location Name])</f>
        <v>Brick</v>
      </c>
      <c r="AE410" s="6" t="str">
        <f>TEXT(Lessons[[#This Row],[Lesson_Date__c]], "yyyy-mm")</f>
        <v>2026-05</v>
      </c>
      <c r="AF410" s="6" t="str">
        <f>IF(Lessons[[#This Row],[Lesson_Date__c]]&lt;=Data_Audit!$F$1, "Yes", "No")</f>
        <v>Yes</v>
      </c>
    </row>
    <row r="411" spans="1:32">
      <c r="A411" t="s">
        <v>52</v>
      </c>
      <c r="B411" t="s">
        <v>53</v>
      </c>
      <c r="C411">
        <v>30</v>
      </c>
      <c r="D411" t="s">
        <v>1572</v>
      </c>
      <c r="E411" t="s">
        <v>401</v>
      </c>
      <c r="F411" t="s">
        <v>402</v>
      </c>
      <c r="G411" t="s">
        <v>69</v>
      </c>
      <c r="H411" t="s">
        <v>263</v>
      </c>
      <c r="I411" t="b">
        <v>0</v>
      </c>
      <c r="K411" t="s">
        <v>52</v>
      </c>
      <c r="L411" t="s">
        <v>1517</v>
      </c>
      <c r="O411" s="1">
        <v>46252</v>
      </c>
      <c r="P411" t="s">
        <v>1573</v>
      </c>
      <c r="Q411" t="s">
        <v>1574</v>
      </c>
      <c r="R411" t="s">
        <v>83</v>
      </c>
      <c r="S411" t="b">
        <v>0</v>
      </c>
      <c r="T411" t="b">
        <v>0</v>
      </c>
      <c r="U411" t="s">
        <v>1574</v>
      </c>
      <c r="V411" t="s">
        <v>128</v>
      </c>
      <c r="W411" t="s">
        <v>65</v>
      </c>
      <c r="X411" t="s">
        <v>1561</v>
      </c>
      <c r="Y411" t="s">
        <v>1562</v>
      </c>
      <c r="Z411" t="s">
        <v>1517</v>
      </c>
      <c r="AA411" t="b">
        <f>ISNUMBER(SEARCH(";"&amp;Lessons[[#This Row],[Instrument__c]]&amp;";",";"&amp;_xlfn.XLOOKUP(Lessons[[#This Row],[Instructor_External_Id__c]], Instructors[Id], Instructors[Instruments_Taught__c])&amp;";"))</f>
        <v>1</v>
      </c>
      <c r="AB411" t="str">
        <f>IF(LEFT(Lessons[[#This Row],[Status__c]],9)="Cancelled","",Lessons[[#This Row],[Instructor_External_Id__c]]&amp;"|"&amp;TEXT(Lessons[[#This Row],[Lesson_Date__c]],"yyyy-mm-dd")&amp;"|"&amp;Lessons[[#This Row],[Start_Time__c]])</f>
        <v>a06ak00000amzBfAAI|2026-08-18|18:30:00.000Z</v>
      </c>
      <c r="AC411">
        <f>IF(Lessons[[#This Row],[Double Booked Key]]="","",COUNTIF(Lessons[Double Booked Key],Lessons[[#This Row],[Double Booked Key]]))</f>
        <v>1</v>
      </c>
      <c r="AD411" s="6" t="str">
        <f>_xlfn.XLOOKUP(Lessons[[#This Row],[Location_External_Id__c]], Locations[Location Id], Locations[Location Name])</f>
        <v>Brick</v>
      </c>
      <c r="AE411" s="6" t="str">
        <f>TEXT(Lessons[[#This Row],[Lesson_Date__c]], "yyyy-mm")</f>
        <v>2026-08</v>
      </c>
      <c r="AF411" s="6" t="str">
        <f>IF(Lessons[[#This Row],[Lesson_Date__c]]&lt;=Data_Audit!$F$1, "Yes", "No")</f>
        <v>Yes</v>
      </c>
    </row>
    <row r="412" spans="1:32">
      <c r="A412" t="s">
        <v>52</v>
      </c>
      <c r="B412" t="s">
        <v>53</v>
      </c>
      <c r="C412">
        <v>30</v>
      </c>
      <c r="D412" t="s">
        <v>1575</v>
      </c>
      <c r="E412" t="s">
        <v>713</v>
      </c>
      <c r="F412" t="s">
        <v>714</v>
      </c>
      <c r="H412" t="s">
        <v>107</v>
      </c>
      <c r="I412" t="b">
        <v>0</v>
      </c>
      <c r="K412" t="s">
        <v>52</v>
      </c>
      <c r="L412" t="s">
        <v>1517</v>
      </c>
      <c r="O412" s="1">
        <v>46144</v>
      </c>
      <c r="P412" t="s">
        <v>1576</v>
      </c>
      <c r="Q412" t="s">
        <v>1577</v>
      </c>
      <c r="R412" t="s">
        <v>83</v>
      </c>
      <c r="S412" t="b">
        <v>0</v>
      </c>
      <c r="T412" t="b">
        <v>0</v>
      </c>
      <c r="U412" t="s">
        <v>1577</v>
      </c>
      <c r="V412" t="s">
        <v>110</v>
      </c>
      <c r="W412" t="s">
        <v>65</v>
      </c>
      <c r="X412" t="s">
        <v>1578</v>
      </c>
      <c r="Y412" t="s">
        <v>1579</v>
      </c>
      <c r="Z412" t="s">
        <v>1517</v>
      </c>
      <c r="AA412" t="b">
        <f>ISNUMBER(SEARCH(";"&amp;Lessons[[#This Row],[Instrument__c]]&amp;";",";"&amp;_xlfn.XLOOKUP(Lessons[[#This Row],[Instructor_External_Id__c]], Instructors[Id], Instructors[Instruments_Taught__c])&amp;";"))</f>
        <v>1</v>
      </c>
      <c r="AB412" t="str">
        <f>IF(LEFT(Lessons[[#This Row],[Status__c]],9)="Cancelled","",Lessons[[#This Row],[Instructor_External_Id__c]]&amp;"|"&amp;TEXT(Lessons[[#This Row],[Lesson_Date__c]],"yyyy-mm-dd")&amp;"|"&amp;Lessons[[#This Row],[Start_Time__c]])</f>
        <v>a06ak00000amzC4AAI|2026-05-02|10:00:00.000Z</v>
      </c>
      <c r="AC412">
        <f>IF(Lessons[[#This Row],[Double Booked Key]]="","",COUNTIF(Lessons[Double Booked Key],Lessons[[#This Row],[Double Booked Key]]))</f>
        <v>1</v>
      </c>
      <c r="AD412" s="6" t="str">
        <f>_xlfn.XLOOKUP(Lessons[[#This Row],[Location_External_Id__c]], Locations[Location Id], Locations[Location Name])</f>
        <v>Brick</v>
      </c>
      <c r="AE412" s="6" t="str">
        <f>TEXT(Lessons[[#This Row],[Lesson_Date__c]], "yyyy-mm")</f>
        <v>2026-05</v>
      </c>
      <c r="AF412" s="6" t="str">
        <f>IF(Lessons[[#This Row],[Lesson_Date__c]]&lt;=Data_Audit!$F$1, "Yes", "No")</f>
        <v>Yes</v>
      </c>
    </row>
    <row r="413" spans="1:32">
      <c r="A413" t="s">
        <v>52</v>
      </c>
      <c r="B413" t="s">
        <v>53</v>
      </c>
      <c r="C413">
        <v>60</v>
      </c>
      <c r="D413" t="s">
        <v>1580</v>
      </c>
      <c r="E413" t="s">
        <v>713</v>
      </c>
      <c r="F413" t="s">
        <v>714</v>
      </c>
      <c r="H413" t="s">
        <v>107</v>
      </c>
      <c r="I413" t="b">
        <v>0</v>
      </c>
      <c r="K413" t="s">
        <v>52</v>
      </c>
      <c r="L413" t="s">
        <v>1517</v>
      </c>
      <c r="O413" s="1">
        <v>46194</v>
      </c>
      <c r="P413" t="s">
        <v>1581</v>
      </c>
      <c r="Q413" t="s">
        <v>1582</v>
      </c>
      <c r="R413" t="s">
        <v>83</v>
      </c>
      <c r="S413" t="b">
        <v>0</v>
      </c>
      <c r="T413" t="b">
        <v>0</v>
      </c>
      <c r="U413" t="s">
        <v>1582</v>
      </c>
      <c r="V413" t="s">
        <v>64</v>
      </c>
      <c r="W413" t="s">
        <v>85</v>
      </c>
      <c r="X413" t="s">
        <v>1578</v>
      </c>
      <c r="Y413" t="s">
        <v>1579</v>
      </c>
      <c r="Z413" t="s">
        <v>1517</v>
      </c>
      <c r="AA413" t="b">
        <f>ISNUMBER(SEARCH(";"&amp;Lessons[[#This Row],[Instrument__c]]&amp;";",";"&amp;_xlfn.XLOOKUP(Lessons[[#This Row],[Instructor_External_Id__c]], Instructors[Id], Instructors[Instruments_Taught__c])&amp;";"))</f>
        <v>1</v>
      </c>
      <c r="AB413" t="str">
        <f>IF(LEFT(Lessons[[#This Row],[Status__c]],9)="Cancelled","",Lessons[[#This Row],[Instructor_External_Id__c]]&amp;"|"&amp;TEXT(Lessons[[#This Row],[Lesson_Date__c]],"yyyy-mm-dd")&amp;"|"&amp;Lessons[[#This Row],[Start_Time__c]])</f>
        <v/>
      </c>
      <c r="AC413" t="str">
        <f>IF(Lessons[[#This Row],[Double Booked Key]]="","",COUNTIF(Lessons[Double Booked Key],Lessons[[#This Row],[Double Booked Key]]))</f>
        <v/>
      </c>
      <c r="AD413" s="6" t="str">
        <f>_xlfn.XLOOKUP(Lessons[[#This Row],[Location_External_Id__c]], Locations[Location Id], Locations[Location Name])</f>
        <v>Brick</v>
      </c>
      <c r="AE413" s="6" t="str">
        <f>TEXT(Lessons[[#This Row],[Lesson_Date__c]], "yyyy-mm")</f>
        <v>2026-06</v>
      </c>
      <c r="AF413" s="6" t="str">
        <f>IF(Lessons[[#This Row],[Lesson_Date__c]]&lt;=Data_Audit!$F$1, "Yes", "No")</f>
        <v>Yes</v>
      </c>
    </row>
    <row r="414" spans="1:32">
      <c r="A414" t="s">
        <v>52</v>
      </c>
      <c r="B414" t="s">
        <v>53</v>
      </c>
      <c r="C414">
        <v>60</v>
      </c>
      <c r="D414" t="s">
        <v>1583</v>
      </c>
      <c r="E414" t="s">
        <v>713</v>
      </c>
      <c r="F414" t="s">
        <v>714</v>
      </c>
      <c r="G414" t="s">
        <v>164</v>
      </c>
      <c r="H414" t="s">
        <v>107</v>
      </c>
      <c r="I414" t="b">
        <v>0</v>
      </c>
      <c r="K414" t="s">
        <v>52</v>
      </c>
      <c r="L414" t="s">
        <v>1517</v>
      </c>
      <c r="O414" s="1">
        <v>46088</v>
      </c>
      <c r="P414" t="s">
        <v>1584</v>
      </c>
      <c r="Q414" t="s">
        <v>1585</v>
      </c>
      <c r="R414" t="s">
        <v>83</v>
      </c>
      <c r="S414" t="b">
        <v>0</v>
      </c>
      <c r="T414" t="b">
        <v>0</v>
      </c>
      <c r="U414" t="s">
        <v>1585</v>
      </c>
      <c r="V414" t="s">
        <v>110</v>
      </c>
      <c r="W414" t="s">
        <v>65</v>
      </c>
      <c r="X414" t="s">
        <v>1578</v>
      </c>
      <c r="Y414" t="s">
        <v>1579</v>
      </c>
      <c r="Z414" t="s">
        <v>1517</v>
      </c>
      <c r="AA414" t="b">
        <f>ISNUMBER(SEARCH(";"&amp;Lessons[[#This Row],[Instrument__c]]&amp;";",";"&amp;_xlfn.XLOOKUP(Lessons[[#This Row],[Instructor_External_Id__c]], Instructors[Id], Instructors[Instruments_Taught__c])&amp;";"))</f>
        <v>1</v>
      </c>
      <c r="AB414" t="str">
        <f>IF(LEFT(Lessons[[#This Row],[Status__c]],9)="Cancelled","",Lessons[[#This Row],[Instructor_External_Id__c]]&amp;"|"&amp;TEXT(Lessons[[#This Row],[Lesson_Date__c]],"yyyy-mm-dd")&amp;"|"&amp;Lessons[[#This Row],[Start_Time__c]])</f>
        <v>a06ak00000amzC4AAI|2026-03-07|10:00:00.000Z</v>
      </c>
      <c r="AC414">
        <f>IF(Lessons[[#This Row],[Double Booked Key]]="","",COUNTIF(Lessons[Double Booked Key],Lessons[[#This Row],[Double Booked Key]]))</f>
        <v>1</v>
      </c>
      <c r="AD414" s="6" t="str">
        <f>_xlfn.XLOOKUP(Lessons[[#This Row],[Location_External_Id__c]], Locations[Location Id], Locations[Location Name])</f>
        <v>Brick</v>
      </c>
      <c r="AE414" s="6" t="str">
        <f>TEXT(Lessons[[#This Row],[Lesson_Date__c]], "yyyy-mm")</f>
        <v>2026-03</v>
      </c>
      <c r="AF414" s="6" t="str">
        <f>IF(Lessons[[#This Row],[Lesson_Date__c]]&lt;=Data_Audit!$F$1, "Yes", "No")</f>
        <v>Yes</v>
      </c>
    </row>
    <row r="415" spans="1:32">
      <c r="A415" t="s">
        <v>52</v>
      </c>
      <c r="B415" t="s">
        <v>53</v>
      </c>
      <c r="C415">
        <v>45</v>
      </c>
      <c r="D415" t="s">
        <v>1586</v>
      </c>
      <c r="E415" t="s">
        <v>104</v>
      </c>
      <c r="F415" t="s">
        <v>105</v>
      </c>
      <c r="G415" t="s">
        <v>69</v>
      </c>
      <c r="H415" t="s">
        <v>107</v>
      </c>
      <c r="I415" t="b">
        <v>0</v>
      </c>
      <c r="K415" t="s">
        <v>52</v>
      </c>
      <c r="L415" t="s">
        <v>1517</v>
      </c>
      <c r="O415" s="1">
        <v>46226</v>
      </c>
      <c r="P415" t="s">
        <v>1587</v>
      </c>
      <c r="Q415" t="s">
        <v>1588</v>
      </c>
      <c r="R415" t="s">
        <v>63</v>
      </c>
      <c r="S415" t="b">
        <v>0</v>
      </c>
      <c r="T415" t="b">
        <v>0</v>
      </c>
      <c r="U415" t="s">
        <v>1588</v>
      </c>
      <c r="V415" t="s">
        <v>74</v>
      </c>
      <c r="W415" t="s">
        <v>65</v>
      </c>
      <c r="X415" t="s">
        <v>1589</v>
      </c>
      <c r="Y415" t="s">
        <v>1590</v>
      </c>
      <c r="Z415" t="s">
        <v>1517</v>
      </c>
      <c r="AA415" t="b">
        <f>ISNUMBER(SEARCH(";"&amp;Lessons[[#This Row],[Instrument__c]]&amp;";",";"&amp;_xlfn.XLOOKUP(Lessons[[#This Row],[Instructor_External_Id__c]], Instructors[Id], Instructors[Instruments_Taught__c])&amp;";"))</f>
        <v>1</v>
      </c>
      <c r="AB415" t="str">
        <f>IF(LEFT(Lessons[[#This Row],[Status__c]],9)="Cancelled","",Lessons[[#This Row],[Instructor_External_Id__c]]&amp;"|"&amp;TEXT(Lessons[[#This Row],[Lesson_Date__c]],"yyyy-mm-dd")&amp;"|"&amp;Lessons[[#This Row],[Start_Time__c]])</f>
        <v>a06ak00000amzBeAAI|2026-07-23|16:30:00.000Z</v>
      </c>
      <c r="AC415">
        <f>IF(Lessons[[#This Row],[Double Booked Key]]="","",COUNTIF(Lessons[Double Booked Key],Lessons[[#This Row],[Double Booked Key]]))</f>
        <v>1</v>
      </c>
      <c r="AD415" s="6" t="str">
        <f>_xlfn.XLOOKUP(Lessons[[#This Row],[Location_External_Id__c]], Locations[Location Id], Locations[Location Name])</f>
        <v>Red Bank</v>
      </c>
      <c r="AE415" s="6" t="str">
        <f>TEXT(Lessons[[#This Row],[Lesson_Date__c]], "yyyy-mm")</f>
        <v>2026-07</v>
      </c>
      <c r="AF415" s="6" t="str">
        <f>IF(Lessons[[#This Row],[Lesson_Date__c]]&lt;=Data_Audit!$F$1, "Yes", "No")</f>
        <v>Yes</v>
      </c>
    </row>
    <row r="416" spans="1:32">
      <c r="A416" t="s">
        <v>52</v>
      </c>
      <c r="B416" t="s">
        <v>53</v>
      </c>
      <c r="C416">
        <v>45</v>
      </c>
      <c r="D416" t="s">
        <v>1591</v>
      </c>
      <c r="E416" t="s">
        <v>104</v>
      </c>
      <c r="F416" t="s">
        <v>105</v>
      </c>
      <c r="H416" t="s">
        <v>107</v>
      </c>
      <c r="I416" t="b">
        <v>0</v>
      </c>
      <c r="K416" t="s">
        <v>52</v>
      </c>
      <c r="L416" t="s">
        <v>1517</v>
      </c>
      <c r="O416" s="1">
        <v>46106</v>
      </c>
      <c r="P416" t="s">
        <v>1592</v>
      </c>
      <c r="Q416" t="s">
        <v>1593</v>
      </c>
      <c r="R416" t="s">
        <v>63</v>
      </c>
      <c r="S416" t="b">
        <v>0</v>
      </c>
      <c r="T416" t="b">
        <v>0</v>
      </c>
      <c r="U416" t="s">
        <v>1593</v>
      </c>
      <c r="V416" t="s">
        <v>135</v>
      </c>
      <c r="W416" t="s">
        <v>121</v>
      </c>
      <c r="X416" t="s">
        <v>1589</v>
      </c>
      <c r="Y416" t="s">
        <v>1590</v>
      </c>
      <c r="Z416" t="s">
        <v>1517</v>
      </c>
      <c r="AA416" t="b">
        <f>ISNUMBER(SEARCH(";"&amp;Lessons[[#This Row],[Instrument__c]]&amp;";",";"&amp;_xlfn.XLOOKUP(Lessons[[#This Row],[Instructor_External_Id__c]], Instructors[Id], Instructors[Instruments_Taught__c])&amp;";"))</f>
        <v>1</v>
      </c>
      <c r="AB416" t="str">
        <f>IF(LEFT(Lessons[[#This Row],[Status__c]],9)="Cancelled","",Lessons[[#This Row],[Instructor_External_Id__c]]&amp;"|"&amp;TEXT(Lessons[[#This Row],[Lesson_Date__c]],"yyyy-mm-dd")&amp;"|"&amp;Lessons[[#This Row],[Start_Time__c]])</f>
        <v>a06ak00000amzBeAAI|2026-03-25|15:30:00.000Z</v>
      </c>
      <c r="AC416">
        <f>IF(Lessons[[#This Row],[Double Booked Key]]="","",COUNTIF(Lessons[Double Booked Key],Lessons[[#This Row],[Double Booked Key]]))</f>
        <v>1</v>
      </c>
      <c r="AD416" s="6" t="str">
        <f>_xlfn.XLOOKUP(Lessons[[#This Row],[Location_External_Id__c]], Locations[Location Id], Locations[Location Name])</f>
        <v>Red Bank</v>
      </c>
      <c r="AE416" s="6" t="str">
        <f>TEXT(Lessons[[#This Row],[Lesson_Date__c]], "yyyy-mm")</f>
        <v>2026-03</v>
      </c>
      <c r="AF416" s="6" t="str">
        <f>IF(Lessons[[#This Row],[Lesson_Date__c]]&lt;=Data_Audit!$F$1, "Yes", "No")</f>
        <v>Yes</v>
      </c>
    </row>
    <row r="417" spans="1:32">
      <c r="A417" t="s">
        <v>52</v>
      </c>
      <c r="B417" t="s">
        <v>53</v>
      </c>
      <c r="C417">
        <v>30</v>
      </c>
      <c r="D417" t="s">
        <v>1594</v>
      </c>
      <c r="E417" t="s">
        <v>104</v>
      </c>
      <c r="F417" t="s">
        <v>105</v>
      </c>
      <c r="G417" t="s">
        <v>106</v>
      </c>
      <c r="H417" t="s">
        <v>107</v>
      </c>
      <c r="I417" t="b">
        <v>0</v>
      </c>
      <c r="K417" t="s">
        <v>52</v>
      </c>
      <c r="L417" t="s">
        <v>1517</v>
      </c>
      <c r="O417" s="1">
        <v>46224</v>
      </c>
      <c r="P417" t="s">
        <v>1595</v>
      </c>
      <c r="Q417" t="s">
        <v>1596</v>
      </c>
      <c r="R417" t="s">
        <v>63</v>
      </c>
      <c r="S417" t="b">
        <v>0</v>
      </c>
      <c r="T417" t="b">
        <v>0</v>
      </c>
      <c r="U417" t="s">
        <v>1596</v>
      </c>
      <c r="V417" t="s">
        <v>120</v>
      </c>
      <c r="W417" t="s">
        <v>65</v>
      </c>
      <c r="X417" t="s">
        <v>1589</v>
      </c>
      <c r="Y417" t="s">
        <v>1590</v>
      </c>
      <c r="Z417" t="s">
        <v>1517</v>
      </c>
      <c r="AA417" t="b">
        <f>ISNUMBER(SEARCH(";"&amp;Lessons[[#This Row],[Instrument__c]]&amp;";",";"&amp;_xlfn.XLOOKUP(Lessons[[#This Row],[Instructor_External_Id__c]], Instructors[Id], Instructors[Instruments_Taught__c])&amp;";"))</f>
        <v>1</v>
      </c>
      <c r="AB417" t="str">
        <f>IF(LEFT(Lessons[[#This Row],[Status__c]],9)="Cancelled","",Lessons[[#This Row],[Instructor_External_Id__c]]&amp;"|"&amp;TEXT(Lessons[[#This Row],[Lesson_Date__c]],"yyyy-mm-dd")&amp;"|"&amp;Lessons[[#This Row],[Start_Time__c]])</f>
        <v>a06ak00000amzBeAAI|2026-07-21|18:00:00.000Z</v>
      </c>
      <c r="AC417">
        <f>IF(Lessons[[#This Row],[Double Booked Key]]="","",COUNTIF(Lessons[Double Booked Key],Lessons[[#This Row],[Double Booked Key]]))</f>
        <v>1</v>
      </c>
      <c r="AD417" s="6" t="str">
        <f>_xlfn.XLOOKUP(Lessons[[#This Row],[Location_External_Id__c]], Locations[Location Id], Locations[Location Name])</f>
        <v>Red Bank</v>
      </c>
      <c r="AE417" s="6" t="str">
        <f>TEXT(Lessons[[#This Row],[Lesson_Date__c]], "yyyy-mm")</f>
        <v>2026-07</v>
      </c>
      <c r="AF417" s="6" t="str">
        <f>IF(Lessons[[#This Row],[Lesson_Date__c]]&lt;=Data_Audit!$F$1, "Yes", "No")</f>
        <v>Yes</v>
      </c>
    </row>
    <row r="418" spans="1:32">
      <c r="A418" t="s">
        <v>52</v>
      </c>
      <c r="B418" t="s">
        <v>53</v>
      </c>
      <c r="C418">
        <v>30</v>
      </c>
      <c r="D418" t="s">
        <v>1597</v>
      </c>
      <c r="E418" t="s">
        <v>104</v>
      </c>
      <c r="F418" t="s">
        <v>105</v>
      </c>
      <c r="G418" t="s">
        <v>106</v>
      </c>
      <c r="H418" t="s">
        <v>107</v>
      </c>
      <c r="I418" t="b">
        <v>0</v>
      </c>
      <c r="K418" t="s">
        <v>52</v>
      </c>
      <c r="L418" t="s">
        <v>1517</v>
      </c>
      <c r="O418" s="1">
        <v>46100</v>
      </c>
      <c r="P418" t="s">
        <v>1598</v>
      </c>
      <c r="Q418" t="s">
        <v>1599</v>
      </c>
      <c r="R418" t="s">
        <v>63</v>
      </c>
      <c r="S418" t="b">
        <v>0</v>
      </c>
      <c r="T418" t="b">
        <v>0</v>
      </c>
      <c r="U418" t="s">
        <v>1599</v>
      </c>
      <c r="V418" t="s">
        <v>84</v>
      </c>
      <c r="W418" t="s">
        <v>65</v>
      </c>
      <c r="X418" t="s">
        <v>1589</v>
      </c>
      <c r="Y418" t="s">
        <v>1590</v>
      </c>
      <c r="Z418" t="s">
        <v>1517</v>
      </c>
      <c r="AA418" t="b">
        <f>ISNUMBER(SEARCH(";"&amp;Lessons[[#This Row],[Instrument__c]]&amp;";",";"&amp;_xlfn.XLOOKUP(Lessons[[#This Row],[Instructor_External_Id__c]], Instructors[Id], Instructors[Instruments_Taught__c])&amp;";"))</f>
        <v>1</v>
      </c>
      <c r="AB418" t="str">
        <f>IF(LEFT(Lessons[[#This Row],[Status__c]],9)="Cancelled","",Lessons[[#This Row],[Instructor_External_Id__c]]&amp;"|"&amp;TEXT(Lessons[[#This Row],[Lesson_Date__c]],"yyyy-mm-dd")&amp;"|"&amp;Lessons[[#This Row],[Start_Time__c]])</f>
        <v>a06ak00000amzBeAAI|2026-03-19|17:00:00.000Z</v>
      </c>
      <c r="AC418">
        <f>IF(Lessons[[#This Row],[Double Booked Key]]="","",COUNTIF(Lessons[Double Booked Key],Lessons[[#This Row],[Double Booked Key]]))</f>
        <v>1</v>
      </c>
      <c r="AD418" s="6" t="str">
        <f>_xlfn.XLOOKUP(Lessons[[#This Row],[Location_External_Id__c]], Locations[Location Id], Locations[Location Name])</f>
        <v>Red Bank</v>
      </c>
      <c r="AE418" s="6" t="str">
        <f>TEXT(Lessons[[#This Row],[Lesson_Date__c]], "yyyy-mm")</f>
        <v>2026-03</v>
      </c>
      <c r="AF418" s="6" t="str">
        <f>IF(Lessons[[#This Row],[Lesson_Date__c]]&lt;=Data_Audit!$F$1, "Yes", "No")</f>
        <v>Yes</v>
      </c>
    </row>
    <row r="419" spans="1:32">
      <c r="A419" t="s">
        <v>52</v>
      </c>
      <c r="B419" t="s">
        <v>53</v>
      </c>
      <c r="C419">
        <v>45</v>
      </c>
      <c r="D419" t="s">
        <v>1600</v>
      </c>
      <c r="E419" t="s">
        <v>104</v>
      </c>
      <c r="F419" t="s">
        <v>105</v>
      </c>
      <c r="H419" t="s">
        <v>107</v>
      </c>
      <c r="I419" t="b">
        <v>0</v>
      </c>
      <c r="K419" t="s">
        <v>52</v>
      </c>
      <c r="L419" t="s">
        <v>1517</v>
      </c>
      <c r="O419" s="1">
        <v>46047</v>
      </c>
      <c r="P419" t="s">
        <v>1601</v>
      </c>
      <c r="Q419" t="s">
        <v>1602</v>
      </c>
      <c r="R419" t="s">
        <v>63</v>
      </c>
      <c r="S419" t="b">
        <v>0</v>
      </c>
      <c r="T419" t="b">
        <v>0</v>
      </c>
      <c r="U419" t="s">
        <v>1602</v>
      </c>
      <c r="V419" t="s">
        <v>84</v>
      </c>
      <c r="W419" t="s">
        <v>65</v>
      </c>
      <c r="X419" t="s">
        <v>1589</v>
      </c>
      <c r="Y419" t="s">
        <v>1590</v>
      </c>
      <c r="Z419" t="s">
        <v>1517</v>
      </c>
      <c r="AA419" t="b">
        <f>ISNUMBER(SEARCH(";"&amp;Lessons[[#This Row],[Instrument__c]]&amp;";",";"&amp;_xlfn.XLOOKUP(Lessons[[#This Row],[Instructor_External_Id__c]], Instructors[Id], Instructors[Instruments_Taught__c])&amp;";"))</f>
        <v>1</v>
      </c>
      <c r="AB419" t="str">
        <f>IF(LEFT(Lessons[[#This Row],[Status__c]],9)="Cancelled","",Lessons[[#This Row],[Instructor_External_Id__c]]&amp;"|"&amp;TEXT(Lessons[[#This Row],[Lesson_Date__c]],"yyyy-mm-dd")&amp;"|"&amp;Lessons[[#This Row],[Start_Time__c]])</f>
        <v>a06ak00000amzBeAAI|2026-01-25|17:00:00.000Z</v>
      </c>
      <c r="AC419">
        <f>IF(Lessons[[#This Row],[Double Booked Key]]="","",COUNTIF(Lessons[Double Booked Key],Lessons[[#This Row],[Double Booked Key]]))</f>
        <v>1</v>
      </c>
      <c r="AD419" s="6" t="str">
        <f>_xlfn.XLOOKUP(Lessons[[#This Row],[Location_External_Id__c]], Locations[Location Id], Locations[Location Name])</f>
        <v>Red Bank</v>
      </c>
      <c r="AE419" s="6" t="str">
        <f>TEXT(Lessons[[#This Row],[Lesson_Date__c]], "yyyy-mm")</f>
        <v>2026-01</v>
      </c>
      <c r="AF419" s="6" t="str">
        <f>IF(Lessons[[#This Row],[Lesson_Date__c]]&lt;=Data_Audit!$F$1, "Yes", "No")</f>
        <v>Yes</v>
      </c>
    </row>
    <row r="420" spans="1:32">
      <c r="A420" t="s">
        <v>52</v>
      </c>
      <c r="B420" t="s">
        <v>53</v>
      </c>
      <c r="C420">
        <v>45</v>
      </c>
      <c r="D420" t="s">
        <v>1603</v>
      </c>
      <c r="E420" t="s">
        <v>104</v>
      </c>
      <c r="F420" t="s">
        <v>105</v>
      </c>
      <c r="H420" t="s">
        <v>107</v>
      </c>
      <c r="I420" t="b">
        <v>0</v>
      </c>
      <c r="K420" t="s">
        <v>52</v>
      </c>
      <c r="L420" t="s">
        <v>1517</v>
      </c>
      <c r="O420" s="1">
        <v>46261</v>
      </c>
      <c r="P420" t="s">
        <v>1604</v>
      </c>
      <c r="Q420" t="s">
        <v>1605</v>
      </c>
      <c r="R420" t="s">
        <v>63</v>
      </c>
      <c r="S420" t="b">
        <v>0</v>
      </c>
      <c r="T420" t="b">
        <v>0</v>
      </c>
      <c r="U420" t="s">
        <v>1605</v>
      </c>
      <c r="V420" t="s">
        <v>128</v>
      </c>
      <c r="W420" t="s">
        <v>121</v>
      </c>
      <c r="X420" t="s">
        <v>1589</v>
      </c>
      <c r="Y420" t="s">
        <v>1590</v>
      </c>
      <c r="Z420" t="s">
        <v>1517</v>
      </c>
      <c r="AA420" t="b">
        <f>ISNUMBER(SEARCH(";"&amp;Lessons[[#This Row],[Instrument__c]]&amp;";",";"&amp;_xlfn.XLOOKUP(Lessons[[#This Row],[Instructor_External_Id__c]], Instructors[Id], Instructors[Instruments_Taught__c])&amp;";"))</f>
        <v>1</v>
      </c>
      <c r="AB420" t="str">
        <f>IF(LEFT(Lessons[[#This Row],[Status__c]],9)="Cancelled","",Lessons[[#This Row],[Instructor_External_Id__c]]&amp;"|"&amp;TEXT(Lessons[[#This Row],[Lesson_Date__c]],"yyyy-mm-dd")&amp;"|"&amp;Lessons[[#This Row],[Start_Time__c]])</f>
        <v>a06ak00000amzBeAAI|2026-08-27|18:30:00.000Z</v>
      </c>
      <c r="AC420">
        <f>IF(Lessons[[#This Row],[Double Booked Key]]="","",COUNTIF(Lessons[Double Booked Key],Lessons[[#This Row],[Double Booked Key]]))</f>
        <v>1</v>
      </c>
      <c r="AD420" s="6" t="str">
        <f>_xlfn.XLOOKUP(Lessons[[#This Row],[Location_External_Id__c]], Locations[Location Id], Locations[Location Name])</f>
        <v>Red Bank</v>
      </c>
      <c r="AE420" s="6" t="str">
        <f>TEXT(Lessons[[#This Row],[Lesson_Date__c]], "yyyy-mm")</f>
        <v>2026-08</v>
      </c>
      <c r="AF420" s="6" t="str">
        <f>IF(Lessons[[#This Row],[Lesson_Date__c]]&lt;=Data_Audit!$F$1, "Yes", "No")</f>
        <v>Yes</v>
      </c>
    </row>
    <row r="421" spans="1:32">
      <c r="A421" t="s">
        <v>52</v>
      </c>
      <c r="B421" t="s">
        <v>53</v>
      </c>
      <c r="C421">
        <v>45</v>
      </c>
      <c r="D421" t="s">
        <v>1606</v>
      </c>
      <c r="E421" t="s">
        <v>401</v>
      </c>
      <c r="F421" t="s">
        <v>402</v>
      </c>
      <c r="G421" t="s">
        <v>106</v>
      </c>
      <c r="H421" t="s">
        <v>263</v>
      </c>
      <c r="I421" t="b">
        <v>0</v>
      </c>
      <c r="K421" t="s">
        <v>52</v>
      </c>
      <c r="L421" t="s">
        <v>1517</v>
      </c>
      <c r="O421" s="1">
        <v>46195</v>
      </c>
      <c r="P421" t="s">
        <v>1607</v>
      </c>
      <c r="Q421" t="s">
        <v>1608</v>
      </c>
      <c r="R421" t="s">
        <v>150</v>
      </c>
      <c r="S421" t="b">
        <v>0</v>
      </c>
      <c r="T421" t="b">
        <v>0</v>
      </c>
      <c r="U421" t="s">
        <v>1608</v>
      </c>
      <c r="V421" t="s">
        <v>102</v>
      </c>
      <c r="W421" t="s">
        <v>65</v>
      </c>
      <c r="X421" t="s">
        <v>1609</v>
      </c>
      <c r="Y421" t="s">
        <v>1610</v>
      </c>
      <c r="Z421" t="s">
        <v>1517</v>
      </c>
      <c r="AA421" t="b">
        <f>ISNUMBER(SEARCH(";"&amp;Lessons[[#This Row],[Instrument__c]]&amp;";",";"&amp;_xlfn.XLOOKUP(Lessons[[#This Row],[Instructor_External_Id__c]], Instructors[Id], Instructors[Instruments_Taught__c])&amp;";"))</f>
        <v>1</v>
      </c>
      <c r="AB421" t="str">
        <f>IF(LEFT(Lessons[[#This Row],[Status__c]],9)="Cancelled","",Lessons[[#This Row],[Instructor_External_Id__c]]&amp;"|"&amp;TEXT(Lessons[[#This Row],[Lesson_Date__c]],"yyyy-mm-dd")&amp;"|"&amp;Lessons[[#This Row],[Start_Time__c]])</f>
        <v>a06ak00000amzBfAAI|2026-06-22|16:00:00.000Z</v>
      </c>
      <c r="AC421">
        <f>IF(Lessons[[#This Row],[Double Booked Key]]="","",COUNTIF(Lessons[Double Booked Key],Lessons[[#This Row],[Double Booked Key]]))</f>
        <v>1</v>
      </c>
      <c r="AD421" s="6" t="str">
        <f>_xlfn.XLOOKUP(Lessons[[#This Row],[Location_External_Id__c]], Locations[Location Id], Locations[Location Name])</f>
        <v>Toms River</v>
      </c>
      <c r="AE421" s="6" t="str">
        <f>TEXT(Lessons[[#This Row],[Lesson_Date__c]], "yyyy-mm")</f>
        <v>2026-06</v>
      </c>
      <c r="AF421" s="6" t="str">
        <f>IF(Lessons[[#This Row],[Lesson_Date__c]]&lt;=Data_Audit!$F$1, "Yes", "No")</f>
        <v>Yes</v>
      </c>
    </row>
    <row r="422" spans="1:32">
      <c r="A422" t="s">
        <v>52</v>
      </c>
      <c r="B422" t="s">
        <v>53</v>
      </c>
      <c r="C422">
        <v>45</v>
      </c>
      <c r="D422" t="s">
        <v>1611</v>
      </c>
      <c r="E422" t="s">
        <v>401</v>
      </c>
      <c r="F422" t="s">
        <v>402</v>
      </c>
      <c r="G422" t="s">
        <v>106</v>
      </c>
      <c r="H422" t="s">
        <v>263</v>
      </c>
      <c r="I422" t="b">
        <v>0</v>
      </c>
      <c r="K422" t="s">
        <v>52</v>
      </c>
      <c r="L422" t="s">
        <v>1517</v>
      </c>
      <c r="O422" s="1">
        <v>46043</v>
      </c>
      <c r="P422" t="s">
        <v>1612</v>
      </c>
      <c r="Q422" t="s">
        <v>1613</v>
      </c>
      <c r="R422" t="s">
        <v>150</v>
      </c>
      <c r="S422" t="b">
        <v>0</v>
      </c>
      <c r="T422" t="b">
        <v>0</v>
      </c>
      <c r="U422" t="s">
        <v>1613</v>
      </c>
      <c r="V422" t="s">
        <v>120</v>
      </c>
      <c r="W422" t="s">
        <v>65</v>
      </c>
      <c r="X422" t="s">
        <v>1609</v>
      </c>
      <c r="Y422" t="s">
        <v>1610</v>
      </c>
      <c r="Z422" t="s">
        <v>1517</v>
      </c>
      <c r="AA422" t="b">
        <f>ISNUMBER(SEARCH(";"&amp;Lessons[[#This Row],[Instrument__c]]&amp;";",";"&amp;_xlfn.XLOOKUP(Lessons[[#This Row],[Instructor_External_Id__c]], Instructors[Id], Instructors[Instruments_Taught__c])&amp;";"))</f>
        <v>1</v>
      </c>
      <c r="AB422" t="str">
        <f>IF(LEFT(Lessons[[#This Row],[Status__c]],9)="Cancelled","",Lessons[[#This Row],[Instructor_External_Id__c]]&amp;"|"&amp;TEXT(Lessons[[#This Row],[Lesson_Date__c]],"yyyy-mm-dd")&amp;"|"&amp;Lessons[[#This Row],[Start_Time__c]])</f>
        <v>a06ak00000amzBfAAI|2026-01-21|18:00:00.000Z</v>
      </c>
      <c r="AC422">
        <f>IF(Lessons[[#This Row],[Double Booked Key]]="","",COUNTIF(Lessons[Double Booked Key],Lessons[[#This Row],[Double Booked Key]]))</f>
        <v>1</v>
      </c>
      <c r="AD422" s="6" t="str">
        <f>_xlfn.XLOOKUP(Lessons[[#This Row],[Location_External_Id__c]], Locations[Location Id], Locations[Location Name])</f>
        <v>Toms River</v>
      </c>
      <c r="AE422" s="6" t="str">
        <f>TEXT(Lessons[[#This Row],[Lesson_Date__c]], "yyyy-mm")</f>
        <v>2026-01</v>
      </c>
      <c r="AF422" s="6" t="str">
        <f>IF(Lessons[[#This Row],[Lesson_Date__c]]&lt;=Data_Audit!$F$1, "Yes", "No")</f>
        <v>Yes</v>
      </c>
    </row>
    <row r="423" spans="1:32">
      <c r="A423" t="s">
        <v>52</v>
      </c>
      <c r="B423" t="s">
        <v>53</v>
      </c>
      <c r="C423">
        <v>60</v>
      </c>
      <c r="D423" t="s">
        <v>1614</v>
      </c>
      <c r="E423" t="s">
        <v>804</v>
      </c>
      <c r="F423" t="s">
        <v>805</v>
      </c>
      <c r="H423" t="s">
        <v>147</v>
      </c>
      <c r="I423" t="b">
        <v>0</v>
      </c>
      <c r="K423" t="s">
        <v>52</v>
      </c>
      <c r="L423" t="s">
        <v>171</v>
      </c>
      <c r="O423" s="1">
        <v>46227</v>
      </c>
      <c r="P423" t="s">
        <v>1615</v>
      </c>
      <c r="Q423" t="s">
        <v>1616</v>
      </c>
      <c r="R423" t="s">
        <v>63</v>
      </c>
      <c r="S423" t="b">
        <v>1</v>
      </c>
      <c r="T423" t="b">
        <v>1</v>
      </c>
      <c r="U423" t="s">
        <v>1616</v>
      </c>
      <c r="V423" t="s">
        <v>94</v>
      </c>
      <c r="W423" t="s">
        <v>136</v>
      </c>
      <c r="X423" t="s">
        <v>1617</v>
      </c>
      <c r="Y423" t="s">
        <v>1618</v>
      </c>
      <c r="Z423" t="s">
        <v>171</v>
      </c>
      <c r="AA423" t="b">
        <f>ISNUMBER(SEARCH(";"&amp;Lessons[[#This Row],[Instrument__c]]&amp;";",";"&amp;_xlfn.XLOOKUP(Lessons[[#This Row],[Instructor_External_Id__c]], Instructors[Id], Instructors[Instruments_Taught__c])&amp;";"))</f>
        <v>1</v>
      </c>
      <c r="AB423" t="str">
        <f>IF(LEFT(Lessons[[#This Row],[Status__c]],9)="Cancelled","",Lessons[[#This Row],[Instructor_External_Id__c]]&amp;"|"&amp;TEXT(Lessons[[#This Row],[Lesson_Date__c]],"yyyy-mm-dd")&amp;"|"&amp;Lessons[[#This Row],[Start_Time__c]])</f>
        <v/>
      </c>
      <c r="AC423" t="str">
        <f>IF(Lessons[[#This Row],[Double Booked Key]]="","",COUNTIF(Lessons[Double Booked Key],Lessons[[#This Row],[Double Booked Key]]))</f>
        <v/>
      </c>
      <c r="AD423" s="6" t="str">
        <f>_xlfn.XLOOKUP(Lessons[[#This Row],[Location_External_Id__c]], Locations[Location Id], Locations[Location Name])</f>
        <v>Red Bank</v>
      </c>
      <c r="AE423" s="6" t="str">
        <f>TEXT(Lessons[[#This Row],[Lesson_Date__c]], "yyyy-mm")</f>
        <v>2026-07</v>
      </c>
      <c r="AF423" s="6" t="str">
        <f>IF(Lessons[[#This Row],[Lesson_Date__c]]&lt;=Data_Audit!$F$1, "Yes", "No")</f>
        <v>Yes</v>
      </c>
    </row>
    <row r="424" spans="1:32">
      <c r="A424" t="s">
        <v>52</v>
      </c>
      <c r="B424" t="s">
        <v>53</v>
      </c>
      <c r="C424">
        <v>30</v>
      </c>
      <c r="D424" t="s">
        <v>1619</v>
      </c>
      <c r="E424" t="s">
        <v>804</v>
      </c>
      <c r="F424" t="s">
        <v>805</v>
      </c>
      <c r="G424" t="s">
        <v>99</v>
      </c>
      <c r="H424" t="s">
        <v>147</v>
      </c>
      <c r="I424" t="b">
        <v>0</v>
      </c>
      <c r="K424" t="s">
        <v>52</v>
      </c>
      <c r="L424" t="s">
        <v>1517</v>
      </c>
      <c r="O424" s="1">
        <v>46252</v>
      </c>
      <c r="P424" t="s">
        <v>1620</v>
      </c>
      <c r="Q424" t="s">
        <v>1621</v>
      </c>
      <c r="R424" t="s">
        <v>63</v>
      </c>
      <c r="S424" t="b">
        <v>0</v>
      </c>
      <c r="T424" t="b">
        <v>0</v>
      </c>
      <c r="U424" t="s">
        <v>1621</v>
      </c>
      <c r="V424" t="s">
        <v>116</v>
      </c>
      <c r="W424" t="s">
        <v>65</v>
      </c>
      <c r="X424" t="s">
        <v>1617</v>
      </c>
      <c r="Y424" t="s">
        <v>1618</v>
      </c>
      <c r="Z424" t="s">
        <v>1517</v>
      </c>
      <c r="AA424" t="b">
        <f>ISNUMBER(SEARCH(";"&amp;Lessons[[#This Row],[Instrument__c]]&amp;";",";"&amp;_xlfn.XLOOKUP(Lessons[[#This Row],[Instructor_External_Id__c]], Instructors[Id], Instructors[Instruments_Taught__c])&amp;";"))</f>
        <v>1</v>
      </c>
      <c r="AB424" t="str">
        <f>IF(LEFT(Lessons[[#This Row],[Status__c]],9)="Cancelled","",Lessons[[#This Row],[Instructor_External_Id__c]]&amp;"|"&amp;TEXT(Lessons[[#This Row],[Lesson_Date__c]],"yyyy-mm-dd")&amp;"|"&amp;Lessons[[#This Row],[Start_Time__c]])</f>
        <v>a06ak00000amzCBAAY|2026-08-18|17:30:00.000Z</v>
      </c>
      <c r="AC424">
        <f>IF(Lessons[[#This Row],[Double Booked Key]]="","",COUNTIF(Lessons[Double Booked Key],Lessons[[#This Row],[Double Booked Key]]))</f>
        <v>1</v>
      </c>
      <c r="AD424" s="6" t="str">
        <f>_xlfn.XLOOKUP(Lessons[[#This Row],[Location_External_Id__c]], Locations[Location Id], Locations[Location Name])</f>
        <v>Red Bank</v>
      </c>
      <c r="AE424" s="6" t="str">
        <f>TEXT(Lessons[[#This Row],[Lesson_Date__c]], "yyyy-mm")</f>
        <v>2026-08</v>
      </c>
      <c r="AF424" s="6" t="str">
        <f>IF(Lessons[[#This Row],[Lesson_Date__c]]&lt;=Data_Audit!$F$1, "Yes", "No")</f>
        <v>Yes</v>
      </c>
    </row>
    <row r="425" spans="1:32">
      <c r="A425" t="s">
        <v>52</v>
      </c>
      <c r="B425" t="s">
        <v>53</v>
      </c>
      <c r="C425">
        <v>45</v>
      </c>
      <c r="D425" t="s">
        <v>1622</v>
      </c>
      <c r="E425" t="s">
        <v>436</v>
      </c>
      <c r="F425" t="s">
        <v>437</v>
      </c>
      <c r="G425" t="s">
        <v>99</v>
      </c>
      <c r="H425" t="s">
        <v>461</v>
      </c>
      <c r="I425" t="b">
        <v>0</v>
      </c>
      <c r="K425" t="s">
        <v>52</v>
      </c>
      <c r="L425" t="s">
        <v>79</v>
      </c>
      <c r="O425" s="1">
        <v>46294</v>
      </c>
      <c r="P425" t="s">
        <v>1623</v>
      </c>
      <c r="Q425" t="s">
        <v>1624</v>
      </c>
      <c r="R425" t="s">
        <v>63</v>
      </c>
      <c r="S425" t="b">
        <v>0</v>
      </c>
      <c r="T425" t="b">
        <v>0</v>
      </c>
      <c r="U425" t="s">
        <v>1624</v>
      </c>
      <c r="V425" t="s">
        <v>94</v>
      </c>
      <c r="W425" t="s">
        <v>65</v>
      </c>
      <c r="X425" t="s">
        <v>1625</v>
      </c>
      <c r="Y425" t="s">
        <v>1626</v>
      </c>
      <c r="Z425" t="s">
        <v>79</v>
      </c>
      <c r="AA425" t="b">
        <f>ISNUMBER(SEARCH(";"&amp;Lessons[[#This Row],[Instrument__c]]&amp;";",";"&amp;_xlfn.XLOOKUP(Lessons[[#This Row],[Instructor_External_Id__c]], Instructors[Id], Instructors[Instruments_Taught__c])&amp;";"))</f>
        <v>1</v>
      </c>
      <c r="AB425" t="str">
        <f>IF(LEFT(Lessons[[#This Row],[Status__c]],9)="Cancelled","",Lessons[[#This Row],[Instructor_External_Id__c]]&amp;"|"&amp;TEXT(Lessons[[#This Row],[Lesson_Date__c]],"yyyy-mm-dd")&amp;"|"&amp;Lessons[[#This Row],[Start_Time__c]])</f>
        <v>a06ak00000amzC0AAI|2026-09-29|19:00:00.000Z</v>
      </c>
      <c r="AC425">
        <f>IF(Lessons[[#This Row],[Double Booked Key]]="","",COUNTIF(Lessons[Double Booked Key],Lessons[[#This Row],[Double Booked Key]]))</f>
        <v>1</v>
      </c>
      <c r="AD425" s="6" t="str">
        <f>_xlfn.XLOOKUP(Lessons[[#This Row],[Location_External_Id__c]], Locations[Location Id], Locations[Location Name])</f>
        <v>Red Bank</v>
      </c>
      <c r="AE425" s="6" t="str">
        <f>TEXT(Lessons[[#This Row],[Lesson_Date__c]], "yyyy-mm")</f>
        <v>2026-09</v>
      </c>
      <c r="AF425" s="6" t="str">
        <f>IF(Lessons[[#This Row],[Lesson_Date__c]]&lt;=Data_Audit!$F$1, "Yes", "No")</f>
        <v>Yes</v>
      </c>
    </row>
    <row r="426" spans="1:32">
      <c r="A426" t="s">
        <v>52</v>
      </c>
      <c r="B426" t="s">
        <v>53</v>
      </c>
      <c r="C426">
        <v>60</v>
      </c>
      <c r="D426" t="s">
        <v>1627</v>
      </c>
      <c r="E426" t="s">
        <v>617</v>
      </c>
      <c r="F426" t="s">
        <v>618</v>
      </c>
      <c r="G426" t="s">
        <v>57</v>
      </c>
      <c r="H426" t="s">
        <v>461</v>
      </c>
      <c r="I426" t="b">
        <v>0</v>
      </c>
      <c r="K426" t="s">
        <v>52</v>
      </c>
      <c r="L426" t="s">
        <v>1517</v>
      </c>
      <c r="O426" s="1">
        <v>46221</v>
      </c>
      <c r="P426" t="s">
        <v>1628</v>
      </c>
      <c r="Q426" t="s">
        <v>1629</v>
      </c>
      <c r="R426" t="s">
        <v>63</v>
      </c>
      <c r="S426" t="b">
        <v>0</v>
      </c>
      <c r="T426" t="b">
        <v>0</v>
      </c>
      <c r="U426" t="s">
        <v>1629</v>
      </c>
      <c r="V426" t="s">
        <v>140</v>
      </c>
      <c r="W426" t="s">
        <v>65</v>
      </c>
      <c r="X426" t="s">
        <v>1625</v>
      </c>
      <c r="Y426" t="s">
        <v>1626</v>
      </c>
      <c r="Z426" t="s">
        <v>1517</v>
      </c>
      <c r="AA426" t="b">
        <f>ISNUMBER(SEARCH(";"&amp;Lessons[[#This Row],[Instrument__c]]&amp;";",";"&amp;_xlfn.XLOOKUP(Lessons[[#This Row],[Instructor_External_Id__c]], Instructors[Id], Instructors[Instruments_Taught__c])&amp;";"))</f>
        <v>1</v>
      </c>
      <c r="AB426" t="str">
        <f>IF(LEFT(Lessons[[#This Row],[Status__c]],9)="Cancelled","",Lessons[[#This Row],[Instructor_External_Id__c]]&amp;"|"&amp;TEXT(Lessons[[#This Row],[Lesson_Date__c]],"yyyy-mm-dd")&amp;"|"&amp;Lessons[[#This Row],[Start_Time__c]])</f>
        <v>a06ak00000amzC2AAI|2026-07-18|15:00:00.000Z</v>
      </c>
      <c r="AC426">
        <f>IF(Lessons[[#This Row],[Double Booked Key]]="","",COUNTIF(Lessons[Double Booked Key],Lessons[[#This Row],[Double Booked Key]]))</f>
        <v>1</v>
      </c>
      <c r="AD426" s="6" t="str">
        <f>_xlfn.XLOOKUP(Lessons[[#This Row],[Location_External_Id__c]], Locations[Location Id], Locations[Location Name])</f>
        <v>Red Bank</v>
      </c>
      <c r="AE426" s="6" t="str">
        <f>TEXT(Lessons[[#This Row],[Lesson_Date__c]], "yyyy-mm")</f>
        <v>2026-07</v>
      </c>
      <c r="AF426" s="6" t="str">
        <f>IF(Lessons[[#This Row],[Lesson_Date__c]]&lt;=Data_Audit!$F$1, "Yes", "No")</f>
        <v>Yes</v>
      </c>
    </row>
    <row r="427" spans="1:32">
      <c r="A427" t="s">
        <v>52</v>
      </c>
      <c r="B427" t="s">
        <v>53</v>
      </c>
      <c r="C427">
        <v>30</v>
      </c>
      <c r="D427" t="s">
        <v>1630</v>
      </c>
      <c r="E427" t="s">
        <v>617</v>
      </c>
      <c r="F427" t="s">
        <v>618</v>
      </c>
      <c r="H427" t="s">
        <v>461</v>
      </c>
      <c r="I427" t="b">
        <v>0</v>
      </c>
      <c r="K427" t="s">
        <v>52</v>
      </c>
      <c r="L427" t="s">
        <v>1517</v>
      </c>
      <c r="O427" s="1">
        <v>46102</v>
      </c>
      <c r="P427" t="s">
        <v>1631</v>
      </c>
      <c r="Q427" t="s">
        <v>1632</v>
      </c>
      <c r="R427" t="s">
        <v>63</v>
      </c>
      <c r="S427" t="b">
        <v>0</v>
      </c>
      <c r="T427" t="b">
        <v>0</v>
      </c>
      <c r="U427" t="s">
        <v>1632</v>
      </c>
      <c r="V427" t="s">
        <v>64</v>
      </c>
      <c r="W427" t="s">
        <v>121</v>
      </c>
      <c r="X427" t="s">
        <v>1625</v>
      </c>
      <c r="Y427" t="s">
        <v>1626</v>
      </c>
      <c r="Z427" t="s">
        <v>1517</v>
      </c>
      <c r="AA427" t="b">
        <f>ISNUMBER(SEARCH(";"&amp;Lessons[[#This Row],[Instrument__c]]&amp;";",";"&amp;_xlfn.XLOOKUP(Lessons[[#This Row],[Instructor_External_Id__c]], Instructors[Id], Instructors[Instruments_Taught__c])&amp;";"))</f>
        <v>1</v>
      </c>
      <c r="AB427" t="str">
        <f>IF(LEFT(Lessons[[#This Row],[Status__c]],9)="Cancelled","",Lessons[[#This Row],[Instructor_External_Id__c]]&amp;"|"&amp;TEXT(Lessons[[#This Row],[Lesson_Date__c]],"yyyy-mm-dd")&amp;"|"&amp;Lessons[[#This Row],[Start_Time__c]])</f>
        <v>a06ak00000amzC2AAI|2026-03-21|11:00:00.000Z</v>
      </c>
      <c r="AC427">
        <f>IF(Lessons[[#This Row],[Double Booked Key]]="","",COUNTIF(Lessons[Double Booked Key],Lessons[[#This Row],[Double Booked Key]]))</f>
        <v>1</v>
      </c>
      <c r="AD427" s="6" t="str">
        <f>_xlfn.XLOOKUP(Lessons[[#This Row],[Location_External_Id__c]], Locations[Location Id], Locations[Location Name])</f>
        <v>Red Bank</v>
      </c>
      <c r="AE427" s="6" t="str">
        <f>TEXT(Lessons[[#This Row],[Lesson_Date__c]], "yyyy-mm")</f>
        <v>2026-03</v>
      </c>
      <c r="AF427" s="6" t="str">
        <f>IF(Lessons[[#This Row],[Lesson_Date__c]]&lt;=Data_Audit!$F$1, "Yes", "No")</f>
        <v>Yes</v>
      </c>
    </row>
    <row r="428" spans="1:32">
      <c r="A428" t="s">
        <v>52</v>
      </c>
      <c r="B428" t="s">
        <v>53</v>
      </c>
      <c r="C428">
        <v>60</v>
      </c>
      <c r="D428" t="s">
        <v>1633</v>
      </c>
      <c r="E428" t="s">
        <v>617</v>
      </c>
      <c r="F428" t="s">
        <v>618</v>
      </c>
      <c r="G428" t="s">
        <v>57</v>
      </c>
      <c r="H428" t="s">
        <v>461</v>
      </c>
      <c r="I428" t="b">
        <v>0</v>
      </c>
      <c r="K428" t="s">
        <v>52</v>
      </c>
      <c r="L428" t="s">
        <v>1517</v>
      </c>
      <c r="O428" s="1">
        <v>46216</v>
      </c>
      <c r="P428" t="s">
        <v>1634</v>
      </c>
      <c r="Q428" t="s">
        <v>1635</v>
      </c>
      <c r="R428" t="s">
        <v>63</v>
      </c>
      <c r="S428" t="b">
        <v>0</v>
      </c>
      <c r="T428" t="b">
        <v>0</v>
      </c>
      <c r="U428" t="s">
        <v>1635</v>
      </c>
      <c r="V428" t="s">
        <v>64</v>
      </c>
      <c r="W428" t="s">
        <v>65</v>
      </c>
      <c r="X428" t="s">
        <v>1625</v>
      </c>
      <c r="Y428" t="s">
        <v>1626</v>
      </c>
      <c r="Z428" t="s">
        <v>1517</v>
      </c>
      <c r="AA428" t="b">
        <f>ISNUMBER(SEARCH(";"&amp;Lessons[[#This Row],[Instrument__c]]&amp;";",";"&amp;_xlfn.XLOOKUP(Lessons[[#This Row],[Instructor_External_Id__c]], Instructors[Id], Instructors[Instruments_Taught__c])&amp;";"))</f>
        <v>1</v>
      </c>
      <c r="AB428" t="str">
        <f>IF(LEFT(Lessons[[#This Row],[Status__c]],9)="Cancelled","",Lessons[[#This Row],[Instructor_External_Id__c]]&amp;"|"&amp;TEXT(Lessons[[#This Row],[Lesson_Date__c]],"yyyy-mm-dd")&amp;"|"&amp;Lessons[[#This Row],[Start_Time__c]])</f>
        <v>a06ak00000amzC2AAI|2026-07-13|11:00:00.000Z</v>
      </c>
      <c r="AC428">
        <f>IF(Lessons[[#This Row],[Double Booked Key]]="","",COUNTIF(Lessons[Double Booked Key],Lessons[[#This Row],[Double Booked Key]]))</f>
        <v>1</v>
      </c>
      <c r="AD428" s="6" t="str">
        <f>_xlfn.XLOOKUP(Lessons[[#This Row],[Location_External_Id__c]], Locations[Location Id], Locations[Location Name])</f>
        <v>Red Bank</v>
      </c>
      <c r="AE428" s="6" t="str">
        <f>TEXT(Lessons[[#This Row],[Lesson_Date__c]], "yyyy-mm")</f>
        <v>2026-07</v>
      </c>
      <c r="AF428" s="6" t="str">
        <f>IF(Lessons[[#This Row],[Lesson_Date__c]]&lt;=Data_Audit!$F$1, "Yes", "No")</f>
        <v>Yes</v>
      </c>
    </row>
    <row r="429" spans="1:32">
      <c r="A429" t="s">
        <v>52</v>
      </c>
      <c r="B429" t="s">
        <v>53</v>
      </c>
      <c r="C429">
        <v>30</v>
      </c>
      <c r="D429" t="s">
        <v>1636</v>
      </c>
      <c r="E429" t="s">
        <v>617</v>
      </c>
      <c r="F429" t="s">
        <v>618</v>
      </c>
      <c r="G429" t="s">
        <v>106</v>
      </c>
      <c r="H429" t="s">
        <v>461</v>
      </c>
      <c r="I429" t="b">
        <v>0</v>
      </c>
      <c r="K429" t="s">
        <v>52</v>
      </c>
      <c r="L429" t="s">
        <v>1517</v>
      </c>
      <c r="O429" s="1">
        <v>46168</v>
      </c>
      <c r="P429" t="s">
        <v>1637</v>
      </c>
      <c r="Q429" t="s">
        <v>1638</v>
      </c>
      <c r="R429" t="s">
        <v>63</v>
      </c>
      <c r="S429" t="b">
        <v>0</v>
      </c>
      <c r="T429" t="b">
        <v>0</v>
      </c>
      <c r="U429" t="s">
        <v>1638</v>
      </c>
      <c r="V429" t="s">
        <v>64</v>
      </c>
      <c r="W429" t="s">
        <v>65</v>
      </c>
      <c r="X429" t="s">
        <v>1625</v>
      </c>
      <c r="Y429" t="s">
        <v>1626</v>
      </c>
      <c r="Z429" t="s">
        <v>1517</v>
      </c>
      <c r="AA429" t="b">
        <f>ISNUMBER(SEARCH(";"&amp;Lessons[[#This Row],[Instrument__c]]&amp;";",";"&amp;_xlfn.XLOOKUP(Lessons[[#This Row],[Instructor_External_Id__c]], Instructors[Id], Instructors[Instruments_Taught__c])&amp;";"))</f>
        <v>1</v>
      </c>
      <c r="AB429" t="str">
        <f>IF(LEFT(Lessons[[#This Row],[Status__c]],9)="Cancelled","",Lessons[[#This Row],[Instructor_External_Id__c]]&amp;"|"&amp;TEXT(Lessons[[#This Row],[Lesson_Date__c]],"yyyy-mm-dd")&amp;"|"&amp;Lessons[[#This Row],[Start_Time__c]])</f>
        <v>a06ak00000amzC2AAI|2026-05-26|11:00:00.000Z</v>
      </c>
      <c r="AC429">
        <f>IF(Lessons[[#This Row],[Double Booked Key]]="","",COUNTIF(Lessons[Double Booked Key],Lessons[[#This Row],[Double Booked Key]]))</f>
        <v>1</v>
      </c>
      <c r="AD429" s="6" t="str">
        <f>_xlfn.XLOOKUP(Lessons[[#This Row],[Location_External_Id__c]], Locations[Location Id], Locations[Location Name])</f>
        <v>Red Bank</v>
      </c>
      <c r="AE429" s="6" t="str">
        <f>TEXT(Lessons[[#This Row],[Lesson_Date__c]], "yyyy-mm")</f>
        <v>2026-05</v>
      </c>
      <c r="AF429" s="6" t="str">
        <f>IF(Lessons[[#This Row],[Lesson_Date__c]]&lt;=Data_Audit!$F$1, "Yes", "No")</f>
        <v>Yes</v>
      </c>
    </row>
    <row r="430" spans="1:32">
      <c r="A430" t="s">
        <v>52</v>
      </c>
      <c r="B430" t="s">
        <v>53</v>
      </c>
      <c r="C430">
        <v>60</v>
      </c>
      <c r="D430" t="s">
        <v>1639</v>
      </c>
      <c r="E430" t="s">
        <v>459</v>
      </c>
      <c r="F430" t="s">
        <v>460</v>
      </c>
      <c r="H430" t="s">
        <v>461</v>
      </c>
      <c r="I430" t="b">
        <v>0</v>
      </c>
      <c r="K430" t="s">
        <v>52</v>
      </c>
      <c r="L430" t="s">
        <v>1517</v>
      </c>
      <c r="O430" s="1">
        <v>46263</v>
      </c>
      <c r="P430" t="s">
        <v>1640</v>
      </c>
      <c r="Q430" t="s">
        <v>1641</v>
      </c>
      <c r="R430" t="s">
        <v>150</v>
      </c>
      <c r="S430" t="b">
        <v>0</v>
      </c>
      <c r="T430" t="b">
        <v>0</v>
      </c>
      <c r="U430" t="s">
        <v>1641</v>
      </c>
      <c r="V430" t="s">
        <v>120</v>
      </c>
      <c r="W430" t="s">
        <v>121</v>
      </c>
      <c r="X430" t="s">
        <v>1642</v>
      </c>
      <c r="Y430" t="s">
        <v>1643</v>
      </c>
      <c r="Z430" t="s">
        <v>1517</v>
      </c>
      <c r="AA430" t="b">
        <f>ISNUMBER(SEARCH(";"&amp;Lessons[[#This Row],[Instrument__c]]&amp;";",";"&amp;_xlfn.XLOOKUP(Lessons[[#This Row],[Instructor_External_Id__c]], Instructors[Id], Instructors[Instruments_Taught__c])&amp;";"))</f>
        <v>1</v>
      </c>
      <c r="AB430" t="str">
        <f>IF(LEFT(Lessons[[#This Row],[Status__c]],9)="Cancelled","",Lessons[[#This Row],[Instructor_External_Id__c]]&amp;"|"&amp;TEXT(Lessons[[#This Row],[Lesson_Date__c]],"yyyy-mm-dd")&amp;"|"&amp;Lessons[[#This Row],[Start_Time__c]])</f>
        <v>a06ak00000amzC8AAI|2026-08-29|18:00:00.000Z</v>
      </c>
      <c r="AC430">
        <f>IF(Lessons[[#This Row],[Double Booked Key]]="","",COUNTIF(Lessons[Double Booked Key],Lessons[[#This Row],[Double Booked Key]]))</f>
        <v>1</v>
      </c>
      <c r="AD430" s="6" t="str">
        <f>_xlfn.XLOOKUP(Lessons[[#This Row],[Location_External_Id__c]], Locations[Location Id], Locations[Location Name])</f>
        <v>Toms River</v>
      </c>
      <c r="AE430" s="6" t="str">
        <f>TEXT(Lessons[[#This Row],[Lesson_Date__c]], "yyyy-mm")</f>
        <v>2026-08</v>
      </c>
      <c r="AF430" s="6" t="str">
        <f>IF(Lessons[[#This Row],[Lesson_Date__c]]&lt;=Data_Audit!$F$1, "Yes", "No")</f>
        <v>Yes</v>
      </c>
    </row>
    <row r="431" spans="1:32">
      <c r="A431" t="s">
        <v>52</v>
      </c>
      <c r="B431" t="s">
        <v>53</v>
      </c>
      <c r="C431">
        <v>45</v>
      </c>
      <c r="D431" t="s">
        <v>1644</v>
      </c>
      <c r="E431" t="s">
        <v>459</v>
      </c>
      <c r="F431" t="s">
        <v>460</v>
      </c>
      <c r="G431" t="s">
        <v>106</v>
      </c>
      <c r="H431" t="s">
        <v>461</v>
      </c>
      <c r="I431" t="b">
        <v>0</v>
      </c>
      <c r="K431" t="s">
        <v>52</v>
      </c>
      <c r="L431" t="s">
        <v>1517</v>
      </c>
      <c r="O431" s="1">
        <v>46102</v>
      </c>
      <c r="P431" t="s">
        <v>1645</v>
      </c>
      <c r="Q431" t="s">
        <v>1646</v>
      </c>
      <c r="R431" t="s">
        <v>150</v>
      </c>
      <c r="S431" t="b">
        <v>0</v>
      </c>
      <c r="T431" t="b">
        <v>0</v>
      </c>
      <c r="U431" t="s">
        <v>1646</v>
      </c>
      <c r="V431" t="s">
        <v>140</v>
      </c>
      <c r="W431" t="s">
        <v>65</v>
      </c>
      <c r="X431" t="s">
        <v>1642</v>
      </c>
      <c r="Y431" t="s">
        <v>1643</v>
      </c>
      <c r="Z431" t="s">
        <v>1517</v>
      </c>
      <c r="AA431" t="b">
        <f>ISNUMBER(SEARCH(";"&amp;Lessons[[#This Row],[Instrument__c]]&amp;";",";"&amp;_xlfn.XLOOKUP(Lessons[[#This Row],[Instructor_External_Id__c]], Instructors[Id], Instructors[Instruments_Taught__c])&amp;";"))</f>
        <v>1</v>
      </c>
      <c r="AB431" t="str">
        <f>IF(LEFT(Lessons[[#This Row],[Status__c]],9)="Cancelled","",Lessons[[#This Row],[Instructor_External_Id__c]]&amp;"|"&amp;TEXT(Lessons[[#This Row],[Lesson_Date__c]],"yyyy-mm-dd")&amp;"|"&amp;Lessons[[#This Row],[Start_Time__c]])</f>
        <v>a06ak00000amzC8AAI|2026-03-21|15:00:00.000Z</v>
      </c>
      <c r="AC431">
        <f>IF(Lessons[[#This Row],[Double Booked Key]]="","",COUNTIF(Lessons[Double Booked Key],Lessons[[#This Row],[Double Booked Key]]))</f>
        <v>1</v>
      </c>
      <c r="AD431" s="6" t="str">
        <f>_xlfn.XLOOKUP(Lessons[[#This Row],[Location_External_Id__c]], Locations[Location Id], Locations[Location Name])</f>
        <v>Toms River</v>
      </c>
      <c r="AE431" s="6" t="str">
        <f>TEXT(Lessons[[#This Row],[Lesson_Date__c]], "yyyy-mm")</f>
        <v>2026-03</v>
      </c>
      <c r="AF431" s="6" t="str">
        <f>IF(Lessons[[#This Row],[Lesson_Date__c]]&lt;=Data_Audit!$F$1, "Yes", "No")</f>
        <v>Yes</v>
      </c>
    </row>
    <row r="432" spans="1:32">
      <c r="A432" t="s">
        <v>52</v>
      </c>
      <c r="B432" t="s">
        <v>53</v>
      </c>
      <c r="C432">
        <v>30</v>
      </c>
      <c r="D432" t="s">
        <v>1647</v>
      </c>
      <c r="E432" t="s">
        <v>459</v>
      </c>
      <c r="F432" t="s">
        <v>460</v>
      </c>
      <c r="H432" t="s">
        <v>461</v>
      </c>
      <c r="I432" t="b">
        <v>0</v>
      </c>
      <c r="K432" t="s">
        <v>52</v>
      </c>
      <c r="L432" t="s">
        <v>1517</v>
      </c>
      <c r="O432" s="1">
        <v>46170</v>
      </c>
      <c r="P432" t="s">
        <v>1648</v>
      </c>
      <c r="Q432" t="s">
        <v>1649</v>
      </c>
      <c r="R432" t="s">
        <v>150</v>
      </c>
      <c r="S432" t="b">
        <v>0</v>
      </c>
      <c r="T432" t="b">
        <v>0</v>
      </c>
      <c r="U432" t="s">
        <v>1649</v>
      </c>
      <c r="V432" t="s">
        <v>128</v>
      </c>
      <c r="W432" t="s">
        <v>121</v>
      </c>
      <c r="X432" t="s">
        <v>1642</v>
      </c>
      <c r="Y432" t="s">
        <v>1643</v>
      </c>
      <c r="Z432" t="s">
        <v>1517</v>
      </c>
      <c r="AA432" t="b">
        <f>ISNUMBER(SEARCH(";"&amp;Lessons[[#This Row],[Instrument__c]]&amp;";",";"&amp;_xlfn.XLOOKUP(Lessons[[#This Row],[Instructor_External_Id__c]], Instructors[Id], Instructors[Instruments_Taught__c])&amp;";"))</f>
        <v>1</v>
      </c>
      <c r="AB432" t="str">
        <f>IF(LEFT(Lessons[[#This Row],[Status__c]],9)="Cancelled","",Lessons[[#This Row],[Instructor_External_Id__c]]&amp;"|"&amp;TEXT(Lessons[[#This Row],[Lesson_Date__c]],"yyyy-mm-dd")&amp;"|"&amp;Lessons[[#This Row],[Start_Time__c]])</f>
        <v>a06ak00000amzC8AAI|2026-05-28|18:30:00.000Z</v>
      </c>
      <c r="AC432">
        <f>IF(Lessons[[#This Row],[Double Booked Key]]="","",COUNTIF(Lessons[Double Booked Key],Lessons[[#This Row],[Double Booked Key]]))</f>
        <v>1</v>
      </c>
      <c r="AD432" s="6" t="str">
        <f>_xlfn.XLOOKUP(Lessons[[#This Row],[Location_External_Id__c]], Locations[Location Id], Locations[Location Name])</f>
        <v>Toms River</v>
      </c>
      <c r="AE432" s="6" t="str">
        <f>TEXT(Lessons[[#This Row],[Lesson_Date__c]], "yyyy-mm")</f>
        <v>2026-05</v>
      </c>
      <c r="AF432" s="6" t="str">
        <f>IF(Lessons[[#This Row],[Lesson_Date__c]]&lt;=Data_Audit!$F$1, "Yes", "No")</f>
        <v>Yes</v>
      </c>
    </row>
    <row r="433" spans="1:32">
      <c r="A433" t="s">
        <v>52</v>
      </c>
      <c r="B433" t="s">
        <v>53</v>
      </c>
      <c r="C433">
        <v>45</v>
      </c>
      <c r="D433" t="s">
        <v>1650</v>
      </c>
      <c r="E433" t="s">
        <v>459</v>
      </c>
      <c r="F433" t="s">
        <v>460</v>
      </c>
      <c r="G433" t="s">
        <v>57</v>
      </c>
      <c r="H433" t="s">
        <v>461</v>
      </c>
      <c r="I433" t="b">
        <v>0</v>
      </c>
      <c r="K433" t="s">
        <v>52</v>
      </c>
      <c r="L433" t="s">
        <v>1517</v>
      </c>
      <c r="O433" s="1">
        <v>46195</v>
      </c>
      <c r="P433" t="s">
        <v>1651</v>
      </c>
      <c r="Q433" t="s">
        <v>1652</v>
      </c>
      <c r="R433" t="s">
        <v>150</v>
      </c>
      <c r="S433" t="b">
        <v>0</v>
      </c>
      <c r="T433" t="b">
        <v>0</v>
      </c>
      <c r="U433" t="s">
        <v>1652</v>
      </c>
      <c r="V433" t="s">
        <v>128</v>
      </c>
      <c r="W433" t="s">
        <v>65</v>
      </c>
      <c r="X433" t="s">
        <v>1642</v>
      </c>
      <c r="Y433" t="s">
        <v>1643</v>
      </c>
      <c r="Z433" t="s">
        <v>1517</v>
      </c>
      <c r="AA433" t="b">
        <f>ISNUMBER(SEARCH(";"&amp;Lessons[[#This Row],[Instrument__c]]&amp;";",";"&amp;_xlfn.XLOOKUP(Lessons[[#This Row],[Instructor_External_Id__c]], Instructors[Id], Instructors[Instruments_Taught__c])&amp;";"))</f>
        <v>1</v>
      </c>
      <c r="AB433" t="str">
        <f>IF(LEFT(Lessons[[#This Row],[Status__c]],9)="Cancelled","",Lessons[[#This Row],[Instructor_External_Id__c]]&amp;"|"&amp;TEXT(Lessons[[#This Row],[Lesson_Date__c]],"yyyy-mm-dd")&amp;"|"&amp;Lessons[[#This Row],[Start_Time__c]])</f>
        <v>a06ak00000amzC8AAI|2026-06-22|18:30:00.000Z</v>
      </c>
      <c r="AC433">
        <f>IF(Lessons[[#This Row],[Double Booked Key]]="","",COUNTIF(Lessons[Double Booked Key],Lessons[[#This Row],[Double Booked Key]]))</f>
        <v>1</v>
      </c>
      <c r="AD433" s="6" t="str">
        <f>_xlfn.XLOOKUP(Lessons[[#This Row],[Location_External_Id__c]], Locations[Location Id], Locations[Location Name])</f>
        <v>Toms River</v>
      </c>
      <c r="AE433" s="6" t="str">
        <f>TEXT(Lessons[[#This Row],[Lesson_Date__c]], "yyyy-mm")</f>
        <v>2026-06</v>
      </c>
      <c r="AF433" s="6" t="str">
        <f>IF(Lessons[[#This Row],[Lesson_Date__c]]&lt;=Data_Audit!$F$1, "Yes", "No")</f>
        <v>Yes</v>
      </c>
    </row>
    <row r="434" spans="1:32">
      <c r="A434" t="s">
        <v>52</v>
      </c>
      <c r="B434" t="s">
        <v>53</v>
      </c>
      <c r="C434">
        <v>45</v>
      </c>
      <c r="D434" t="s">
        <v>1653</v>
      </c>
      <c r="E434" t="s">
        <v>459</v>
      </c>
      <c r="F434" t="s">
        <v>460</v>
      </c>
      <c r="H434" t="s">
        <v>461</v>
      </c>
      <c r="I434" t="b">
        <v>0</v>
      </c>
      <c r="K434" t="s">
        <v>52</v>
      </c>
      <c r="L434" t="s">
        <v>1517</v>
      </c>
      <c r="O434" s="1">
        <v>46086</v>
      </c>
      <c r="P434" t="s">
        <v>1654</v>
      </c>
      <c r="Q434" t="s">
        <v>1655</v>
      </c>
      <c r="R434" t="s">
        <v>150</v>
      </c>
      <c r="S434" t="b">
        <v>0</v>
      </c>
      <c r="T434" t="b">
        <v>0</v>
      </c>
      <c r="U434" t="s">
        <v>1655</v>
      </c>
      <c r="V434" t="s">
        <v>135</v>
      </c>
      <c r="W434" t="s">
        <v>65</v>
      </c>
      <c r="X434" t="s">
        <v>1642</v>
      </c>
      <c r="Y434" t="s">
        <v>1643</v>
      </c>
      <c r="Z434" t="s">
        <v>1517</v>
      </c>
      <c r="AA434" t="b">
        <f>ISNUMBER(SEARCH(";"&amp;Lessons[[#This Row],[Instrument__c]]&amp;";",";"&amp;_xlfn.XLOOKUP(Lessons[[#This Row],[Instructor_External_Id__c]], Instructors[Id], Instructors[Instruments_Taught__c])&amp;";"))</f>
        <v>1</v>
      </c>
      <c r="AB434" t="str">
        <f>IF(LEFT(Lessons[[#This Row],[Status__c]],9)="Cancelled","",Lessons[[#This Row],[Instructor_External_Id__c]]&amp;"|"&amp;TEXT(Lessons[[#This Row],[Lesson_Date__c]],"yyyy-mm-dd")&amp;"|"&amp;Lessons[[#This Row],[Start_Time__c]])</f>
        <v>a06ak00000amzC8AAI|2026-03-05|15:30:00.000Z</v>
      </c>
      <c r="AC434">
        <f>IF(Lessons[[#This Row],[Double Booked Key]]="","",COUNTIF(Lessons[Double Booked Key],Lessons[[#This Row],[Double Booked Key]]))</f>
        <v>1</v>
      </c>
      <c r="AD434" s="6" t="str">
        <f>_xlfn.XLOOKUP(Lessons[[#This Row],[Location_External_Id__c]], Locations[Location Id], Locations[Location Name])</f>
        <v>Toms River</v>
      </c>
      <c r="AE434" s="6" t="str">
        <f>TEXT(Lessons[[#This Row],[Lesson_Date__c]], "yyyy-mm")</f>
        <v>2026-03</v>
      </c>
      <c r="AF434" s="6" t="str">
        <f>IF(Lessons[[#This Row],[Lesson_Date__c]]&lt;=Data_Audit!$F$1, "Yes", "No")</f>
        <v>Yes</v>
      </c>
    </row>
    <row r="435" spans="1:32">
      <c r="A435" t="s">
        <v>52</v>
      </c>
      <c r="B435" t="s">
        <v>53</v>
      </c>
      <c r="C435">
        <v>60</v>
      </c>
      <c r="D435" t="s">
        <v>1656</v>
      </c>
      <c r="E435" t="s">
        <v>459</v>
      </c>
      <c r="F435" t="s">
        <v>460</v>
      </c>
      <c r="G435" t="s">
        <v>69</v>
      </c>
      <c r="H435" t="s">
        <v>461</v>
      </c>
      <c r="I435" t="b">
        <v>0</v>
      </c>
      <c r="K435" t="s">
        <v>52</v>
      </c>
      <c r="L435" t="s">
        <v>1517</v>
      </c>
      <c r="O435" s="1">
        <v>46232</v>
      </c>
      <c r="P435" t="s">
        <v>1657</v>
      </c>
      <c r="Q435" t="s">
        <v>1658</v>
      </c>
      <c r="R435" t="s">
        <v>150</v>
      </c>
      <c r="S435" t="b">
        <v>0</v>
      </c>
      <c r="T435" t="b">
        <v>0</v>
      </c>
      <c r="U435" t="s">
        <v>1658</v>
      </c>
      <c r="V435" t="s">
        <v>140</v>
      </c>
      <c r="W435" t="s">
        <v>65</v>
      </c>
      <c r="X435" t="s">
        <v>1642</v>
      </c>
      <c r="Y435" t="s">
        <v>1643</v>
      </c>
      <c r="Z435" t="s">
        <v>1517</v>
      </c>
      <c r="AA435" t="b">
        <f>ISNUMBER(SEARCH(";"&amp;Lessons[[#This Row],[Instrument__c]]&amp;";",";"&amp;_xlfn.XLOOKUP(Lessons[[#This Row],[Instructor_External_Id__c]], Instructors[Id], Instructors[Instruments_Taught__c])&amp;";"))</f>
        <v>1</v>
      </c>
      <c r="AB435" t="str">
        <f>IF(LEFT(Lessons[[#This Row],[Status__c]],9)="Cancelled","",Lessons[[#This Row],[Instructor_External_Id__c]]&amp;"|"&amp;TEXT(Lessons[[#This Row],[Lesson_Date__c]],"yyyy-mm-dd")&amp;"|"&amp;Lessons[[#This Row],[Start_Time__c]])</f>
        <v>a06ak00000amzC8AAI|2026-07-29|15:00:00.000Z</v>
      </c>
      <c r="AC435">
        <f>IF(Lessons[[#This Row],[Double Booked Key]]="","",COUNTIF(Lessons[Double Booked Key],Lessons[[#This Row],[Double Booked Key]]))</f>
        <v>1</v>
      </c>
      <c r="AD435" s="6" t="str">
        <f>_xlfn.XLOOKUP(Lessons[[#This Row],[Location_External_Id__c]], Locations[Location Id], Locations[Location Name])</f>
        <v>Toms River</v>
      </c>
      <c r="AE435" s="6" t="str">
        <f>TEXT(Lessons[[#This Row],[Lesson_Date__c]], "yyyy-mm")</f>
        <v>2026-07</v>
      </c>
      <c r="AF435" s="6" t="str">
        <f>IF(Lessons[[#This Row],[Lesson_Date__c]]&lt;=Data_Audit!$F$1, "Yes", "No")</f>
        <v>Yes</v>
      </c>
    </row>
    <row r="436" spans="1:32">
      <c r="A436" t="s">
        <v>52</v>
      </c>
      <c r="B436" t="s">
        <v>53</v>
      </c>
      <c r="C436">
        <v>30</v>
      </c>
      <c r="D436" t="s">
        <v>1659</v>
      </c>
      <c r="E436" t="s">
        <v>459</v>
      </c>
      <c r="F436" t="s">
        <v>460</v>
      </c>
      <c r="G436" t="s">
        <v>69</v>
      </c>
      <c r="H436" t="s">
        <v>461</v>
      </c>
      <c r="I436" t="b">
        <v>0</v>
      </c>
      <c r="K436" t="s">
        <v>52</v>
      </c>
      <c r="L436" t="s">
        <v>1517</v>
      </c>
      <c r="O436" s="1">
        <v>46068</v>
      </c>
      <c r="P436" t="s">
        <v>1660</v>
      </c>
      <c r="Q436" t="s">
        <v>1661</v>
      </c>
      <c r="R436" t="s">
        <v>150</v>
      </c>
      <c r="S436" t="b">
        <v>0</v>
      </c>
      <c r="T436" t="b">
        <v>0</v>
      </c>
      <c r="U436" t="s">
        <v>1661</v>
      </c>
      <c r="V436" t="s">
        <v>110</v>
      </c>
      <c r="W436" t="s">
        <v>65</v>
      </c>
      <c r="X436" t="s">
        <v>1642</v>
      </c>
      <c r="Y436" t="s">
        <v>1643</v>
      </c>
      <c r="Z436" t="s">
        <v>1517</v>
      </c>
      <c r="AA436" t="b">
        <f>ISNUMBER(SEARCH(";"&amp;Lessons[[#This Row],[Instrument__c]]&amp;";",";"&amp;_xlfn.XLOOKUP(Lessons[[#This Row],[Instructor_External_Id__c]], Instructors[Id], Instructors[Instruments_Taught__c])&amp;";"))</f>
        <v>1</v>
      </c>
      <c r="AB436" t="str">
        <f>IF(LEFT(Lessons[[#This Row],[Status__c]],9)="Cancelled","",Lessons[[#This Row],[Instructor_External_Id__c]]&amp;"|"&amp;TEXT(Lessons[[#This Row],[Lesson_Date__c]],"yyyy-mm-dd")&amp;"|"&amp;Lessons[[#This Row],[Start_Time__c]])</f>
        <v>a06ak00000amzC8AAI|2026-02-15|10:00:00.000Z</v>
      </c>
      <c r="AC436">
        <f>IF(Lessons[[#This Row],[Double Booked Key]]="","",COUNTIF(Lessons[Double Booked Key],Lessons[[#This Row],[Double Booked Key]]))</f>
        <v>1</v>
      </c>
      <c r="AD436" s="6" t="str">
        <f>_xlfn.XLOOKUP(Lessons[[#This Row],[Location_External_Id__c]], Locations[Location Id], Locations[Location Name])</f>
        <v>Toms River</v>
      </c>
      <c r="AE436" s="6" t="str">
        <f>TEXT(Lessons[[#This Row],[Lesson_Date__c]], "yyyy-mm")</f>
        <v>2026-02</v>
      </c>
      <c r="AF436" s="6" t="str">
        <f>IF(Lessons[[#This Row],[Lesson_Date__c]]&lt;=Data_Audit!$F$1, "Yes", "No")</f>
        <v>Yes</v>
      </c>
    </row>
    <row r="437" spans="1:32">
      <c r="A437" t="s">
        <v>52</v>
      </c>
      <c r="B437" t="s">
        <v>53</v>
      </c>
      <c r="C437">
        <v>30</v>
      </c>
      <c r="D437" t="s">
        <v>1662</v>
      </c>
      <c r="E437" t="s">
        <v>862</v>
      </c>
      <c r="F437" t="s">
        <v>863</v>
      </c>
      <c r="H437" t="s">
        <v>284</v>
      </c>
      <c r="I437" t="b">
        <v>0</v>
      </c>
      <c r="K437" t="s">
        <v>52</v>
      </c>
      <c r="L437" t="s">
        <v>1517</v>
      </c>
      <c r="O437" s="1">
        <v>46148</v>
      </c>
      <c r="P437" t="s">
        <v>1663</v>
      </c>
      <c r="Q437" t="s">
        <v>1664</v>
      </c>
      <c r="R437" t="s">
        <v>63</v>
      </c>
      <c r="S437" t="b">
        <v>0</v>
      </c>
      <c r="T437" t="b">
        <v>0</v>
      </c>
      <c r="U437" t="s">
        <v>1664</v>
      </c>
      <c r="V437" t="s">
        <v>128</v>
      </c>
      <c r="W437" t="s">
        <v>65</v>
      </c>
      <c r="X437" t="s">
        <v>1665</v>
      </c>
      <c r="Y437" t="s">
        <v>1666</v>
      </c>
      <c r="Z437" t="s">
        <v>1517</v>
      </c>
      <c r="AA437" t="b">
        <f>ISNUMBER(SEARCH(";"&amp;Lessons[[#This Row],[Instrument__c]]&amp;";",";"&amp;_xlfn.XLOOKUP(Lessons[[#This Row],[Instructor_External_Id__c]], Instructors[Id], Instructors[Instruments_Taught__c])&amp;";"))</f>
        <v>1</v>
      </c>
      <c r="AB437" t="str">
        <f>IF(LEFT(Lessons[[#This Row],[Status__c]],9)="Cancelled","",Lessons[[#This Row],[Instructor_External_Id__c]]&amp;"|"&amp;TEXT(Lessons[[#This Row],[Lesson_Date__c]],"yyyy-mm-dd")&amp;"|"&amp;Lessons[[#This Row],[Start_Time__c]])</f>
        <v>a06ak00000amzCLAAY|2026-05-06|18:30:00.000Z</v>
      </c>
      <c r="AC437">
        <f>IF(Lessons[[#This Row],[Double Booked Key]]="","",COUNTIF(Lessons[Double Booked Key],Lessons[[#This Row],[Double Booked Key]]))</f>
        <v>1</v>
      </c>
      <c r="AD437" s="6" t="str">
        <f>_xlfn.XLOOKUP(Lessons[[#This Row],[Location_External_Id__c]], Locations[Location Id], Locations[Location Name])</f>
        <v>Red Bank</v>
      </c>
      <c r="AE437" s="6" t="str">
        <f>TEXT(Lessons[[#This Row],[Lesson_Date__c]], "yyyy-mm")</f>
        <v>2026-05</v>
      </c>
      <c r="AF437" s="6" t="str">
        <f>IF(Lessons[[#This Row],[Lesson_Date__c]]&lt;=Data_Audit!$F$1, "Yes", "No")</f>
        <v>Yes</v>
      </c>
    </row>
    <row r="438" spans="1:32">
      <c r="A438" t="s">
        <v>52</v>
      </c>
      <c r="B438" t="s">
        <v>53</v>
      </c>
      <c r="C438">
        <v>30</v>
      </c>
      <c r="D438" t="s">
        <v>1667</v>
      </c>
      <c r="E438" t="s">
        <v>862</v>
      </c>
      <c r="F438" t="s">
        <v>863</v>
      </c>
      <c r="G438" t="s">
        <v>69</v>
      </c>
      <c r="H438" t="s">
        <v>284</v>
      </c>
      <c r="I438" t="b">
        <v>0</v>
      </c>
      <c r="K438" t="s">
        <v>52</v>
      </c>
      <c r="L438" t="s">
        <v>1517</v>
      </c>
      <c r="O438" s="1">
        <v>46053</v>
      </c>
      <c r="P438" t="s">
        <v>1668</v>
      </c>
      <c r="Q438" t="s">
        <v>1669</v>
      </c>
      <c r="R438" t="s">
        <v>63</v>
      </c>
      <c r="S438" t="b">
        <v>0</v>
      </c>
      <c r="T438" t="b">
        <v>0</v>
      </c>
      <c r="U438" t="s">
        <v>1669</v>
      </c>
      <c r="V438" t="s">
        <v>64</v>
      </c>
      <c r="W438" t="s">
        <v>65</v>
      </c>
      <c r="X438" t="s">
        <v>1665</v>
      </c>
      <c r="Y438" t="s">
        <v>1666</v>
      </c>
      <c r="Z438" t="s">
        <v>1517</v>
      </c>
      <c r="AA438" t="b">
        <f>ISNUMBER(SEARCH(";"&amp;Lessons[[#This Row],[Instrument__c]]&amp;";",";"&amp;_xlfn.XLOOKUP(Lessons[[#This Row],[Instructor_External_Id__c]], Instructors[Id], Instructors[Instruments_Taught__c])&amp;";"))</f>
        <v>1</v>
      </c>
      <c r="AB438" t="str">
        <f>IF(LEFT(Lessons[[#This Row],[Status__c]],9)="Cancelled","",Lessons[[#This Row],[Instructor_External_Id__c]]&amp;"|"&amp;TEXT(Lessons[[#This Row],[Lesson_Date__c]],"yyyy-mm-dd")&amp;"|"&amp;Lessons[[#This Row],[Start_Time__c]])</f>
        <v>a06ak00000amzCLAAY|2026-01-31|11:00:00.000Z</v>
      </c>
      <c r="AC438">
        <f>IF(Lessons[[#This Row],[Double Booked Key]]="","",COUNTIF(Lessons[Double Booked Key],Lessons[[#This Row],[Double Booked Key]]))</f>
        <v>1</v>
      </c>
      <c r="AD438" s="6" t="str">
        <f>_xlfn.XLOOKUP(Lessons[[#This Row],[Location_External_Id__c]], Locations[Location Id], Locations[Location Name])</f>
        <v>Red Bank</v>
      </c>
      <c r="AE438" s="6" t="str">
        <f>TEXT(Lessons[[#This Row],[Lesson_Date__c]], "yyyy-mm")</f>
        <v>2026-01</v>
      </c>
      <c r="AF438" s="6" t="str">
        <f>IF(Lessons[[#This Row],[Lesson_Date__c]]&lt;=Data_Audit!$F$1, "Yes", "No")</f>
        <v>Yes</v>
      </c>
    </row>
    <row r="439" spans="1:32">
      <c r="A439" t="s">
        <v>52</v>
      </c>
      <c r="B439" t="s">
        <v>53</v>
      </c>
      <c r="C439">
        <v>30</v>
      </c>
      <c r="D439" t="s">
        <v>1670</v>
      </c>
      <c r="E439" t="s">
        <v>862</v>
      </c>
      <c r="F439" t="s">
        <v>863</v>
      </c>
      <c r="G439" t="s">
        <v>57</v>
      </c>
      <c r="H439" t="s">
        <v>284</v>
      </c>
      <c r="I439" t="b">
        <v>0</v>
      </c>
      <c r="K439" t="s">
        <v>52</v>
      </c>
      <c r="L439" t="s">
        <v>1517</v>
      </c>
      <c r="O439" s="1">
        <v>46272</v>
      </c>
      <c r="P439" t="s">
        <v>1671</v>
      </c>
      <c r="Q439" t="s">
        <v>1672</v>
      </c>
      <c r="R439" t="s">
        <v>63</v>
      </c>
      <c r="S439" t="b">
        <v>0</v>
      </c>
      <c r="T439" t="b">
        <v>0</v>
      </c>
      <c r="U439" t="s">
        <v>1672</v>
      </c>
      <c r="V439" t="s">
        <v>64</v>
      </c>
      <c r="W439" t="s">
        <v>65</v>
      </c>
      <c r="X439" t="s">
        <v>1665</v>
      </c>
      <c r="Y439" t="s">
        <v>1666</v>
      </c>
      <c r="Z439" t="s">
        <v>1517</v>
      </c>
      <c r="AA439" t="b">
        <f>ISNUMBER(SEARCH(";"&amp;Lessons[[#This Row],[Instrument__c]]&amp;";",";"&amp;_xlfn.XLOOKUP(Lessons[[#This Row],[Instructor_External_Id__c]], Instructors[Id], Instructors[Instruments_Taught__c])&amp;";"))</f>
        <v>1</v>
      </c>
      <c r="AB439" t="str">
        <f>IF(LEFT(Lessons[[#This Row],[Status__c]],9)="Cancelled","",Lessons[[#This Row],[Instructor_External_Id__c]]&amp;"|"&amp;TEXT(Lessons[[#This Row],[Lesson_Date__c]],"yyyy-mm-dd")&amp;"|"&amp;Lessons[[#This Row],[Start_Time__c]])</f>
        <v>a06ak00000amzCLAAY|2026-09-07|11:00:00.000Z</v>
      </c>
      <c r="AC439">
        <f>IF(Lessons[[#This Row],[Double Booked Key]]="","",COUNTIF(Lessons[Double Booked Key],Lessons[[#This Row],[Double Booked Key]]))</f>
        <v>1</v>
      </c>
      <c r="AD439" s="6" t="str">
        <f>_xlfn.XLOOKUP(Lessons[[#This Row],[Location_External_Id__c]], Locations[Location Id], Locations[Location Name])</f>
        <v>Red Bank</v>
      </c>
      <c r="AE439" s="6" t="str">
        <f>TEXT(Lessons[[#This Row],[Lesson_Date__c]], "yyyy-mm")</f>
        <v>2026-09</v>
      </c>
      <c r="AF439" s="6" t="str">
        <f>IF(Lessons[[#This Row],[Lesson_Date__c]]&lt;=Data_Audit!$F$1, "Yes", "No")</f>
        <v>Yes</v>
      </c>
    </row>
    <row r="440" spans="1:32">
      <c r="A440" t="s">
        <v>52</v>
      </c>
      <c r="B440" t="s">
        <v>53</v>
      </c>
      <c r="C440">
        <v>60</v>
      </c>
      <c r="D440" t="s">
        <v>1673</v>
      </c>
      <c r="E440" t="s">
        <v>862</v>
      </c>
      <c r="F440" t="s">
        <v>863</v>
      </c>
      <c r="G440" t="s">
        <v>99</v>
      </c>
      <c r="H440" t="s">
        <v>284</v>
      </c>
      <c r="I440" t="b">
        <v>0</v>
      </c>
      <c r="K440" t="s">
        <v>52</v>
      </c>
      <c r="L440" t="s">
        <v>1517</v>
      </c>
      <c r="O440" s="1">
        <v>46147</v>
      </c>
      <c r="P440" t="s">
        <v>1674</v>
      </c>
      <c r="Q440" t="s">
        <v>1675</v>
      </c>
      <c r="R440" t="s">
        <v>63</v>
      </c>
      <c r="S440" t="b">
        <v>0</v>
      </c>
      <c r="T440" t="b">
        <v>0</v>
      </c>
      <c r="U440" t="s">
        <v>1675</v>
      </c>
      <c r="V440" t="s">
        <v>84</v>
      </c>
      <c r="W440" t="s">
        <v>65</v>
      </c>
      <c r="X440" t="s">
        <v>1665</v>
      </c>
      <c r="Y440" t="s">
        <v>1666</v>
      </c>
      <c r="Z440" t="s">
        <v>1517</v>
      </c>
      <c r="AA440" t="b">
        <f>ISNUMBER(SEARCH(";"&amp;Lessons[[#This Row],[Instrument__c]]&amp;";",";"&amp;_xlfn.XLOOKUP(Lessons[[#This Row],[Instructor_External_Id__c]], Instructors[Id], Instructors[Instruments_Taught__c])&amp;";"))</f>
        <v>1</v>
      </c>
      <c r="AB440" t="str">
        <f>IF(LEFT(Lessons[[#This Row],[Status__c]],9)="Cancelled","",Lessons[[#This Row],[Instructor_External_Id__c]]&amp;"|"&amp;TEXT(Lessons[[#This Row],[Lesson_Date__c]],"yyyy-mm-dd")&amp;"|"&amp;Lessons[[#This Row],[Start_Time__c]])</f>
        <v>a06ak00000amzCLAAY|2026-05-05|17:00:00.000Z</v>
      </c>
      <c r="AC440">
        <f>IF(Lessons[[#This Row],[Double Booked Key]]="","",COUNTIF(Lessons[Double Booked Key],Lessons[[#This Row],[Double Booked Key]]))</f>
        <v>1</v>
      </c>
      <c r="AD440" s="6" t="str">
        <f>_xlfn.XLOOKUP(Lessons[[#This Row],[Location_External_Id__c]], Locations[Location Id], Locations[Location Name])</f>
        <v>Red Bank</v>
      </c>
      <c r="AE440" s="6" t="str">
        <f>TEXT(Lessons[[#This Row],[Lesson_Date__c]], "yyyy-mm")</f>
        <v>2026-05</v>
      </c>
      <c r="AF440" s="6" t="str">
        <f>IF(Lessons[[#This Row],[Lesson_Date__c]]&lt;=Data_Audit!$F$1, "Yes", "No")</f>
        <v>Yes</v>
      </c>
    </row>
    <row r="441" spans="1:32">
      <c r="A441" t="s">
        <v>52</v>
      </c>
      <c r="B441" t="s">
        <v>53</v>
      </c>
      <c r="C441">
        <v>30</v>
      </c>
      <c r="D441" t="s">
        <v>1676</v>
      </c>
      <c r="E441" t="s">
        <v>862</v>
      </c>
      <c r="F441" t="s">
        <v>863</v>
      </c>
      <c r="G441" t="s">
        <v>99</v>
      </c>
      <c r="H441" t="s">
        <v>284</v>
      </c>
      <c r="I441" t="b">
        <v>0</v>
      </c>
      <c r="K441" t="s">
        <v>52</v>
      </c>
      <c r="L441" t="s">
        <v>1517</v>
      </c>
      <c r="O441" s="1">
        <v>46228</v>
      </c>
      <c r="P441" t="s">
        <v>1677</v>
      </c>
      <c r="Q441" t="s">
        <v>1678</v>
      </c>
      <c r="R441" t="s">
        <v>63</v>
      </c>
      <c r="S441" t="b">
        <v>0</v>
      </c>
      <c r="T441" t="b">
        <v>0</v>
      </c>
      <c r="U441" t="s">
        <v>1678</v>
      </c>
      <c r="V441" t="s">
        <v>102</v>
      </c>
      <c r="W441" t="s">
        <v>65</v>
      </c>
      <c r="X441" t="s">
        <v>1665</v>
      </c>
      <c r="Y441" t="s">
        <v>1666</v>
      </c>
      <c r="Z441" t="s">
        <v>1517</v>
      </c>
      <c r="AA441" t="b">
        <f>ISNUMBER(SEARCH(";"&amp;Lessons[[#This Row],[Instrument__c]]&amp;";",";"&amp;_xlfn.XLOOKUP(Lessons[[#This Row],[Instructor_External_Id__c]], Instructors[Id], Instructors[Instruments_Taught__c])&amp;";"))</f>
        <v>1</v>
      </c>
      <c r="AB441" t="str">
        <f>IF(LEFT(Lessons[[#This Row],[Status__c]],9)="Cancelled","",Lessons[[#This Row],[Instructor_External_Id__c]]&amp;"|"&amp;TEXT(Lessons[[#This Row],[Lesson_Date__c]],"yyyy-mm-dd")&amp;"|"&amp;Lessons[[#This Row],[Start_Time__c]])</f>
        <v>a06ak00000amzCLAAY|2026-07-25|16:00:00.000Z</v>
      </c>
      <c r="AC441">
        <f>IF(Lessons[[#This Row],[Double Booked Key]]="","",COUNTIF(Lessons[Double Booked Key],Lessons[[#This Row],[Double Booked Key]]))</f>
        <v>1</v>
      </c>
      <c r="AD441" s="6" t="str">
        <f>_xlfn.XLOOKUP(Lessons[[#This Row],[Location_External_Id__c]], Locations[Location Id], Locations[Location Name])</f>
        <v>Red Bank</v>
      </c>
      <c r="AE441" s="6" t="str">
        <f>TEXT(Lessons[[#This Row],[Lesson_Date__c]], "yyyy-mm")</f>
        <v>2026-07</v>
      </c>
      <c r="AF441" s="6" t="str">
        <f>IF(Lessons[[#This Row],[Lesson_Date__c]]&lt;=Data_Audit!$F$1, "Yes", "No")</f>
        <v>Yes</v>
      </c>
    </row>
    <row r="442" spans="1:32">
      <c r="A442" t="s">
        <v>52</v>
      </c>
      <c r="B442" t="s">
        <v>53</v>
      </c>
      <c r="C442">
        <v>30</v>
      </c>
      <c r="D442" t="s">
        <v>1679</v>
      </c>
      <c r="E442" t="s">
        <v>862</v>
      </c>
      <c r="F442" t="s">
        <v>863</v>
      </c>
      <c r="G442" t="s">
        <v>106</v>
      </c>
      <c r="H442" t="s">
        <v>284</v>
      </c>
      <c r="I442" t="b">
        <v>0</v>
      </c>
      <c r="K442" t="s">
        <v>52</v>
      </c>
      <c r="L442" t="s">
        <v>1517</v>
      </c>
      <c r="O442" s="1">
        <v>46208</v>
      </c>
      <c r="P442" t="s">
        <v>1680</v>
      </c>
      <c r="Q442" t="s">
        <v>1681</v>
      </c>
      <c r="R442" t="s">
        <v>63</v>
      </c>
      <c r="S442" t="b">
        <v>0</v>
      </c>
      <c r="T442" t="b">
        <v>0</v>
      </c>
      <c r="U442" t="s">
        <v>1681</v>
      </c>
      <c r="V442" t="s">
        <v>102</v>
      </c>
      <c r="W442" t="s">
        <v>65</v>
      </c>
      <c r="X442" t="s">
        <v>1665</v>
      </c>
      <c r="Y442" t="s">
        <v>1666</v>
      </c>
      <c r="Z442" t="s">
        <v>1517</v>
      </c>
      <c r="AA442" t="b">
        <f>ISNUMBER(SEARCH(";"&amp;Lessons[[#This Row],[Instrument__c]]&amp;";",";"&amp;_xlfn.XLOOKUP(Lessons[[#This Row],[Instructor_External_Id__c]], Instructors[Id], Instructors[Instruments_Taught__c])&amp;";"))</f>
        <v>1</v>
      </c>
      <c r="AB442" t="str">
        <f>IF(LEFT(Lessons[[#This Row],[Status__c]],9)="Cancelled","",Lessons[[#This Row],[Instructor_External_Id__c]]&amp;"|"&amp;TEXT(Lessons[[#This Row],[Lesson_Date__c]],"yyyy-mm-dd")&amp;"|"&amp;Lessons[[#This Row],[Start_Time__c]])</f>
        <v>a06ak00000amzCLAAY|2026-07-05|16:00:00.000Z</v>
      </c>
      <c r="AC442">
        <f>IF(Lessons[[#This Row],[Double Booked Key]]="","",COUNTIF(Lessons[Double Booked Key],Lessons[[#This Row],[Double Booked Key]]))</f>
        <v>1</v>
      </c>
      <c r="AD442" s="6" t="str">
        <f>_xlfn.XLOOKUP(Lessons[[#This Row],[Location_External_Id__c]], Locations[Location Id], Locations[Location Name])</f>
        <v>Red Bank</v>
      </c>
      <c r="AE442" s="6" t="str">
        <f>TEXT(Lessons[[#This Row],[Lesson_Date__c]], "yyyy-mm")</f>
        <v>2026-07</v>
      </c>
      <c r="AF442" s="6" t="str">
        <f>IF(Lessons[[#This Row],[Lesson_Date__c]]&lt;=Data_Audit!$F$1, "Yes", "No")</f>
        <v>Yes</v>
      </c>
    </row>
    <row r="443" spans="1:32">
      <c r="A443" t="s">
        <v>52</v>
      </c>
      <c r="B443" t="s">
        <v>53</v>
      </c>
      <c r="C443">
        <v>45</v>
      </c>
      <c r="D443" t="s">
        <v>1682</v>
      </c>
      <c r="E443" t="s">
        <v>862</v>
      </c>
      <c r="F443" t="s">
        <v>863</v>
      </c>
      <c r="H443" t="s">
        <v>284</v>
      </c>
      <c r="I443" t="b">
        <v>0</v>
      </c>
      <c r="K443" t="s">
        <v>52</v>
      </c>
      <c r="L443" t="s">
        <v>1517</v>
      </c>
      <c r="O443" s="1">
        <v>46281</v>
      </c>
      <c r="P443" t="s">
        <v>1683</v>
      </c>
      <c r="Q443" t="s">
        <v>1684</v>
      </c>
      <c r="R443" t="s">
        <v>63</v>
      </c>
      <c r="S443" t="b">
        <v>1</v>
      </c>
      <c r="T443" t="b">
        <v>0</v>
      </c>
      <c r="U443" t="s">
        <v>1684</v>
      </c>
      <c r="V443" t="s">
        <v>84</v>
      </c>
      <c r="W443" t="s">
        <v>136</v>
      </c>
      <c r="X443" t="s">
        <v>1665</v>
      </c>
      <c r="Y443" t="s">
        <v>1666</v>
      </c>
      <c r="Z443" t="s">
        <v>1517</v>
      </c>
      <c r="AA443" t="b">
        <f>ISNUMBER(SEARCH(";"&amp;Lessons[[#This Row],[Instrument__c]]&amp;";",";"&amp;_xlfn.XLOOKUP(Lessons[[#This Row],[Instructor_External_Id__c]], Instructors[Id], Instructors[Instruments_Taught__c])&amp;";"))</f>
        <v>1</v>
      </c>
      <c r="AB443" t="str">
        <f>IF(LEFT(Lessons[[#This Row],[Status__c]],9)="Cancelled","",Lessons[[#This Row],[Instructor_External_Id__c]]&amp;"|"&amp;TEXT(Lessons[[#This Row],[Lesson_Date__c]],"yyyy-mm-dd")&amp;"|"&amp;Lessons[[#This Row],[Start_Time__c]])</f>
        <v/>
      </c>
      <c r="AC443" t="str">
        <f>IF(Lessons[[#This Row],[Double Booked Key]]="","",COUNTIF(Lessons[Double Booked Key],Lessons[[#This Row],[Double Booked Key]]))</f>
        <v/>
      </c>
      <c r="AD443" s="6" t="str">
        <f>_xlfn.XLOOKUP(Lessons[[#This Row],[Location_External_Id__c]], Locations[Location Id], Locations[Location Name])</f>
        <v>Red Bank</v>
      </c>
      <c r="AE443" s="6" t="str">
        <f>TEXT(Lessons[[#This Row],[Lesson_Date__c]], "yyyy-mm")</f>
        <v>2026-09</v>
      </c>
      <c r="AF443" s="6" t="str">
        <f>IF(Lessons[[#This Row],[Lesson_Date__c]]&lt;=Data_Audit!$F$1, "Yes", "No")</f>
        <v>Yes</v>
      </c>
    </row>
    <row r="444" spans="1:32">
      <c r="A444" t="s">
        <v>52</v>
      </c>
      <c r="B444" t="s">
        <v>53</v>
      </c>
      <c r="C444">
        <v>60</v>
      </c>
      <c r="D444" t="s">
        <v>1685</v>
      </c>
      <c r="E444" t="s">
        <v>862</v>
      </c>
      <c r="F444" t="s">
        <v>863</v>
      </c>
      <c r="G444" t="s">
        <v>57</v>
      </c>
      <c r="H444" t="s">
        <v>284</v>
      </c>
      <c r="I444" t="b">
        <v>0</v>
      </c>
      <c r="K444" t="s">
        <v>52</v>
      </c>
      <c r="L444" t="s">
        <v>1517</v>
      </c>
      <c r="O444" s="1">
        <v>46222</v>
      </c>
      <c r="P444" t="s">
        <v>1686</v>
      </c>
      <c r="Q444" t="s">
        <v>1687</v>
      </c>
      <c r="R444" t="s">
        <v>63</v>
      </c>
      <c r="S444" t="b">
        <v>0</v>
      </c>
      <c r="T444" t="b">
        <v>0</v>
      </c>
      <c r="U444" t="s">
        <v>1687</v>
      </c>
      <c r="V444" t="s">
        <v>102</v>
      </c>
      <c r="W444" t="s">
        <v>65</v>
      </c>
      <c r="X444" t="s">
        <v>1665</v>
      </c>
      <c r="Y444" t="s">
        <v>1666</v>
      </c>
      <c r="Z444" t="s">
        <v>1517</v>
      </c>
      <c r="AA444" t="b">
        <f>ISNUMBER(SEARCH(";"&amp;Lessons[[#This Row],[Instrument__c]]&amp;";",";"&amp;_xlfn.XLOOKUP(Lessons[[#This Row],[Instructor_External_Id__c]], Instructors[Id], Instructors[Instruments_Taught__c])&amp;";"))</f>
        <v>1</v>
      </c>
      <c r="AB444" t="str">
        <f>IF(LEFT(Lessons[[#This Row],[Status__c]],9)="Cancelled","",Lessons[[#This Row],[Instructor_External_Id__c]]&amp;"|"&amp;TEXT(Lessons[[#This Row],[Lesson_Date__c]],"yyyy-mm-dd")&amp;"|"&amp;Lessons[[#This Row],[Start_Time__c]])</f>
        <v>a06ak00000amzCLAAY|2026-07-19|16:00:00.000Z</v>
      </c>
      <c r="AC444">
        <f>IF(Lessons[[#This Row],[Double Booked Key]]="","",COUNTIF(Lessons[Double Booked Key],Lessons[[#This Row],[Double Booked Key]]))</f>
        <v>1</v>
      </c>
      <c r="AD444" s="6" t="str">
        <f>_xlfn.XLOOKUP(Lessons[[#This Row],[Location_External_Id__c]], Locations[Location Id], Locations[Location Name])</f>
        <v>Red Bank</v>
      </c>
      <c r="AE444" s="6" t="str">
        <f>TEXT(Lessons[[#This Row],[Lesson_Date__c]], "yyyy-mm")</f>
        <v>2026-07</v>
      </c>
      <c r="AF444" s="6" t="str">
        <f>IF(Lessons[[#This Row],[Lesson_Date__c]]&lt;=Data_Audit!$F$1, "Yes", "No")</f>
        <v>Yes</v>
      </c>
    </row>
    <row r="445" spans="1:32">
      <c r="A445" t="s">
        <v>52</v>
      </c>
      <c r="B445" t="s">
        <v>53</v>
      </c>
      <c r="C445">
        <v>30</v>
      </c>
      <c r="D445" t="s">
        <v>1688</v>
      </c>
      <c r="E445" t="s">
        <v>862</v>
      </c>
      <c r="F445" t="s">
        <v>863</v>
      </c>
      <c r="G445" t="s">
        <v>57</v>
      </c>
      <c r="H445" t="s">
        <v>284</v>
      </c>
      <c r="I445" t="b">
        <v>0</v>
      </c>
      <c r="K445" t="s">
        <v>52</v>
      </c>
      <c r="L445" t="s">
        <v>1517</v>
      </c>
      <c r="O445" s="1">
        <v>46036</v>
      </c>
      <c r="P445" t="s">
        <v>1689</v>
      </c>
      <c r="Q445" t="s">
        <v>1690</v>
      </c>
      <c r="R445" t="s">
        <v>63</v>
      </c>
      <c r="S445" t="b">
        <v>0</v>
      </c>
      <c r="T445" t="b">
        <v>0</v>
      </c>
      <c r="U445" t="s">
        <v>1690</v>
      </c>
      <c r="V445" t="s">
        <v>140</v>
      </c>
      <c r="W445" t="s">
        <v>65</v>
      </c>
      <c r="X445" t="s">
        <v>1665</v>
      </c>
      <c r="Y445" t="s">
        <v>1666</v>
      </c>
      <c r="Z445" t="s">
        <v>1517</v>
      </c>
      <c r="AA445" t="b">
        <f>ISNUMBER(SEARCH(";"&amp;Lessons[[#This Row],[Instrument__c]]&amp;";",";"&amp;_xlfn.XLOOKUP(Lessons[[#This Row],[Instructor_External_Id__c]], Instructors[Id], Instructors[Instruments_Taught__c])&amp;";"))</f>
        <v>1</v>
      </c>
      <c r="AB445" t="str">
        <f>IF(LEFT(Lessons[[#This Row],[Status__c]],9)="Cancelled","",Lessons[[#This Row],[Instructor_External_Id__c]]&amp;"|"&amp;TEXT(Lessons[[#This Row],[Lesson_Date__c]],"yyyy-mm-dd")&amp;"|"&amp;Lessons[[#This Row],[Start_Time__c]])</f>
        <v>a06ak00000amzCLAAY|2026-01-14|15:00:00.000Z</v>
      </c>
      <c r="AC445">
        <f>IF(Lessons[[#This Row],[Double Booked Key]]="","",COUNTIF(Lessons[Double Booked Key],Lessons[[#This Row],[Double Booked Key]]))</f>
        <v>1</v>
      </c>
      <c r="AD445" s="6" t="str">
        <f>_xlfn.XLOOKUP(Lessons[[#This Row],[Location_External_Id__c]], Locations[Location Id], Locations[Location Name])</f>
        <v>Red Bank</v>
      </c>
      <c r="AE445" s="6" t="str">
        <f>TEXT(Lessons[[#This Row],[Lesson_Date__c]], "yyyy-mm")</f>
        <v>2026-01</v>
      </c>
      <c r="AF445" s="6" t="str">
        <f>IF(Lessons[[#This Row],[Lesson_Date__c]]&lt;=Data_Audit!$F$1, "Yes", "No")</f>
        <v>Yes</v>
      </c>
    </row>
    <row r="446" spans="1:32">
      <c r="A446" t="s">
        <v>52</v>
      </c>
      <c r="B446" t="s">
        <v>53</v>
      </c>
      <c r="C446">
        <v>30</v>
      </c>
      <c r="D446" t="s">
        <v>1691</v>
      </c>
      <c r="E446" t="s">
        <v>431</v>
      </c>
      <c r="F446" t="s">
        <v>432</v>
      </c>
      <c r="G446" t="s">
        <v>164</v>
      </c>
      <c r="H446" t="s">
        <v>461</v>
      </c>
      <c r="I446" t="b">
        <v>0</v>
      </c>
      <c r="K446" t="s">
        <v>52</v>
      </c>
      <c r="L446" t="s">
        <v>1517</v>
      </c>
      <c r="O446" s="1">
        <v>46276</v>
      </c>
      <c r="P446" t="s">
        <v>1692</v>
      </c>
      <c r="Q446" t="s">
        <v>1693</v>
      </c>
      <c r="R446" t="s">
        <v>63</v>
      </c>
      <c r="S446" t="b">
        <v>0</v>
      </c>
      <c r="T446" t="b">
        <v>0</v>
      </c>
      <c r="U446" t="s">
        <v>1693</v>
      </c>
      <c r="V446" t="s">
        <v>116</v>
      </c>
      <c r="W446" t="s">
        <v>65</v>
      </c>
      <c r="X446" t="s">
        <v>1694</v>
      </c>
      <c r="Y446" t="s">
        <v>1695</v>
      </c>
      <c r="Z446" t="s">
        <v>1517</v>
      </c>
      <c r="AA446" t="b">
        <f>ISNUMBER(SEARCH(";"&amp;Lessons[[#This Row],[Instrument__c]]&amp;";",";"&amp;_xlfn.XLOOKUP(Lessons[[#This Row],[Instructor_External_Id__c]], Instructors[Id], Instructors[Instruments_Taught__c])&amp;";"))</f>
        <v>1</v>
      </c>
      <c r="AB446" t="str">
        <f>IF(LEFT(Lessons[[#This Row],[Status__c]],9)="Cancelled","",Lessons[[#This Row],[Instructor_External_Id__c]]&amp;"|"&amp;TEXT(Lessons[[#This Row],[Lesson_Date__c]],"yyyy-mm-dd")&amp;"|"&amp;Lessons[[#This Row],[Start_Time__c]])</f>
        <v>a06ak00000amzCDAAY|2026-09-11|17:30:00.000Z</v>
      </c>
      <c r="AC446">
        <f>IF(Lessons[[#This Row],[Double Booked Key]]="","",COUNTIF(Lessons[Double Booked Key],Lessons[[#This Row],[Double Booked Key]]))</f>
        <v>1</v>
      </c>
      <c r="AD446" s="6" t="str">
        <f>_xlfn.XLOOKUP(Lessons[[#This Row],[Location_External_Id__c]], Locations[Location Id], Locations[Location Name])</f>
        <v>Red Bank</v>
      </c>
      <c r="AE446" s="6" t="str">
        <f>TEXT(Lessons[[#This Row],[Lesson_Date__c]], "yyyy-mm")</f>
        <v>2026-09</v>
      </c>
      <c r="AF446" s="6" t="str">
        <f>IF(Lessons[[#This Row],[Lesson_Date__c]]&lt;=Data_Audit!$F$1, "Yes", "No")</f>
        <v>Yes</v>
      </c>
    </row>
    <row r="447" spans="1:32">
      <c r="A447" t="s">
        <v>52</v>
      </c>
      <c r="B447" t="s">
        <v>53</v>
      </c>
      <c r="C447">
        <v>45</v>
      </c>
      <c r="D447" t="s">
        <v>1696</v>
      </c>
      <c r="E447" t="s">
        <v>431</v>
      </c>
      <c r="F447" t="s">
        <v>432</v>
      </c>
      <c r="H447" t="s">
        <v>461</v>
      </c>
      <c r="I447" t="b">
        <v>0</v>
      </c>
      <c r="K447" t="s">
        <v>52</v>
      </c>
      <c r="L447" t="s">
        <v>1517</v>
      </c>
      <c r="O447" s="1">
        <v>46080</v>
      </c>
      <c r="P447" t="s">
        <v>1697</v>
      </c>
      <c r="Q447" t="s">
        <v>1698</v>
      </c>
      <c r="R447" t="s">
        <v>63</v>
      </c>
      <c r="S447" t="b">
        <v>0</v>
      </c>
      <c r="T447" t="b">
        <v>0</v>
      </c>
      <c r="U447" t="s">
        <v>1698</v>
      </c>
      <c r="V447" t="s">
        <v>74</v>
      </c>
      <c r="W447" t="s">
        <v>121</v>
      </c>
      <c r="X447" t="s">
        <v>1694</v>
      </c>
      <c r="Y447" t="s">
        <v>1695</v>
      </c>
      <c r="Z447" t="s">
        <v>1517</v>
      </c>
      <c r="AA447" t="b">
        <f>ISNUMBER(SEARCH(";"&amp;Lessons[[#This Row],[Instrument__c]]&amp;";",";"&amp;_xlfn.XLOOKUP(Lessons[[#This Row],[Instructor_External_Id__c]], Instructors[Id], Instructors[Instruments_Taught__c])&amp;";"))</f>
        <v>1</v>
      </c>
      <c r="AB447" t="str">
        <f>IF(LEFT(Lessons[[#This Row],[Status__c]],9)="Cancelled","",Lessons[[#This Row],[Instructor_External_Id__c]]&amp;"|"&amp;TEXT(Lessons[[#This Row],[Lesson_Date__c]],"yyyy-mm-dd")&amp;"|"&amp;Lessons[[#This Row],[Start_Time__c]])</f>
        <v>a06ak00000amzCDAAY|2026-02-27|16:30:00.000Z</v>
      </c>
      <c r="AC447">
        <f>IF(Lessons[[#This Row],[Double Booked Key]]="","",COUNTIF(Lessons[Double Booked Key],Lessons[[#This Row],[Double Booked Key]]))</f>
        <v>1</v>
      </c>
      <c r="AD447" s="6" t="str">
        <f>_xlfn.XLOOKUP(Lessons[[#This Row],[Location_External_Id__c]], Locations[Location Id], Locations[Location Name])</f>
        <v>Red Bank</v>
      </c>
      <c r="AE447" s="6" t="str">
        <f>TEXT(Lessons[[#This Row],[Lesson_Date__c]], "yyyy-mm")</f>
        <v>2026-02</v>
      </c>
      <c r="AF447" s="6" t="str">
        <f>IF(Lessons[[#This Row],[Lesson_Date__c]]&lt;=Data_Audit!$F$1, "Yes", "No")</f>
        <v>Yes</v>
      </c>
    </row>
    <row r="448" spans="1:32">
      <c r="A448" t="s">
        <v>52</v>
      </c>
      <c r="B448" t="s">
        <v>53</v>
      </c>
      <c r="C448">
        <v>30</v>
      </c>
      <c r="D448" t="s">
        <v>1699</v>
      </c>
      <c r="E448" t="s">
        <v>436</v>
      </c>
      <c r="F448" t="s">
        <v>437</v>
      </c>
      <c r="G448" t="s">
        <v>164</v>
      </c>
      <c r="H448" t="s">
        <v>461</v>
      </c>
      <c r="I448" t="b">
        <v>0</v>
      </c>
      <c r="K448" t="s">
        <v>52</v>
      </c>
      <c r="L448" t="s">
        <v>79</v>
      </c>
      <c r="O448" s="1">
        <v>46298</v>
      </c>
      <c r="P448" t="s">
        <v>1700</v>
      </c>
      <c r="Q448" t="s">
        <v>1701</v>
      </c>
      <c r="R448" t="s">
        <v>63</v>
      </c>
      <c r="S448" t="b">
        <v>0</v>
      </c>
      <c r="T448" t="b">
        <v>0</v>
      </c>
      <c r="U448" t="s">
        <v>1701</v>
      </c>
      <c r="V448" t="s">
        <v>102</v>
      </c>
      <c r="W448" t="s">
        <v>65</v>
      </c>
      <c r="X448" t="s">
        <v>1694</v>
      </c>
      <c r="Y448" t="s">
        <v>1695</v>
      </c>
      <c r="Z448" t="s">
        <v>79</v>
      </c>
      <c r="AA448" t="b">
        <f>ISNUMBER(SEARCH(";"&amp;Lessons[[#This Row],[Instrument__c]]&amp;";",";"&amp;_xlfn.XLOOKUP(Lessons[[#This Row],[Instructor_External_Id__c]], Instructors[Id], Instructors[Instruments_Taught__c])&amp;";"))</f>
        <v>1</v>
      </c>
      <c r="AB448" t="str">
        <f>IF(LEFT(Lessons[[#This Row],[Status__c]],9)="Cancelled","",Lessons[[#This Row],[Instructor_External_Id__c]]&amp;"|"&amp;TEXT(Lessons[[#This Row],[Lesson_Date__c]],"yyyy-mm-dd")&amp;"|"&amp;Lessons[[#This Row],[Start_Time__c]])</f>
        <v>a06ak00000amzC0AAI|2026-10-03|16:00:00.000Z</v>
      </c>
      <c r="AC448">
        <f>IF(Lessons[[#This Row],[Double Booked Key]]="","",COUNTIF(Lessons[Double Booked Key],Lessons[[#This Row],[Double Booked Key]]))</f>
        <v>1</v>
      </c>
      <c r="AD448" s="6" t="str">
        <f>_xlfn.XLOOKUP(Lessons[[#This Row],[Location_External_Id__c]], Locations[Location Id], Locations[Location Name])</f>
        <v>Red Bank</v>
      </c>
      <c r="AE448" s="6" t="str">
        <f>TEXT(Lessons[[#This Row],[Lesson_Date__c]], "yyyy-mm")</f>
        <v>2026-10</v>
      </c>
      <c r="AF448" s="6" t="str">
        <f>IF(Lessons[[#This Row],[Lesson_Date__c]]&lt;=Data_Audit!$F$1, "Yes", "No")</f>
        <v>Yes</v>
      </c>
    </row>
    <row r="449" spans="1:32">
      <c r="A449" t="s">
        <v>52</v>
      </c>
      <c r="B449" t="s">
        <v>53</v>
      </c>
      <c r="C449">
        <v>30</v>
      </c>
      <c r="D449" t="s">
        <v>1702</v>
      </c>
      <c r="E449" t="s">
        <v>431</v>
      </c>
      <c r="F449" t="s">
        <v>432</v>
      </c>
      <c r="G449" t="s">
        <v>164</v>
      </c>
      <c r="H449" t="s">
        <v>461</v>
      </c>
      <c r="I449" t="b">
        <v>0</v>
      </c>
      <c r="K449" t="s">
        <v>52</v>
      </c>
      <c r="L449" t="s">
        <v>1517</v>
      </c>
      <c r="O449" s="1">
        <v>46128</v>
      </c>
      <c r="P449" t="s">
        <v>1703</v>
      </c>
      <c r="Q449" t="s">
        <v>1704</v>
      </c>
      <c r="R449" t="s">
        <v>63</v>
      </c>
      <c r="S449" t="b">
        <v>0</v>
      </c>
      <c r="T449" t="b">
        <v>0</v>
      </c>
      <c r="U449" t="s">
        <v>1704</v>
      </c>
      <c r="V449" t="s">
        <v>84</v>
      </c>
      <c r="W449" t="s">
        <v>65</v>
      </c>
      <c r="X449" t="s">
        <v>1694</v>
      </c>
      <c r="Y449" t="s">
        <v>1695</v>
      </c>
      <c r="Z449" t="s">
        <v>1517</v>
      </c>
      <c r="AA449" t="b">
        <f>ISNUMBER(SEARCH(";"&amp;Lessons[[#This Row],[Instrument__c]]&amp;";",";"&amp;_xlfn.XLOOKUP(Lessons[[#This Row],[Instructor_External_Id__c]], Instructors[Id], Instructors[Instruments_Taught__c])&amp;";"))</f>
        <v>1</v>
      </c>
      <c r="AB449" t="str">
        <f>IF(LEFT(Lessons[[#This Row],[Status__c]],9)="Cancelled","",Lessons[[#This Row],[Instructor_External_Id__c]]&amp;"|"&amp;TEXT(Lessons[[#This Row],[Lesson_Date__c]],"yyyy-mm-dd")&amp;"|"&amp;Lessons[[#This Row],[Start_Time__c]])</f>
        <v>a06ak00000amzCDAAY|2026-04-16|17:00:00.000Z</v>
      </c>
      <c r="AC449">
        <f>IF(Lessons[[#This Row],[Double Booked Key]]="","",COUNTIF(Lessons[Double Booked Key],Lessons[[#This Row],[Double Booked Key]]))</f>
        <v>1</v>
      </c>
      <c r="AD449" s="6" t="str">
        <f>_xlfn.XLOOKUP(Lessons[[#This Row],[Location_External_Id__c]], Locations[Location Id], Locations[Location Name])</f>
        <v>Red Bank</v>
      </c>
      <c r="AE449" s="6" t="str">
        <f>TEXT(Lessons[[#This Row],[Lesson_Date__c]], "yyyy-mm")</f>
        <v>2026-04</v>
      </c>
      <c r="AF449" s="6" t="str">
        <f>IF(Lessons[[#This Row],[Lesson_Date__c]]&lt;=Data_Audit!$F$1, "Yes", "No")</f>
        <v>Yes</v>
      </c>
    </row>
    <row r="450" spans="1:32">
      <c r="A450" t="s">
        <v>52</v>
      </c>
      <c r="B450" t="s">
        <v>53</v>
      </c>
      <c r="C450">
        <v>60</v>
      </c>
      <c r="D450" t="s">
        <v>1705</v>
      </c>
      <c r="E450" t="s">
        <v>431</v>
      </c>
      <c r="F450" t="s">
        <v>432</v>
      </c>
      <c r="G450" t="s">
        <v>106</v>
      </c>
      <c r="H450" t="s">
        <v>461</v>
      </c>
      <c r="I450" t="b">
        <v>0</v>
      </c>
      <c r="K450" t="s">
        <v>52</v>
      </c>
      <c r="L450" t="s">
        <v>1517</v>
      </c>
      <c r="O450" s="1">
        <v>46132</v>
      </c>
      <c r="P450" t="s">
        <v>1706</v>
      </c>
      <c r="Q450" t="s">
        <v>1707</v>
      </c>
      <c r="R450" t="s">
        <v>63</v>
      </c>
      <c r="S450" t="b">
        <v>0</v>
      </c>
      <c r="T450" t="b">
        <v>0</v>
      </c>
      <c r="U450" t="s">
        <v>1707</v>
      </c>
      <c r="V450" t="s">
        <v>74</v>
      </c>
      <c r="W450" t="s">
        <v>65</v>
      </c>
      <c r="X450" t="s">
        <v>1694</v>
      </c>
      <c r="Y450" t="s">
        <v>1695</v>
      </c>
      <c r="Z450" t="s">
        <v>1517</v>
      </c>
      <c r="AA450" t="b">
        <f>ISNUMBER(SEARCH(";"&amp;Lessons[[#This Row],[Instrument__c]]&amp;";",";"&amp;_xlfn.XLOOKUP(Lessons[[#This Row],[Instructor_External_Id__c]], Instructors[Id], Instructors[Instruments_Taught__c])&amp;";"))</f>
        <v>1</v>
      </c>
      <c r="AB450" t="str">
        <f>IF(LEFT(Lessons[[#This Row],[Status__c]],9)="Cancelled","",Lessons[[#This Row],[Instructor_External_Id__c]]&amp;"|"&amp;TEXT(Lessons[[#This Row],[Lesson_Date__c]],"yyyy-mm-dd")&amp;"|"&amp;Lessons[[#This Row],[Start_Time__c]])</f>
        <v>a06ak00000amzCDAAY|2026-04-20|16:30:00.000Z</v>
      </c>
      <c r="AC450">
        <f>IF(Lessons[[#This Row],[Double Booked Key]]="","",COUNTIF(Lessons[Double Booked Key],Lessons[[#This Row],[Double Booked Key]]))</f>
        <v>1</v>
      </c>
      <c r="AD450" s="6" t="str">
        <f>_xlfn.XLOOKUP(Lessons[[#This Row],[Location_External_Id__c]], Locations[Location Id], Locations[Location Name])</f>
        <v>Red Bank</v>
      </c>
      <c r="AE450" s="6" t="str">
        <f>TEXT(Lessons[[#This Row],[Lesson_Date__c]], "yyyy-mm")</f>
        <v>2026-04</v>
      </c>
      <c r="AF450" s="6" t="str">
        <f>IF(Lessons[[#This Row],[Lesson_Date__c]]&lt;=Data_Audit!$F$1, "Yes", "No")</f>
        <v>Yes</v>
      </c>
    </row>
    <row r="451" spans="1:32">
      <c r="A451" t="s">
        <v>52</v>
      </c>
      <c r="B451" t="s">
        <v>53</v>
      </c>
      <c r="C451">
        <v>30</v>
      </c>
      <c r="D451" t="s">
        <v>1708</v>
      </c>
      <c r="E451" t="s">
        <v>431</v>
      </c>
      <c r="F451" t="s">
        <v>432</v>
      </c>
      <c r="G451" t="s">
        <v>69</v>
      </c>
      <c r="H451" t="s">
        <v>461</v>
      </c>
      <c r="I451" t="b">
        <v>0</v>
      </c>
      <c r="K451" t="s">
        <v>52</v>
      </c>
      <c r="L451" t="s">
        <v>1517</v>
      </c>
      <c r="O451" s="1">
        <v>46143</v>
      </c>
      <c r="P451" t="s">
        <v>1709</v>
      </c>
      <c r="Q451" t="s">
        <v>1710</v>
      </c>
      <c r="R451" t="s">
        <v>63</v>
      </c>
      <c r="S451" t="b">
        <v>0</v>
      </c>
      <c r="T451" t="b">
        <v>0</v>
      </c>
      <c r="U451" t="s">
        <v>1710</v>
      </c>
      <c r="V451" t="s">
        <v>74</v>
      </c>
      <c r="W451" t="s">
        <v>65</v>
      </c>
      <c r="X451" t="s">
        <v>1694</v>
      </c>
      <c r="Y451" t="s">
        <v>1695</v>
      </c>
      <c r="Z451" t="s">
        <v>1517</v>
      </c>
      <c r="AA451" t="b">
        <f>ISNUMBER(SEARCH(";"&amp;Lessons[[#This Row],[Instrument__c]]&amp;";",";"&amp;_xlfn.XLOOKUP(Lessons[[#This Row],[Instructor_External_Id__c]], Instructors[Id], Instructors[Instruments_Taught__c])&amp;";"))</f>
        <v>1</v>
      </c>
      <c r="AB451" t="str">
        <f>IF(LEFT(Lessons[[#This Row],[Status__c]],9)="Cancelled","",Lessons[[#This Row],[Instructor_External_Id__c]]&amp;"|"&amp;TEXT(Lessons[[#This Row],[Lesson_Date__c]],"yyyy-mm-dd")&amp;"|"&amp;Lessons[[#This Row],[Start_Time__c]])</f>
        <v>a06ak00000amzCDAAY|2026-05-01|16:30:00.000Z</v>
      </c>
      <c r="AC451">
        <f>IF(Lessons[[#This Row],[Double Booked Key]]="","",COUNTIF(Lessons[Double Booked Key],Lessons[[#This Row],[Double Booked Key]]))</f>
        <v>1</v>
      </c>
      <c r="AD451" s="6" t="str">
        <f>_xlfn.XLOOKUP(Lessons[[#This Row],[Location_External_Id__c]], Locations[Location Id], Locations[Location Name])</f>
        <v>Red Bank</v>
      </c>
      <c r="AE451" s="6" t="str">
        <f>TEXT(Lessons[[#This Row],[Lesson_Date__c]], "yyyy-mm")</f>
        <v>2026-05</v>
      </c>
      <c r="AF451" s="6" t="str">
        <f>IF(Lessons[[#This Row],[Lesson_Date__c]]&lt;=Data_Audit!$F$1, "Yes", "No")</f>
        <v>Yes</v>
      </c>
    </row>
    <row r="452" spans="1:32">
      <c r="A452" t="s">
        <v>52</v>
      </c>
      <c r="B452" t="s">
        <v>53</v>
      </c>
      <c r="C452">
        <v>30</v>
      </c>
      <c r="D452" t="s">
        <v>1711</v>
      </c>
      <c r="E452" t="s">
        <v>777</v>
      </c>
      <c r="F452" t="s">
        <v>778</v>
      </c>
      <c r="H452" t="s">
        <v>527</v>
      </c>
      <c r="I452" t="b">
        <v>0</v>
      </c>
      <c r="K452" t="s">
        <v>52</v>
      </c>
      <c r="L452" t="s">
        <v>1517</v>
      </c>
      <c r="O452" s="1">
        <v>46144</v>
      </c>
      <c r="P452" t="s">
        <v>1712</v>
      </c>
      <c r="Q452" t="s">
        <v>1713</v>
      </c>
      <c r="R452" t="s">
        <v>83</v>
      </c>
      <c r="S452" t="b">
        <v>0</v>
      </c>
      <c r="T452" t="b">
        <v>0</v>
      </c>
      <c r="U452" t="s">
        <v>1713</v>
      </c>
      <c r="V452" t="s">
        <v>94</v>
      </c>
      <c r="W452" t="s">
        <v>121</v>
      </c>
      <c r="X452" t="s">
        <v>1714</v>
      </c>
      <c r="Y452" t="s">
        <v>1715</v>
      </c>
      <c r="Z452" t="s">
        <v>1517</v>
      </c>
      <c r="AA452" t="b">
        <f>ISNUMBER(SEARCH(";"&amp;Lessons[[#This Row],[Instrument__c]]&amp;";",";"&amp;_xlfn.XLOOKUP(Lessons[[#This Row],[Instructor_External_Id__c]], Instructors[Id], Instructors[Instruments_Taught__c])&amp;";"))</f>
        <v>1</v>
      </c>
      <c r="AB452" t="str">
        <f>IF(LEFT(Lessons[[#This Row],[Status__c]],9)="Cancelled","",Lessons[[#This Row],[Instructor_External_Id__c]]&amp;"|"&amp;TEXT(Lessons[[#This Row],[Lesson_Date__c]],"yyyy-mm-dd")&amp;"|"&amp;Lessons[[#This Row],[Start_Time__c]])</f>
        <v>a06ak00000amzByAAI|2026-05-02|19:00:00.000Z</v>
      </c>
      <c r="AC452">
        <f>IF(Lessons[[#This Row],[Double Booked Key]]="","",COUNTIF(Lessons[Double Booked Key],Lessons[[#This Row],[Double Booked Key]]))</f>
        <v>1</v>
      </c>
      <c r="AD452" s="6" t="str">
        <f>_xlfn.XLOOKUP(Lessons[[#This Row],[Location_External_Id__c]], Locations[Location Id], Locations[Location Name])</f>
        <v>Brick</v>
      </c>
      <c r="AE452" s="6" t="str">
        <f>TEXT(Lessons[[#This Row],[Lesson_Date__c]], "yyyy-mm")</f>
        <v>2026-05</v>
      </c>
      <c r="AF452" s="6" t="str">
        <f>IF(Lessons[[#This Row],[Lesson_Date__c]]&lt;=Data_Audit!$F$1, "Yes", "No")</f>
        <v>Yes</v>
      </c>
    </row>
    <row r="453" spans="1:32">
      <c r="A453" t="s">
        <v>52</v>
      </c>
      <c r="B453" t="s">
        <v>53</v>
      </c>
      <c r="C453">
        <v>30</v>
      </c>
      <c r="D453" t="s">
        <v>1716</v>
      </c>
      <c r="E453" t="s">
        <v>777</v>
      </c>
      <c r="F453" t="s">
        <v>778</v>
      </c>
      <c r="H453" t="s">
        <v>527</v>
      </c>
      <c r="I453" t="b">
        <v>0</v>
      </c>
      <c r="K453" t="s">
        <v>52</v>
      </c>
      <c r="L453" t="s">
        <v>1517</v>
      </c>
      <c r="O453" s="1">
        <v>46076</v>
      </c>
      <c r="P453" t="s">
        <v>1717</v>
      </c>
      <c r="Q453" t="s">
        <v>1718</v>
      </c>
      <c r="R453" t="s">
        <v>83</v>
      </c>
      <c r="S453" t="b">
        <v>0</v>
      </c>
      <c r="T453" t="b">
        <v>0</v>
      </c>
      <c r="U453" t="s">
        <v>1718</v>
      </c>
      <c r="V453" t="s">
        <v>116</v>
      </c>
      <c r="W453" t="s">
        <v>121</v>
      </c>
      <c r="X453" t="s">
        <v>1714</v>
      </c>
      <c r="Y453" t="s">
        <v>1715</v>
      </c>
      <c r="Z453" t="s">
        <v>1517</v>
      </c>
      <c r="AA453" t="b">
        <f>ISNUMBER(SEARCH(";"&amp;Lessons[[#This Row],[Instrument__c]]&amp;";",";"&amp;_xlfn.XLOOKUP(Lessons[[#This Row],[Instructor_External_Id__c]], Instructors[Id], Instructors[Instruments_Taught__c])&amp;";"))</f>
        <v>1</v>
      </c>
      <c r="AB453" t="str">
        <f>IF(LEFT(Lessons[[#This Row],[Status__c]],9)="Cancelled","",Lessons[[#This Row],[Instructor_External_Id__c]]&amp;"|"&amp;TEXT(Lessons[[#This Row],[Lesson_Date__c]],"yyyy-mm-dd")&amp;"|"&amp;Lessons[[#This Row],[Start_Time__c]])</f>
        <v>a06ak00000amzByAAI|2026-02-23|17:30:00.000Z</v>
      </c>
      <c r="AC453">
        <f>IF(Lessons[[#This Row],[Double Booked Key]]="","",COUNTIF(Lessons[Double Booked Key],Lessons[[#This Row],[Double Booked Key]]))</f>
        <v>1</v>
      </c>
      <c r="AD453" s="6" t="str">
        <f>_xlfn.XLOOKUP(Lessons[[#This Row],[Location_External_Id__c]], Locations[Location Id], Locations[Location Name])</f>
        <v>Brick</v>
      </c>
      <c r="AE453" s="6" t="str">
        <f>TEXT(Lessons[[#This Row],[Lesson_Date__c]], "yyyy-mm")</f>
        <v>2026-02</v>
      </c>
      <c r="AF453" s="6" t="str">
        <f>IF(Lessons[[#This Row],[Lesson_Date__c]]&lt;=Data_Audit!$F$1, "Yes", "No")</f>
        <v>Yes</v>
      </c>
    </row>
    <row r="454" spans="1:32">
      <c r="A454" t="s">
        <v>52</v>
      </c>
      <c r="B454" t="s">
        <v>53</v>
      </c>
      <c r="C454">
        <v>30</v>
      </c>
      <c r="D454" t="s">
        <v>1719</v>
      </c>
      <c r="E454" t="s">
        <v>777</v>
      </c>
      <c r="F454" t="s">
        <v>778</v>
      </c>
      <c r="G454" t="s">
        <v>99</v>
      </c>
      <c r="H454" t="s">
        <v>527</v>
      </c>
      <c r="I454" t="b">
        <v>0</v>
      </c>
      <c r="K454" t="s">
        <v>52</v>
      </c>
      <c r="L454" t="s">
        <v>1517</v>
      </c>
      <c r="O454" s="1">
        <v>46278</v>
      </c>
      <c r="P454" t="s">
        <v>1720</v>
      </c>
      <c r="Q454" t="s">
        <v>1721</v>
      </c>
      <c r="R454" t="s">
        <v>83</v>
      </c>
      <c r="S454" t="b">
        <v>0</v>
      </c>
      <c r="T454" t="b">
        <v>0</v>
      </c>
      <c r="U454" t="s">
        <v>1721</v>
      </c>
      <c r="V454" t="s">
        <v>94</v>
      </c>
      <c r="W454" t="s">
        <v>65</v>
      </c>
      <c r="X454" t="s">
        <v>1714</v>
      </c>
      <c r="Y454" t="s">
        <v>1715</v>
      </c>
      <c r="Z454" t="s">
        <v>1517</v>
      </c>
      <c r="AA454" t="b">
        <f>ISNUMBER(SEARCH(";"&amp;Lessons[[#This Row],[Instrument__c]]&amp;";",";"&amp;_xlfn.XLOOKUP(Lessons[[#This Row],[Instructor_External_Id__c]], Instructors[Id], Instructors[Instruments_Taught__c])&amp;";"))</f>
        <v>1</v>
      </c>
      <c r="AB454" t="str">
        <f>IF(LEFT(Lessons[[#This Row],[Status__c]],9)="Cancelled","",Lessons[[#This Row],[Instructor_External_Id__c]]&amp;"|"&amp;TEXT(Lessons[[#This Row],[Lesson_Date__c]],"yyyy-mm-dd")&amp;"|"&amp;Lessons[[#This Row],[Start_Time__c]])</f>
        <v>a06ak00000amzByAAI|2026-09-13|19:00:00.000Z</v>
      </c>
      <c r="AC454">
        <f>IF(Lessons[[#This Row],[Double Booked Key]]="","",COUNTIF(Lessons[Double Booked Key],Lessons[[#This Row],[Double Booked Key]]))</f>
        <v>1</v>
      </c>
      <c r="AD454" s="6" t="str">
        <f>_xlfn.XLOOKUP(Lessons[[#This Row],[Location_External_Id__c]], Locations[Location Id], Locations[Location Name])</f>
        <v>Brick</v>
      </c>
      <c r="AE454" s="6" t="str">
        <f>TEXT(Lessons[[#This Row],[Lesson_Date__c]], "yyyy-mm")</f>
        <v>2026-09</v>
      </c>
      <c r="AF454" s="6" t="str">
        <f>IF(Lessons[[#This Row],[Lesson_Date__c]]&lt;=Data_Audit!$F$1, "Yes", "No")</f>
        <v>Yes</v>
      </c>
    </row>
    <row r="455" spans="1:32">
      <c r="A455" t="s">
        <v>52</v>
      </c>
      <c r="B455" t="s">
        <v>53</v>
      </c>
      <c r="C455">
        <v>45</v>
      </c>
      <c r="D455" t="s">
        <v>1722</v>
      </c>
      <c r="E455" t="s">
        <v>777</v>
      </c>
      <c r="F455" t="s">
        <v>778</v>
      </c>
      <c r="G455" t="s">
        <v>164</v>
      </c>
      <c r="H455" t="s">
        <v>527</v>
      </c>
      <c r="I455" t="b">
        <v>0</v>
      </c>
      <c r="K455" t="s">
        <v>52</v>
      </c>
      <c r="L455" t="s">
        <v>1517</v>
      </c>
      <c r="O455" s="1">
        <v>46204</v>
      </c>
      <c r="P455" t="s">
        <v>1723</v>
      </c>
      <c r="Q455" t="s">
        <v>1724</v>
      </c>
      <c r="R455" t="s">
        <v>83</v>
      </c>
      <c r="S455" t="b">
        <v>0</v>
      </c>
      <c r="T455" t="b">
        <v>0</v>
      </c>
      <c r="U455" t="s">
        <v>1724</v>
      </c>
      <c r="V455" t="s">
        <v>140</v>
      </c>
      <c r="W455" t="s">
        <v>65</v>
      </c>
      <c r="X455" t="s">
        <v>1714</v>
      </c>
      <c r="Y455" t="s">
        <v>1715</v>
      </c>
      <c r="Z455" t="s">
        <v>1517</v>
      </c>
      <c r="AA455" t="b">
        <f>ISNUMBER(SEARCH(";"&amp;Lessons[[#This Row],[Instrument__c]]&amp;";",";"&amp;_xlfn.XLOOKUP(Lessons[[#This Row],[Instructor_External_Id__c]], Instructors[Id], Instructors[Instruments_Taught__c])&amp;";"))</f>
        <v>1</v>
      </c>
      <c r="AB455" t="str">
        <f>IF(LEFT(Lessons[[#This Row],[Status__c]],9)="Cancelled","",Lessons[[#This Row],[Instructor_External_Id__c]]&amp;"|"&amp;TEXT(Lessons[[#This Row],[Lesson_Date__c]],"yyyy-mm-dd")&amp;"|"&amp;Lessons[[#This Row],[Start_Time__c]])</f>
        <v>a06ak00000amzByAAI|2026-07-01|15:00:00.000Z</v>
      </c>
      <c r="AC455">
        <f>IF(Lessons[[#This Row],[Double Booked Key]]="","",COUNTIF(Lessons[Double Booked Key],Lessons[[#This Row],[Double Booked Key]]))</f>
        <v>1</v>
      </c>
      <c r="AD455" s="6" t="str">
        <f>_xlfn.XLOOKUP(Lessons[[#This Row],[Location_External_Id__c]], Locations[Location Id], Locations[Location Name])</f>
        <v>Brick</v>
      </c>
      <c r="AE455" s="6" t="str">
        <f>TEXT(Lessons[[#This Row],[Lesson_Date__c]], "yyyy-mm")</f>
        <v>2026-07</v>
      </c>
      <c r="AF455" s="6" t="str">
        <f>IF(Lessons[[#This Row],[Lesson_Date__c]]&lt;=Data_Audit!$F$1, "Yes", "No")</f>
        <v>Yes</v>
      </c>
    </row>
    <row r="456" spans="1:32">
      <c r="A456" t="s">
        <v>52</v>
      </c>
      <c r="B456" t="s">
        <v>53</v>
      </c>
      <c r="C456">
        <v>30</v>
      </c>
      <c r="D456" t="s">
        <v>1725</v>
      </c>
      <c r="E456" t="s">
        <v>318</v>
      </c>
      <c r="F456" t="s">
        <v>319</v>
      </c>
      <c r="G456" t="s">
        <v>106</v>
      </c>
      <c r="H456" t="s">
        <v>237</v>
      </c>
      <c r="I456" t="b">
        <v>0</v>
      </c>
      <c r="K456" t="s">
        <v>52</v>
      </c>
      <c r="L456" t="s">
        <v>1517</v>
      </c>
      <c r="O456" s="1">
        <v>46030</v>
      </c>
      <c r="P456" t="s">
        <v>1726</v>
      </c>
      <c r="Q456" t="s">
        <v>1727</v>
      </c>
      <c r="R456" t="s">
        <v>63</v>
      </c>
      <c r="S456" t="b">
        <v>0</v>
      </c>
      <c r="T456" t="b">
        <v>0</v>
      </c>
      <c r="U456" t="s">
        <v>1727</v>
      </c>
      <c r="V456" t="s">
        <v>110</v>
      </c>
      <c r="W456" t="s">
        <v>65</v>
      </c>
      <c r="X456" t="s">
        <v>1728</v>
      </c>
      <c r="Y456" t="s">
        <v>1729</v>
      </c>
      <c r="Z456" t="s">
        <v>1517</v>
      </c>
      <c r="AA456" t="b">
        <f>ISNUMBER(SEARCH(";"&amp;Lessons[[#This Row],[Instrument__c]]&amp;";",";"&amp;_xlfn.XLOOKUP(Lessons[[#This Row],[Instructor_External_Id__c]], Instructors[Id], Instructors[Instruments_Taught__c])&amp;";"))</f>
        <v>1</v>
      </c>
      <c r="AB456" t="str">
        <f>IF(LEFT(Lessons[[#This Row],[Status__c]],9)="Cancelled","",Lessons[[#This Row],[Instructor_External_Id__c]]&amp;"|"&amp;TEXT(Lessons[[#This Row],[Lesson_Date__c]],"yyyy-mm-dd")&amp;"|"&amp;Lessons[[#This Row],[Start_Time__c]])</f>
        <v>a06ak00000amzBzAAI|2026-01-08|10:00:00.000Z</v>
      </c>
      <c r="AC456">
        <f>IF(Lessons[[#This Row],[Double Booked Key]]="","",COUNTIF(Lessons[Double Booked Key],Lessons[[#This Row],[Double Booked Key]]))</f>
        <v>1</v>
      </c>
      <c r="AD456" s="6" t="str">
        <f>_xlfn.XLOOKUP(Lessons[[#This Row],[Location_External_Id__c]], Locations[Location Id], Locations[Location Name])</f>
        <v>Red Bank</v>
      </c>
      <c r="AE456" s="6" t="str">
        <f>TEXT(Lessons[[#This Row],[Lesson_Date__c]], "yyyy-mm")</f>
        <v>2026-01</v>
      </c>
      <c r="AF456" s="6" t="str">
        <f>IF(Lessons[[#This Row],[Lesson_Date__c]]&lt;=Data_Audit!$F$1, "Yes", "No")</f>
        <v>Yes</v>
      </c>
    </row>
    <row r="457" spans="1:32">
      <c r="A457" t="s">
        <v>52</v>
      </c>
      <c r="B457" t="s">
        <v>53</v>
      </c>
      <c r="C457">
        <v>30</v>
      </c>
      <c r="D457" t="s">
        <v>1730</v>
      </c>
      <c r="E457" t="s">
        <v>318</v>
      </c>
      <c r="F457" t="s">
        <v>319</v>
      </c>
      <c r="H457" t="s">
        <v>237</v>
      </c>
      <c r="I457" t="b">
        <v>0</v>
      </c>
      <c r="K457" t="s">
        <v>52</v>
      </c>
      <c r="L457" t="s">
        <v>1517</v>
      </c>
      <c r="O457" s="1">
        <v>46261</v>
      </c>
      <c r="P457" t="s">
        <v>1731</v>
      </c>
      <c r="Q457" t="s">
        <v>1732</v>
      </c>
      <c r="R457" t="s">
        <v>63</v>
      </c>
      <c r="S457" t="b">
        <v>0</v>
      </c>
      <c r="T457" t="b">
        <v>0</v>
      </c>
      <c r="U457" t="s">
        <v>1732</v>
      </c>
      <c r="V457" t="s">
        <v>120</v>
      </c>
      <c r="W457" t="s">
        <v>65</v>
      </c>
      <c r="X457" t="s">
        <v>1728</v>
      </c>
      <c r="Y457" t="s">
        <v>1729</v>
      </c>
      <c r="Z457" t="s">
        <v>1517</v>
      </c>
      <c r="AA457" t="b">
        <f>ISNUMBER(SEARCH(";"&amp;Lessons[[#This Row],[Instrument__c]]&amp;";",";"&amp;_xlfn.XLOOKUP(Lessons[[#This Row],[Instructor_External_Id__c]], Instructors[Id], Instructors[Instruments_Taught__c])&amp;";"))</f>
        <v>1</v>
      </c>
      <c r="AB457" t="str">
        <f>IF(LEFT(Lessons[[#This Row],[Status__c]],9)="Cancelled","",Lessons[[#This Row],[Instructor_External_Id__c]]&amp;"|"&amp;TEXT(Lessons[[#This Row],[Lesson_Date__c]],"yyyy-mm-dd")&amp;"|"&amp;Lessons[[#This Row],[Start_Time__c]])</f>
        <v>a06ak00000amzBzAAI|2026-08-27|18:00:00.000Z</v>
      </c>
      <c r="AC457">
        <f>IF(Lessons[[#This Row],[Double Booked Key]]="","",COUNTIF(Lessons[Double Booked Key],Lessons[[#This Row],[Double Booked Key]]))</f>
        <v>1</v>
      </c>
      <c r="AD457" s="6" t="str">
        <f>_xlfn.XLOOKUP(Lessons[[#This Row],[Location_External_Id__c]], Locations[Location Id], Locations[Location Name])</f>
        <v>Red Bank</v>
      </c>
      <c r="AE457" s="6" t="str">
        <f>TEXT(Lessons[[#This Row],[Lesson_Date__c]], "yyyy-mm")</f>
        <v>2026-08</v>
      </c>
      <c r="AF457" s="6" t="str">
        <f>IF(Lessons[[#This Row],[Lesson_Date__c]]&lt;=Data_Audit!$F$1, "Yes", "No")</f>
        <v>Yes</v>
      </c>
    </row>
    <row r="458" spans="1:32">
      <c r="A458" t="s">
        <v>52</v>
      </c>
      <c r="B458" t="s">
        <v>53</v>
      </c>
      <c r="C458">
        <v>30</v>
      </c>
      <c r="D458" t="s">
        <v>1733</v>
      </c>
      <c r="E458" t="s">
        <v>318</v>
      </c>
      <c r="F458" t="s">
        <v>319</v>
      </c>
      <c r="H458" t="s">
        <v>237</v>
      </c>
      <c r="I458" t="b">
        <v>0</v>
      </c>
      <c r="K458" t="s">
        <v>52</v>
      </c>
      <c r="L458" t="s">
        <v>1517</v>
      </c>
      <c r="O458" s="1">
        <v>46261</v>
      </c>
      <c r="P458" t="s">
        <v>1734</v>
      </c>
      <c r="Q458" t="s">
        <v>1735</v>
      </c>
      <c r="R458" t="s">
        <v>63</v>
      </c>
      <c r="S458" t="b">
        <v>0</v>
      </c>
      <c r="T458" t="b">
        <v>0</v>
      </c>
      <c r="U458" t="s">
        <v>1735</v>
      </c>
      <c r="V458" t="s">
        <v>102</v>
      </c>
      <c r="W458" t="s">
        <v>85</v>
      </c>
      <c r="X458" t="s">
        <v>1728</v>
      </c>
      <c r="Y458" t="s">
        <v>1729</v>
      </c>
      <c r="Z458" t="s">
        <v>1517</v>
      </c>
      <c r="AA458" t="b">
        <f>ISNUMBER(SEARCH(";"&amp;Lessons[[#This Row],[Instrument__c]]&amp;";",";"&amp;_xlfn.XLOOKUP(Lessons[[#This Row],[Instructor_External_Id__c]], Instructors[Id], Instructors[Instruments_Taught__c])&amp;";"))</f>
        <v>1</v>
      </c>
      <c r="AB458" t="str">
        <f>IF(LEFT(Lessons[[#This Row],[Status__c]],9)="Cancelled","",Lessons[[#This Row],[Instructor_External_Id__c]]&amp;"|"&amp;TEXT(Lessons[[#This Row],[Lesson_Date__c]],"yyyy-mm-dd")&amp;"|"&amp;Lessons[[#This Row],[Start_Time__c]])</f>
        <v/>
      </c>
      <c r="AC458" t="str">
        <f>IF(Lessons[[#This Row],[Double Booked Key]]="","",COUNTIF(Lessons[Double Booked Key],Lessons[[#This Row],[Double Booked Key]]))</f>
        <v/>
      </c>
      <c r="AD458" s="6" t="str">
        <f>_xlfn.XLOOKUP(Lessons[[#This Row],[Location_External_Id__c]], Locations[Location Id], Locations[Location Name])</f>
        <v>Red Bank</v>
      </c>
      <c r="AE458" s="6" t="str">
        <f>TEXT(Lessons[[#This Row],[Lesson_Date__c]], "yyyy-mm")</f>
        <v>2026-08</v>
      </c>
      <c r="AF458" s="6" t="str">
        <f>IF(Lessons[[#This Row],[Lesson_Date__c]]&lt;=Data_Audit!$F$1, "Yes", "No")</f>
        <v>Yes</v>
      </c>
    </row>
    <row r="459" spans="1:32">
      <c r="A459" t="s">
        <v>52</v>
      </c>
      <c r="B459" t="s">
        <v>53</v>
      </c>
      <c r="C459">
        <v>30</v>
      </c>
      <c r="D459" t="s">
        <v>1736</v>
      </c>
      <c r="E459" t="s">
        <v>243</v>
      </c>
      <c r="F459" t="s">
        <v>244</v>
      </c>
      <c r="H459" t="s">
        <v>237</v>
      </c>
      <c r="I459" t="b">
        <v>0</v>
      </c>
      <c r="K459" t="s">
        <v>52</v>
      </c>
      <c r="L459" t="s">
        <v>1517</v>
      </c>
      <c r="O459" s="1">
        <v>46070</v>
      </c>
      <c r="P459" t="s">
        <v>1737</v>
      </c>
      <c r="Q459" t="s">
        <v>1738</v>
      </c>
      <c r="R459" t="s">
        <v>83</v>
      </c>
      <c r="S459" t="b">
        <v>0</v>
      </c>
      <c r="T459" t="b">
        <v>0</v>
      </c>
      <c r="U459" t="s">
        <v>1738</v>
      </c>
      <c r="V459" t="s">
        <v>110</v>
      </c>
      <c r="W459" t="s">
        <v>65</v>
      </c>
      <c r="X459" t="s">
        <v>1739</v>
      </c>
      <c r="Y459" t="s">
        <v>1740</v>
      </c>
      <c r="Z459" t="s">
        <v>1517</v>
      </c>
      <c r="AA459" t="b">
        <f>ISNUMBER(SEARCH(";"&amp;Lessons[[#This Row],[Instrument__c]]&amp;";",";"&amp;_xlfn.XLOOKUP(Lessons[[#This Row],[Instructor_External_Id__c]], Instructors[Id], Instructors[Instruments_Taught__c])&amp;";"))</f>
        <v>1</v>
      </c>
      <c r="AB459" t="str">
        <f>IF(LEFT(Lessons[[#This Row],[Status__c]],9)="Cancelled","",Lessons[[#This Row],[Instructor_External_Id__c]]&amp;"|"&amp;TEXT(Lessons[[#This Row],[Lesson_Date__c]],"yyyy-mm-dd")&amp;"|"&amp;Lessons[[#This Row],[Start_Time__c]])</f>
        <v>a06ak00000amzC1AAI|2026-02-17|10:00:00.000Z</v>
      </c>
      <c r="AC459">
        <f>IF(Lessons[[#This Row],[Double Booked Key]]="","",COUNTIF(Lessons[Double Booked Key],Lessons[[#This Row],[Double Booked Key]]))</f>
        <v>1</v>
      </c>
      <c r="AD459" s="6" t="str">
        <f>_xlfn.XLOOKUP(Lessons[[#This Row],[Location_External_Id__c]], Locations[Location Id], Locations[Location Name])</f>
        <v>Brick</v>
      </c>
      <c r="AE459" s="6" t="str">
        <f>TEXT(Lessons[[#This Row],[Lesson_Date__c]], "yyyy-mm")</f>
        <v>2026-02</v>
      </c>
      <c r="AF459" s="6" t="str">
        <f>IF(Lessons[[#This Row],[Lesson_Date__c]]&lt;=Data_Audit!$F$1, "Yes", "No")</f>
        <v>Yes</v>
      </c>
    </row>
    <row r="460" spans="1:32">
      <c r="A460" t="s">
        <v>52</v>
      </c>
      <c r="B460" t="s">
        <v>53</v>
      </c>
      <c r="C460">
        <v>30</v>
      </c>
      <c r="D460" t="s">
        <v>1741</v>
      </c>
      <c r="E460" t="s">
        <v>243</v>
      </c>
      <c r="F460" t="s">
        <v>244</v>
      </c>
      <c r="G460" t="s">
        <v>69</v>
      </c>
      <c r="H460" t="s">
        <v>237</v>
      </c>
      <c r="I460" t="b">
        <v>0</v>
      </c>
      <c r="K460" t="s">
        <v>52</v>
      </c>
      <c r="L460" t="s">
        <v>1517</v>
      </c>
      <c r="O460" s="1">
        <v>46086</v>
      </c>
      <c r="P460" t="s">
        <v>1742</v>
      </c>
      <c r="Q460" t="s">
        <v>1743</v>
      </c>
      <c r="R460" t="s">
        <v>83</v>
      </c>
      <c r="S460" t="b">
        <v>0</v>
      </c>
      <c r="T460" t="b">
        <v>0</v>
      </c>
      <c r="U460" t="s">
        <v>1743</v>
      </c>
      <c r="V460" t="s">
        <v>102</v>
      </c>
      <c r="W460" t="s">
        <v>65</v>
      </c>
      <c r="X460" t="s">
        <v>1739</v>
      </c>
      <c r="Y460" t="s">
        <v>1740</v>
      </c>
      <c r="Z460" t="s">
        <v>1517</v>
      </c>
      <c r="AA460" t="b">
        <f>ISNUMBER(SEARCH(";"&amp;Lessons[[#This Row],[Instrument__c]]&amp;";",";"&amp;_xlfn.XLOOKUP(Lessons[[#This Row],[Instructor_External_Id__c]], Instructors[Id], Instructors[Instruments_Taught__c])&amp;";"))</f>
        <v>1</v>
      </c>
      <c r="AB460" t="str">
        <f>IF(LEFT(Lessons[[#This Row],[Status__c]],9)="Cancelled","",Lessons[[#This Row],[Instructor_External_Id__c]]&amp;"|"&amp;TEXT(Lessons[[#This Row],[Lesson_Date__c]],"yyyy-mm-dd")&amp;"|"&amp;Lessons[[#This Row],[Start_Time__c]])</f>
        <v>a06ak00000amzC1AAI|2026-03-05|16:00:00.000Z</v>
      </c>
      <c r="AC460">
        <f>IF(Lessons[[#This Row],[Double Booked Key]]="","",COUNTIF(Lessons[Double Booked Key],Lessons[[#This Row],[Double Booked Key]]))</f>
        <v>1</v>
      </c>
      <c r="AD460" s="6" t="str">
        <f>_xlfn.XLOOKUP(Lessons[[#This Row],[Location_External_Id__c]], Locations[Location Id], Locations[Location Name])</f>
        <v>Brick</v>
      </c>
      <c r="AE460" s="6" t="str">
        <f>TEXT(Lessons[[#This Row],[Lesson_Date__c]], "yyyy-mm")</f>
        <v>2026-03</v>
      </c>
      <c r="AF460" s="6" t="str">
        <f>IF(Lessons[[#This Row],[Lesson_Date__c]]&lt;=Data_Audit!$F$1, "Yes", "No")</f>
        <v>Yes</v>
      </c>
    </row>
    <row r="461" spans="1:32">
      <c r="A461" t="s">
        <v>52</v>
      </c>
      <c r="B461" t="s">
        <v>53</v>
      </c>
      <c r="C461">
        <v>45</v>
      </c>
      <c r="D461" t="s">
        <v>1744</v>
      </c>
      <c r="E461" t="s">
        <v>243</v>
      </c>
      <c r="F461" t="s">
        <v>244</v>
      </c>
      <c r="G461" t="s">
        <v>99</v>
      </c>
      <c r="H461" t="s">
        <v>237</v>
      </c>
      <c r="I461" t="b">
        <v>0</v>
      </c>
      <c r="K461" t="s">
        <v>52</v>
      </c>
      <c r="L461" t="s">
        <v>1517</v>
      </c>
      <c r="O461" s="1">
        <v>46110</v>
      </c>
      <c r="P461" t="s">
        <v>1745</v>
      </c>
      <c r="Q461" t="s">
        <v>1746</v>
      </c>
      <c r="R461" t="s">
        <v>83</v>
      </c>
      <c r="S461" t="b">
        <v>0</v>
      </c>
      <c r="T461" t="b">
        <v>0</v>
      </c>
      <c r="U461" t="s">
        <v>1746</v>
      </c>
      <c r="V461" t="s">
        <v>128</v>
      </c>
      <c r="W461" t="s">
        <v>65</v>
      </c>
      <c r="X461" t="s">
        <v>1739</v>
      </c>
      <c r="Y461" t="s">
        <v>1740</v>
      </c>
      <c r="Z461" t="s">
        <v>1517</v>
      </c>
      <c r="AA461" t="b">
        <f>ISNUMBER(SEARCH(";"&amp;Lessons[[#This Row],[Instrument__c]]&amp;";",";"&amp;_xlfn.XLOOKUP(Lessons[[#This Row],[Instructor_External_Id__c]], Instructors[Id], Instructors[Instruments_Taught__c])&amp;";"))</f>
        <v>1</v>
      </c>
      <c r="AB461" t="str">
        <f>IF(LEFT(Lessons[[#This Row],[Status__c]],9)="Cancelled","",Lessons[[#This Row],[Instructor_External_Id__c]]&amp;"|"&amp;TEXT(Lessons[[#This Row],[Lesson_Date__c]],"yyyy-mm-dd")&amp;"|"&amp;Lessons[[#This Row],[Start_Time__c]])</f>
        <v>a06ak00000amzC1AAI|2026-03-29|18:30:00.000Z</v>
      </c>
      <c r="AC461">
        <f>IF(Lessons[[#This Row],[Double Booked Key]]="","",COUNTIF(Lessons[Double Booked Key],Lessons[[#This Row],[Double Booked Key]]))</f>
        <v>1</v>
      </c>
      <c r="AD461" s="6" t="str">
        <f>_xlfn.XLOOKUP(Lessons[[#This Row],[Location_External_Id__c]], Locations[Location Id], Locations[Location Name])</f>
        <v>Brick</v>
      </c>
      <c r="AE461" s="6" t="str">
        <f>TEXT(Lessons[[#This Row],[Lesson_Date__c]], "yyyy-mm")</f>
        <v>2026-03</v>
      </c>
      <c r="AF461" s="6" t="str">
        <f>IF(Lessons[[#This Row],[Lesson_Date__c]]&lt;=Data_Audit!$F$1, "Yes", "No")</f>
        <v>Yes</v>
      </c>
    </row>
    <row r="462" spans="1:32">
      <c r="A462" t="s">
        <v>52</v>
      </c>
      <c r="B462" t="s">
        <v>53</v>
      </c>
      <c r="C462">
        <v>60</v>
      </c>
      <c r="D462" t="s">
        <v>1747</v>
      </c>
      <c r="E462" t="s">
        <v>390</v>
      </c>
      <c r="F462" t="s">
        <v>391</v>
      </c>
      <c r="G462" t="s">
        <v>57</v>
      </c>
      <c r="H462" t="s">
        <v>392</v>
      </c>
      <c r="I462" t="b">
        <v>0</v>
      </c>
      <c r="K462" t="s">
        <v>52</v>
      </c>
      <c r="L462" t="s">
        <v>1517</v>
      </c>
      <c r="O462" s="1">
        <v>46124</v>
      </c>
      <c r="P462" t="s">
        <v>1748</v>
      </c>
      <c r="Q462" t="s">
        <v>1749</v>
      </c>
      <c r="R462" t="s">
        <v>83</v>
      </c>
      <c r="S462" t="b">
        <v>0</v>
      </c>
      <c r="T462" t="b">
        <v>0</v>
      </c>
      <c r="U462" t="s">
        <v>1749</v>
      </c>
      <c r="V462" t="s">
        <v>135</v>
      </c>
      <c r="W462" t="s">
        <v>65</v>
      </c>
      <c r="X462" t="s">
        <v>1750</v>
      </c>
      <c r="Y462" t="s">
        <v>1751</v>
      </c>
      <c r="Z462" t="s">
        <v>1517</v>
      </c>
      <c r="AA462" t="b">
        <f>ISNUMBER(SEARCH(";"&amp;Lessons[[#This Row],[Instrument__c]]&amp;";",";"&amp;_xlfn.XLOOKUP(Lessons[[#This Row],[Instructor_External_Id__c]], Instructors[Id], Instructors[Instruments_Taught__c])&amp;";"))</f>
        <v>1</v>
      </c>
      <c r="AB462" t="str">
        <f>IF(LEFT(Lessons[[#This Row],[Status__c]],9)="Cancelled","",Lessons[[#This Row],[Instructor_External_Id__c]]&amp;"|"&amp;TEXT(Lessons[[#This Row],[Lesson_Date__c]],"yyyy-mm-dd")&amp;"|"&amp;Lessons[[#This Row],[Start_Time__c]])</f>
        <v>a06ak00000amzBpAAI|2026-04-12|15:30:00.000Z</v>
      </c>
      <c r="AC462">
        <f>IF(Lessons[[#This Row],[Double Booked Key]]="","",COUNTIF(Lessons[Double Booked Key],Lessons[[#This Row],[Double Booked Key]]))</f>
        <v>1</v>
      </c>
      <c r="AD462" s="6" t="str">
        <f>_xlfn.XLOOKUP(Lessons[[#This Row],[Location_External_Id__c]], Locations[Location Id], Locations[Location Name])</f>
        <v>Brick</v>
      </c>
      <c r="AE462" s="6" t="str">
        <f>TEXT(Lessons[[#This Row],[Lesson_Date__c]], "yyyy-mm")</f>
        <v>2026-04</v>
      </c>
      <c r="AF462" s="6" t="str">
        <f>IF(Lessons[[#This Row],[Lesson_Date__c]]&lt;=Data_Audit!$F$1, "Yes", "No")</f>
        <v>Yes</v>
      </c>
    </row>
    <row r="463" spans="1:32">
      <c r="A463" t="s">
        <v>52</v>
      </c>
      <c r="B463" t="s">
        <v>53</v>
      </c>
      <c r="C463">
        <v>30</v>
      </c>
      <c r="D463" t="s">
        <v>1752</v>
      </c>
      <c r="E463" t="s">
        <v>390</v>
      </c>
      <c r="F463" t="s">
        <v>391</v>
      </c>
      <c r="G463" t="s">
        <v>106</v>
      </c>
      <c r="H463" t="s">
        <v>392</v>
      </c>
      <c r="I463" t="b">
        <v>0</v>
      </c>
      <c r="K463" t="s">
        <v>52</v>
      </c>
      <c r="L463" t="s">
        <v>1517</v>
      </c>
      <c r="O463" s="1">
        <v>46214</v>
      </c>
      <c r="P463" t="s">
        <v>1753</v>
      </c>
      <c r="Q463" t="s">
        <v>1754</v>
      </c>
      <c r="R463" t="s">
        <v>83</v>
      </c>
      <c r="S463" t="b">
        <v>0</v>
      </c>
      <c r="T463" t="b">
        <v>0</v>
      </c>
      <c r="U463" t="s">
        <v>1754</v>
      </c>
      <c r="V463" t="s">
        <v>140</v>
      </c>
      <c r="W463" t="s">
        <v>65</v>
      </c>
      <c r="X463" t="s">
        <v>1750</v>
      </c>
      <c r="Y463" t="s">
        <v>1751</v>
      </c>
      <c r="Z463" t="s">
        <v>1517</v>
      </c>
      <c r="AA463" t="b">
        <f>ISNUMBER(SEARCH(";"&amp;Lessons[[#This Row],[Instrument__c]]&amp;";",";"&amp;_xlfn.XLOOKUP(Lessons[[#This Row],[Instructor_External_Id__c]], Instructors[Id], Instructors[Instruments_Taught__c])&amp;";"))</f>
        <v>1</v>
      </c>
      <c r="AB463" t="str">
        <f>IF(LEFT(Lessons[[#This Row],[Status__c]],9)="Cancelled","",Lessons[[#This Row],[Instructor_External_Id__c]]&amp;"|"&amp;TEXT(Lessons[[#This Row],[Lesson_Date__c]],"yyyy-mm-dd")&amp;"|"&amp;Lessons[[#This Row],[Start_Time__c]])</f>
        <v>a06ak00000amzBpAAI|2026-07-11|15:00:00.000Z</v>
      </c>
      <c r="AC463">
        <f>IF(Lessons[[#This Row],[Double Booked Key]]="","",COUNTIF(Lessons[Double Booked Key],Lessons[[#This Row],[Double Booked Key]]))</f>
        <v>1</v>
      </c>
      <c r="AD463" s="6" t="str">
        <f>_xlfn.XLOOKUP(Lessons[[#This Row],[Location_External_Id__c]], Locations[Location Id], Locations[Location Name])</f>
        <v>Brick</v>
      </c>
      <c r="AE463" s="6" t="str">
        <f>TEXT(Lessons[[#This Row],[Lesson_Date__c]], "yyyy-mm")</f>
        <v>2026-07</v>
      </c>
      <c r="AF463" s="6" t="str">
        <f>IF(Lessons[[#This Row],[Lesson_Date__c]]&lt;=Data_Audit!$F$1, "Yes", "No")</f>
        <v>Yes</v>
      </c>
    </row>
    <row r="464" spans="1:32">
      <c r="A464" t="s">
        <v>52</v>
      </c>
      <c r="B464" t="s">
        <v>53</v>
      </c>
      <c r="C464">
        <v>30</v>
      </c>
      <c r="D464" t="s">
        <v>1755</v>
      </c>
      <c r="E464" t="s">
        <v>390</v>
      </c>
      <c r="F464" t="s">
        <v>391</v>
      </c>
      <c r="G464" t="s">
        <v>164</v>
      </c>
      <c r="H464" t="s">
        <v>392</v>
      </c>
      <c r="I464" t="b">
        <v>0</v>
      </c>
      <c r="K464" t="s">
        <v>52</v>
      </c>
      <c r="L464" t="s">
        <v>1517</v>
      </c>
      <c r="O464" s="1">
        <v>46050</v>
      </c>
      <c r="P464" t="s">
        <v>1756</v>
      </c>
      <c r="Q464" t="s">
        <v>1757</v>
      </c>
      <c r="R464" t="s">
        <v>83</v>
      </c>
      <c r="S464" t="b">
        <v>0</v>
      </c>
      <c r="T464" t="b">
        <v>0</v>
      </c>
      <c r="U464" t="s">
        <v>1757</v>
      </c>
      <c r="V464" t="s">
        <v>135</v>
      </c>
      <c r="W464" t="s">
        <v>65</v>
      </c>
      <c r="X464" t="s">
        <v>1750</v>
      </c>
      <c r="Y464" t="s">
        <v>1751</v>
      </c>
      <c r="Z464" t="s">
        <v>1517</v>
      </c>
      <c r="AA464" t="b">
        <f>ISNUMBER(SEARCH(";"&amp;Lessons[[#This Row],[Instrument__c]]&amp;";",";"&amp;_xlfn.XLOOKUP(Lessons[[#This Row],[Instructor_External_Id__c]], Instructors[Id], Instructors[Instruments_Taught__c])&amp;";"))</f>
        <v>1</v>
      </c>
      <c r="AB464" t="str">
        <f>IF(LEFT(Lessons[[#This Row],[Status__c]],9)="Cancelled","",Lessons[[#This Row],[Instructor_External_Id__c]]&amp;"|"&amp;TEXT(Lessons[[#This Row],[Lesson_Date__c]],"yyyy-mm-dd")&amp;"|"&amp;Lessons[[#This Row],[Start_Time__c]])</f>
        <v>a06ak00000amzBpAAI|2026-01-28|15:30:00.000Z</v>
      </c>
      <c r="AC464">
        <f>IF(Lessons[[#This Row],[Double Booked Key]]="","",COUNTIF(Lessons[Double Booked Key],Lessons[[#This Row],[Double Booked Key]]))</f>
        <v>1</v>
      </c>
      <c r="AD464" s="6" t="str">
        <f>_xlfn.XLOOKUP(Lessons[[#This Row],[Location_External_Id__c]], Locations[Location Id], Locations[Location Name])</f>
        <v>Brick</v>
      </c>
      <c r="AE464" s="6" t="str">
        <f>TEXT(Lessons[[#This Row],[Lesson_Date__c]], "yyyy-mm")</f>
        <v>2026-01</v>
      </c>
      <c r="AF464" s="6" t="str">
        <f>IF(Lessons[[#This Row],[Lesson_Date__c]]&lt;=Data_Audit!$F$1, "Yes", "No")</f>
        <v>Yes</v>
      </c>
    </row>
    <row r="465" spans="1:32">
      <c r="A465" t="s">
        <v>52</v>
      </c>
      <c r="B465" t="s">
        <v>53</v>
      </c>
      <c r="C465">
        <v>60</v>
      </c>
      <c r="D465" t="s">
        <v>1758</v>
      </c>
      <c r="E465" t="s">
        <v>390</v>
      </c>
      <c r="F465" t="s">
        <v>391</v>
      </c>
      <c r="G465" t="s">
        <v>99</v>
      </c>
      <c r="H465" t="s">
        <v>392</v>
      </c>
      <c r="I465" t="b">
        <v>0</v>
      </c>
      <c r="K465" t="s">
        <v>52</v>
      </c>
      <c r="L465" t="s">
        <v>1517</v>
      </c>
      <c r="O465" s="1">
        <v>46045</v>
      </c>
      <c r="P465" t="s">
        <v>1759</v>
      </c>
      <c r="Q465" t="s">
        <v>1760</v>
      </c>
      <c r="R465" t="s">
        <v>83</v>
      </c>
      <c r="S465" t="b">
        <v>0</v>
      </c>
      <c r="T465" t="b">
        <v>0</v>
      </c>
      <c r="U465" t="s">
        <v>1760</v>
      </c>
      <c r="V465" t="s">
        <v>94</v>
      </c>
      <c r="W465" t="s">
        <v>65</v>
      </c>
      <c r="X465" t="s">
        <v>1750</v>
      </c>
      <c r="Y465" t="s">
        <v>1751</v>
      </c>
      <c r="Z465" t="s">
        <v>1517</v>
      </c>
      <c r="AA465" t="b">
        <f>ISNUMBER(SEARCH(";"&amp;Lessons[[#This Row],[Instrument__c]]&amp;";",";"&amp;_xlfn.XLOOKUP(Lessons[[#This Row],[Instructor_External_Id__c]], Instructors[Id], Instructors[Instruments_Taught__c])&amp;";"))</f>
        <v>1</v>
      </c>
      <c r="AB465" t="str">
        <f>IF(LEFT(Lessons[[#This Row],[Status__c]],9)="Cancelled","",Lessons[[#This Row],[Instructor_External_Id__c]]&amp;"|"&amp;TEXT(Lessons[[#This Row],[Lesson_Date__c]],"yyyy-mm-dd")&amp;"|"&amp;Lessons[[#This Row],[Start_Time__c]])</f>
        <v>a06ak00000amzBpAAI|2026-01-23|19:00:00.000Z</v>
      </c>
      <c r="AC465">
        <f>IF(Lessons[[#This Row],[Double Booked Key]]="","",COUNTIF(Lessons[Double Booked Key],Lessons[[#This Row],[Double Booked Key]]))</f>
        <v>1</v>
      </c>
      <c r="AD465" s="6" t="str">
        <f>_xlfn.XLOOKUP(Lessons[[#This Row],[Location_External_Id__c]], Locations[Location Id], Locations[Location Name])</f>
        <v>Brick</v>
      </c>
      <c r="AE465" s="6" t="str">
        <f>TEXT(Lessons[[#This Row],[Lesson_Date__c]], "yyyy-mm")</f>
        <v>2026-01</v>
      </c>
      <c r="AF465" s="6" t="str">
        <f>IF(Lessons[[#This Row],[Lesson_Date__c]]&lt;=Data_Audit!$F$1, "Yes", "No")</f>
        <v>Yes</v>
      </c>
    </row>
    <row r="466" spans="1:32">
      <c r="A466" t="s">
        <v>52</v>
      </c>
      <c r="B466" t="s">
        <v>53</v>
      </c>
      <c r="C466">
        <v>60</v>
      </c>
      <c r="D466" t="s">
        <v>1761</v>
      </c>
      <c r="E466" t="s">
        <v>390</v>
      </c>
      <c r="F466" t="s">
        <v>391</v>
      </c>
      <c r="G466" t="s">
        <v>164</v>
      </c>
      <c r="H466" t="s">
        <v>392</v>
      </c>
      <c r="I466" t="b">
        <v>0</v>
      </c>
      <c r="K466" t="s">
        <v>52</v>
      </c>
      <c r="L466" t="s">
        <v>1517</v>
      </c>
      <c r="O466" s="1">
        <v>46162</v>
      </c>
      <c r="P466" t="s">
        <v>1762</v>
      </c>
      <c r="Q466" t="s">
        <v>1763</v>
      </c>
      <c r="R466" t="s">
        <v>83</v>
      </c>
      <c r="S466" t="b">
        <v>0</v>
      </c>
      <c r="T466" t="b">
        <v>0</v>
      </c>
      <c r="U466" t="s">
        <v>1763</v>
      </c>
      <c r="V466" t="s">
        <v>74</v>
      </c>
      <c r="W466" t="s">
        <v>65</v>
      </c>
      <c r="X466" t="s">
        <v>1750</v>
      </c>
      <c r="Y466" t="s">
        <v>1751</v>
      </c>
      <c r="Z466" t="s">
        <v>1517</v>
      </c>
      <c r="AA466" t="b">
        <f>ISNUMBER(SEARCH(";"&amp;Lessons[[#This Row],[Instrument__c]]&amp;";",";"&amp;_xlfn.XLOOKUP(Lessons[[#This Row],[Instructor_External_Id__c]], Instructors[Id], Instructors[Instruments_Taught__c])&amp;";"))</f>
        <v>1</v>
      </c>
      <c r="AB466" t="str">
        <f>IF(LEFT(Lessons[[#This Row],[Status__c]],9)="Cancelled","",Lessons[[#This Row],[Instructor_External_Id__c]]&amp;"|"&amp;TEXT(Lessons[[#This Row],[Lesson_Date__c]],"yyyy-mm-dd")&amp;"|"&amp;Lessons[[#This Row],[Start_Time__c]])</f>
        <v>a06ak00000amzBpAAI|2026-05-20|16:30:00.000Z</v>
      </c>
      <c r="AC466">
        <f>IF(Lessons[[#This Row],[Double Booked Key]]="","",COUNTIF(Lessons[Double Booked Key],Lessons[[#This Row],[Double Booked Key]]))</f>
        <v>1</v>
      </c>
      <c r="AD466" s="6" t="str">
        <f>_xlfn.XLOOKUP(Lessons[[#This Row],[Location_External_Id__c]], Locations[Location Id], Locations[Location Name])</f>
        <v>Brick</v>
      </c>
      <c r="AE466" s="6" t="str">
        <f>TEXT(Lessons[[#This Row],[Lesson_Date__c]], "yyyy-mm")</f>
        <v>2026-05</v>
      </c>
      <c r="AF466" s="6" t="str">
        <f>IF(Lessons[[#This Row],[Lesson_Date__c]]&lt;=Data_Audit!$F$1, "Yes", "No")</f>
        <v>Yes</v>
      </c>
    </row>
    <row r="467" spans="1:32">
      <c r="A467" t="s">
        <v>52</v>
      </c>
      <c r="B467" t="s">
        <v>53</v>
      </c>
      <c r="C467">
        <v>30</v>
      </c>
      <c r="D467" t="s">
        <v>1764</v>
      </c>
      <c r="E467" t="s">
        <v>302</v>
      </c>
      <c r="F467" t="s">
        <v>303</v>
      </c>
      <c r="G467" t="s">
        <v>99</v>
      </c>
      <c r="H467" t="s">
        <v>650</v>
      </c>
      <c r="I467" t="b">
        <v>0</v>
      </c>
      <c r="K467" t="s">
        <v>52</v>
      </c>
      <c r="L467" t="s">
        <v>1517</v>
      </c>
      <c r="O467" s="1">
        <v>46097</v>
      </c>
      <c r="P467" t="s">
        <v>1765</v>
      </c>
      <c r="Q467" t="s">
        <v>1766</v>
      </c>
      <c r="R467" t="s">
        <v>63</v>
      </c>
      <c r="S467" t="b">
        <v>0</v>
      </c>
      <c r="T467" t="b">
        <v>0</v>
      </c>
      <c r="U467" t="s">
        <v>1766</v>
      </c>
      <c r="V467" t="s">
        <v>116</v>
      </c>
      <c r="W467" t="s">
        <v>65</v>
      </c>
      <c r="X467" t="s">
        <v>1767</v>
      </c>
      <c r="Y467" t="s">
        <v>1768</v>
      </c>
      <c r="Z467" t="s">
        <v>1517</v>
      </c>
      <c r="AA467" t="b">
        <f>ISNUMBER(SEARCH(";"&amp;Lessons[[#This Row],[Instrument__c]]&amp;";",";"&amp;_xlfn.XLOOKUP(Lessons[[#This Row],[Instructor_External_Id__c]], Instructors[Id], Instructors[Instruments_Taught__c])&amp;";"))</f>
        <v>1</v>
      </c>
      <c r="AB467" t="str">
        <f>IF(LEFT(Lessons[[#This Row],[Status__c]],9)="Cancelled","",Lessons[[#This Row],[Instructor_External_Id__c]]&amp;"|"&amp;TEXT(Lessons[[#This Row],[Lesson_Date__c]],"yyyy-mm-dd")&amp;"|"&amp;Lessons[[#This Row],[Start_Time__c]])</f>
        <v>a06ak00000amzC3AAI|2026-03-16|17:30:00.000Z</v>
      </c>
      <c r="AC467">
        <f>IF(Lessons[[#This Row],[Double Booked Key]]="","",COUNTIF(Lessons[Double Booked Key],Lessons[[#This Row],[Double Booked Key]]))</f>
        <v>1</v>
      </c>
      <c r="AD467" s="6" t="str">
        <f>_xlfn.XLOOKUP(Lessons[[#This Row],[Location_External_Id__c]], Locations[Location Id], Locations[Location Name])</f>
        <v>Red Bank</v>
      </c>
      <c r="AE467" s="6" t="str">
        <f>TEXT(Lessons[[#This Row],[Lesson_Date__c]], "yyyy-mm")</f>
        <v>2026-03</v>
      </c>
      <c r="AF467" s="6" t="str">
        <f>IF(Lessons[[#This Row],[Lesson_Date__c]]&lt;=Data_Audit!$F$1, "Yes", "No")</f>
        <v>Yes</v>
      </c>
    </row>
    <row r="468" spans="1:32">
      <c r="A468" t="s">
        <v>52</v>
      </c>
      <c r="B468" t="s">
        <v>53</v>
      </c>
      <c r="C468">
        <v>30</v>
      </c>
      <c r="D468" t="s">
        <v>1769</v>
      </c>
      <c r="E468" t="s">
        <v>302</v>
      </c>
      <c r="F468" t="s">
        <v>303</v>
      </c>
      <c r="H468" t="s">
        <v>650</v>
      </c>
      <c r="I468" t="b">
        <v>0</v>
      </c>
      <c r="K468" t="s">
        <v>52</v>
      </c>
      <c r="L468" t="s">
        <v>1517</v>
      </c>
      <c r="O468" s="1">
        <v>46129</v>
      </c>
      <c r="P468" t="s">
        <v>1770</v>
      </c>
      <c r="Q468" t="s">
        <v>1771</v>
      </c>
      <c r="R468" t="s">
        <v>63</v>
      </c>
      <c r="S468" t="b">
        <v>0</v>
      </c>
      <c r="T468" t="b">
        <v>0</v>
      </c>
      <c r="U468" t="s">
        <v>1771</v>
      </c>
      <c r="V468" t="s">
        <v>102</v>
      </c>
      <c r="W468" t="s">
        <v>121</v>
      </c>
      <c r="X468" t="s">
        <v>1767</v>
      </c>
      <c r="Y468" t="s">
        <v>1768</v>
      </c>
      <c r="Z468" t="s">
        <v>1517</v>
      </c>
      <c r="AA468" t="b">
        <f>ISNUMBER(SEARCH(";"&amp;Lessons[[#This Row],[Instrument__c]]&amp;";",";"&amp;_xlfn.XLOOKUP(Lessons[[#This Row],[Instructor_External_Id__c]], Instructors[Id], Instructors[Instruments_Taught__c])&amp;";"))</f>
        <v>1</v>
      </c>
      <c r="AB468" t="str">
        <f>IF(LEFT(Lessons[[#This Row],[Status__c]],9)="Cancelled","",Lessons[[#This Row],[Instructor_External_Id__c]]&amp;"|"&amp;TEXT(Lessons[[#This Row],[Lesson_Date__c]],"yyyy-mm-dd")&amp;"|"&amp;Lessons[[#This Row],[Start_Time__c]])</f>
        <v>a06ak00000amzC3AAI|2026-04-17|16:00:00.000Z</v>
      </c>
      <c r="AC468">
        <f>IF(Lessons[[#This Row],[Double Booked Key]]="","",COUNTIF(Lessons[Double Booked Key],Lessons[[#This Row],[Double Booked Key]]))</f>
        <v>1</v>
      </c>
      <c r="AD468" s="6" t="str">
        <f>_xlfn.XLOOKUP(Lessons[[#This Row],[Location_External_Id__c]], Locations[Location Id], Locations[Location Name])</f>
        <v>Red Bank</v>
      </c>
      <c r="AE468" s="6" t="str">
        <f>TEXT(Lessons[[#This Row],[Lesson_Date__c]], "yyyy-mm")</f>
        <v>2026-04</v>
      </c>
      <c r="AF468" s="6" t="str">
        <f>IF(Lessons[[#This Row],[Lesson_Date__c]]&lt;=Data_Audit!$F$1, "Yes", "No")</f>
        <v>Yes</v>
      </c>
    </row>
    <row r="469" spans="1:32">
      <c r="A469" t="s">
        <v>52</v>
      </c>
      <c r="B469" t="s">
        <v>53</v>
      </c>
      <c r="C469">
        <v>60</v>
      </c>
      <c r="D469" t="s">
        <v>1772</v>
      </c>
      <c r="E469" t="s">
        <v>302</v>
      </c>
      <c r="F469" t="s">
        <v>303</v>
      </c>
      <c r="H469" t="s">
        <v>650</v>
      </c>
      <c r="I469" t="b">
        <v>0</v>
      </c>
      <c r="K469" t="s">
        <v>52</v>
      </c>
      <c r="L469" t="s">
        <v>1517</v>
      </c>
      <c r="O469" s="1">
        <v>46245</v>
      </c>
      <c r="P469" t="s">
        <v>1773</v>
      </c>
      <c r="Q469" t="s">
        <v>1774</v>
      </c>
      <c r="R469" t="s">
        <v>63</v>
      </c>
      <c r="S469" t="b">
        <v>0</v>
      </c>
      <c r="T469" t="b">
        <v>0</v>
      </c>
      <c r="U469" t="s">
        <v>1774</v>
      </c>
      <c r="V469" t="s">
        <v>102</v>
      </c>
      <c r="W469" t="s">
        <v>65</v>
      </c>
      <c r="X469" t="s">
        <v>1767</v>
      </c>
      <c r="Y469" t="s">
        <v>1768</v>
      </c>
      <c r="Z469" t="s">
        <v>1517</v>
      </c>
      <c r="AA469" t="b">
        <f>ISNUMBER(SEARCH(";"&amp;Lessons[[#This Row],[Instrument__c]]&amp;";",";"&amp;_xlfn.XLOOKUP(Lessons[[#This Row],[Instructor_External_Id__c]], Instructors[Id], Instructors[Instruments_Taught__c])&amp;";"))</f>
        <v>1</v>
      </c>
      <c r="AB469" t="str">
        <f>IF(LEFT(Lessons[[#This Row],[Status__c]],9)="Cancelled","",Lessons[[#This Row],[Instructor_External_Id__c]]&amp;"|"&amp;TEXT(Lessons[[#This Row],[Lesson_Date__c]],"yyyy-mm-dd")&amp;"|"&amp;Lessons[[#This Row],[Start_Time__c]])</f>
        <v>a06ak00000amzC3AAI|2026-08-11|16:00:00.000Z</v>
      </c>
      <c r="AC469">
        <f>IF(Lessons[[#This Row],[Double Booked Key]]="","",COUNTIF(Lessons[Double Booked Key],Lessons[[#This Row],[Double Booked Key]]))</f>
        <v>1</v>
      </c>
      <c r="AD469" s="6" t="str">
        <f>_xlfn.XLOOKUP(Lessons[[#This Row],[Location_External_Id__c]], Locations[Location Id], Locations[Location Name])</f>
        <v>Red Bank</v>
      </c>
      <c r="AE469" s="6" t="str">
        <f>TEXT(Lessons[[#This Row],[Lesson_Date__c]], "yyyy-mm")</f>
        <v>2026-08</v>
      </c>
      <c r="AF469" s="6" t="str">
        <f>IF(Lessons[[#This Row],[Lesson_Date__c]]&lt;=Data_Audit!$F$1, "Yes", "No")</f>
        <v>Yes</v>
      </c>
    </row>
    <row r="470" spans="1:32">
      <c r="A470" t="s">
        <v>52</v>
      </c>
      <c r="B470" t="s">
        <v>53</v>
      </c>
      <c r="C470">
        <v>30</v>
      </c>
      <c r="D470" t="s">
        <v>1775</v>
      </c>
      <c r="E470" t="s">
        <v>302</v>
      </c>
      <c r="F470" t="s">
        <v>303</v>
      </c>
      <c r="G470" t="s">
        <v>106</v>
      </c>
      <c r="H470" t="s">
        <v>650</v>
      </c>
      <c r="I470" t="b">
        <v>0</v>
      </c>
      <c r="K470" t="s">
        <v>52</v>
      </c>
      <c r="L470" t="s">
        <v>1517</v>
      </c>
      <c r="O470" s="1">
        <v>46192</v>
      </c>
      <c r="P470" t="s">
        <v>1776</v>
      </c>
      <c r="Q470" t="s">
        <v>1777</v>
      </c>
      <c r="R470" t="s">
        <v>63</v>
      </c>
      <c r="S470" t="b">
        <v>0</v>
      </c>
      <c r="T470" t="b">
        <v>0</v>
      </c>
      <c r="U470" t="s">
        <v>1777</v>
      </c>
      <c r="V470" t="s">
        <v>128</v>
      </c>
      <c r="W470" t="s">
        <v>65</v>
      </c>
      <c r="X470" t="s">
        <v>1767</v>
      </c>
      <c r="Y470" t="s">
        <v>1768</v>
      </c>
      <c r="Z470" t="s">
        <v>1517</v>
      </c>
      <c r="AA470" t="b">
        <f>ISNUMBER(SEARCH(";"&amp;Lessons[[#This Row],[Instrument__c]]&amp;";",";"&amp;_xlfn.XLOOKUP(Lessons[[#This Row],[Instructor_External_Id__c]], Instructors[Id], Instructors[Instruments_Taught__c])&amp;";"))</f>
        <v>1</v>
      </c>
      <c r="AB470" t="str">
        <f>IF(LEFT(Lessons[[#This Row],[Status__c]],9)="Cancelled","",Lessons[[#This Row],[Instructor_External_Id__c]]&amp;"|"&amp;TEXT(Lessons[[#This Row],[Lesson_Date__c]],"yyyy-mm-dd")&amp;"|"&amp;Lessons[[#This Row],[Start_Time__c]])</f>
        <v>a06ak00000amzC3AAI|2026-06-19|18:30:00.000Z</v>
      </c>
      <c r="AC470">
        <f>IF(Lessons[[#This Row],[Double Booked Key]]="","",COUNTIF(Lessons[Double Booked Key],Lessons[[#This Row],[Double Booked Key]]))</f>
        <v>1</v>
      </c>
      <c r="AD470" s="6" t="str">
        <f>_xlfn.XLOOKUP(Lessons[[#This Row],[Location_External_Id__c]], Locations[Location Id], Locations[Location Name])</f>
        <v>Red Bank</v>
      </c>
      <c r="AE470" s="6" t="str">
        <f>TEXT(Lessons[[#This Row],[Lesson_Date__c]], "yyyy-mm")</f>
        <v>2026-06</v>
      </c>
      <c r="AF470" s="6" t="str">
        <f>IF(Lessons[[#This Row],[Lesson_Date__c]]&lt;=Data_Audit!$F$1, "Yes", "No")</f>
        <v>Yes</v>
      </c>
    </row>
    <row r="471" spans="1:32">
      <c r="A471" t="s">
        <v>52</v>
      </c>
      <c r="B471" t="s">
        <v>53</v>
      </c>
      <c r="C471">
        <v>30</v>
      </c>
      <c r="D471" t="s">
        <v>1778</v>
      </c>
      <c r="E471" t="s">
        <v>302</v>
      </c>
      <c r="F471" t="s">
        <v>303</v>
      </c>
      <c r="G471" t="s">
        <v>106</v>
      </c>
      <c r="H471" t="s">
        <v>650</v>
      </c>
      <c r="I471" t="b">
        <v>0</v>
      </c>
      <c r="K471" t="s">
        <v>52</v>
      </c>
      <c r="L471" t="s">
        <v>1517</v>
      </c>
      <c r="O471" s="1">
        <v>46039</v>
      </c>
      <c r="P471" t="s">
        <v>1779</v>
      </c>
      <c r="Q471" t="s">
        <v>1780</v>
      </c>
      <c r="R471" t="s">
        <v>63</v>
      </c>
      <c r="S471" t="b">
        <v>0</v>
      </c>
      <c r="T471" t="b">
        <v>0</v>
      </c>
      <c r="U471" t="s">
        <v>1780</v>
      </c>
      <c r="V471" t="s">
        <v>116</v>
      </c>
      <c r="W471" t="s">
        <v>65</v>
      </c>
      <c r="X471" t="s">
        <v>1767</v>
      </c>
      <c r="Y471" t="s">
        <v>1768</v>
      </c>
      <c r="Z471" t="s">
        <v>1517</v>
      </c>
      <c r="AA471" t="b">
        <f>ISNUMBER(SEARCH(";"&amp;Lessons[[#This Row],[Instrument__c]]&amp;";",";"&amp;_xlfn.XLOOKUP(Lessons[[#This Row],[Instructor_External_Id__c]], Instructors[Id], Instructors[Instruments_Taught__c])&amp;";"))</f>
        <v>1</v>
      </c>
      <c r="AB471" t="str">
        <f>IF(LEFT(Lessons[[#This Row],[Status__c]],9)="Cancelled","",Lessons[[#This Row],[Instructor_External_Id__c]]&amp;"|"&amp;TEXT(Lessons[[#This Row],[Lesson_Date__c]],"yyyy-mm-dd")&amp;"|"&amp;Lessons[[#This Row],[Start_Time__c]])</f>
        <v>a06ak00000amzC3AAI|2026-01-17|17:30:00.000Z</v>
      </c>
      <c r="AC471">
        <f>IF(Lessons[[#This Row],[Double Booked Key]]="","",COUNTIF(Lessons[Double Booked Key],Lessons[[#This Row],[Double Booked Key]]))</f>
        <v>1</v>
      </c>
      <c r="AD471" s="6" t="str">
        <f>_xlfn.XLOOKUP(Lessons[[#This Row],[Location_External_Id__c]], Locations[Location Id], Locations[Location Name])</f>
        <v>Red Bank</v>
      </c>
      <c r="AE471" s="6" t="str">
        <f>TEXT(Lessons[[#This Row],[Lesson_Date__c]], "yyyy-mm")</f>
        <v>2026-01</v>
      </c>
      <c r="AF471" s="6" t="str">
        <f>IF(Lessons[[#This Row],[Lesson_Date__c]]&lt;=Data_Audit!$F$1, "Yes", "No")</f>
        <v>Yes</v>
      </c>
    </row>
    <row r="472" spans="1:32">
      <c r="A472" t="s">
        <v>52</v>
      </c>
      <c r="B472" t="s">
        <v>53</v>
      </c>
      <c r="C472">
        <v>30</v>
      </c>
      <c r="D472" t="s">
        <v>1781</v>
      </c>
      <c r="E472" t="s">
        <v>201</v>
      </c>
      <c r="F472" t="s">
        <v>202</v>
      </c>
      <c r="H472" t="s">
        <v>203</v>
      </c>
      <c r="I472" t="b">
        <v>0</v>
      </c>
      <c r="K472" t="s">
        <v>52</v>
      </c>
      <c r="L472" t="s">
        <v>1517</v>
      </c>
      <c r="O472" s="1">
        <v>46186</v>
      </c>
      <c r="P472" t="s">
        <v>1782</v>
      </c>
      <c r="Q472" t="s">
        <v>1783</v>
      </c>
      <c r="R472" t="s">
        <v>150</v>
      </c>
      <c r="S472" t="b">
        <v>0</v>
      </c>
      <c r="T472" t="b">
        <v>0</v>
      </c>
      <c r="U472" t="s">
        <v>1783</v>
      </c>
      <c r="V472" t="s">
        <v>128</v>
      </c>
      <c r="W472" t="s">
        <v>65</v>
      </c>
      <c r="X472" t="s">
        <v>1784</v>
      </c>
      <c r="Y472" t="s">
        <v>1785</v>
      </c>
      <c r="Z472" t="s">
        <v>1517</v>
      </c>
      <c r="AA472" t="b">
        <f>ISNUMBER(SEARCH(";"&amp;Lessons[[#This Row],[Instrument__c]]&amp;";",";"&amp;_xlfn.XLOOKUP(Lessons[[#This Row],[Instructor_External_Id__c]], Instructors[Id], Instructors[Instruments_Taught__c])&amp;";"))</f>
        <v>1</v>
      </c>
      <c r="AB472" t="str">
        <f>IF(LEFT(Lessons[[#This Row],[Status__c]],9)="Cancelled","",Lessons[[#This Row],[Instructor_External_Id__c]]&amp;"|"&amp;TEXT(Lessons[[#This Row],[Lesson_Date__c]],"yyyy-mm-dd")&amp;"|"&amp;Lessons[[#This Row],[Start_Time__c]])</f>
        <v>a06ak00000amzCJAAY|2026-06-13|18:30:00.000Z</v>
      </c>
      <c r="AC472">
        <f>IF(Lessons[[#This Row],[Double Booked Key]]="","",COUNTIF(Lessons[Double Booked Key],Lessons[[#This Row],[Double Booked Key]]))</f>
        <v>1</v>
      </c>
      <c r="AD472" s="6" t="str">
        <f>_xlfn.XLOOKUP(Lessons[[#This Row],[Location_External_Id__c]], Locations[Location Id], Locations[Location Name])</f>
        <v>Toms River</v>
      </c>
      <c r="AE472" s="6" t="str">
        <f>TEXT(Lessons[[#This Row],[Lesson_Date__c]], "yyyy-mm")</f>
        <v>2026-06</v>
      </c>
      <c r="AF472" s="6" t="str">
        <f>IF(Lessons[[#This Row],[Lesson_Date__c]]&lt;=Data_Audit!$F$1, "Yes", "No")</f>
        <v>Yes</v>
      </c>
    </row>
    <row r="473" spans="1:32">
      <c r="A473" t="s">
        <v>52</v>
      </c>
      <c r="B473" t="s">
        <v>53</v>
      </c>
      <c r="C473">
        <v>45</v>
      </c>
      <c r="D473" t="s">
        <v>1786</v>
      </c>
      <c r="E473" t="s">
        <v>201</v>
      </c>
      <c r="F473" t="s">
        <v>202</v>
      </c>
      <c r="G473" t="s">
        <v>57</v>
      </c>
      <c r="H473" t="s">
        <v>203</v>
      </c>
      <c r="I473" t="b">
        <v>0</v>
      </c>
      <c r="K473" t="s">
        <v>52</v>
      </c>
      <c r="L473" t="s">
        <v>1517</v>
      </c>
      <c r="O473" s="1">
        <v>46049</v>
      </c>
      <c r="P473" t="s">
        <v>1787</v>
      </c>
      <c r="Q473" t="s">
        <v>1788</v>
      </c>
      <c r="R473" t="s">
        <v>150</v>
      </c>
      <c r="S473" t="b">
        <v>0</v>
      </c>
      <c r="T473" t="b">
        <v>0</v>
      </c>
      <c r="U473" t="s">
        <v>1788</v>
      </c>
      <c r="V473" t="s">
        <v>74</v>
      </c>
      <c r="W473" t="s">
        <v>65</v>
      </c>
      <c r="X473" t="s">
        <v>1784</v>
      </c>
      <c r="Y473" t="s">
        <v>1785</v>
      </c>
      <c r="Z473" t="s">
        <v>1517</v>
      </c>
      <c r="AA473" t="b">
        <f>ISNUMBER(SEARCH(";"&amp;Lessons[[#This Row],[Instrument__c]]&amp;";",";"&amp;_xlfn.XLOOKUP(Lessons[[#This Row],[Instructor_External_Id__c]], Instructors[Id], Instructors[Instruments_Taught__c])&amp;";"))</f>
        <v>1</v>
      </c>
      <c r="AB473" t="str">
        <f>IF(LEFT(Lessons[[#This Row],[Status__c]],9)="Cancelled","",Lessons[[#This Row],[Instructor_External_Id__c]]&amp;"|"&amp;TEXT(Lessons[[#This Row],[Lesson_Date__c]],"yyyy-mm-dd")&amp;"|"&amp;Lessons[[#This Row],[Start_Time__c]])</f>
        <v>a06ak00000amzCJAAY|2026-01-27|16:30:00.000Z</v>
      </c>
      <c r="AC473">
        <f>IF(Lessons[[#This Row],[Double Booked Key]]="","",COUNTIF(Lessons[Double Booked Key],Lessons[[#This Row],[Double Booked Key]]))</f>
        <v>1</v>
      </c>
      <c r="AD473" s="6" t="str">
        <f>_xlfn.XLOOKUP(Lessons[[#This Row],[Location_External_Id__c]], Locations[Location Id], Locations[Location Name])</f>
        <v>Toms River</v>
      </c>
      <c r="AE473" s="6" t="str">
        <f>TEXT(Lessons[[#This Row],[Lesson_Date__c]], "yyyy-mm")</f>
        <v>2026-01</v>
      </c>
      <c r="AF473" s="6" t="str">
        <f>IF(Lessons[[#This Row],[Lesson_Date__c]]&lt;=Data_Audit!$F$1, "Yes", "No")</f>
        <v>Yes</v>
      </c>
    </row>
    <row r="474" spans="1:32">
      <c r="A474" t="s">
        <v>52</v>
      </c>
      <c r="B474" t="s">
        <v>53</v>
      </c>
      <c r="C474">
        <v>30</v>
      </c>
      <c r="D474" t="s">
        <v>1789</v>
      </c>
      <c r="E474" t="s">
        <v>201</v>
      </c>
      <c r="F474" t="s">
        <v>202</v>
      </c>
      <c r="G474" t="s">
        <v>164</v>
      </c>
      <c r="H474" t="s">
        <v>203</v>
      </c>
      <c r="I474" t="b">
        <v>0</v>
      </c>
      <c r="K474" t="s">
        <v>52</v>
      </c>
      <c r="L474" t="s">
        <v>1517</v>
      </c>
      <c r="O474" s="1">
        <v>46273</v>
      </c>
      <c r="P474" t="s">
        <v>1790</v>
      </c>
      <c r="Q474" t="s">
        <v>1791</v>
      </c>
      <c r="R474" t="s">
        <v>150</v>
      </c>
      <c r="S474" t="b">
        <v>0</v>
      </c>
      <c r="T474" t="b">
        <v>0</v>
      </c>
      <c r="U474" t="s">
        <v>1791</v>
      </c>
      <c r="V474" t="s">
        <v>120</v>
      </c>
      <c r="W474" t="s">
        <v>65</v>
      </c>
      <c r="X474" t="s">
        <v>1784</v>
      </c>
      <c r="Y474" t="s">
        <v>1785</v>
      </c>
      <c r="Z474" t="s">
        <v>1517</v>
      </c>
      <c r="AA474" t="b">
        <f>ISNUMBER(SEARCH(";"&amp;Lessons[[#This Row],[Instrument__c]]&amp;";",";"&amp;_xlfn.XLOOKUP(Lessons[[#This Row],[Instructor_External_Id__c]], Instructors[Id], Instructors[Instruments_Taught__c])&amp;";"))</f>
        <v>1</v>
      </c>
      <c r="AB474" t="str">
        <f>IF(LEFT(Lessons[[#This Row],[Status__c]],9)="Cancelled","",Lessons[[#This Row],[Instructor_External_Id__c]]&amp;"|"&amp;TEXT(Lessons[[#This Row],[Lesson_Date__c]],"yyyy-mm-dd")&amp;"|"&amp;Lessons[[#This Row],[Start_Time__c]])</f>
        <v>a06ak00000amzCJAAY|2026-09-08|18:00:00.000Z</v>
      </c>
      <c r="AC474">
        <f>IF(Lessons[[#This Row],[Double Booked Key]]="","",COUNTIF(Lessons[Double Booked Key],Lessons[[#This Row],[Double Booked Key]]))</f>
        <v>1</v>
      </c>
      <c r="AD474" s="6" t="str">
        <f>_xlfn.XLOOKUP(Lessons[[#This Row],[Location_External_Id__c]], Locations[Location Id], Locations[Location Name])</f>
        <v>Toms River</v>
      </c>
      <c r="AE474" s="6" t="str">
        <f>TEXT(Lessons[[#This Row],[Lesson_Date__c]], "yyyy-mm")</f>
        <v>2026-09</v>
      </c>
      <c r="AF474" s="6" t="str">
        <f>IF(Lessons[[#This Row],[Lesson_Date__c]]&lt;=Data_Audit!$F$1, "Yes", "No")</f>
        <v>Yes</v>
      </c>
    </row>
    <row r="475" spans="1:32">
      <c r="A475" t="s">
        <v>52</v>
      </c>
      <c r="B475" t="s">
        <v>53</v>
      </c>
      <c r="C475">
        <v>45</v>
      </c>
      <c r="D475" t="s">
        <v>1792</v>
      </c>
      <c r="E475" t="s">
        <v>804</v>
      </c>
      <c r="F475" t="s">
        <v>805</v>
      </c>
      <c r="G475" t="s">
        <v>99</v>
      </c>
      <c r="H475" t="s">
        <v>147</v>
      </c>
      <c r="I475" t="b">
        <v>0</v>
      </c>
      <c r="K475" t="s">
        <v>52</v>
      </c>
      <c r="L475" t="s">
        <v>1517</v>
      </c>
      <c r="O475" s="1">
        <v>46053</v>
      </c>
      <c r="P475" t="s">
        <v>1793</v>
      </c>
      <c r="Q475" t="s">
        <v>1794</v>
      </c>
      <c r="R475" t="s">
        <v>63</v>
      </c>
      <c r="S475" t="b">
        <v>0</v>
      </c>
      <c r="T475" t="b">
        <v>0</v>
      </c>
      <c r="U475" t="s">
        <v>1794</v>
      </c>
      <c r="V475" t="s">
        <v>84</v>
      </c>
      <c r="W475" t="s">
        <v>65</v>
      </c>
      <c r="X475" t="s">
        <v>1795</v>
      </c>
      <c r="Y475" t="s">
        <v>1796</v>
      </c>
      <c r="Z475" t="s">
        <v>1517</v>
      </c>
      <c r="AA475" t="b">
        <f>ISNUMBER(SEARCH(";"&amp;Lessons[[#This Row],[Instrument__c]]&amp;";",";"&amp;_xlfn.XLOOKUP(Lessons[[#This Row],[Instructor_External_Id__c]], Instructors[Id], Instructors[Instruments_Taught__c])&amp;";"))</f>
        <v>1</v>
      </c>
      <c r="AB475" t="str">
        <f>IF(LEFT(Lessons[[#This Row],[Status__c]],9)="Cancelled","",Lessons[[#This Row],[Instructor_External_Id__c]]&amp;"|"&amp;TEXT(Lessons[[#This Row],[Lesson_Date__c]],"yyyy-mm-dd")&amp;"|"&amp;Lessons[[#This Row],[Start_Time__c]])</f>
        <v>a06ak00000amzCBAAY|2026-01-31|17:00:00.000Z</v>
      </c>
      <c r="AC475">
        <f>IF(Lessons[[#This Row],[Double Booked Key]]="","",COUNTIF(Lessons[Double Booked Key],Lessons[[#This Row],[Double Booked Key]]))</f>
        <v>1</v>
      </c>
      <c r="AD475" s="6" t="str">
        <f>_xlfn.XLOOKUP(Lessons[[#This Row],[Location_External_Id__c]], Locations[Location Id], Locations[Location Name])</f>
        <v>Red Bank</v>
      </c>
      <c r="AE475" s="6" t="str">
        <f>TEXT(Lessons[[#This Row],[Lesson_Date__c]], "yyyy-mm")</f>
        <v>2026-01</v>
      </c>
      <c r="AF475" s="6" t="str">
        <f>IF(Lessons[[#This Row],[Lesson_Date__c]]&lt;=Data_Audit!$F$1, "Yes", "No")</f>
        <v>Yes</v>
      </c>
    </row>
    <row r="476" spans="1:32">
      <c r="A476" t="s">
        <v>52</v>
      </c>
      <c r="B476" t="s">
        <v>53</v>
      </c>
      <c r="C476">
        <v>60</v>
      </c>
      <c r="D476" t="s">
        <v>1797</v>
      </c>
      <c r="E476" t="s">
        <v>804</v>
      </c>
      <c r="F476" t="s">
        <v>805</v>
      </c>
      <c r="G476" t="s">
        <v>99</v>
      </c>
      <c r="H476" t="s">
        <v>147</v>
      </c>
      <c r="I476" t="b">
        <v>0</v>
      </c>
      <c r="K476" t="s">
        <v>52</v>
      </c>
      <c r="L476" t="s">
        <v>1517</v>
      </c>
      <c r="O476" s="1">
        <v>46123</v>
      </c>
      <c r="P476" t="s">
        <v>1798</v>
      </c>
      <c r="Q476" t="s">
        <v>1799</v>
      </c>
      <c r="R476" t="s">
        <v>63</v>
      </c>
      <c r="S476" t="b">
        <v>0</v>
      </c>
      <c r="T476" t="b">
        <v>0</v>
      </c>
      <c r="U476" t="s">
        <v>1799</v>
      </c>
      <c r="V476" t="s">
        <v>94</v>
      </c>
      <c r="W476" t="s">
        <v>65</v>
      </c>
      <c r="X476" t="s">
        <v>1795</v>
      </c>
      <c r="Y476" t="s">
        <v>1796</v>
      </c>
      <c r="Z476" t="s">
        <v>1517</v>
      </c>
      <c r="AA476" t="b">
        <f>ISNUMBER(SEARCH(";"&amp;Lessons[[#This Row],[Instrument__c]]&amp;";",";"&amp;_xlfn.XLOOKUP(Lessons[[#This Row],[Instructor_External_Id__c]], Instructors[Id], Instructors[Instruments_Taught__c])&amp;";"))</f>
        <v>1</v>
      </c>
      <c r="AB476" t="str">
        <f>IF(LEFT(Lessons[[#This Row],[Status__c]],9)="Cancelled","",Lessons[[#This Row],[Instructor_External_Id__c]]&amp;"|"&amp;TEXT(Lessons[[#This Row],[Lesson_Date__c]],"yyyy-mm-dd")&amp;"|"&amp;Lessons[[#This Row],[Start_Time__c]])</f>
        <v>a06ak00000amzCBAAY|2026-04-11|19:00:00.000Z</v>
      </c>
      <c r="AC476">
        <f>IF(Lessons[[#This Row],[Double Booked Key]]="","",COUNTIF(Lessons[Double Booked Key],Lessons[[#This Row],[Double Booked Key]]))</f>
        <v>1</v>
      </c>
      <c r="AD476" s="6" t="str">
        <f>_xlfn.XLOOKUP(Lessons[[#This Row],[Location_External_Id__c]], Locations[Location Id], Locations[Location Name])</f>
        <v>Red Bank</v>
      </c>
      <c r="AE476" s="6" t="str">
        <f>TEXT(Lessons[[#This Row],[Lesson_Date__c]], "yyyy-mm")</f>
        <v>2026-04</v>
      </c>
      <c r="AF476" s="6" t="str">
        <f>IF(Lessons[[#This Row],[Lesson_Date__c]]&lt;=Data_Audit!$F$1, "Yes", "No")</f>
        <v>Yes</v>
      </c>
    </row>
    <row r="477" spans="1:32">
      <c r="A477" t="s">
        <v>52</v>
      </c>
      <c r="B477" t="s">
        <v>53</v>
      </c>
      <c r="C477">
        <v>30</v>
      </c>
      <c r="D477" t="s">
        <v>1800</v>
      </c>
      <c r="E477" t="s">
        <v>804</v>
      </c>
      <c r="F477" t="s">
        <v>805</v>
      </c>
      <c r="G477" t="s">
        <v>164</v>
      </c>
      <c r="H477" t="s">
        <v>147</v>
      </c>
      <c r="I477" t="b">
        <v>0</v>
      </c>
      <c r="K477" t="s">
        <v>52</v>
      </c>
      <c r="L477" t="s">
        <v>1517</v>
      </c>
      <c r="O477" s="1">
        <v>46206</v>
      </c>
      <c r="P477" t="s">
        <v>1801</v>
      </c>
      <c r="Q477" t="s">
        <v>1802</v>
      </c>
      <c r="R477" t="s">
        <v>63</v>
      </c>
      <c r="S477" t="b">
        <v>0</v>
      </c>
      <c r="T477" t="b">
        <v>0</v>
      </c>
      <c r="U477" t="s">
        <v>1802</v>
      </c>
      <c r="V477" t="s">
        <v>102</v>
      </c>
      <c r="W477" t="s">
        <v>65</v>
      </c>
      <c r="X477" t="s">
        <v>1795</v>
      </c>
      <c r="Y477" t="s">
        <v>1796</v>
      </c>
      <c r="Z477" t="s">
        <v>1517</v>
      </c>
      <c r="AA477" t="b">
        <f>ISNUMBER(SEARCH(";"&amp;Lessons[[#This Row],[Instrument__c]]&amp;";",";"&amp;_xlfn.XLOOKUP(Lessons[[#This Row],[Instructor_External_Id__c]], Instructors[Id], Instructors[Instruments_Taught__c])&amp;";"))</f>
        <v>1</v>
      </c>
      <c r="AB477" t="str">
        <f>IF(LEFT(Lessons[[#This Row],[Status__c]],9)="Cancelled","",Lessons[[#This Row],[Instructor_External_Id__c]]&amp;"|"&amp;TEXT(Lessons[[#This Row],[Lesson_Date__c]],"yyyy-mm-dd")&amp;"|"&amp;Lessons[[#This Row],[Start_Time__c]])</f>
        <v>a06ak00000amzCBAAY|2026-07-03|16:00:00.000Z</v>
      </c>
      <c r="AC477">
        <f>IF(Lessons[[#This Row],[Double Booked Key]]="","",COUNTIF(Lessons[Double Booked Key],Lessons[[#This Row],[Double Booked Key]]))</f>
        <v>1</v>
      </c>
      <c r="AD477" s="6" t="str">
        <f>_xlfn.XLOOKUP(Lessons[[#This Row],[Location_External_Id__c]], Locations[Location Id], Locations[Location Name])</f>
        <v>Red Bank</v>
      </c>
      <c r="AE477" s="6" t="str">
        <f>TEXT(Lessons[[#This Row],[Lesson_Date__c]], "yyyy-mm")</f>
        <v>2026-07</v>
      </c>
      <c r="AF477" s="6" t="str">
        <f>IF(Lessons[[#This Row],[Lesson_Date__c]]&lt;=Data_Audit!$F$1, "Yes", "No")</f>
        <v>Yes</v>
      </c>
    </row>
    <row r="478" spans="1:32">
      <c r="A478" t="s">
        <v>52</v>
      </c>
      <c r="B478" t="s">
        <v>53</v>
      </c>
      <c r="C478">
        <v>60</v>
      </c>
      <c r="D478" t="s">
        <v>1803</v>
      </c>
      <c r="E478" t="s">
        <v>804</v>
      </c>
      <c r="F478" t="s">
        <v>805</v>
      </c>
      <c r="H478" t="s">
        <v>147</v>
      </c>
      <c r="I478" t="b">
        <v>0</v>
      </c>
      <c r="K478" t="s">
        <v>52</v>
      </c>
      <c r="L478" t="s">
        <v>171</v>
      </c>
      <c r="O478" s="1">
        <v>46094</v>
      </c>
      <c r="P478" t="s">
        <v>1804</v>
      </c>
      <c r="Q478" t="s">
        <v>1805</v>
      </c>
      <c r="R478" t="s">
        <v>63</v>
      </c>
      <c r="S478" t="b">
        <v>1</v>
      </c>
      <c r="T478" t="b">
        <v>1</v>
      </c>
      <c r="U478" t="s">
        <v>1805</v>
      </c>
      <c r="V478" t="s">
        <v>116</v>
      </c>
      <c r="W478" t="s">
        <v>136</v>
      </c>
      <c r="X478" t="s">
        <v>1795</v>
      </c>
      <c r="Y478" t="s">
        <v>1796</v>
      </c>
      <c r="Z478" t="s">
        <v>171</v>
      </c>
      <c r="AA478" t="b">
        <f>ISNUMBER(SEARCH(";"&amp;Lessons[[#This Row],[Instrument__c]]&amp;";",";"&amp;_xlfn.XLOOKUP(Lessons[[#This Row],[Instructor_External_Id__c]], Instructors[Id], Instructors[Instruments_Taught__c])&amp;";"))</f>
        <v>1</v>
      </c>
      <c r="AB478" t="str">
        <f>IF(LEFT(Lessons[[#This Row],[Status__c]],9)="Cancelled","",Lessons[[#This Row],[Instructor_External_Id__c]]&amp;"|"&amp;TEXT(Lessons[[#This Row],[Lesson_Date__c]],"yyyy-mm-dd")&amp;"|"&amp;Lessons[[#This Row],[Start_Time__c]])</f>
        <v/>
      </c>
      <c r="AC478" t="str">
        <f>IF(Lessons[[#This Row],[Double Booked Key]]="","",COUNTIF(Lessons[Double Booked Key],Lessons[[#This Row],[Double Booked Key]]))</f>
        <v/>
      </c>
      <c r="AD478" s="6" t="str">
        <f>_xlfn.XLOOKUP(Lessons[[#This Row],[Location_External_Id__c]], Locations[Location Id], Locations[Location Name])</f>
        <v>Red Bank</v>
      </c>
      <c r="AE478" s="6" t="str">
        <f>TEXT(Lessons[[#This Row],[Lesson_Date__c]], "yyyy-mm")</f>
        <v>2026-03</v>
      </c>
      <c r="AF478" s="6" t="str">
        <f>IF(Lessons[[#This Row],[Lesson_Date__c]]&lt;=Data_Audit!$F$1, "Yes", "No")</f>
        <v>Yes</v>
      </c>
    </row>
    <row r="479" spans="1:32">
      <c r="A479" t="s">
        <v>52</v>
      </c>
      <c r="B479" t="s">
        <v>53</v>
      </c>
      <c r="C479">
        <v>30</v>
      </c>
      <c r="D479" t="s">
        <v>1806</v>
      </c>
      <c r="E479" t="s">
        <v>804</v>
      </c>
      <c r="F479" t="s">
        <v>805</v>
      </c>
      <c r="H479" t="s">
        <v>147</v>
      </c>
      <c r="I479" t="b">
        <v>0</v>
      </c>
      <c r="K479" t="s">
        <v>52</v>
      </c>
      <c r="L479" t="s">
        <v>1517</v>
      </c>
      <c r="O479" s="1">
        <v>46236</v>
      </c>
      <c r="P479" t="s">
        <v>1807</v>
      </c>
      <c r="Q479" t="s">
        <v>1808</v>
      </c>
      <c r="R479" t="s">
        <v>63</v>
      </c>
      <c r="S479" t="b">
        <v>0</v>
      </c>
      <c r="T479" t="b">
        <v>0</v>
      </c>
      <c r="U479" t="s">
        <v>1808</v>
      </c>
      <c r="V479" t="s">
        <v>110</v>
      </c>
      <c r="W479" t="s">
        <v>65</v>
      </c>
      <c r="X479" t="s">
        <v>1795</v>
      </c>
      <c r="Y479" t="s">
        <v>1796</v>
      </c>
      <c r="Z479" t="s">
        <v>1517</v>
      </c>
      <c r="AA479" t="b">
        <f>ISNUMBER(SEARCH(";"&amp;Lessons[[#This Row],[Instrument__c]]&amp;";",";"&amp;_xlfn.XLOOKUP(Lessons[[#This Row],[Instructor_External_Id__c]], Instructors[Id], Instructors[Instruments_Taught__c])&amp;";"))</f>
        <v>1</v>
      </c>
      <c r="AB479" t="str">
        <f>IF(LEFT(Lessons[[#This Row],[Status__c]],9)="Cancelled","",Lessons[[#This Row],[Instructor_External_Id__c]]&amp;"|"&amp;TEXT(Lessons[[#This Row],[Lesson_Date__c]],"yyyy-mm-dd")&amp;"|"&amp;Lessons[[#This Row],[Start_Time__c]])</f>
        <v>a06ak00000amzCBAAY|2026-08-02|10:00:00.000Z</v>
      </c>
      <c r="AC479">
        <f>IF(Lessons[[#This Row],[Double Booked Key]]="","",COUNTIF(Lessons[Double Booked Key],Lessons[[#This Row],[Double Booked Key]]))</f>
        <v>1</v>
      </c>
      <c r="AD479" s="6" t="str">
        <f>_xlfn.XLOOKUP(Lessons[[#This Row],[Location_External_Id__c]], Locations[Location Id], Locations[Location Name])</f>
        <v>Red Bank</v>
      </c>
      <c r="AE479" s="6" t="str">
        <f>TEXT(Lessons[[#This Row],[Lesson_Date__c]], "yyyy-mm")</f>
        <v>2026-08</v>
      </c>
      <c r="AF479" s="6" t="str">
        <f>IF(Lessons[[#This Row],[Lesson_Date__c]]&lt;=Data_Audit!$F$1, "Yes", "No")</f>
        <v>Yes</v>
      </c>
    </row>
    <row r="480" spans="1:32">
      <c r="A480" t="s">
        <v>52</v>
      </c>
      <c r="B480" t="s">
        <v>53</v>
      </c>
      <c r="C480">
        <v>30</v>
      </c>
      <c r="D480" t="s">
        <v>1809</v>
      </c>
      <c r="E480" t="s">
        <v>804</v>
      </c>
      <c r="F480" t="s">
        <v>805</v>
      </c>
      <c r="G480" t="s">
        <v>99</v>
      </c>
      <c r="H480" t="s">
        <v>147</v>
      </c>
      <c r="I480" t="b">
        <v>0</v>
      </c>
      <c r="K480" t="s">
        <v>52</v>
      </c>
      <c r="L480" t="s">
        <v>1517</v>
      </c>
      <c r="O480" s="1">
        <v>46176</v>
      </c>
      <c r="P480" t="s">
        <v>1810</v>
      </c>
      <c r="Q480" t="s">
        <v>1811</v>
      </c>
      <c r="R480" t="s">
        <v>63</v>
      </c>
      <c r="S480" t="b">
        <v>0</v>
      </c>
      <c r="T480" t="b">
        <v>0</v>
      </c>
      <c r="U480" t="s">
        <v>1811</v>
      </c>
      <c r="V480" t="s">
        <v>140</v>
      </c>
      <c r="W480" t="s">
        <v>65</v>
      </c>
      <c r="X480" t="s">
        <v>1795</v>
      </c>
      <c r="Y480" t="s">
        <v>1796</v>
      </c>
      <c r="Z480" t="s">
        <v>1517</v>
      </c>
      <c r="AA480" t="b">
        <f>ISNUMBER(SEARCH(";"&amp;Lessons[[#This Row],[Instrument__c]]&amp;";",";"&amp;_xlfn.XLOOKUP(Lessons[[#This Row],[Instructor_External_Id__c]], Instructors[Id], Instructors[Instruments_Taught__c])&amp;";"))</f>
        <v>1</v>
      </c>
      <c r="AB480" t="str">
        <f>IF(LEFT(Lessons[[#This Row],[Status__c]],9)="Cancelled","",Lessons[[#This Row],[Instructor_External_Id__c]]&amp;"|"&amp;TEXT(Lessons[[#This Row],[Lesson_Date__c]],"yyyy-mm-dd")&amp;"|"&amp;Lessons[[#This Row],[Start_Time__c]])</f>
        <v>a06ak00000amzCBAAY|2026-06-03|15:00:00.000Z</v>
      </c>
      <c r="AC480">
        <f>IF(Lessons[[#This Row],[Double Booked Key]]="","",COUNTIF(Lessons[Double Booked Key],Lessons[[#This Row],[Double Booked Key]]))</f>
        <v>1</v>
      </c>
      <c r="AD480" s="6" t="str">
        <f>_xlfn.XLOOKUP(Lessons[[#This Row],[Location_External_Id__c]], Locations[Location Id], Locations[Location Name])</f>
        <v>Red Bank</v>
      </c>
      <c r="AE480" s="6" t="str">
        <f>TEXT(Lessons[[#This Row],[Lesson_Date__c]], "yyyy-mm")</f>
        <v>2026-06</v>
      </c>
      <c r="AF480" s="6" t="str">
        <f>IF(Lessons[[#This Row],[Lesson_Date__c]]&lt;=Data_Audit!$F$1, "Yes", "No")</f>
        <v>Yes</v>
      </c>
    </row>
    <row r="481" spans="1:32">
      <c r="A481" t="s">
        <v>52</v>
      </c>
      <c r="B481" t="s">
        <v>53</v>
      </c>
      <c r="C481">
        <v>45</v>
      </c>
      <c r="D481" t="s">
        <v>1812</v>
      </c>
      <c r="E481" t="s">
        <v>804</v>
      </c>
      <c r="F481" t="s">
        <v>805</v>
      </c>
      <c r="G481" t="s">
        <v>106</v>
      </c>
      <c r="H481" t="s">
        <v>147</v>
      </c>
      <c r="I481" t="b">
        <v>0</v>
      </c>
      <c r="K481" t="s">
        <v>52</v>
      </c>
      <c r="L481" t="s">
        <v>1517</v>
      </c>
      <c r="O481" s="1">
        <v>46152</v>
      </c>
      <c r="P481" t="s">
        <v>1813</v>
      </c>
      <c r="Q481" t="s">
        <v>1814</v>
      </c>
      <c r="R481" t="s">
        <v>63</v>
      </c>
      <c r="S481" t="b">
        <v>0</v>
      </c>
      <c r="T481" t="b">
        <v>0</v>
      </c>
      <c r="U481" t="s">
        <v>1814</v>
      </c>
      <c r="V481" t="s">
        <v>64</v>
      </c>
      <c r="W481" t="s">
        <v>65</v>
      </c>
      <c r="X481" t="s">
        <v>1795</v>
      </c>
      <c r="Y481" t="s">
        <v>1796</v>
      </c>
      <c r="Z481" t="s">
        <v>1517</v>
      </c>
      <c r="AA481" t="b">
        <f>ISNUMBER(SEARCH(";"&amp;Lessons[[#This Row],[Instrument__c]]&amp;";",";"&amp;_xlfn.XLOOKUP(Lessons[[#This Row],[Instructor_External_Id__c]], Instructors[Id], Instructors[Instruments_Taught__c])&amp;";"))</f>
        <v>1</v>
      </c>
      <c r="AB481" t="str">
        <f>IF(LEFT(Lessons[[#This Row],[Status__c]],9)="Cancelled","",Lessons[[#This Row],[Instructor_External_Id__c]]&amp;"|"&amp;TEXT(Lessons[[#This Row],[Lesson_Date__c]],"yyyy-mm-dd")&amp;"|"&amp;Lessons[[#This Row],[Start_Time__c]])</f>
        <v>a06ak00000amzCBAAY|2026-05-10|11:00:00.000Z</v>
      </c>
      <c r="AC481">
        <f>IF(Lessons[[#This Row],[Double Booked Key]]="","",COUNTIF(Lessons[Double Booked Key],Lessons[[#This Row],[Double Booked Key]]))</f>
        <v>1</v>
      </c>
      <c r="AD481" s="6" t="str">
        <f>_xlfn.XLOOKUP(Lessons[[#This Row],[Location_External_Id__c]], Locations[Location Id], Locations[Location Name])</f>
        <v>Red Bank</v>
      </c>
      <c r="AE481" s="6" t="str">
        <f>TEXT(Lessons[[#This Row],[Lesson_Date__c]], "yyyy-mm")</f>
        <v>2026-05</v>
      </c>
      <c r="AF481" s="6" t="str">
        <f>IF(Lessons[[#This Row],[Lesson_Date__c]]&lt;=Data_Audit!$F$1, "Yes", "No")</f>
        <v>Yes</v>
      </c>
    </row>
    <row r="482" spans="1:32">
      <c r="A482" t="s">
        <v>52</v>
      </c>
      <c r="B482" t="s">
        <v>53</v>
      </c>
      <c r="C482">
        <v>45</v>
      </c>
      <c r="D482" t="s">
        <v>1815</v>
      </c>
      <c r="E482" t="s">
        <v>436</v>
      </c>
      <c r="F482" t="s">
        <v>437</v>
      </c>
      <c r="G482" t="s">
        <v>106</v>
      </c>
      <c r="H482" t="s">
        <v>263</v>
      </c>
      <c r="I482" t="b">
        <v>0</v>
      </c>
      <c r="K482" t="s">
        <v>52</v>
      </c>
      <c r="L482" t="s">
        <v>1517</v>
      </c>
      <c r="O482" s="1">
        <v>46298</v>
      </c>
      <c r="P482" t="s">
        <v>1816</v>
      </c>
      <c r="Q482" t="s">
        <v>1817</v>
      </c>
      <c r="R482" t="s">
        <v>63</v>
      </c>
      <c r="S482" t="b">
        <v>0</v>
      </c>
      <c r="T482" t="b">
        <v>0</v>
      </c>
      <c r="U482" t="s">
        <v>1817</v>
      </c>
      <c r="V482" t="s">
        <v>116</v>
      </c>
      <c r="W482" t="s">
        <v>65</v>
      </c>
      <c r="X482" t="s">
        <v>1818</v>
      </c>
      <c r="Y482" t="s">
        <v>1819</v>
      </c>
      <c r="Z482" t="s">
        <v>1517</v>
      </c>
      <c r="AA482" t="b">
        <f>ISNUMBER(SEARCH(";"&amp;Lessons[[#This Row],[Instrument__c]]&amp;";",";"&amp;_xlfn.XLOOKUP(Lessons[[#This Row],[Instructor_External_Id__c]], Instructors[Id], Instructors[Instruments_Taught__c])&amp;";"))</f>
        <v>1</v>
      </c>
      <c r="AB482" t="str">
        <f>IF(LEFT(Lessons[[#This Row],[Status__c]],9)="Cancelled","",Lessons[[#This Row],[Instructor_External_Id__c]]&amp;"|"&amp;TEXT(Lessons[[#This Row],[Lesson_Date__c]],"yyyy-mm-dd")&amp;"|"&amp;Lessons[[#This Row],[Start_Time__c]])</f>
        <v>a06ak00000amzC0AAI|2026-10-03|17:30:00.000Z</v>
      </c>
      <c r="AC482">
        <f>IF(Lessons[[#This Row],[Double Booked Key]]="","",COUNTIF(Lessons[Double Booked Key],Lessons[[#This Row],[Double Booked Key]]))</f>
        <v>1</v>
      </c>
      <c r="AD482" s="6" t="str">
        <f>_xlfn.XLOOKUP(Lessons[[#This Row],[Location_External_Id__c]], Locations[Location Id], Locations[Location Name])</f>
        <v>Red Bank</v>
      </c>
      <c r="AE482" s="6" t="str">
        <f>TEXT(Lessons[[#This Row],[Lesson_Date__c]], "yyyy-mm")</f>
        <v>2026-10</v>
      </c>
      <c r="AF482" s="6" t="str">
        <f>IF(Lessons[[#This Row],[Lesson_Date__c]]&lt;=Data_Audit!$F$1, "Yes", "No")</f>
        <v>Yes</v>
      </c>
    </row>
    <row r="483" spans="1:32">
      <c r="A483" t="s">
        <v>52</v>
      </c>
      <c r="B483" t="s">
        <v>53</v>
      </c>
      <c r="C483">
        <v>45</v>
      </c>
      <c r="D483" t="s">
        <v>1820</v>
      </c>
      <c r="E483" t="s">
        <v>436</v>
      </c>
      <c r="F483" t="s">
        <v>437</v>
      </c>
      <c r="G483" t="s">
        <v>164</v>
      </c>
      <c r="H483" t="s">
        <v>263</v>
      </c>
      <c r="I483" t="b">
        <v>0</v>
      </c>
      <c r="K483" t="s">
        <v>52</v>
      </c>
      <c r="L483" t="s">
        <v>1517</v>
      </c>
      <c r="O483" s="1">
        <v>46171</v>
      </c>
      <c r="P483" t="s">
        <v>1821</v>
      </c>
      <c r="Q483" t="s">
        <v>1822</v>
      </c>
      <c r="R483" t="s">
        <v>63</v>
      </c>
      <c r="S483" t="b">
        <v>0</v>
      </c>
      <c r="T483" t="b">
        <v>0</v>
      </c>
      <c r="U483" t="s">
        <v>1822</v>
      </c>
      <c r="V483" t="s">
        <v>128</v>
      </c>
      <c r="W483" t="s">
        <v>65</v>
      </c>
      <c r="X483" t="s">
        <v>1818</v>
      </c>
      <c r="Y483" t="s">
        <v>1819</v>
      </c>
      <c r="Z483" t="s">
        <v>1517</v>
      </c>
      <c r="AA483" t="b">
        <f>ISNUMBER(SEARCH(";"&amp;Lessons[[#This Row],[Instrument__c]]&amp;";",";"&amp;_xlfn.XLOOKUP(Lessons[[#This Row],[Instructor_External_Id__c]], Instructors[Id], Instructors[Instruments_Taught__c])&amp;";"))</f>
        <v>1</v>
      </c>
      <c r="AB483" t="str">
        <f>IF(LEFT(Lessons[[#This Row],[Status__c]],9)="Cancelled","",Lessons[[#This Row],[Instructor_External_Id__c]]&amp;"|"&amp;TEXT(Lessons[[#This Row],[Lesson_Date__c]],"yyyy-mm-dd")&amp;"|"&amp;Lessons[[#This Row],[Start_Time__c]])</f>
        <v>a06ak00000amzC0AAI|2026-05-29|18:30:00.000Z</v>
      </c>
      <c r="AC483">
        <f>IF(Lessons[[#This Row],[Double Booked Key]]="","",COUNTIF(Lessons[Double Booked Key],Lessons[[#This Row],[Double Booked Key]]))</f>
        <v>1</v>
      </c>
      <c r="AD483" s="6" t="str">
        <f>_xlfn.XLOOKUP(Lessons[[#This Row],[Location_External_Id__c]], Locations[Location Id], Locations[Location Name])</f>
        <v>Red Bank</v>
      </c>
      <c r="AE483" s="6" t="str">
        <f>TEXT(Lessons[[#This Row],[Lesson_Date__c]], "yyyy-mm")</f>
        <v>2026-05</v>
      </c>
      <c r="AF483" s="6" t="str">
        <f>IF(Lessons[[#This Row],[Lesson_Date__c]]&lt;=Data_Audit!$F$1, "Yes", "No")</f>
        <v>Yes</v>
      </c>
    </row>
    <row r="484" spans="1:32">
      <c r="A484" t="s">
        <v>52</v>
      </c>
      <c r="B484" t="s">
        <v>53</v>
      </c>
      <c r="C484">
        <v>60</v>
      </c>
      <c r="D484" t="s">
        <v>1823</v>
      </c>
      <c r="E484" t="s">
        <v>436</v>
      </c>
      <c r="F484" t="s">
        <v>437</v>
      </c>
      <c r="H484" t="s">
        <v>263</v>
      </c>
      <c r="I484" t="b">
        <v>0</v>
      </c>
      <c r="K484" t="s">
        <v>52</v>
      </c>
      <c r="L484" t="s">
        <v>171</v>
      </c>
      <c r="O484" s="1">
        <v>46131</v>
      </c>
      <c r="P484" t="s">
        <v>1824</v>
      </c>
      <c r="Q484" t="s">
        <v>1825</v>
      </c>
      <c r="R484" t="s">
        <v>63</v>
      </c>
      <c r="S484" t="b">
        <v>1</v>
      </c>
      <c r="T484" t="b">
        <v>1</v>
      </c>
      <c r="U484" t="s">
        <v>1825</v>
      </c>
      <c r="V484" t="s">
        <v>135</v>
      </c>
      <c r="W484" t="s">
        <v>136</v>
      </c>
      <c r="X484" t="s">
        <v>1818</v>
      </c>
      <c r="Y484" t="s">
        <v>1819</v>
      </c>
      <c r="Z484" t="s">
        <v>171</v>
      </c>
      <c r="AA484" t="b">
        <f>ISNUMBER(SEARCH(";"&amp;Lessons[[#This Row],[Instrument__c]]&amp;";",";"&amp;_xlfn.XLOOKUP(Lessons[[#This Row],[Instructor_External_Id__c]], Instructors[Id], Instructors[Instruments_Taught__c])&amp;";"))</f>
        <v>1</v>
      </c>
      <c r="AB484" t="str">
        <f>IF(LEFT(Lessons[[#This Row],[Status__c]],9)="Cancelled","",Lessons[[#This Row],[Instructor_External_Id__c]]&amp;"|"&amp;TEXT(Lessons[[#This Row],[Lesson_Date__c]],"yyyy-mm-dd")&amp;"|"&amp;Lessons[[#This Row],[Start_Time__c]])</f>
        <v/>
      </c>
      <c r="AC484" t="str">
        <f>IF(Lessons[[#This Row],[Double Booked Key]]="","",COUNTIF(Lessons[Double Booked Key],Lessons[[#This Row],[Double Booked Key]]))</f>
        <v/>
      </c>
      <c r="AD484" s="6" t="str">
        <f>_xlfn.XLOOKUP(Lessons[[#This Row],[Location_External_Id__c]], Locations[Location Id], Locations[Location Name])</f>
        <v>Red Bank</v>
      </c>
      <c r="AE484" s="6" t="str">
        <f>TEXT(Lessons[[#This Row],[Lesson_Date__c]], "yyyy-mm")</f>
        <v>2026-04</v>
      </c>
      <c r="AF484" s="6" t="str">
        <f>IF(Lessons[[#This Row],[Lesson_Date__c]]&lt;=Data_Audit!$F$1, "Yes", "No")</f>
        <v>Yes</v>
      </c>
    </row>
    <row r="485" spans="1:32">
      <c r="A485" t="s">
        <v>52</v>
      </c>
      <c r="B485" t="s">
        <v>53</v>
      </c>
      <c r="C485">
        <v>30</v>
      </c>
      <c r="D485" t="s">
        <v>1826</v>
      </c>
      <c r="E485" t="s">
        <v>436</v>
      </c>
      <c r="F485" t="s">
        <v>437</v>
      </c>
      <c r="G485" t="s">
        <v>106</v>
      </c>
      <c r="H485" t="s">
        <v>263</v>
      </c>
      <c r="I485" t="b">
        <v>0</v>
      </c>
      <c r="K485" t="s">
        <v>52</v>
      </c>
      <c r="L485" t="s">
        <v>1517</v>
      </c>
      <c r="O485" s="1">
        <v>46251</v>
      </c>
      <c r="P485" t="s">
        <v>1827</v>
      </c>
      <c r="Q485" t="s">
        <v>1828</v>
      </c>
      <c r="R485" t="s">
        <v>63</v>
      </c>
      <c r="S485" t="b">
        <v>0</v>
      </c>
      <c r="T485" t="b">
        <v>0</v>
      </c>
      <c r="U485" t="s">
        <v>1828</v>
      </c>
      <c r="V485" t="s">
        <v>116</v>
      </c>
      <c r="W485" t="s">
        <v>65</v>
      </c>
      <c r="X485" t="s">
        <v>1818</v>
      </c>
      <c r="Y485" t="s">
        <v>1819</v>
      </c>
      <c r="Z485" t="s">
        <v>1517</v>
      </c>
      <c r="AA485" t="b">
        <f>ISNUMBER(SEARCH(";"&amp;Lessons[[#This Row],[Instrument__c]]&amp;";",";"&amp;_xlfn.XLOOKUP(Lessons[[#This Row],[Instructor_External_Id__c]], Instructors[Id], Instructors[Instruments_Taught__c])&amp;";"))</f>
        <v>1</v>
      </c>
      <c r="AB485" t="str">
        <f>IF(LEFT(Lessons[[#This Row],[Status__c]],9)="Cancelled","",Lessons[[#This Row],[Instructor_External_Id__c]]&amp;"|"&amp;TEXT(Lessons[[#This Row],[Lesson_Date__c]],"yyyy-mm-dd")&amp;"|"&amp;Lessons[[#This Row],[Start_Time__c]])</f>
        <v>a06ak00000amzC0AAI|2026-08-17|17:30:00.000Z</v>
      </c>
      <c r="AC485">
        <f>IF(Lessons[[#This Row],[Double Booked Key]]="","",COUNTIF(Lessons[Double Booked Key],Lessons[[#This Row],[Double Booked Key]]))</f>
        <v>1</v>
      </c>
      <c r="AD485" s="6" t="str">
        <f>_xlfn.XLOOKUP(Lessons[[#This Row],[Location_External_Id__c]], Locations[Location Id], Locations[Location Name])</f>
        <v>Red Bank</v>
      </c>
      <c r="AE485" s="6" t="str">
        <f>TEXT(Lessons[[#This Row],[Lesson_Date__c]], "yyyy-mm")</f>
        <v>2026-08</v>
      </c>
      <c r="AF485" s="6" t="str">
        <f>IF(Lessons[[#This Row],[Lesson_Date__c]]&lt;=Data_Audit!$F$1, "Yes", "No")</f>
        <v>Yes</v>
      </c>
    </row>
    <row r="486" spans="1:32">
      <c r="A486" t="s">
        <v>52</v>
      </c>
      <c r="B486" t="s">
        <v>53</v>
      </c>
      <c r="C486">
        <v>60</v>
      </c>
      <c r="D486" t="s">
        <v>1829</v>
      </c>
      <c r="E486" t="s">
        <v>337</v>
      </c>
      <c r="F486" t="s">
        <v>338</v>
      </c>
      <c r="G486" t="s">
        <v>57</v>
      </c>
      <c r="H486" t="s">
        <v>284</v>
      </c>
      <c r="I486" t="b">
        <v>0</v>
      </c>
      <c r="K486" t="s">
        <v>52</v>
      </c>
      <c r="L486" t="s">
        <v>1517</v>
      </c>
      <c r="O486" s="1">
        <v>46225</v>
      </c>
      <c r="P486" t="s">
        <v>1830</v>
      </c>
      <c r="Q486" t="s">
        <v>1831</v>
      </c>
      <c r="R486" t="s">
        <v>150</v>
      </c>
      <c r="S486" t="b">
        <v>0</v>
      </c>
      <c r="T486" t="b">
        <v>0</v>
      </c>
      <c r="U486" t="s">
        <v>1831</v>
      </c>
      <c r="V486" t="s">
        <v>74</v>
      </c>
      <c r="W486" t="s">
        <v>65</v>
      </c>
      <c r="X486" t="s">
        <v>1832</v>
      </c>
      <c r="Y486" t="s">
        <v>1833</v>
      </c>
      <c r="Z486" t="s">
        <v>1517</v>
      </c>
      <c r="AA486" t="b">
        <f>ISNUMBER(SEARCH(";"&amp;Lessons[[#This Row],[Instrument__c]]&amp;";",";"&amp;_xlfn.XLOOKUP(Lessons[[#This Row],[Instructor_External_Id__c]], Instructors[Id], Instructors[Instruments_Taught__c])&amp;";"))</f>
        <v>1</v>
      </c>
      <c r="AB486" t="str">
        <f>IF(LEFT(Lessons[[#This Row],[Status__c]],9)="Cancelled","",Lessons[[#This Row],[Instructor_External_Id__c]]&amp;"|"&amp;TEXT(Lessons[[#This Row],[Lesson_Date__c]],"yyyy-mm-dd")&amp;"|"&amp;Lessons[[#This Row],[Start_Time__c]])</f>
        <v>a06ak00000amzCIAAY|2026-07-22|16:30:00.000Z</v>
      </c>
      <c r="AC486">
        <f>IF(Lessons[[#This Row],[Double Booked Key]]="","",COUNTIF(Lessons[Double Booked Key],Lessons[[#This Row],[Double Booked Key]]))</f>
        <v>1</v>
      </c>
      <c r="AD486" s="6" t="str">
        <f>_xlfn.XLOOKUP(Lessons[[#This Row],[Location_External_Id__c]], Locations[Location Id], Locations[Location Name])</f>
        <v>Toms River</v>
      </c>
      <c r="AE486" s="6" t="str">
        <f>TEXT(Lessons[[#This Row],[Lesson_Date__c]], "yyyy-mm")</f>
        <v>2026-07</v>
      </c>
      <c r="AF486" s="6" t="str">
        <f>IF(Lessons[[#This Row],[Lesson_Date__c]]&lt;=Data_Audit!$F$1, "Yes", "No")</f>
        <v>Yes</v>
      </c>
    </row>
    <row r="487" spans="1:32">
      <c r="A487" t="s">
        <v>52</v>
      </c>
      <c r="B487" t="s">
        <v>53</v>
      </c>
      <c r="C487">
        <v>30</v>
      </c>
      <c r="D487" t="s">
        <v>1834</v>
      </c>
      <c r="E487" t="s">
        <v>337</v>
      </c>
      <c r="F487" t="s">
        <v>338</v>
      </c>
      <c r="G487" t="s">
        <v>164</v>
      </c>
      <c r="H487" t="s">
        <v>284</v>
      </c>
      <c r="I487" t="b">
        <v>0</v>
      </c>
      <c r="K487" t="s">
        <v>52</v>
      </c>
      <c r="L487" t="s">
        <v>1517</v>
      </c>
      <c r="O487" s="1">
        <v>46059</v>
      </c>
      <c r="P487" t="s">
        <v>1835</v>
      </c>
      <c r="Q487" t="s">
        <v>1836</v>
      </c>
      <c r="R487" t="s">
        <v>150</v>
      </c>
      <c r="S487" t="b">
        <v>0</v>
      </c>
      <c r="T487" t="b">
        <v>0</v>
      </c>
      <c r="U487" t="s">
        <v>1836</v>
      </c>
      <c r="V487" t="s">
        <v>116</v>
      </c>
      <c r="W487" t="s">
        <v>65</v>
      </c>
      <c r="X487" t="s">
        <v>1832</v>
      </c>
      <c r="Y487" t="s">
        <v>1833</v>
      </c>
      <c r="Z487" t="s">
        <v>1517</v>
      </c>
      <c r="AA487" t="b">
        <f>ISNUMBER(SEARCH(";"&amp;Lessons[[#This Row],[Instrument__c]]&amp;";",";"&amp;_xlfn.XLOOKUP(Lessons[[#This Row],[Instructor_External_Id__c]], Instructors[Id], Instructors[Instruments_Taught__c])&amp;";"))</f>
        <v>1</v>
      </c>
      <c r="AB487" t="str">
        <f>IF(LEFT(Lessons[[#This Row],[Status__c]],9)="Cancelled","",Lessons[[#This Row],[Instructor_External_Id__c]]&amp;"|"&amp;TEXT(Lessons[[#This Row],[Lesson_Date__c]],"yyyy-mm-dd")&amp;"|"&amp;Lessons[[#This Row],[Start_Time__c]])</f>
        <v>a06ak00000amzCIAAY|2026-02-06|17:30:00.000Z</v>
      </c>
      <c r="AC487">
        <f>IF(Lessons[[#This Row],[Double Booked Key]]="","",COUNTIF(Lessons[Double Booked Key],Lessons[[#This Row],[Double Booked Key]]))</f>
        <v>1</v>
      </c>
      <c r="AD487" s="6" t="str">
        <f>_xlfn.XLOOKUP(Lessons[[#This Row],[Location_External_Id__c]], Locations[Location Id], Locations[Location Name])</f>
        <v>Toms River</v>
      </c>
      <c r="AE487" s="6" t="str">
        <f>TEXT(Lessons[[#This Row],[Lesson_Date__c]], "yyyy-mm")</f>
        <v>2026-02</v>
      </c>
      <c r="AF487" s="6" t="str">
        <f>IF(Lessons[[#This Row],[Lesson_Date__c]]&lt;=Data_Audit!$F$1, "Yes", "No")</f>
        <v>Yes</v>
      </c>
    </row>
    <row r="488" spans="1:32">
      <c r="A488" t="s">
        <v>52</v>
      </c>
      <c r="B488" t="s">
        <v>53</v>
      </c>
      <c r="C488">
        <v>30</v>
      </c>
      <c r="D488" t="s">
        <v>1837</v>
      </c>
      <c r="E488" t="s">
        <v>337</v>
      </c>
      <c r="F488" t="s">
        <v>338</v>
      </c>
      <c r="G488" t="s">
        <v>69</v>
      </c>
      <c r="H488" t="s">
        <v>284</v>
      </c>
      <c r="I488" t="b">
        <v>0</v>
      </c>
      <c r="K488" t="s">
        <v>52</v>
      </c>
      <c r="L488" t="s">
        <v>1517</v>
      </c>
      <c r="O488" s="1">
        <v>46276</v>
      </c>
      <c r="P488" t="s">
        <v>1838</v>
      </c>
      <c r="Q488" t="s">
        <v>1839</v>
      </c>
      <c r="R488" t="s">
        <v>150</v>
      </c>
      <c r="S488" t="b">
        <v>0</v>
      </c>
      <c r="T488" t="b">
        <v>0</v>
      </c>
      <c r="U488" t="s">
        <v>1839</v>
      </c>
      <c r="V488" t="s">
        <v>94</v>
      </c>
      <c r="W488" t="s">
        <v>65</v>
      </c>
      <c r="X488" t="s">
        <v>1832</v>
      </c>
      <c r="Y488" t="s">
        <v>1833</v>
      </c>
      <c r="Z488" t="s">
        <v>1517</v>
      </c>
      <c r="AA488" t="b">
        <f>ISNUMBER(SEARCH(";"&amp;Lessons[[#This Row],[Instrument__c]]&amp;";",";"&amp;_xlfn.XLOOKUP(Lessons[[#This Row],[Instructor_External_Id__c]], Instructors[Id], Instructors[Instruments_Taught__c])&amp;";"))</f>
        <v>1</v>
      </c>
      <c r="AB488" t="str">
        <f>IF(LEFT(Lessons[[#This Row],[Status__c]],9)="Cancelled","",Lessons[[#This Row],[Instructor_External_Id__c]]&amp;"|"&amp;TEXT(Lessons[[#This Row],[Lesson_Date__c]],"yyyy-mm-dd")&amp;"|"&amp;Lessons[[#This Row],[Start_Time__c]])</f>
        <v>a06ak00000amzCIAAY|2026-09-11|19:00:00.000Z</v>
      </c>
      <c r="AC488">
        <f>IF(Lessons[[#This Row],[Double Booked Key]]="","",COUNTIF(Lessons[Double Booked Key],Lessons[[#This Row],[Double Booked Key]]))</f>
        <v>1</v>
      </c>
      <c r="AD488" s="6" t="str">
        <f>_xlfn.XLOOKUP(Lessons[[#This Row],[Location_External_Id__c]], Locations[Location Id], Locations[Location Name])</f>
        <v>Toms River</v>
      </c>
      <c r="AE488" s="6" t="str">
        <f>TEXT(Lessons[[#This Row],[Lesson_Date__c]], "yyyy-mm")</f>
        <v>2026-09</v>
      </c>
      <c r="AF488" s="6" t="str">
        <f>IF(Lessons[[#This Row],[Lesson_Date__c]]&lt;=Data_Audit!$F$1, "Yes", "No")</f>
        <v>Yes</v>
      </c>
    </row>
    <row r="489" spans="1:32">
      <c r="A489" t="s">
        <v>52</v>
      </c>
      <c r="B489" t="s">
        <v>53</v>
      </c>
      <c r="C489">
        <v>30</v>
      </c>
      <c r="D489" t="s">
        <v>1840</v>
      </c>
      <c r="E489" t="s">
        <v>337</v>
      </c>
      <c r="F489" t="s">
        <v>338</v>
      </c>
      <c r="G489" t="s">
        <v>99</v>
      </c>
      <c r="H489" t="s">
        <v>284</v>
      </c>
      <c r="I489" t="b">
        <v>0</v>
      </c>
      <c r="K489" t="s">
        <v>52</v>
      </c>
      <c r="L489" t="s">
        <v>1517</v>
      </c>
      <c r="O489" s="1">
        <v>46211</v>
      </c>
      <c r="P489" t="s">
        <v>1841</v>
      </c>
      <c r="Q489" t="s">
        <v>1842</v>
      </c>
      <c r="R489" t="s">
        <v>150</v>
      </c>
      <c r="S489" t="b">
        <v>0</v>
      </c>
      <c r="T489" t="b">
        <v>0</v>
      </c>
      <c r="U489" t="s">
        <v>1842</v>
      </c>
      <c r="V489" t="s">
        <v>135</v>
      </c>
      <c r="W489" t="s">
        <v>65</v>
      </c>
      <c r="X489" t="s">
        <v>1832</v>
      </c>
      <c r="Y489" t="s">
        <v>1833</v>
      </c>
      <c r="Z489" t="s">
        <v>1517</v>
      </c>
      <c r="AA489" t="b">
        <f>ISNUMBER(SEARCH(";"&amp;Lessons[[#This Row],[Instrument__c]]&amp;";",";"&amp;_xlfn.XLOOKUP(Lessons[[#This Row],[Instructor_External_Id__c]], Instructors[Id], Instructors[Instruments_Taught__c])&amp;";"))</f>
        <v>1</v>
      </c>
      <c r="AB489" t="str">
        <f>IF(LEFT(Lessons[[#This Row],[Status__c]],9)="Cancelled","",Lessons[[#This Row],[Instructor_External_Id__c]]&amp;"|"&amp;TEXT(Lessons[[#This Row],[Lesson_Date__c]],"yyyy-mm-dd")&amp;"|"&amp;Lessons[[#This Row],[Start_Time__c]])</f>
        <v>a06ak00000amzCIAAY|2026-07-08|15:30:00.000Z</v>
      </c>
      <c r="AC489">
        <f>IF(Lessons[[#This Row],[Double Booked Key]]="","",COUNTIF(Lessons[Double Booked Key],Lessons[[#This Row],[Double Booked Key]]))</f>
        <v>1</v>
      </c>
      <c r="AD489" s="6" t="str">
        <f>_xlfn.XLOOKUP(Lessons[[#This Row],[Location_External_Id__c]], Locations[Location Id], Locations[Location Name])</f>
        <v>Toms River</v>
      </c>
      <c r="AE489" s="6" t="str">
        <f>TEXT(Lessons[[#This Row],[Lesson_Date__c]], "yyyy-mm")</f>
        <v>2026-07</v>
      </c>
      <c r="AF489" s="6" t="str">
        <f>IF(Lessons[[#This Row],[Lesson_Date__c]]&lt;=Data_Audit!$F$1, "Yes", "No")</f>
        <v>Yes</v>
      </c>
    </row>
    <row r="490" spans="1:32">
      <c r="A490" t="s">
        <v>52</v>
      </c>
      <c r="B490" t="s">
        <v>53</v>
      </c>
      <c r="C490">
        <v>30</v>
      </c>
      <c r="D490" t="s">
        <v>1843</v>
      </c>
      <c r="E490" t="s">
        <v>337</v>
      </c>
      <c r="F490" t="s">
        <v>338</v>
      </c>
      <c r="H490" t="s">
        <v>284</v>
      </c>
      <c r="I490" t="b">
        <v>0</v>
      </c>
      <c r="K490" t="s">
        <v>52</v>
      </c>
      <c r="L490" t="s">
        <v>1517</v>
      </c>
      <c r="O490" s="1">
        <v>46236</v>
      </c>
      <c r="P490" t="s">
        <v>1844</v>
      </c>
      <c r="Q490" t="s">
        <v>1845</v>
      </c>
      <c r="R490" t="s">
        <v>150</v>
      </c>
      <c r="S490" t="b">
        <v>0</v>
      </c>
      <c r="T490" t="b">
        <v>0</v>
      </c>
      <c r="U490" t="s">
        <v>1845</v>
      </c>
      <c r="V490" t="s">
        <v>110</v>
      </c>
      <c r="W490" t="s">
        <v>85</v>
      </c>
      <c r="X490" t="s">
        <v>1832</v>
      </c>
      <c r="Y490" t="s">
        <v>1833</v>
      </c>
      <c r="Z490" t="s">
        <v>1517</v>
      </c>
      <c r="AA490" t="b">
        <f>ISNUMBER(SEARCH(";"&amp;Lessons[[#This Row],[Instrument__c]]&amp;";",";"&amp;_xlfn.XLOOKUP(Lessons[[#This Row],[Instructor_External_Id__c]], Instructors[Id], Instructors[Instruments_Taught__c])&amp;";"))</f>
        <v>1</v>
      </c>
      <c r="AB490" t="str">
        <f>IF(LEFT(Lessons[[#This Row],[Status__c]],9)="Cancelled","",Lessons[[#This Row],[Instructor_External_Id__c]]&amp;"|"&amp;TEXT(Lessons[[#This Row],[Lesson_Date__c]],"yyyy-mm-dd")&amp;"|"&amp;Lessons[[#This Row],[Start_Time__c]])</f>
        <v/>
      </c>
      <c r="AC490" t="str">
        <f>IF(Lessons[[#This Row],[Double Booked Key]]="","",COUNTIF(Lessons[Double Booked Key],Lessons[[#This Row],[Double Booked Key]]))</f>
        <v/>
      </c>
      <c r="AD490" s="6" t="str">
        <f>_xlfn.XLOOKUP(Lessons[[#This Row],[Location_External_Id__c]], Locations[Location Id], Locations[Location Name])</f>
        <v>Toms River</v>
      </c>
      <c r="AE490" s="6" t="str">
        <f>TEXT(Lessons[[#This Row],[Lesson_Date__c]], "yyyy-mm")</f>
        <v>2026-08</v>
      </c>
      <c r="AF490" s="6" t="str">
        <f>IF(Lessons[[#This Row],[Lesson_Date__c]]&lt;=Data_Audit!$F$1, "Yes", "No")</f>
        <v>Yes</v>
      </c>
    </row>
    <row r="491" spans="1:32">
      <c r="A491" t="s">
        <v>52</v>
      </c>
      <c r="B491" t="s">
        <v>53</v>
      </c>
      <c r="C491">
        <v>60</v>
      </c>
      <c r="D491" t="s">
        <v>1846</v>
      </c>
      <c r="E491" t="s">
        <v>337</v>
      </c>
      <c r="F491" t="s">
        <v>338</v>
      </c>
      <c r="G491" t="s">
        <v>106</v>
      </c>
      <c r="H491" t="s">
        <v>284</v>
      </c>
      <c r="I491" t="b">
        <v>0</v>
      </c>
      <c r="K491" t="s">
        <v>52</v>
      </c>
      <c r="L491" t="s">
        <v>1517</v>
      </c>
      <c r="O491" s="1">
        <v>46080</v>
      </c>
      <c r="P491" t="s">
        <v>1847</v>
      </c>
      <c r="Q491" t="s">
        <v>1848</v>
      </c>
      <c r="R491" t="s">
        <v>150</v>
      </c>
      <c r="S491" t="b">
        <v>0</v>
      </c>
      <c r="T491" t="b">
        <v>0</v>
      </c>
      <c r="U491" t="s">
        <v>1848</v>
      </c>
      <c r="V491" t="s">
        <v>110</v>
      </c>
      <c r="W491" t="s">
        <v>65</v>
      </c>
      <c r="X491" t="s">
        <v>1832</v>
      </c>
      <c r="Y491" t="s">
        <v>1833</v>
      </c>
      <c r="Z491" t="s">
        <v>1517</v>
      </c>
      <c r="AA491" t="b">
        <f>ISNUMBER(SEARCH(";"&amp;Lessons[[#This Row],[Instrument__c]]&amp;";",";"&amp;_xlfn.XLOOKUP(Lessons[[#This Row],[Instructor_External_Id__c]], Instructors[Id], Instructors[Instruments_Taught__c])&amp;";"))</f>
        <v>1</v>
      </c>
      <c r="AB491" t="str">
        <f>IF(LEFT(Lessons[[#This Row],[Status__c]],9)="Cancelled","",Lessons[[#This Row],[Instructor_External_Id__c]]&amp;"|"&amp;TEXT(Lessons[[#This Row],[Lesson_Date__c]],"yyyy-mm-dd")&amp;"|"&amp;Lessons[[#This Row],[Start_Time__c]])</f>
        <v>a06ak00000amzCIAAY|2026-02-27|10:00:00.000Z</v>
      </c>
      <c r="AC491">
        <f>IF(Lessons[[#This Row],[Double Booked Key]]="","",COUNTIF(Lessons[Double Booked Key],Lessons[[#This Row],[Double Booked Key]]))</f>
        <v>1</v>
      </c>
      <c r="AD491" s="6" t="str">
        <f>_xlfn.XLOOKUP(Lessons[[#This Row],[Location_External_Id__c]], Locations[Location Id], Locations[Location Name])</f>
        <v>Toms River</v>
      </c>
      <c r="AE491" s="6" t="str">
        <f>TEXT(Lessons[[#This Row],[Lesson_Date__c]], "yyyy-mm")</f>
        <v>2026-02</v>
      </c>
      <c r="AF491" s="6" t="str">
        <f>IF(Lessons[[#This Row],[Lesson_Date__c]]&lt;=Data_Audit!$F$1, "Yes", "No")</f>
        <v>Yes</v>
      </c>
    </row>
    <row r="492" spans="1:32">
      <c r="A492" t="s">
        <v>52</v>
      </c>
      <c r="B492" t="s">
        <v>53</v>
      </c>
      <c r="C492">
        <v>45</v>
      </c>
      <c r="D492" t="s">
        <v>1849</v>
      </c>
      <c r="E492" t="s">
        <v>337</v>
      </c>
      <c r="F492" t="s">
        <v>338</v>
      </c>
      <c r="G492" t="s">
        <v>99</v>
      </c>
      <c r="H492" t="s">
        <v>284</v>
      </c>
      <c r="I492" t="b">
        <v>0</v>
      </c>
      <c r="K492" t="s">
        <v>52</v>
      </c>
      <c r="L492" t="s">
        <v>1517</v>
      </c>
      <c r="O492" s="1">
        <v>46269</v>
      </c>
      <c r="P492" t="s">
        <v>1850</v>
      </c>
      <c r="Q492" t="s">
        <v>1851</v>
      </c>
      <c r="R492" t="s">
        <v>150</v>
      </c>
      <c r="S492" t="b">
        <v>0</v>
      </c>
      <c r="T492" t="b">
        <v>0</v>
      </c>
      <c r="U492" t="s">
        <v>1851</v>
      </c>
      <c r="V492" t="s">
        <v>120</v>
      </c>
      <c r="W492" t="s">
        <v>65</v>
      </c>
      <c r="X492" t="s">
        <v>1832</v>
      </c>
      <c r="Y492" t="s">
        <v>1833</v>
      </c>
      <c r="Z492" t="s">
        <v>1517</v>
      </c>
      <c r="AA492" t="b">
        <f>ISNUMBER(SEARCH(";"&amp;Lessons[[#This Row],[Instrument__c]]&amp;";",";"&amp;_xlfn.XLOOKUP(Lessons[[#This Row],[Instructor_External_Id__c]], Instructors[Id], Instructors[Instruments_Taught__c])&amp;";"))</f>
        <v>1</v>
      </c>
      <c r="AB492" t="str">
        <f>IF(LEFT(Lessons[[#This Row],[Status__c]],9)="Cancelled","",Lessons[[#This Row],[Instructor_External_Id__c]]&amp;"|"&amp;TEXT(Lessons[[#This Row],[Lesson_Date__c]],"yyyy-mm-dd")&amp;"|"&amp;Lessons[[#This Row],[Start_Time__c]])</f>
        <v>a06ak00000amzCIAAY|2026-09-04|18:00:00.000Z</v>
      </c>
      <c r="AC492">
        <f>IF(Lessons[[#This Row],[Double Booked Key]]="","",COUNTIF(Lessons[Double Booked Key],Lessons[[#This Row],[Double Booked Key]]))</f>
        <v>2</v>
      </c>
      <c r="AD492" s="6" t="str">
        <f>_xlfn.XLOOKUP(Lessons[[#This Row],[Location_External_Id__c]], Locations[Location Id], Locations[Location Name])</f>
        <v>Toms River</v>
      </c>
      <c r="AE492" s="6" t="str">
        <f>TEXT(Lessons[[#This Row],[Lesson_Date__c]], "yyyy-mm")</f>
        <v>2026-09</v>
      </c>
      <c r="AF492" s="6" t="str">
        <f>IF(Lessons[[#This Row],[Lesson_Date__c]]&lt;=Data_Audit!$F$1, "Yes", "No")</f>
        <v>Yes</v>
      </c>
    </row>
    <row r="493" spans="1:32">
      <c r="A493" t="s">
        <v>52</v>
      </c>
      <c r="B493" t="s">
        <v>53</v>
      </c>
      <c r="C493">
        <v>30</v>
      </c>
      <c r="D493" t="s">
        <v>1852</v>
      </c>
      <c r="E493" t="s">
        <v>337</v>
      </c>
      <c r="F493" t="s">
        <v>338</v>
      </c>
      <c r="H493" t="s">
        <v>284</v>
      </c>
      <c r="I493" t="b">
        <v>0</v>
      </c>
      <c r="K493" t="s">
        <v>52</v>
      </c>
      <c r="L493" t="s">
        <v>1517</v>
      </c>
      <c r="O493" s="1">
        <v>46269</v>
      </c>
      <c r="P493" t="s">
        <v>1853</v>
      </c>
      <c r="Q493" t="s">
        <v>1854</v>
      </c>
      <c r="R493" t="s">
        <v>150</v>
      </c>
      <c r="S493" t="b">
        <v>0</v>
      </c>
      <c r="T493" t="b">
        <v>0</v>
      </c>
      <c r="U493" t="s">
        <v>1854</v>
      </c>
      <c r="V493" t="s">
        <v>120</v>
      </c>
      <c r="W493" t="s">
        <v>65</v>
      </c>
      <c r="X493" t="s">
        <v>1832</v>
      </c>
      <c r="Y493" t="s">
        <v>1833</v>
      </c>
      <c r="Z493" t="s">
        <v>1517</v>
      </c>
      <c r="AA493" t="b">
        <f>ISNUMBER(SEARCH(";"&amp;Lessons[[#This Row],[Instrument__c]]&amp;";",";"&amp;_xlfn.XLOOKUP(Lessons[[#This Row],[Instructor_External_Id__c]], Instructors[Id], Instructors[Instruments_Taught__c])&amp;";"))</f>
        <v>1</v>
      </c>
      <c r="AB493" t="str">
        <f>IF(LEFT(Lessons[[#This Row],[Status__c]],9)="Cancelled","",Lessons[[#This Row],[Instructor_External_Id__c]]&amp;"|"&amp;TEXT(Lessons[[#This Row],[Lesson_Date__c]],"yyyy-mm-dd")&amp;"|"&amp;Lessons[[#This Row],[Start_Time__c]])</f>
        <v>a06ak00000amzCIAAY|2026-09-04|18:00:00.000Z</v>
      </c>
      <c r="AC493">
        <f>IF(Lessons[[#This Row],[Double Booked Key]]="","",COUNTIF(Lessons[Double Booked Key],Lessons[[#This Row],[Double Booked Key]]))</f>
        <v>2</v>
      </c>
      <c r="AD493" s="6" t="str">
        <f>_xlfn.XLOOKUP(Lessons[[#This Row],[Location_External_Id__c]], Locations[Location Id], Locations[Location Name])</f>
        <v>Toms River</v>
      </c>
      <c r="AE493" s="6" t="str">
        <f>TEXT(Lessons[[#This Row],[Lesson_Date__c]], "yyyy-mm")</f>
        <v>2026-09</v>
      </c>
      <c r="AF493" s="6" t="str">
        <f>IF(Lessons[[#This Row],[Lesson_Date__c]]&lt;=Data_Audit!$F$1, "Yes", "No")</f>
        <v>Yes</v>
      </c>
    </row>
    <row r="494" spans="1:32">
      <c r="A494" t="s">
        <v>52</v>
      </c>
      <c r="B494" t="s">
        <v>53</v>
      </c>
      <c r="C494">
        <v>60</v>
      </c>
      <c r="D494" t="s">
        <v>1855</v>
      </c>
      <c r="E494" t="s">
        <v>617</v>
      </c>
      <c r="F494" t="s">
        <v>618</v>
      </c>
      <c r="G494" t="s">
        <v>69</v>
      </c>
      <c r="H494" t="s">
        <v>650</v>
      </c>
      <c r="I494" t="b">
        <v>0</v>
      </c>
      <c r="K494" t="s">
        <v>52</v>
      </c>
      <c r="L494" t="s">
        <v>1517</v>
      </c>
      <c r="O494" s="1">
        <v>46162</v>
      </c>
      <c r="P494" t="s">
        <v>1856</v>
      </c>
      <c r="Q494" t="s">
        <v>1857</v>
      </c>
      <c r="R494" t="s">
        <v>63</v>
      </c>
      <c r="S494" t="b">
        <v>0</v>
      </c>
      <c r="T494" t="b">
        <v>0</v>
      </c>
      <c r="U494" t="s">
        <v>1857</v>
      </c>
      <c r="V494" t="s">
        <v>84</v>
      </c>
      <c r="W494" t="s">
        <v>65</v>
      </c>
      <c r="X494" t="s">
        <v>1858</v>
      </c>
      <c r="Y494" t="s">
        <v>1859</v>
      </c>
      <c r="Z494" t="s">
        <v>1517</v>
      </c>
      <c r="AA494" t="b">
        <f>ISNUMBER(SEARCH(";"&amp;Lessons[[#This Row],[Instrument__c]]&amp;";",";"&amp;_xlfn.XLOOKUP(Lessons[[#This Row],[Instructor_External_Id__c]], Instructors[Id], Instructors[Instruments_Taught__c])&amp;";"))</f>
        <v>1</v>
      </c>
      <c r="AB494" t="str">
        <f>IF(LEFT(Lessons[[#This Row],[Status__c]],9)="Cancelled","",Lessons[[#This Row],[Instructor_External_Id__c]]&amp;"|"&amp;TEXT(Lessons[[#This Row],[Lesson_Date__c]],"yyyy-mm-dd")&amp;"|"&amp;Lessons[[#This Row],[Start_Time__c]])</f>
        <v>a06ak00000amzC2AAI|2026-05-20|17:00:00.000Z</v>
      </c>
      <c r="AC494">
        <f>IF(Lessons[[#This Row],[Double Booked Key]]="","",COUNTIF(Lessons[Double Booked Key],Lessons[[#This Row],[Double Booked Key]]))</f>
        <v>1</v>
      </c>
      <c r="AD494" s="6" t="str">
        <f>_xlfn.XLOOKUP(Lessons[[#This Row],[Location_External_Id__c]], Locations[Location Id], Locations[Location Name])</f>
        <v>Red Bank</v>
      </c>
      <c r="AE494" s="6" t="str">
        <f>TEXT(Lessons[[#This Row],[Lesson_Date__c]], "yyyy-mm")</f>
        <v>2026-05</v>
      </c>
      <c r="AF494" s="6" t="str">
        <f>IF(Lessons[[#This Row],[Lesson_Date__c]]&lt;=Data_Audit!$F$1, "Yes", "No")</f>
        <v>Yes</v>
      </c>
    </row>
    <row r="495" spans="1:32">
      <c r="A495" t="s">
        <v>52</v>
      </c>
      <c r="B495" t="s">
        <v>53</v>
      </c>
      <c r="C495">
        <v>60</v>
      </c>
      <c r="D495" t="s">
        <v>1860</v>
      </c>
      <c r="E495" t="s">
        <v>617</v>
      </c>
      <c r="F495" t="s">
        <v>618</v>
      </c>
      <c r="G495" t="s">
        <v>99</v>
      </c>
      <c r="H495" t="s">
        <v>650</v>
      </c>
      <c r="I495" t="b">
        <v>0</v>
      </c>
      <c r="K495" t="s">
        <v>52</v>
      </c>
      <c r="L495" t="s">
        <v>1517</v>
      </c>
      <c r="O495" s="1">
        <v>46254</v>
      </c>
      <c r="P495" t="s">
        <v>1861</v>
      </c>
      <c r="Q495" t="s">
        <v>1862</v>
      </c>
      <c r="R495" t="s">
        <v>63</v>
      </c>
      <c r="S495" t="b">
        <v>0</v>
      </c>
      <c r="T495" t="b">
        <v>0</v>
      </c>
      <c r="U495" t="s">
        <v>1862</v>
      </c>
      <c r="V495" t="s">
        <v>84</v>
      </c>
      <c r="W495" t="s">
        <v>65</v>
      </c>
      <c r="X495" t="s">
        <v>1858</v>
      </c>
      <c r="Y495" t="s">
        <v>1859</v>
      </c>
      <c r="Z495" t="s">
        <v>1517</v>
      </c>
      <c r="AA495" t="b">
        <f>ISNUMBER(SEARCH(";"&amp;Lessons[[#This Row],[Instrument__c]]&amp;";",";"&amp;_xlfn.XLOOKUP(Lessons[[#This Row],[Instructor_External_Id__c]], Instructors[Id], Instructors[Instruments_Taught__c])&amp;";"))</f>
        <v>1</v>
      </c>
      <c r="AB495" t="str">
        <f>IF(LEFT(Lessons[[#This Row],[Status__c]],9)="Cancelled","",Lessons[[#This Row],[Instructor_External_Id__c]]&amp;"|"&amp;TEXT(Lessons[[#This Row],[Lesson_Date__c]],"yyyy-mm-dd")&amp;"|"&amp;Lessons[[#This Row],[Start_Time__c]])</f>
        <v>a06ak00000amzC2AAI|2026-08-20|17:00:00.000Z</v>
      </c>
      <c r="AC495">
        <f>IF(Lessons[[#This Row],[Double Booked Key]]="","",COUNTIF(Lessons[Double Booked Key],Lessons[[#This Row],[Double Booked Key]]))</f>
        <v>1</v>
      </c>
      <c r="AD495" s="6" t="str">
        <f>_xlfn.XLOOKUP(Lessons[[#This Row],[Location_External_Id__c]], Locations[Location Id], Locations[Location Name])</f>
        <v>Red Bank</v>
      </c>
      <c r="AE495" s="6" t="str">
        <f>TEXT(Lessons[[#This Row],[Lesson_Date__c]], "yyyy-mm")</f>
        <v>2026-08</v>
      </c>
      <c r="AF495" s="6" t="str">
        <f>IF(Lessons[[#This Row],[Lesson_Date__c]]&lt;=Data_Audit!$F$1, "Yes", "No")</f>
        <v>Yes</v>
      </c>
    </row>
    <row r="496" spans="1:32">
      <c r="A496" t="s">
        <v>52</v>
      </c>
      <c r="B496" t="s">
        <v>53</v>
      </c>
      <c r="C496">
        <v>30</v>
      </c>
      <c r="D496" t="s">
        <v>1863</v>
      </c>
      <c r="E496" t="s">
        <v>617</v>
      </c>
      <c r="F496" t="s">
        <v>618</v>
      </c>
      <c r="H496" t="s">
        <v>650</v>
      </c>
      <c r="I496" t="b">
        <v>0</v>
      </c>
      <c r="K496" t="s">
        <v>52</v>
      </c>
      <c r="L496" t="s">
        <v>1517</v>
      </c>
      <c r="O496" s="1">
        <v>46043</v>
      </c>
      <c r="P496" t="s">
        <v>1864</v>
      </c>
      <c r="Q496" t="s">
        <v>1865</v>
      </c>
      <c r="R496" t="s">
        <v>63</v>
      </c>
      <c r="S496" t="b">
        <v>0</v>
      </c>
      <c r="T496" t="b">
        <v>0</v>
      </c>
      <c r="U496" t="s">
        <v>1865</v>
      </c>
      <c r="V496" t="s">
        <v>135</v>
      </c>
      <c r="W496" t="s">
        <v>85</v>
      </c>
      <c r="X496" t="s">
        <v>1858</v>
      </c>
      <c r="Y496" t="s">
        <v>1859</v>
      </c>
      <c r="Z496" t="s">
        <v>1517</v>
      </c>
      <c r="AA496" t="b">
        <f>ISNUMBER(SEARCH(";"&amp;Lessons[[#This Row],[Instrument__c]]&amp;";",";"&amp;_xlfn.XLOOKUP(Lessons[[#This Row],[Instructor_External_Id__c]], Instructors[Id], Instructors[Instruments_Taught__c])&amp;";"))</f>
        <v>1</v>
      </c>
      <c r="AB496" t="str">
        <f>IF(LEFT(Lessons[[#This Row],[Status__c]],9)="Cancelled","",Lessons[[#This Row],[Instructor_External_Id__c]]&amp;"|"&amp;TEXT(Lessons[[#This Row],[Lesson_Date__c]],"yyyy-mm-dd")&amp;"|"&amp;Lessons[[#This Row],[Start_Time__c]])</f>
        <v/>
      </c>
      <c r="AC496" t="str">
        <f>IF(Lessons[[#This Row],[Double Booked Key]]="","",COUNTIF(Lessons[Double Booked Key],Lessons[[#This Row],[Double Booked Key]]))</f>
        <v/>
      </c>
      <c r="AD496" s="6" t="str">
        <f>_xlfn.XLOOKUP(Lessons[[#This Row],[Location_External_Id__c]], Locations[Location Id], Locations[Location Name])</f>
        <v>Red Bank</v>
      </c>
      <c r="AE496" s="6" t="str">
        <f>TEXT(Lessons[[#This Row],[Lesson_Date__c]], "yyyy-mm")</f>
        <v>2026-01</v>
      </c>
      <c r="AF496" s="6" t="str">
        <f>IF(Lessons[[#This Row],[Lesson_Date__c]]&lt;=Data_Audit!$F$1, "Yes", "No")</f>
        <v>Yes</v>
      </c>
    </row>
    <row r="497" spans="1:32">
      <c r="A497" t="s">
        <v>52</v>
      </c>
      <c r="B497" t="s">
        <v>53</v>
      </c>
      <c r="C497">
        <v>30</v>
      </c>
      <c r="D497" t="s">
        <v>1866</v>
      </c>
      <c r="E497" t="s">
        <v>617</v>
      </c>
      <c r="F497" t="s">
        <v>618</v>
      </c>
      <c r="G497" t="s">
        <v>69</v>
      </c>
      <c r="H497" t="s">
        <v>650</v>
      </c>
      <c r="I497" t="b">
        <v>0</v>
      </c>
      <c r="K497" t="s">
        <v>52</v>
      </c>
      <c r="L497" t="s">
        <v>1517</v>
      </c>
      <c r="O497" s="1">
        <v>46127</v>
      </c>
      <c r="P497" t="s">
        <v>1867</v>
      </c>
      <c r="Q497" t="s">
        <v>1868</v>
      </c>
      <c r="R497" t="s">
        <v>63</v>
      </c>
      <c r="S497" t="b">
        <v>0</v>
      </c>
      <c r="T497" t="b">
        <v>0</v>
      </c>
      <c r="U497" t="s">
        <v>1868</v>
      </c>
      <c r="V497" t="s">
        <v>94</v>
      </c>
      <c r="W497" t="s">
        <v>65</v>
      </c>
      <c r="X497" t="s">
        <v>1858</v>
      </c>
      <c r="Y497" t="s">
        <v>1859</v>
      </c>
      <c r="Z497" t="s">
        <v>1517</v>
      </c>
      <c r="AA497" t="b">
        <f>ISNUMBER(SEARCH(";"&amp;Lessons[[#This Row],[Instrument__c]]&amp;";",";"&amp;_xlfn.XLOOKUP(Lessons[[#This Row],[Instructor_External_Id__c]], Instructors[Id], Instructors[Instruments_Taught__c])&amp;";"))</f>
        <v>1</v>
      </c>
      <c r="AB497" t="str">
        <f>IF(LEFT(Lessons[[#This Row],[Status__c]],9)="Cancelled","",Lessons[[#This Row],[Instructor_External_Id__c]]&amp;"|"&amp;TEXT(Lessons[[#This Row],[Lesson_Date__c]],"yyyy-mm-dd")&amp;"|"&amp;Lessons[[#This Row],[Start_Time__c]])</f>
        <v>a06ak00000amzC2AAI|2026-04-15|19:00:00.000Z</v>
      </c>
      <c r="AC497">
        <f>IF(Lessons[[#This Row],[Double Booked Key]]="","",COUNTIF(Lessons[Double Booked Key],Lessons[[#This Row],[Double Booked Key]]))</f>
        <v>1</v>
      </c>
      <c r="AD497" s="6" t="str">
        <f>_xlfn.XLOOKUP(Lessons[[#This Row],[Location_External_Id__c]], Locations[Location Id], Locations[Location Name])</f>
        <v>Red Bank</v>
      </c>
      <c r="AE497" s="6" t="str">
        <f>TEXT(Lessons[[#This Row],[Lesson_Date__c]], "yyyy-mm")</f>
        <v>2026-04</v>
      </c>
      <c r="AF497" s="6" t="str">
        <f>IF(Lessons[[#This Row],[Lesson_Date__c]]&lt;=Data_Audit!$F$1, "Yes", "No")</f>
        <v>Yes</v>
      </c>
    </row>
    <row r="498" spans="1:32">
      <c r="A498" t="s">
        <v>52</v>
      </c>
      <c r="B498" t="s">
        <v>53</v>
      </c>
      <c r="C498">
        <v>45</v>
      </c>
      <c r="D498" t="s">
        <v>1869</v>
      </c>
      <c r="E498" t="s">
        <v>617</v>
      </c>
      <c r="F498" t="s">
        <v>618</v>
      </c>
      <c r="H498" t="s">
        <v>650</v>
      </c>
      <c r="I498" t="b">
        <v>0</v>
      </c>
      <c r="K498" t="s">
        <v>52</v>
      </c>
      <c r="L498" t="s">
        <v>1517</v>
      </c>
      <c r="O498" s="1">
        <v>46110</v>
      </c>
      <c r="P498" t="s">
        <v>1870</v>
      </c>
      <c r="Q498" t="s">
        <v>1871</v>
      </c>
      <c r="R498" t="s">
        <v>63</v>
      </c>
      <c r="S498" t="b">
        <v>0</v>
      </c>
      <c r="T498" t="b">
        <v>0</v>
      </c>
      <c r="U498" t="s">
        <v>1871</v>
      </c>
      <c r="V498" t="s">
        <v>140</v>
      </c>
      <c r="W498" t="s">
        <v>65</v>
      </c>
      <c r="X498" t="s">
        <v>1858</v>
      </c>
      <c r="Y498" t="s">
        <v>1859</v>
      </c>
      <c r="Z498" t="s">
        <v>1517</v>
      </c>
      <c r="AA498" t="b">
        <f>ISNUMBER(SEARCH(";"&amp;Lessons[[#This Row],[Instrument__c]]&amp;";",";"&amp;_xlfn.XLOOKUP(Lessons[[#This Row],[Instructor_External_Id__c]], Instructors[Id], Instructors[Instruments_Taught__c])&amp;";"))</f>
        <v>1</v>
      </c>
      <c r="AB498" t="str">
        <f>IF(LEFT(Lessons[[#This Row],[Status__c]],9)="Cancelled","",Lessons[[#This Row],[Instructor_External_Id__c]]&amp;"|"&amp;TEXT(Lessons[[#This Row],[Lesson_Date__c]],"yyyy-mm-dd")&amp;"|"&amp;Lessons[[#This Row],[Start_Time__c]])</f>
        <v>a06ak00000amzC2AAI|2026-03-29|15:00:00.000Z</v>
      </c>
      <c r="AC498">
        <f>IF(Lessons[[#This Row],[Double Booked Key]]="","",COUNTIF(Lessons[Double Booked Key],Lessons[[#This Row],[Double Booked Key]]))</f>
        <v>1</v>
      </c>
      <c r="AD498" s="6" t="str">
        <f>_xlfn.XLOOKUP(Lessons[[#This Row],[Location_External_Id__c]], Locations[Location Id], Locations[Location Name])</f>
        <v>Red Bank</v>
      </c>
      <c r="AE498" s="6" t="str">
        <f>TEXT(Lessons[[#This Row],[Lesson_Date__c]], "yyyy-mm")</f>
        <v>2026-03</v>
      </c>
      <c r="AF498" s="6" t="str">
        <f>IF(Lessons[[#This Row],[Lesson_Date__c]]&lt;=Data_Audit!$F$1, "Yes", "No")</f>
        <v>Yes</v>
      </c>
    </row>
    <row r="499" spans="1:32">
      <c r="A499" t="s">
        <v>52</v>
      </c>
      <c r="B499" t="s">
        <v>53</v>
      </c>
      <c r="C499">
        <v>30</v>
      </c>
      <c r="D499" t="s">
        <v>1872</v>
      </c>
      <c r="E499" t="s">
        <v>617</v>
      </c>
      <c r="F499" t="s">
        <v>618</v>
      </c>
      <c r="G499" t="s">
        <v>106</v>
      </c>
      <c r="H499" t="s">
        <v>650</v>
      </c>
      <c r="I499" t="b">
        <v>0</v>
      </c>
      <c r="K499" t="s">
        <v>52</v>
      </c>
      <c r="L499" t="s">
        <v>1517</v>
      </c>
      <c r="O499" s="1">
        <v>46183</v>
      </c>
      <c r="P499" t="s">
        <v>1873</v>
      </c>
      <c r="Q499" t="s">
        <v>1874</v>
      </c>
      <c r="R499" t="s">
        <v>63</v>
      </c>
      <c r="S499" t="b">
        <v>0</v>
      </c>
      <c r="T499" t="b">
        <v>0</v>
      </c>
      <c r="U499" t="s">
        <v>1874</v>
      </c>
      <c r="V499" t="s">
        <v>94</v>
      </c>
      <c r="W499" t="s">
        <v>65</v>
      </c>
      <c r="X499" t="s">
        <v>1858</v>
      </c>
      <c r="Y499" t="s">
        <v>1859</v>
      </c>
      <c r="Z499" t="s">
        <v>1517</v>
      </c>
      <c r="AA499" t="b">
        <f>ISNUMBER(SEARCH(";"&amp;Lessons[[#This Row],[Instrument__c]]&amp;";",";"&amp;_xlfn.XLOOKUP(Lessons[[#This Row],[Instructor_External_Id__c]], Instructors[Id], Instructors[Instruments_Taught__c])&amp;";"))</f>
        <v>1</v>
      </c>
      <c r="AB499" t="str">
        <f>IF(LEFT(Lessons[[#This Row],[Status__c]],9)="Cancelled","",Lessons[[#This Row],[Instructor_External_Id__c]]&amp;"|"&amp;TEXT(Lessons[[#This Row],[Lesson_Date__c]],"yyyy-mm-dd")&amp;"|"&amp;Lessons[[#This Row],[Start_Time__c]])</f>
        <v>a06ak00000amzC2AAI|2026-06-10|19:00:00.000Z</v>
      </c>
      <c r="AC499">
        <f>IF(Lessons[[#This Row],[Double Booked Key]]="","",COUNTIF(Lessons[Double Booked Key],Lessons[[#This Row],[Double Booked Key]]))</f>
        <v>1</v>
      </c>
      <c r="AD499" s="6" t="str">
        <f>_xlfn.XLOOKUP(Lessons[[#This Row],[Location_External_Id__c]], Locations[Location Id], Locations[Location Name])</f>
        <v>Red Bank</v>
      </c>
      <c r="AE499" s="6" t="str">
        <f>TEXT(Lessons[[#This Row],[Lesson_Date__c]], "yyyy-mm")</f>
        <v>2026-06</v>
      </c>
      <c r="AF499" s="6" t="str">
        <f>IF(Lessons[[#This Row],[Lesson_Date__c]]&lt;=Data_Audit!$F$1, "Yes", "No")</f>
        <v>Yes</v>
      </c>
    </row>
    <row r="500" spans="1:32">
      <c r="A500" t="s">
        <v>52</v>
      </c>
      <c r="B500" t="s">
        <v>53</v>
      </c>
      <c r="C500">
        <v>30</v>
      </c>
      <c r="D500" t="s">
        <v>1875</v>
      </c>
      <c r="E500" t="s">
        <v>490</v>
      </c>
      <c r="F500" t="s">
        <v>491</v>
      </c>
      <c r="H500" t="s">
        <v>392</v>
      </c>
      <c r="I500" t="b">
        <v>0</v>
      </c>
      <c r="K500" t="s">
        <v>52</v>
      </c>
      <c r="L500" t="s">
        <v>171</v>
      </c>
      <c r="O500" s="1">
        <v>46051</v>
      </c>
      <c r="P500" t="s">
        <v>1876</v>
      </c>
      <c r="Q500" t="s">
        <v>1877</v>
      </c>
      <c r="R500" t="s">
        <v>63</v>
      </c>
      <c r="S500" t="b">
        <v>1</v>
      </c>
      <c r="T500" t="b">
        <v>1</v>
      </c>
      <c r="U500" t="s">
        <v>1877</v>
      </c>
      <c r="V500" t="s">
        <v>128</v>
      </c>
      <c r="W500" t="s">
        <v>136</v>
      </c>
      <c r="X500" t="s">
        <v>1878</v>
      </c>
      <c r="Y500" t="s">
        <v>1879</v>
      </c>
      <c r="Z500" t="s">
        <v>171</v>
      </c>
      <c r="AA500" t="b">
        <f>ISNUMBER(SEARCH(";"&amp;Lessons[[#This Row],[Instrument__c]]&amp;";",";"&amp;_xlfn.XLOOKUP(Lessons[[#This Row],[Instructor_External_Id__c]], Instructors[Id], Instructors[Instruments_Taught__c])&amp;";"))</f>
        <v>1</v>
      </c>
      <c r="AB500" t="str">
        <f>IF(LEFT(Lessons[[#This Row],[Status__c]],9)="Cancelled","",Lessons[[#This Row],[Instructor_External_Id__c]]&amp;"|"&amp;TEXT(Lessons[[#This Row],[Lesson_Date__c]],"yyyy-mm-dd")&amp;"|"&amp;Lessons[[#This Row],[Start_Time__c]])</f>
        <v/>
      </c>
      <c r="AC500" t="str">
        <f>IF(Lessons[[#This Row],[Double Booked Key]]="","",COUNTIF(Lessons[Double Booked Key],Lessons[[#This Row],[Double Booked Key]]))</f>
        <v/>
      </c>
      <c r="AD500" s="6" t="str">
        <f>_xlfn.XLOOKUP(Lessons[[#This Row],[Location_External_Id__c]], Locations[Location Id], Locations[Location Name])</f>
        <v>Red Bank</v>
      </c>
      <c r="AE500" s="6" t="str">
        <f>TEXT(Lessons[[#This Row],[Lesson_Date__c]], "yyyy-mm")</f>
        <v>2026-01</v>
      </c>
      <c r="AF500" s="6" t="str">
        <f>IF(Lessons[[#This Row],[Lesson_Date__c]]&lt;=Data_Audit!$F$1, "Yes", "No")</f>
        <v>Yes</v>
      </c>
    </row>
    <row r="501" spans="1:32">
      <c r="A501" t="s">
        <v>52</v>
      </c>
      <c r="B501" t="s">
        <v>53</v>
      </c>
      <c r="C501">
        <v>60</v>
      </c>
      <c r="D501" t="s">
        <v>1880</v>
      </c>
      <c r="E501" t="s">
        <v>490</v>
      </c>
      <c r="F501" t="s">
        <v>491</v>
      </c>
      <c r="G501" t="s">
        <v>69</v>
      </c>
      <c r="H501" t="s">
        <v>392</v>
      </c>
      <c r="I501" t="b">
        <v>0</v>
      </c>
      <c r="K501" t="s">
        <v>52</v>
      </c>
      <c r="L501" t="s">
        <v>1517</v>
      </c>
      <c r="O501" s="1">
        <v>46273</v>
      </c>
      <c r="P501" t="s">
        <v>1881</v>
      </c>
      <c r="Q501" t="s">
        <v>1882</v>
      </c>
      <c r="R501" t="s">
        <v>63</v>
      </c>
      <c r="S501" t="b">
        <v>0</v>
      </c>
      <c r="T501" t="b">
        <v>0</v>
      </c>
      <c r="U501" t="s">
        <v>1882</v>
      </c>
      <c r="V501" t="s">
        <v>74</v>
      </c>
      <c r="W501" t="s">
        <v>65</v>
      </c>
      <c r="X501" t="s">
        <v>1878</v>
      </c>
      <c r="Y501" t="s">
        <v>1879</v>
      </c>
      <c r="Z501" t="s">
        <v>1517</v>
      </c>
      <c r="AA501" t="b">
        <f>ISNUMBER(SEARCH(";"&amp;Lessons[[#This Row],[Instrument__c]]&amp;";",";"&amp;_xlfn.XLOOKUP(Lessons[[#This Row],[Instructor_External_Id__c]], Instructors[Id], Instructors[Instruments_Taught__c])&amp;";"))</f>
        <v>1</v>
      </c>
      <c r="AB501" t="str">
        <f>IF(LEFT(Lessons[[#This Row],[Status__c]],9)="Cancelled","",Lessons[[#This Row],[Instructor_External_Id__c]]&amp;"|"&amp;TEXT(Lessons[[#This Row],[Lesson_Date__c]],"yyyy-mm-dd")&amp;"|"&amp;Lessons[[#This Row],[Start_Time__c]])</f>
        <v>a06ak00000amzBrAAI|2026-09-08|16:30:00.000Z</v>
      </c>
      <c r="AC501">
        <f>IF(Lessons[[#This Row],[Double Booked Key]]="","",COUNTIF(Lessons[Double Booked Key],Lessons[[#This Row],[Double Booked Key]]))</f>
        <v>1</v>
      </c>
      <c r="AD501" s="6" t="str">
        <f>_xlfn.XLOOKUP(Lessons[[#This Row],[Location_External_Id__c]], Locations[Location Id], Locations[Location Name])</f>
        <v>Red Bank</v>
      </c>
      <c r="AE501" s="6" t="str">
        <f>TEXT(Lessons[[#This Row],[Lesson_Date__c]], "yyyy-mm")</f>
        <v>2026-09</v>
      </c>
      <c r="AF501" s="6" t="str">
        <f>IF(Lessons[[#This Row],[Lesson_Date__c]]&lt;=Data_Audit!$F$1, "Yes", "No")</f>
        <v>Yes</v>
      </c>
    </row>
    <row r="502" spans="1:32">
      <c r="A502" t="s">
        <v>52</v>
      </c>
      <c r="B502" t="s">
        <v>53</v>
      </c>
      <c r="C502">
        <v>30</v>
      </c>
      <c r="D502" t="s">
        <v>1883</v>
      </c>
      <c r="E502" t="s">
        <v>359</v>
      </c>
      <c r="F502" t="s">
        <v>360</v>
      </c>
      <c r="G502" t="s">
        <v>106</v>
      </c>
      <c r="H502" t="s">
        <v>392</v>
      </c>
      <c r="I502" t="b">
        <v>0</v>
      </c>
      <c r="K502" t="s">
        <v>52</v>
      </c>
      <c r="L502" t="s">
        <v>1517</v>
      </c>
      <c r="O502" s="1">
        <v>46239</v>
      </c>
      <c r="P502" t="s">
        <v>1884</v>
      </c>
      <c r="Q502" t="s">
        <v>1885</v>
      </c>
      <c r="R502" t="s">
        <v>63</v>
      </c>
      <c r="S502" t="b">
        <v>0</v>
      </c>
      <c r="T502" t="b">
        <v>0</v>
      </c>
      <c r="U502" t="s">
        <v>1885</v>
      </c>
      <c r="V502" t="s">
        <v>135</v>
      </c>
      <c r="W502" t="s">
        <v>65</v>
      </c>
      <c r="X502" t="s">
        <v>1886</v>
      </c>
      <c r="Y502" t="s">
        <v>1887</v>
      </c>
      <c r="Z502" t="s">
        <v>1517</v>
      </c>
      <c r="AA502" t="b">
        <f>ISNUMBER(SEARCH(";"&amp;Lessons[[#This Row],[Instrument__c]]&amp;";",";"&amp;_xlfn.XLOOKUP(Lessons[[#This Row],[Instructor_External_Id__c]], Instructors[Id], Instructors[Instruments_Taught__c])&amp;";"))</f>
        <v>1</v>
      </c>
      <c r="AB502" t="str">
        <f>IF(LEFT(Lessons[[#This Row],[Status__c]],9)="Cancelled","",Lessons[[#This Row],[Instructor_External_Id__c]]&amp;"|"&amp;TEXT(Lessons[[#This Row],[Lesson_Date__c]],"yyyy-mm-dd")&amp;"|"&amp;Lessons[[#This Row],[Start_Time__c]])</f>
        <v>a06ak00000amzBiAAI|2026-08-05|15:30:00.000Z</v>
      </c>
      <c r="AC502">
        <f>IF(Lessons[[#This Row],[Double Booked Key]]="","",COUNTIF(Lessons[Double Booked Key],Lessons[[#This Row],[Double Booked Key]]))</f>
        <v>1</v>
      </c>
      <c r="AD502" s="6" t="str">
        <f>_xlfn.XLOOKUP(Lessons[[#This Row],[Location_External_Id__c]], Locations[Location Id], Locations[Location Name])</f>
        <v>Red Bank</v>
      </c>
      <c r="AE502" s="6" t="str">
        <f>TEXT(Lessons[[#This Row],[Lesson_Date__c]], "yyyy-mm")</f>
        <v>2026-08</v>
      </c>
      <c r="AF502" s="6" t="str">
        <f>IF(Lessons[[#This Row],[Lesson_Date__c]]&lt;=Data_Audit!$F$1, "Yes", "No")</f>
        <v>Yes</v>
      </c>
    </row>
    <row r="503" spans="1:32">
      <c r="A503" t="s">
        <v>52</v>
      </c>
      <c r="B503" t="s">
        <v>53</v>
      </c>
      <c r="C503">
        <v>30</v>
      </c>
      <c r="D503" t="s">
        <v>1888</v>
      </c>
      <c r="E503" t="s">
        <v>359</v>
      </c>
      <c r="F503" t="s">
        <v>360</v>
      </c>
      <c r="G503" t="s">
        <v>57</v>
      </c>
      <c r="H503" t="s">
        <v>392</v>
      </c>
      <c r="I503" t="b">
        <v>0</v>
      </c>
      <c r="K503" t="s">
        <v>52</v>
      </c>
      <c r="L503" t="s">
        <v>1517</v>
      </c>
      <c r="O503" s="1">
        <v>46100</v>
      </c>
      <c r="P503" t="s">
        <v>1889</v>
      </c>
      <c r="Q503" t="s">
        <v>1890</v>
      </c>
      <c r="R503" t="s">
        <v>63</v>
      </c>
      <c r="S503" t="b">
        <v>0</v>
      </c>
      <c r="T503" t="b">
        <v>0</v>
      </c>
      <c r="U503" t="s">
        <v>1890</v>
      </c>
      <c r="V503" t="s">
        <v>128</v>
      </c>
      <c r="W503" t="s">
        <v>65</v>
      </c>
      <c r="X503" t="s">
        <v>1886</v>
      </c>
      <c r="Y503" t="s">
        <v>1887</v>
      </c>
      <c r="Z503" t="s">
        <v>1517</v>
      </c>
      <c r="AA503" t="b">
        <f>ISNUMBER(SEARCH(";"&amp;Lessons[[#This Row],[Instrument__c]]&amp;";",";"&amp;_xlfn.XLOOKUP(Lessons[[#This Row],[Instructor_External_Id__c]], Instructors[Id], Instructors[Instruments_Taught__c])&amp;";"))</f>
        <v>1</v>
      </c>
      <c r="AB503" t="str">
        <f>IF(LEFT(Lessons[[#This Row],[Status__c]],9)="Cancelled","",Lessons[[#This Row],[Instructor_External_Id__c]]&amp;"|"&amp;TEXT(Lessons[[#This Row],[Lesson_Date__c]],"yyyy-mm-dd")&amp;"|"&amp;Lessons[[#This Row],[Start_Time__c]])</f>
        <v>a06ak00000amzBiAAI|2026-03-19|18:30:00.000Z</v>
      </c>
      <c r="AC503">
        <f>IF(Lessons[[#This Row],[Double Booked Key]]="","",COUNTIF(Lessons[Double Booked Key],Lessons[[#This Row],[Double Booked Key]]))</f>
        <v>1</v>
      </c>
      <c r="AD503" s="6" t="str">
        <f>_xlfn.XLOOKUP(Lessons[[#This Row],[Location_External_Id__c]], Locations[Location Id], Locations[Location Name])</f>
        <v>Red Bank</v>
      </c>
      <c r="AE503" s="6" t="str">
        <f>TEXT(Lessons[[#This Row],[Lesson_Date__c]], "yyyy-mm")</f>
        <v>2026-03</v>
      </c>
      <c r="AF503" s="6" t="str">
        <f>IF(Lessons[[#This Row],[Lesson_Date__c]]&lt;=Data_Audit!$F$1, "Yes", "No")</f>
        <v>Yes</v>
      </c>
    </row>
    <row r="504" spans="1:32">
      <c r="A504" t="s">
        <v>52</v>
      </c>
      <c r="B504" t="s">
        <v>53</v>
      </c>
      <c r="C504">
        <v>30</v>
      </c>
      <c r="D504" t="s">
        <v>1891</v>
      </c>
      <c r="E504" t="s">
        <v>923</v>
      </c>
      <c r="F504" t="s">
        <v>924</v>
      </c>
      <c r="H504" t="s">
        <v>650</v>
      </c>
      <c r="I504" t="b">
        <v>0</v>
      </c>
      <c r="K504" t="s">
        <v>52</v>
      </c>
      <c r="L504" t="s">
        <v>1517</v>
      </c>
      <c r="O504" s="1">
        <v>46206</v>
      </c>
      <c r="P504" t="s">
        <v>1892</v>
      </c>
      <c r="Q504" t="s">
        <v>1893</v>
      </c>
      <c r="R504" t="s">
        <v>83</v>
      </c>
      <c r="S504" t="b">
        <v>0</v>
      </c>
      <c r="T504" t="b">
        <v>0</v>
      </c>
      <c r="U504" t="s">
        <v>1893</v>
      </c>
      <c r="V504" t="s">
        <v>120</v>
      </c>
      <c r="W504" t="s">
        <v>65</v>
      </c>
      <c r="X504" t="s">
        <v>1894</v>
      </c>
      <c r="Y504" t="s">
        <v>1895</v>
      </c>
      <c r="Z504" t="s">
        <v>1517</v>
      </c>
      <c r="AA504" t="b">
        <f>ISNUMBER(SEARCH(";"&amp;Lessons[[#This Row],[Instrument__c]]&amp;";",";"&amp;_xlfn.XLOOKUP(Lessons[[#This Row],[Instructor_External_Id__c]], Instructors[Id], Instructors[Instruments_Taught__c])&amp;";"))</f>
        <v>1</v>
      </c>
      <c r="AB504" t="str">
        <f>IF(LEFT(Lessons[[#This Row],[Status__c]],9)="Cancelled","",Lessons[[#This Row],[Instructor_External_Id__c]]&amp;"|"&amp;TEXT(Lessons[[#This Row],[Lesson_Date__c]],"yyyy-mm-dd")&amp;"|"&amp;Lessons[[#This Row],[Start_Time__c]])</f>
        <v>a06ak00000amzCEAAY|2026-07-03|18:00:00.000Z</v>
      </c>
      <c r="AC504">
        <f>IF(Lessons[[#This Row],[Double Booked Key]]="","",COUNTIF(Lessons[Double Booked Key],Lessons[[#This Row],[Double Booked Key]]))</f>
        <v>1</v>
      </c>
      <c r="AD504" s="6" t="str">
        <f>_xlfn.XLOOKUP(Lessons[[#This Row],[Location_External_Id__c]], Locations[Location Id], Locations[Location Name])</f>
        <v>Brick</v>
      </c>
      <c r="AE504" s="6" t="str">
        <f>TEXT(Lessons[[#This Row],[Lesson_Date__c]], "yyyy-mm")</f>
        <v>2026-07</v>
      </c>
      <c r="AF504" s="6" t="str">
        <f>IF(Lessons[[#This Row],[Lesson_Date__c]]&lt;=Data_Audit!$F$1, "Yes", "No")</f>
        <v>Yes</v>
      </c>
    </row>
    <row r="505" spans="1:32">
      <c r="A505" t="s">
        <v>52</v>
      </c>
      <c r="B505" t="s">
        <v>53</v>
      </c>
      <c r="C505">
        <v>30</v>
      </c>
      <c r="D505" t="s">
        <v>1896</v>
      </c>
      <c r="E505" t="s">
        <v>923</v>
      </c>
      <c r="F505" t="s">
        <v>924</v>
      </c>
      <c r="H505" t="s">
        <v>650</v>
      </c>
      <c r="I505" t="b">
        <v>0</v>
      </c>
      <c r="K505" t="s">
        <v>52</v>
      </c>
      <c r="L505" t="s">
        <v>171</v>
      </c>
      <c r="O505" s="1">
        <v>46228</v>
      </c>
      <c r="P505" t="s">
        <v>1897</v>
      </c>
      <c r="Q505" t="s">
        <v>1898</v>
      </c>
      <c r="R505" t="s">
        <v>83</v>
      </c>
      <c r="S505" t="b">
        <v>1</v>
      </c>
      <c r="T505" t="b">
        <v>0</v>
      </c>
      <c r="U505" t="s">
        <v>1898</v>
      </c>
      <c r="V505" t="s">
        <v>102</v>
      </c>
      <c r="W505" t="s">
        <v>136</v>
      </c>
      <c r="X505" t="s">
        <v>1894</v>
      </c>
      <c r="Y505" t="s">
        <v>1895</v>
      </c>
      <c r="Z505" t="s">
        <v>171</v>
      </c>
      <c r="AA505" t="b">
        <f>ISNUMBER(SEARCH(";"&amp;Lessons[[#This Row],[Instrument__c]]&amp;";",";"&amp;_xlfn.XLOOKUP(Lessons[[#This Row],[Instructor_External_Id__c]], Instructors[Id], Instructors[Instruments_Taught__c])&amp;";"))</f>
        <v>1</v>
      </c>
      <c r="AB505" t="str">
        <f>IF(LEFT(Lessons[[#This Row],[Status__c]],9)="Cancelled","",Lessons[[#This Row],[Instructor_External_Id__c]]&amp;"|"&amp;TEXT(Lessons[[#This Row],[Lesson_Date__c]],"yyyy-mm-dd")&amp;"|"&amp;Lessons[[#This Row],[Start_Time__c]])</f>
        <v/>
      </c>
      <c r="AC505" t="str">
        <f>IF(Lessons[[#This Row],[Double Booked Key]]="","",COUNTIF(Lessons[Double Booked Key],Lessons[[#This Row],[Double Booked Key]]))</f>
        <v/>
      </c>
      <c r="AD505" s="6" t="str">
        <f>_xlfn.XLOOKUP(Lessons[[#This Row],[Location_External_Id__c]], Locations[Location Id], Locations[Location Name])</f>
        <v>Brick</v>
      </c>
      <c r="AE505" s="6" t="str">
        <f>TEXT(Lessons[[#This Row],[Lesson_Date__c]], "yyyy-mm")</f>
        <v>2026-07</v>
      </c>
      <c r="AF505" s="6" t="str">
        <f>IF(Lessons[[#This Row],[Lesson_Date__c]]&lt;=Data_Audit!$F$1, "Yes", "No")</f>
        <v>Yes</v>
      </c>
    </row>
    <row r="506" spans="1:32">
      <c r="A506" t="s">
        <v>52</v>
      </c>
      <c r="B506" t="s">
        <v>53</v>
      </c>
      <c r="C506">
        <v>60</v>
      </c>
      <c r="D506" t="s">
        <v>1899</v>
      </c>
      <c r="E506" t="s">
        <v>923</v>
      </c>
      <c r="F506" t="s">
        <v>924</v>
      </c>
      <c r="H506" t="s">
        <v>650</v>
      </c>
      <c r="I506" t="b">
        <v>0</v>
      </c>
      <c r="K506" t="s">
        <v>52</v>
      </c>
      <c r="L506" t="s">
        <v>1517</v>
      </c>
      <c r="O506" s="1">
        <v>46080</v>
      </c>
      <c r="P506" t="s">
        <v>1900</v>
      </c>
      <c r="Q506" t="s">
        <v>1901</v>
      </c>
      <c r="R506" t="s">
        <v>83</v>
      </c>
      <c r="S506" t="b">
        <v>0</v>
      </c>
      <c r="T506" t="b">
        <v>0</v>
      </c>
      <c r="U506" t="s">
        <v>1901</v>
      </c>
      <c r="V506" t="s">
        <v>120</v>
      </c>
      <c r="W506" t="s">
        <v>65</v>
      </c>
      <c r="X506" t="s">
        <v>1894</v>
      </c>
      <c r="Y506" t="s">
        <v>1895</v>
      </c>
      <c r="Z506" t="s">
        <v>1517</v>
      </c>
      <c r="AA506" t="b">
        <f>ISNUMBER(SEARCH(";"&amp;Lessons[[#This Row],[Instrument__c]]&amp;";",";"&amp;_xlfn.XLOOKUP(Lessons[[#This Row],[Instructor_External_Id__c]], Instructors[Id], Instructors[Instruments_Taught__c])&amp;";"))</f>
        <v>1</v>
      </c>
      <c r="AB506" t="str">
        <f>IF(LEFT(Lessons[[#This Row],[Status__c]],9)="Cancelled","",Lessons[[#This Row],[Instructor_External_Id__c]]&amp;"|"&amp;TEXT(Lessons[[#This Row],[Lesson_Date__c]],"yyyy-mm-dd")&amp;"|"&amp;Lessons[[#This Row],[Start_Time__c]])</f>
        <v>a06ak00000amzCEAAY|2026-02-27|18:00:00.000Z</v>
      </c>
      <c r="AC506">
        <f>IF(Lessons[[#This Row],[Double Booked Key]]="","",COUNTIF(Lessons[Double Booked Key],Lessons[[#This Row],[Double Booked Key]]))</f>
        <v>1</v>
      </c>
      <c r="AD506" s="6" t="str">
        <f>_xlfn.XLOOKUP(Lessons[[#This Row],[Location_External_Id__c]], Locations[Location Id], Locations[Location Name])</f>
        <v>Brick</v>
      </c>
      <c r="AE506" s="6" t="str">
        <f>TEXT(Lessons[[#This Row],[Lesson_Date__c]], "yyyy-mm")</f>
        <v>2026-02</v>
      </c>
      <c r="AF506" s="6" t="str">
        <f>IF(Lessons[[#This Row],[Lesson_Date__c]]&lt;=Data_Audit!$F$1, "Yes", "No")</f>
        <v>Yes</v>
      </c>
    </row>
    <row r="507" spans="1:32">
      <c r="A507" t="s">
        <v>52</v>
      </c>
      <c r="B507" t="s">
        <v>53</v>
      </c>
      <c r="C507">
        <v>45</v>
      </c>
      <c r="D507" t="s">
        <v>1902</v>
      </c>
      <c r="E507" t="s">
        <v>713</v>
      </c>
      <c r="F507" t="s">
        <v>714</v>
      </c>
      <c r="H507" t="s">
        <v>107</v>
      </c>
      <c r="I507" t="b">
        <v>0</v>
      </c>
      <c r="K507" t="s">
        <v>52</v>
      </c>
      <c r="L507" t="s">
        <v>1517</v>
      </c>
      <c r="O507" s="1">
        <v>46044</v>
      </c>
      <c r="P507" t="s">
        <v>1903</v>
      </c>
      <c r="Q507" t="s">
        <v>1904</v>
      </c>
      <c r="R507" t="s">
        <v>63</v>
      </c>
      <c r="S507" t="b">
        <v>0</v>
      </c>
      <c r="T507" t="b">
        <v>0</v>
      </c>
      <c r="U507" t="s">
        <v>1904</v>
      </c>
      <c r="V507" t="s">
        <v>135</v>
      </c>
      <c r="W507" t="s">
        <v>65</v>
      </c>
      <c r="X507" t="s">
        <v>1905</v>
      </c>
      <c r="Y507" t="s">
        <v>1906</v>
      </c>
      <c r="Z507" t="s">
        <v>1517</v>
      </c>
      <c r="AA507" t="b">
        <f>ISNUMBER(SEARCH(";"&amp;Lessons[[#This Row],[Instrument__c]]&amp;";",";"&amp;_xlfn.XLOOKUP(Lessons[[#This Row],[Instructor_External_Id__c]], Instructors[Id], Instructors[Instruments_Taught__c])&amp;";"))</f>
        <v>1</v>
      </c>
      <c r="AB507" t="str">
        <f>IF(LEFT(Lessons[[#This Row],[Status__c]],9)="Cancelled","",Lessons[[#This Row],[Instructor_External_Id__c]]&amp;"|"&amp;TEXT(Lessons[[#This Row],[Lesson_Date__c]],"yyyy-mm-dd")&amp;"|"&amp;Lessons[[#This Row],[Start_Time__c]])</f>
        <v>a06ak00000amzC4AAI|2026-01-22|15:30:00.000Z</v>
      </c>
      <c r="AC507">
        <f>IF(Lessons[[#This Row],[Double Booked Key]]="","",COUNTIF(Lessons[Double Booked Key],Lessons[[#This Row],[Double Booked Key]]))</f>
        <v>1</v>
      </c>
      <c r="AD507" s="6" t="str">
        <f>_xlfn.XLOOKUP(Lessons[[#This Row],[Location_External_Id__c]], Locations[Location Id], Locations[Location Name])</f>
        <v>Red Bank</v>
      </c>
      <c r="AE507" s="6" t="str">
        <f>TEXT(Lessons[[#This Row],[Lesson_Date__c]], "yyyy-mm")</f>
        <v>2026-01</v>
      </c>
      <c r="AF507" s="6" t="str">
        <f>IF(Lessons[[#This Row],[Lesson_Date__c]]&lt;=Data_Audit!$F$1, "Yes", "No")</f>
        <v>Yes</v>
      </c>
    </row>
    <row r="508" spans="1:32">
      <c r="A508" t="s">
        <v>52</v>
      </c>
      <c r="B508" t="s">
        <v>53</v>
      </c>
      <c r="C508">
        <v>60</v>
      </c>
      <c r="D508" t="s">
        <v>1907</v>
      </c>
      <c r="E508" t="s">
        <v>713</v>
      </c>
      <c r="F508" t="s">
        <v>714</v>
      </c>
      <c r="G508" t="s">
        <v>106</v>
      </c>
      <c r="H508" t="s">
        <v>107</v>
      </c>
      <c r="I508" t="b">
        <v>0</v>
      </c>
      <c r="K508" t="s">
        <v>52</v>
      </c>
      <c r="L508" t="s">
        <v>1517</v>
      </c>
      <c r="O508" s="1">
        <v>46259</v>
      </c>
      <c r="P508" t="s">
        <v>1908</v>
      </c>
      <c r="Q508" t="s">
        <v>1909</v>
      </c>
      <c r="R508" t="s">
        <v>63</v>
      </c>
      <c r="S508" t="b">
        <v>0</v>
      </c>
      <c r="T508" t="b">
        <v>0</v>
      </c>
      <c r="U508" t="s">
        <v>1909</v>
      </c>
      <c r="V508" t="s">
        <v>74</v>
      </c>
      <c r="W508" t="s">
        <v>65</v>
      </c>
      <c r="X508" t="s">
        <v>1905</v>
      </c>
      <c r="Y508" t="s">
        <v>1906</v>
      </c>
      <c r="Z508" t="s">
        <v>1517</v>
      </c>
      <c r="AA508" t="b">
        <f>ISNUMBER(SEARCH(";"&amp;Lessons[[#This Row],[Instrument__c]]&amp;";",";"&amp;_xlfn.XLOOKUP(Lessons[[#This Row],[Instructor_External_Id__c]], Instructors[Id], Instructors[Instruments_Taught__c])&amp;";"))</f>
        <v>1</v>
      </c>
      <c r="AB508" t="str">
        <f>IF(LEFT(Lessons[[#This Row],[Status__c]],9)="Cancelled","",Lessons[[#This Row],[Instructor_External_Id__c]]&amp;"|"&amp;TEXT(Lessons[[#This Row],[Lesson_Date__c]],"yyyy-mm-dd")&amp;"|"&amp;Lessons[[#This Row],[Start_Time__c]])</f>
        <v>a06ak00000amzC4AAI|2026-08-25|16:30:00.000Z</v>
      </c>
      <c r="AC508">
        <f>IF(Lessons[[#This Row],[Double Booked Key]]="","",COUNTIF(Lessons[Double Booked Key],Lessons[[#This Row],[Double Booked Key]]))</f>
        <v>1</v>
      </c>
      <c r="AD508" s="6" t="str">
        <f>_xlfn.XLOOKUP(Lessons[[#This Row],[Location_External_Id__c]], Locations[Location Id], Locations[Location Name])</f>
        <v>Red Bank</v>
      </c>
      <c r="AE508" s="6" t="str">
        <f>TEXT(Lessons[[#This Row],[Lesson_Date__c]], "yyyy-mm")</f>
        <v>2026-08</v>
      </c>
      <c r="AF508" s="6" t="str">
        <f>IF(Lessons[[#This Row],[Lesson_Date__c]]&lt;=Data_Audit!$F$1, "Yes", "No")</f>
        <v>Yes</v>
      </c>
    </row>
    <row r="509" spans="1:32">
      <c r="A509" t="s">
        <v>52</v>
      </c>
      <c r="B509" t="s">
        <v>53</v>
      </c>
      <c r="C509">
        <v>60</v>
      </c>
      <c r="D509" t="s">
        <v>1910</v>
      </c>
      <c r="E509" t="s">
        <v>713</v>
      </c>
      <c r="F509" t="s">
        <v>714</v>
      </c>
      <c r="H509" t="s">
        <v>107</v>
      </c>
      <c r="I509" t="b">
        <v>0</v>
      </c>
      <c r="K509" t="s">
        <v>52</v>
      </c>
      <c r="L509" t="s">
        <v>1517</v>
      </c>
      <c r="O509" s="1">
        <v>46185</v>
      </c>
      <c r="P509" t="s">
        <v>1911</v>
      </c>
      <c r="Q509" t="s">
        <v>1912</v>
      </c>
      <c r="R509" t="s">
        <v>63</v>
      </c>
      <c r="S509" t="b">
        <v>0</v>
      </c>
      <c r="T509" t="b">
        <v>0</v>
      </c>
      <c r="U509" t="s">
        <v>1912</v>
      </c>
      <c r="V509" t="s">
        <v>140</v>
      </c>
      <c r="W509" t="s">
        <v>85</v>
      </c>
      <c r="X509" t="s">
        <v>1905</v>
      </c>
      <c r="Y509" t="s">
        <v>1906</v>
      </c>
      <c r="Z509" t="s">
        <v>1517</v>
      </c>
      <c r="AA509" t="b">
        <f>ISNUMBER(SEARCH(";"&amp;Lessons[[#This Row],[Instrument__c]]&amp;";",";"&amp;_xlfn.XLOOKUP(Lessons[[#This Row],[Instructor_External_Id__c]], Instructors[Id], Instructors[Instruments_Taught__c])&amp;";"))</f>
        <v>1</v>
      </c>
      <c r="AB509" t="str">
        <f>IF(LEFT(Lessons[[#This Row],[Status__c]],9)="Cancelled","",Lessons[[#This Row],[Instructor_External_Id__c]]&amp;"|"&amp;TEXT(Lessons[[#This Row],[Lesson_Date__c]],"yyyy-mm-dd")&amp;"|"&amp;Lessons[[#This Row],[Start_Time__c]])</f>
        <v/>
      </c>
      <c r="AC509" t="str">
        <f>IF(Lessons[[#This Row],[Double Booked Key]]="","",COUNTIF(Lessons[Double Booked Key],Lessons[[#This Row],[Double Booked Key]]))</f>
        <v/>
      </c>
      <c r="AD509" s="6" t="str">
        <f>_xlfn.XLOOKUP(Lessons[[#This Row],[Location_External_Id__c]], Locations[Location Id], Locations[Location Name])</f>
        <v>Red Bank</v>
      </c>
      <c r="AE509" s="6" t="str">
        <f>TEXT(Lessons[[#This Row],[Lesson_Date__c]], "yyyy-mm")</f>
        <v>2026-06</v>
      </c>
      <c r="AF509" s="6" t="str">
        <f>IF(Lessons[[#This Row],[Lesson_Date__c]]&lt;=Data_Audit!$F$1, "Yes", "No")</f>
        <v>Yes</v>
      </c>
    </row>
    <row r="510" spans="1:32">
      <c r="A510" t="s">
        <v>52</v>
      </c>
      <c r="B510" t="s">
        <v>53</v>
      </c>
      <c r="C510">
        <v>60</v>
      </c>
      <c r="D510" t="s">
        <v>1913</v>
      </c>
      <c r="E510" t="s">
        <v>713</v>
      </c>
      <c r="F510" t="s">
        <v>714</v>
      </c>
      <c r="H510" t="s">
        <v>107</v>
      </c>
      <c r="I510" t="b">
        <v>0</v>
      </c>
      <c r="K510" t="s">
        <v>52</v>
      </c>
      <c r="L510" t="s">
        <v>1517</v>
      </c>
      <c r="O510" s="1">
        <v>46175</v>
      </c>
      <c r="P510" t="s">
        <v>1914</v>
      </c>
      <c r="Q510" t="s">
        <v>1915</v>
      </c>
      <c r="R510" t="s">
        <v>63</v>
      </c>
      <c r="S510" t="b">
        <v>0</v>
      </c>
      <c r="T510" t="b">
        <v>0</v>
      </c>
      <c r="U510" t="s">
        <v>1915</v>
      </c>
      <c r="V510" t="s">
        <v>74</v>
      </c>
      <c r="W510" t="s">
        <v>65</v>
      </c>
      <c r="X510" t="s">
        <v>1905</v>
      </c>
      <c r="Y510" t="s">
        <v>1906</v>
      </c>
      <c r="Z510" t="s">
        <v>1517</v>
      </c>
      <c r="AA510" t="b">
        <f>ISNUMBER(SEARCH(";"&amp;Lessons[[#This Row],[Instrument__c]]&amp;";",";"&amp;_xlfn.XLOOKUP(Lessons[[#This Row],[Instructor_External_Id__c]], Instructors[Id], Instructors[Instruments_Taught__c])&amp;";"))</f>
        <v>1</v>
      </c>
      <c r="AB510" t="str">
        <f>IF(LEFT(Lessons[[#This Row],[Status__c]],9)="Cancelled","",Lessons[[#This Row],[Instructor_External_Id__c]]&amp;"|"&amp;TEXT(Lessons[[#This Row],[Lesson_Date__c]],"yyyy-mm-dd")&amp;"|"&amp;Lessons[[#This Row],[Start_Time__c]])</f>
        <v>a06ak00000amzC4AAI|2026-06-02|16:30:00.000Z</v>
      </c>
      <c r="AC510">
        <f>IF(Lessons[[#This Row],[Double Booked Key]]="","",COUNTIF(Lessons[Double Booked Key],Lessons[[#This Row],[Double Booked Key]]))</f>
        <v>1</v>
      </c>
      <c r="AD510" s="6" t="str">
        <f>_xlfn.XLOOKUP(Lessons[[#This Row],[Location_External_Id__c]], Locations[Location Id], Locations[Location Name])</f>
        <v>Red Bank</v>
      </c>
      <c r="AE510" s="6" t="str">
        <f>TEXT(Lessons[[#This Row],[Lesson_Date__c]], "yyyy-mm")</f>
        <v>2026-06</v>
      </c>
      <c r="AF510" s="6" t="str">
        <f>IF(Lessons[[#This Row],[Lesson_Date__c]]&lt;=Data_Audit!$F$1, "Yes", "No")</f>
        <v>Yes</v>
      </c>
    </row>
    <row r="511" spans="1:32">
      <c r="A511" t="s">
        <v>52</v>
      </c>
      <c r="B511" t="s">
        <v>53</v>
      </c>
      <c r="C511">
        <v>60</v>
      </c>
      <c r="D511" t="s">
        <v>1916</v>
      </c>
      <c r="E511" t="s">
        <v>713</v>
      </c>
      <c r="F511" t="s">
        <v>714</v>
      </c>
      <c r="G511" t="s">
        <v>99</v>
      </c>
      <c r="H511" t="s">
        <v>107</v>
      </c>
      <c r="I511" t="b">
        <v>0</v>
      </c>
      <c r="K511" t="s">
        <v>52</v>
      </c>
      <c r="L511" t="s">
        <v>1517</v>
      </c>
      <c r="O511" s="1">
        <v>46118</v>
      </c>
      <c r="P511" t="s">
        <v>1917</v>
      </c>
      <c r="Q511" t="s">
        <v>1918</v>
      </c>
      <c r="R511" t="s">
        <v>63</v>
      </c>
      <c r="S511" t="b">
        <v>0</v>
      </c>
      <c r="T511" t="b">
        <v>0</v>
      </c>
      <c r="U511" t="s">
        <v>1918</v>
      </c>
      <c r="V511" t="s">
        <v>128</v>
      </c>
      <c r="W511" t="s">
        <v>65</v>
      </c>
      <c r="X511" t="s">
        <v>1905</v>
      </c>
      <c r="Y511" t="s">
        <v>1906</v>
      </c>
      <c r="Z511" t="s">
        <v>1517</v>
      </c>
      <c r="AA511" t="b">
        <f>ISNUMBER(SEARCH(";"&amp;Lessons[[#This Row],[Instrument__c]]&amp;";",";"&amp;_xlfn.XLOOKUP(Lessons[[#This Row],[Instructor_External_Id__c]], Instructors[Id], Instructors[Instruments_Taught__c])&amp;";"))</f>
        <v>1</v>
      </c>
      <c r="AB511" t="str">
        <f>IF(LEFT(Lessons[[#This Row],[Status__c]],9)="Cancelled","",Lessons[[#This Row],[Instructor_External_Id__c]]&amp;"|"&amp;TEXT(Lessons[[#This Row],[Lesson_Date__c]],"yyyy-mm-dd")&amp;"|"&amp;Lessons[[#This Row],[Start_Time__c]])</f>
        <v>a06ak00000amzC4AAI|2026-04-06|18:30:00.000Z</v>
      </c>
      <c r="AC511">
        <f>IF(Lessons[[#This Row],[Double Booked Key]]="","",COUNTIF(Lessons[Double Booked Key],Lessons[[#This Row],[Double Booked Key]]))</f>
        <v>1</v>
      </c>
      <c r="AD511" s="6" t="str">
        <f>_xlfn.XLOOKUP(Lessons[[#This Row],[Location_External_Id__c]], Locations[Location Id], Locations[Location Name])</f>
        <v>Red Bank</v>
      </c>
      <c r="AE511" s="6" t="str">
        <f>TEXT(Lessons[[#This Row],[Lesson_Date__c]], "yyyy-mm")</f>
        <v>2026-04</v>
      </c>
      <c r="AF511" s="6" t="str">
        <f>IF(Lessons[[#This Row],[Lesson_Date__c]]&lt;=Data_Audit!$F$1, "Yes", "No")</f>
        <v>Yes</v>
      </c>
    </row>
    <row r="512" spans="1:32">
      <c r="A512" t="s">
        <v>52</v>
      </c>
      <c r="B512" t="s">
        <v>53</v>
      </c>
      <c r="C512">
        <v>45</v>
      </c>
      <c r="D512" t="s">
        <v>1919</v>
      </c>
      <c r="E512" t="s">
        <v>76</v>
      </c>
      <c r="F512" t="s">
        <v>77</v>
      </c>
      <c r="H512" t="s">
        <v>78</v>
      </c>
      <c r="I512" t="b">
        <v>0</v>
      </c>
      <c r="K512" t="s">
        <v>52</v>
      </c>
      <c r="L512" t="s">
        <v>1517</v>
      </c>
      <c r="O512" s="1">
        <v>46181</v>
      </c>
      <c r="P512" t="s">
        <v>1920</v>
      </c>
      <c r="Q512" t="s">
        <v>1921</v>
      </c>
      <c r="R512" t="s">
        <v>83</v>
      </c>
      <c r="S512" t="b">
        <v>0</v>
      </c>
      <c r="T512" t="b">
        <v>0</v>
      </c>
      <c r="U512" t="s">
        <v>1921</v>
      </c>
      <c r="V512" t="s">
        <v>140</v>
      </c>
      <c r="W512" t="s">
        <v>65</v>
      </c>
      <c r="X512" t="s">
        <v>1922</v>
      </c>
      <c r="Y512" t="s">
        <v>1923</v>
      </c>
      <c r="Z512" t="s">
        <v>1517</v>
      </c>
      <c r="AA512" t="b">
        <f>ISNUMBER(SEARCH(";"&amp;Lessons[[#This Row],[Instrument__c]]&amp;";",";"&amp;_xlfn.XLOOKUP(Lessons[[#This Row],[Instructor_External_Id__c]], Instructors[Id], Instructors[Instruments_Taught__c])&amp;";"))</f>
        <v>1</v>
      </c>
      <c r="AB512" t="str">
        <f>IF(LEFT(Lessons[[#This Row],[Status__c]],9)="Cancelled","",Lessons[[#This Row],[Instructor_External_Id__c]]&amp;"|"&amp;TEXT(Lessons[[#This Row],[Lesson_Date__c]],"yyyy-mm-dd")&amp;"|"&amp;Lessons[[#This Row],[Start_Time__c]])</f>
        <v>a06ak00000amzBgAAI|2026-06-08|15:00:00.000Z</v>
      </c>
      <c r="AC512">
        <f>IF(Lessons[[#This Row],[Double Booked Key]]="","",COUNTIF(Lessons[Double Booked Key],Lessons[[#This Row],[Double Booked Key]]))</f>
        <v>1</v>
      </c>
      <c r="AD512" s="6" t="str">
        <f>_xlfn.XLOOKUP(Lessons[[#This Row],[Location_External_Id__c]], Locations[Location Id], Locations[Location Name])</f>
        <v>Brick</v>
      </c>
      <c r="AE512" s="6" t="str">
        <f>TEXT(Lessons[[#This Row],[Lesson_Date__c]], "yyyy-mm")</f>
        <v>2026-06</v>
      </c>
      <c r="AF512" s="6" t="str">
        <f>IF(Lessons[[#This Row],[Lesson_Date__c]]&lt;=Data_Audit!$F$1, "Yes", "No")</f>
        <v>Yes</v>
      </c>
    </row>
    <row r="513" spans="1:32">
      <c r="A513" t="s">
        <v>52</v>
      </c>
      <c r="B513" t="s">
        <v>53</v>
      </c>
      <c r="C513">
        <v>30</v>
      </c>
      <c r="D513" t="s">
        <v>1924</v>
      </c>
      <c r="E513" t="s">
        <v>76</v>
      </c>
      <c r="F513" t="s">
        <v>77</v>
      </c>
      <c r="G513" t="s">
        <v>99</v>
      </c>
      <c r="H513" t="s">
        <v>78</v>
      </c>
      <c r="I513" t="b">
        <v>0</v>
      </c>
      <c r="K513" t="s">
        <v>52</v>
      </c>
      <c r="L513" t="s">
        <v>1517</v>
      </c>
      <c r="O513" s="1">
        <v>46107</v>
      </c>
      <c r="P513" t="s">
        <v>1925</v>
      </c>
      <c r="Q513" t="s">
        <v>1926</v>
      </c>
      <c r="R513" t="s">
        <v>83</v>
      </c>
      <c r="S513" t="b">
        <v>0</v>
      </c>
      <c r="T513" t="b">
        <v>0</v>
      </c>
      <c r="U513" t="s">
        <v>1926</v>
      </c>
      <c r="V513" t="s">
        <v>84</v>
      </c>
      <c r="W513" t="s">
        <v>65</v>
      </c>
      <c r="X513" t="s">
        <v>1922</v>
      </c>
      <c r="Y513" t="s">
        <v>1923</v>
      </c>
      <c r="Z513" t="s">
        <v>1517</v>
      </c>
      <c r="AA513" t="b">
        <f>ISNUMBER(SEARCH(";"&amp;Lessons[[#This Row],[Instrument__c]]&amp;";",";"&amp;_xlfn.XLOOKUP(Lessons[[#This Row],[Instructor_External_Id__c]], Instructors[Id], Instructors[Instruments_Taught__c])&amp;";"))</f>
        <v>1</v>
      </c>
      <c r="AB513" t="str">
        <f>IF(LEFT(Lessons[[#This Row],[Status__c]],9)="Cancelled","",Lessons[[#This Row],[Instructor_External_Id__c]]&amp;"|"&amp;TEXT(Lessons[[#This Row],[Lesson_Date__c]],"yyyy-mm-dd")&amp;"|"&amp;Lessons[[#This Row],[Start_Time__c]])</f>
        <v>a06ak00000amzBgAAI|2026-03-26|17:00:00.000Z</v>
      </c>
      <c r="AC513">
        <f>IF(Lessons[[#This Row],[Double Booked Key]]="","",COUNTIF(Lessons[Double Booked Key],Lessons[[#This Row],[Double Booked Key]]))</f>
        <v>1</v>
      </c>
      <c r="AD513" s="6" t="str">
        <f>_xlfn.XLOOKUP(Lessons[[#This Row],[Location_External_Id__c]], Locations[Location Id], Locations[Location Name])</f>
        <v>Brick</v>
      </c>
      <c r="AE513" s="6" t="str">
        <f>TEXT(Lessons[[#This Row],[Lesson_Date__c]], "yyyy-mm")</f>
        <v>2026-03</v>
      </c>
      <c r="AF513" s="6" t="str">
        <f>IF(Lessons[[#This Row],[Lesson_Date__c]]&lt;=Data_Audit!$F$1, "Yes", "No")</f>
        <v>Yes</v>
      </c>
    </row>
    <row r="514" spans="1:32">
      <c r="A514" t="s">
        <v>52</v>
      </c>
      <c r="B514" t="s">
        <v>53</v>
      </c>
      <c r="C514">
        <v>45</v>
      </c>
      <c r="D514" t="s">
        <v>1927</v>
      </c>
      <c r="E514" t="s">
        <v>76</v>
      </c>
      <c r="F514" t="s">
        <v>77</v>
      </c>
      <c r="G514" t="s">
        <v>106</v>
      </c>
      <c r="H514" t="s">
        <v>78</v>
      </c>
      <c r="I514" t="b">
        <v>0</v>
      </c>
      <c r="K514" t="s">
        <v>52</v>
      </c>
      <c r="L514" t="s">
        <v>1517</v>
      </c>
      <c r="O514" s="1">
        <v>46213</v>
      </c>
      <c r="P514" t="s">
        <v>1928</v>
      </c>
      <c r="Q514" t="s">
        <v>1929</v>
      </c>
      <c r="R514" t="s">
        <v>83</v>
      </c>
      <c r="S514" t="b">
        <v>0</v>
      </c>
      <c r="T514" t="b">
        <v>0</v>
      </c>
      <c r="U514" t="s">
        <v>1929</v>
      </c>
      <c r="V514" t="s">
        <v>102</v>
      </c>
      <c r="W514" t="s">
        <v>65</v>
      </c>
      <c r="X514" t="s">
        <v>1922</v>
      </c>
      <c r="Y514" t="s">
        <v>1923</v>
      </c>
      <c r="Z514" t="s">
        <v>1517</v>
      </c>
      <c r="AA514" t="b">
        <f>ISNUMBER(SEARCH(";"&amp;Lessons[[#This Row],[Instrument__c]]&amp;";",";"&amp;_xlfn.XLOOKUP(Lessons[[#This Row],[Instructor_External_Id__c]], Instructors[Id], Instructors[Instruments_Taught__c])&amp;";"))</f>
        <v>1</v>
      </c>
      <c r="AB514" t="str">
        <f>IF(LEFT(Lessons[[#This Row],[Status__c]],9)="Cancelled","",Lessons[[#This Row],[Instructor_External_Id__c]]&amp;"|"&amp;TEXT(Lessons[[#This Row],[Lesson_Date__c]],"yyyy-mm-dd")&amp;"|"&amp;Lessons[[#This Row],[Start_Time__c]])</f>
        <v>a06ak00000amzBgAAI|2026-07-10|16:00:00.000Z</v>
      </c>
      <c r="AC514">
        <f>IF(Lessons[[#This Row],[Double Booked Key]]="","",COUNTIF(Lessons[Double Booked Key],Lessons[[#This Row],[Double Booked Key]]))</f>
        <v>1</v>
      </c>
      <c r="AD514" s="6" t="str">
        <f>_xlfn.XLOOKUP(Lessons[[#This Row],[Location_External_Id__c]], Locations[Location Id], Locations[Location Name])</f>
        <v>Brick</v>
      </c>
      <c r="AE514" s="6" t="str">
        <f>TEXT(Lessons[[#This Row],[Lesson_Date__c]], "yyyy-mm")</f>
        <v>2026-07</v>
      </c>
      <c r="AF514" s="6" t="str">
        <f>IF(Lessons[[#This Row],[Lesson_Date__c]]&lt;=Data_Audit!$F$1, "Yes", "No")</f>
        <v>Yes</v>
      </c>
    </row>
    <row r="515" spans="1:32">
      <c r="A515" t="s">
        <v>52</v>
      </c>
      <c r="B515" t="s">
        <v>53</v>
      </c>
      <c r="C515">
        <v>45</v>
      </c>
      <c r="D515" t="s">
        <v>1930</v>
      </c>
      <c r="E515" t="s">
        <v>76</v>
      </c>
      <c r="F515" t="s">
        <v>77</v>
      </c>
      <c r="H515" t="s">
        <v>78</v>
      </c>
      <c r="I515" t="b">
        <v>0</v>
      </c>
      <c r="K515" t="s">
        <v>52</v>
      </c>
      <c r="L515" t="s">
        <v>1517</v>
      </c>
      <c r="O515" s="1">
        <v>46052</v>
      </c>
      <c r="P515" t="s">
        <v>1931</v>
      </c>
      <c r="Q515" t="s">
        <v>1932</v>
      </c>
      <c r="R515" t="s">
        <v>83</v>
      </c>
      <c r="S515" t="b">
        <v>0</v>
      </c>
      <c r="T515" t="b">
        <v>0</v>
      </c>
      <c r="U515" t="s">
        <v>1932</v>
      </c>
      <c r="V515" t="s">
        <v>64</v>
      </c>
      <c r="W515" t="s">
        <v>65</v>
      </c>
      <c r="X515" t="s">
        <v>1922</v>
      </c>
      <c r="Y515" t="s">
        <v>1923</v>
      </c>
      <c r="Z515" t="s">
        <v>1517</v>
      </c>
      <c r="AA515" t="b">
        <f>ISNUMBER(SEARCH(";"&amp;Lessons[[#This Row],[Instrument__c]]&amp;";",";"&amp;_xlfn.XLOOKUP(Lessons[[#This Row],[Instructor_External_Id__c]], Instructors[Id], Instructors[Instruments_Taught__c])&amp;";"))</f>
        <v>1</v>
      </c>
      <c r="AB515" t="str">
        <f>IF(LEFT(Lessons[[#This Row],[Status__c]],9)="Cancelled","",Lessons[[#This Row],[Instructor_External_Id__c]]&amp;"|"&amp;TEXT(Lessons[[#This Row],[Lesson_Date__c]],"yyyy-mm-dd")&amp;"|"&amp;Lessons[[#This Row],[Start_Time__c]])</f>
        <v>a06ak00000amzBgAAI|2026-01-30|11:00:00.000Z</v>
      </c>
      <c r="AC515">
        <f>IF(Lessons[[#This Row],[Double Booked Key]]="","",COUNTIF(Lessons[Double Booked Key],Lessons[[#This Row],[Double Booked Key]]))</f>
        <v>1</v>
      </c>
      <c r="AD515" s="6" t="str">
        <f>_xlfn.XLOOKUP(Lessons[[#This Row],[Location_External_Id__c]], Locations[Location Id], Locations[Location Name])</f>
        <v>Brick</v>
      </c>
      <c r="AE515" s="6" t="str">
        <f>TEXT(Lessons[[#This Row],[Lesson_Date__c]], "yyyy-mm")</f>
        <v>2026-01</v>
      </c>
      <c r="AF515" s="6" t="str">
        <f>IF(Lessons[[#This Row],[Lesson_Date__c]]&lt;=Data_Audit!$F$1, "Yes", "No")</f>
        <v>Yes</v>
      </c>
    </row>
    <row r="516" spans="1:32">
      <c r="A516" t="s">
        <v>52</v>
      </c>
      <c r="B516" t="s">
        <v>53</v>
      </c>
      <c r="C516">
        <v>30</v>
      </c>
      <c r="D516" t="s">
        <v>1933</v>
      </c>
      <c r="E516" t="s">
        <v>201</v>
      </c>
      <c r="F516" t="s">
        <v>202</v>
      </c>
      <c r="G516" t="s">
        <v>57</v>
      </c>
      <c r="H516" t="s">
        <v>203</v>
      </c>
      <c r="I516" t="b">
        <v>0</v>
      </c>
      <c r="K516" t="s">
        <v>52</v>
      </c>
      <c r="L516" t="s">
        <v>1517</v>
      </c>
      <c r="O516" s="1">
        <v>46222</v>
      </c>
      <c r="P516" t="s">
        <v>1934</v>
      </c>
      <c r="Q516" t="s">
        <v>1935</v>
      </c>
      <c r="R516" t="s">
        <v>63</v>
      </c>
      <c r="S516" t="b">
        <v>0</v>
      </c>
      <c r="T516" t="b">
        <v>0</v>
      </c>
      <c r="U516" t="s">
        <v>1935</v>
      </c>
      <c r="V516" t="s">
        <v>64</v>
      </c>
      <c r="W516" t="s">
        <v>65</v>
      </c>
      <c r="X516" t="s">
        <v>1936</v>
      </c>
      <c r="Y516" t="s">
        <v>1937</v>
      </c>
      <c r="Z516" t="s">
        <v>1517</v>
      </c>
      <c r="AA516" t="b">
        <f>ISNUMBER(SEARCH(";"&amp;Lessons[[#This Row],[Instrument__c]]&amp;";",";"&amp;_xlfn.XLOOKUP(Lessons[[#This Row],[Instructor_External_Id__c]], Instructors[Id], Instructors[Instruments_Taught__c])&amp;";"))</f>
        <v>1</v>
      </c>
      <c r="AB516" t="str">
        <f>IF(LEFT(Lessons[[#This Row],[Status__c]],9)="Cancelled","",Lessons[[#This Row],[Instructor_External_Id__c]]&amp;"|"&amp;TEXT(Lessons[[#This Row],[Lesson_Date__c]],"yyyy-mm-dd")&amp;"|"&amp;Lessons[[#This Row],[Start_Time__c]])</f>
        <v>a06ak00000amzCJAAY|2026-07-19|11:00:00.000Z</v>
      </c>
      <c r="AC516">
        <f>IF(Lessons[[#This Row],[Double Booked Key]]="","",COUNTIF(Lessons[Double Booked Key],Lessons[[#This Row],[Double Booked Key]]))</f>
        <v>1</v>
      </c>
      <c r="AD516" s="6" t="str">
        <f>_xlfn.XLOOKUP(Lessons[[#This Row],[Location_External_Id__c]], Locations[Location Id], Locations[Location Name])</f>
        <v>Red Bank</v>
      </c>
      <c r="AE516" s="6" t="str">
        <f>TEXT(Lessons[[#This Row],[Lesson_Date__c]], "yyyy-mm")</f>
        <v>2026-07</v>
      </c>
      <c r="AF516" s="6" t="str">
        <f>IF(Lessons[[#This Row],[Lesson_Date__c]]&lt;=Data_Audit!$F$1, "Yes", "No")</f>
        <v>Yes</v>
      </c>
    </row>
    <row r="517" spans="1:32">
      <c r="A517" t="s">
        <v>52</v>
      </c>
      <c r="B517" t="s">
        <v>53</v>
      </c>
      <c r="C517">
        <v>30</v>
      </c>
      <c r="D517" t="s">
        <v>1938</v>
      </c>
      <c r="E517" t="s">
        <v>548</v>
      </c>
      <c r="F517" t="s">
        <v>549</v>
      </c>
      <c r="G517" t="s">
        <v>106</v>
      </c>
      <c r="H517" t="s">
        <v>203</v>
      </c>
      <c r="I517" t="b">
        <v>0</v>
      </c>
      <c r="K517" t="s">
        <v>52</v>
      </c>
      <c r="L517" t="s">
        <v>79</v>
      </c>
      <c r="O517" s="1">
        <v>46300</v>
      </c>
      <c r="P517" t="s">
        <v>1939</v>
      </c>
      <c r="Q517" t="s">
        <v>1940</v>
      </c>
      <c r="R517" t="s">
        <v>63</v>
      </c>
      <c r="S517" t="b">
        <v>0</v>
      </c>
      <c r="T517" t="b">
        <v>0</v>
      </c>
      <c r="U517" t="s">
        <v>1940</v>
      </c>
      <c r="V517" t="s">
        <v>102</v>
      </c>
      <c r="W517" t="s">
        <v>65</v>
      </c>
      <c r="X517" t="s">
        <v>1936</v>
      </c>
      <c r="Y517" t="s">
        <v>1937</v>
      </c>
      <c r="Z517" t="s">
        <v>79</v>
      </c>
      <c r="AA517" t="b">
        <f>ISNUMBER(SEARCH(";"&amp;Lessons[[#This Row],[Instrument__c]]&amp;";",";"&amp;_xlfn.XLOOKUP(Lessons[[#This Row],[Instructor_External_Id__c]], Instructors[Id], Instructors[Instruments_Taught__c])&amp;";"))</f>
        <v>1</v>
      </c>
      <c r="AB517" t="str">
        <f>IF(LEFT(Lessons[[#This Row],[Status__c]],9)="Cancelled","",Lessons[[#This Row],[Instructor_External_Id__c]]&amp;"|"&amp;TEXT(Lessons[[#This Row],[Lesson_Date__c]],"yyyy-mm-dd")&amp;"|"&amp;Lessons[[#This Row],[Start_Time__c]])</f>
        <v>a06ak00000amzCHAAY|2026-10-05|16:00:00.000Z</v>
      </c>
      <c r="AC517">
        <f>IF(Lessons[[#This Row],[Double Booked Key]]="","",COUNTIF(Lessons[Double Booked Key],Lessons[[#This Row],[Double Booked Key]]))</f>
        <v>1</v>
      </c>
      <c r="AD517" s="6" t="str">
        <f>_xlfn.XLOOKUP(Lessons[[#This Row],[Location_External_Id__c]], Locations[Location Id], Locations[Location Name])</f>
        <v>Red Bank</v>
      </c>
      <c r="AE517" s="6" t="str">
        <f>TEXT(Lessons[[#This Row],[Lesson_Date__c]], "yyyy-mm")</f>
        <v>2026-10</v>
      </c>
      <c r="AF517" s="6" t="str">
        <f>IF(Lessons[[#This Row],[Lesson_Date__c]]&lt;=Data_Audit!$F$1, "Yes", "No")</f>
        <v>Yes</v>
      </c>
    </row>
    <row r="518" spans="1:32">
      <c r="A518" t="s">
        <v>52</v>
      </c>
      <c r="B518" t="s">
        <v>53</v>
      </c>
      <c r="C518">
        <v>30</v>
      </c>
      <c r="D518" t="s">
        <v>1941</v>
      </c>
      <c r="E518" t="s">
        <v>1386</v>
      </c>
      <c r="F518" t="s">
        <v>1387</v>
      </c>
      <c r="G518" t="s">
        <v>57</v>
      </c>
      <c r="H518" t="s">
        <v>237</v>
      </c>
      <c r="I518" t="b">
        <v>0</v>
      </c>
      <c r="K518" t="s">
        <v>52</v>
      </c>
      <c r="L518" t="s">
        <v>1517</v>
      </c>
      <c r="O518" s="1">
        <v>46153</v>
      </c>
      <c r="P518" t="s">
        <v>1942</v>
      </c>
      <c r="Q518" t="s">
        <v>1943</v>
      </c>
      <c r="R518" t="s">
        <v>63</v>
      </c>
      <c r="S518" t="b">
        <v>0</v>
      </c>
      <c r="T518" t="b">
        <v>0</v>
      </c>
      <c r="U518" t="s">
        <v>1943</v>
      </c>
      <c r="V518" t="s">
        <v>140</v>
      </c>
      <c r="W518" t="s">
        <v>65</v>
      </c>
      <c r="X518" t="s">
        <v>1944</v>
      </c>
      <c r="Y518" t="s">
        <v>1945</v>
      </c>
      <c r="Z518" t="s">
        <v>1517</v>
      </c>
      <c r="AA518" t="b">
        <f>ISNUMBER(SEARCH(";"&amp;Lessons[[#This Row],[Instrument__c]]&amp;";",";"&amp;_xlfn.XLOOKUP(Lessons[[#This Row],[Instructor_External_Id__c]], Instructors[Id], Instructors[Instruments_Taught__c])&amp;";"))</f>
        <v>1</v>
      </c>
      <c r="AB518" t="str">
        <f>IF(LEFT(Lessons[[#This Row],[Status__c]],9)="Cancelled","",Lessons[[#This Row],[Instructor_External_Id__c]]&amp;"|"&amp;TEXT(Lessons[[#This Row],[Lesson_Date__c]],"yyyy-mm-dd")&amp;"|"&amp;Lessons[[#This Row],[Start_Time__c]])</f>
        <v>a06ak00000amzC6AAI|2026-05-11|15:00:00.000Z</v>
      </c>
      <c r="AC518">
        <f>IF(Lessons[[#This Row],[Double Booked Key]]="","",COUNTIF(Lessons[Double Booked Key],Lessons[[#This Row],[Double Booked Key]]))</f>
        <v>1</v>
      </c>
      <c r="AD518" s="6" t="str">
        <f>_xlfn.XLOOKUP(Lessons[[#This Row],[Location_External_Id__c]], Locations[Location Id], Locations[Location Name])</f>
        <v>Red Bank</v>
      </c>
      <c r="AE518" s="6" t="str">
        <f>TEXT(Lessons[[#This Row],[Lesson_Date__c]], "yyyy-mm")</f>
        <v>2026-05</v>
      </c>
      <c r="AF518" s="6" t="str">
        <f>IF(Lessons[[#This Row],[Lesson_Date__c]]&lt;=Data_Audit!$F$1, "Yes", "No")</f>
        <v>Yes</v>
      </c>
    </row>
    <row r="519" spans="1:32">
      <c r="A519" t="s">
        <v>52</v>
      </c>
      <c r="B519" t="s">
        <v>53</v>
      </c>
      <c r="C519">
        <v>30</v>
      </c>
      <c r="D519" t="s">
        <v>1946</v>
      </c>
      <c r="E519" t="s">
        <v>1386</v>
      </c>
      <c r="F519" t="s">
        <v>1387</v>
      </c>
      <c r="H519" t="s">
        <v>237</v>
      </c>
      <c r="I519" t="b">
        <v>0</v>
      </c>
      <c r="K519" t="s">
        <v>52</v>
      </c>
      <c r="L519" t="s">
        <v>171</v>
      </c>
      <c r="O519" s="1">
        <v>46243</v>
      </c>
      <c r="P519" t="s">
        <v>1947</v>
      </c>
      <c r="Q519" t="s">
        <v>1948</v>
      </c>
      <c r="R519" t="s">
        <v>63</v>
      </c>
      <c r="S519" t="b">
        <v>1</v>
      </c>
      <c r="T519" t="b">
        <v>0</v>
      </c>
      <c r="U519" t="s">
        <v>1948</v>
      </c>
      <c r="V519" t="s">
        <v>110</v>
      </c>
      <c r="W519" t="s">
        <v>136</v>
      </c>
      <c r="X519" t="s">
        <v>1944</v>
      </c>
      <c r="Y519" t="s">
        <v>1945</v>
      </c>
      <c r="Z519" t="s">
        <v>171</v>
      </c>
      <c r="AA519" t="b">
        <f>ISNUMBER(SEARCH(";"&amp;Lessons[[#This Row],[Instrument__c]]&amp;";",";"&amp;_xlfn.XLOOKUP(Lessons[[#This Row],[Instructor_External_Id__c]], Instructors[Id], Instructors[Instruments_Taught__c])&amp;";"))</f>
        <v>1</v>
      </c>
      <c r="AB519" t="str">
        <f>IF(LEFT(Lessons[[#This Row],[Status__c]],9)="Cancelled","",Lessons[[#This Row],[Instructor_External_Id__c]]&amp;"|"&amp;TEXT(Lessons[[#This Row],[Lesson_Date__c]],"yyyy-mm-dd")&amp;"|"&amp;Lessons[[#This Row],[Start_Time__c]])</f>
        <v/>
      </c>
      <c r="AC519" t="str">
        <f>IF(Lessons[[#This Row],[Double Booked Key]]="","",COUNTIF(Lessons[Double Booked Key],Lessons[[#This Row],[Double Booked Key]]))</f>
        <v/>
      </c>
      <c r="AD519" s="6" t="str">
        <f>_xlfn.XLOOKUP(Lessons[[#This Row],[Location_External_Id__c]], Locations[Location Id], Locations[Location Name])</f>
        <v>Red Bank</v>
      </c>
      <c r="AE519" s="6" t="str">
        <f>TEXT(Lessons[[#This Row],[Lesson_Date__c]], "yyyy-mm")</f>
        <v>2026-08</v>
      </c>
      <c r="AF519" s="6" t="str">
        <f>IF(Lessons[[#This Row],[Lesson_Date__c]]&lt;=Data_Audit!$F$1, "Yes", "No")</f>
        <v>Yes</v>
      </c>
    </row>
    <row r="520" spans="1:32">
      <c r="A520" t="s">
        <v>52</v>
      </c>
      <c r="B520" t="s">
        <v>53</v>
      </c>
      <c r="C520">
        <v>45</v>
      </c>
      <c r="D520" t="s">
        <v>1949</v>
      </c>
      <c r="E520" t="s">
        <v>1386</v>
      </c>
      <c r="F520" t="s">
        <v>1387</v>
      </c>
      <c r="G520" t="s">
        <v>69</v>
      </c>
      <c r="H520" t="s">
        <v>237</v>
      </c>
      <c r="I520" t="b">
        <v>0</v>
      </c>
      <c r="K520" t="s">
        <v>52</v>
      </c>
      <c r="L520" t="s">
        <v>1517</v>
      </c>
      <c r="O520" s="1">
        <v>46178</v>
      </c>
      <c r="P520" t="s">
        <v>1950</v>
      </c>
      <c r="Q520" t="s">
        <v>1951</v>
      </c>
      <c r="R520" t="s">
        <v>63</v>
      </c>
      <c r="S520" t="b">
        <v>0</v>
      </c>
      <c r="T520" t="b">
        <v>0</v>
      </c>
      <c r="U520" t="s">
        <v>1951</v>
      </c>
      <c r="V520" t="s">
        <v>135</v>
      </c>
      <c r="W520" t="s">
        <v>65</v>
      </c>
      <c r="X520" t="s">
        <v>1944</v>
      </c>
      <c r="Y520" t="s">
        <v>1945</v>
      </c>
      <c r="Z520" t="s">
        <v>1517</v>
      </c>
      <c r="AA520" t="b">
        <f>ISNUMBER(SEARCH(";"&amp;Lessons[[#This Row],[Instrument__c]]&amp;";",";"&amp;_xlfn.XLOOKUP(Lessons[[#This Row],[Instructor_External_Id__c]], Instructors[Id], Instructors[Instruments_Taught__c])&amp;";"))</f>
        <v>1</v>
      </c>
      <c r="AB520" t="str">
        <f>IF(LEFT(Lessons[[#This Row],[Status__c]],9)="Cancelled","",Lessons[[#This Row],[Instructor_External_Id__c]]&amp;"|"&amp;TEXT(Lessons[[#This Row],[Lesson_Date__c]],"yyyy-mm-dd")&amp;"|"&amp;Lessons[[#This Row],[Start_Time__c]])</f>
        <v>a06ak00000amzC6AAI|2026-06-05|15:30:00.000Z</v>
      </c>
      <c r="AC520">
        <f>IF(Lessons[[#This Row],[Double Booked Key]]="","",COUNTIF(Lessons[Double Booked Key],Lessons[[#This Row],[Double Booked Key]]))</f>
        <v>1</v>
      </c>
      <c r="AD520" s="6" t="str">
        <f>_xlfn.XLOOKUP(Lessons[[#This Row],[Location_External_Id__c]], Locations[Location Id], Locations[Location Name])</f>
        <v>Red Bank</v>
      </c>
      <c r="AE520" s="6" t="str">
        <f>TEXT(Lessons[[#This Row],[Lesson_Date__c]], "yyyy-mm")</f>
        <v>2026-06</v>
      </c>
      <c r="AF520" s="6" t="str">
        <f>IF(Lessons[[#This Row],[Lesson_Date__c]]&lt;=Data_Audit!$F$1, "Yes", "No")</f>
        <v>Yes</v>
      </c>
    </row>
    <row r="521" spans="1:32">
      <c r="A521" t="s">
        <v>52</v>
      </c>
      <c r="B521" t="s">
        <v>53</v>
      </c>
      <c r="C521">
        <v>60</v>
      </c>
      <c r="D521" t="s">
        <v>1952</v>
      </c>
      <c r="E521" t="s">
        <v>1386</v>
      </c>
      <c r="F521" t="s">
        <v>1387</v>
      </c>
      <c r="H521" t="s">
        <v>237</v>
      </c>
      <c r="I521" t="b">
        <v>0</v>
      </c>
      <c r="K521" t="s">
        <v>52</v>
      </c>
      <c r="L521" t="s">
        <v>1517</v>
      </c>
      <c r="O521" s="1">
        <v>46173</v>
      </c>
      <c r="P521" t="s">
        <v>1953</v>
      </c>
      <c r="Q521" t="s">
        <v>1954</v>
      </c>
      <c r="R521" t="s">
        <v>63</v>
      </c>
      <c r="S521" t="b">
        <v>0</v>
      </c>
      <c r="T521" t="b">
        <v>0</v>
      </c>
      <c r="U521" t="s">
        <v>1954</v>
      </c>
      <c r="V521" t="s">
        <v>120</v>
      </c>
      <c r="W521" t="s">
        <v>65</v>
      </c>
      <c r="X521" t="s">
        <v>1944</v>
      </c>
      <c r="Y521" t="s">
        <v>1945</v>
      </c>
      <c r="Z521" t="s">
        <v>1517</v>
      </c>
      <c r="AA521" t="b">
        <f>ISNUMBER(SEARCH(";"&amp;Lessons[[#This Row],[Instrument__c]]&amp;";",";"&amp;_xlfn.XLOOKUP(Lessons[[#This Row],[Instructor_External_Id__c]], Instructors[Id], Instructors[Instruments_Taught__c])&amp;";"))</f>
        <v>1</v>
      </c>
      <c r="AB521" t="str">
        <f>IF(LEFT(Lessons[[#This Row],[Status__c]],9)="Cancelled","",Lessons[[#This Row],[Instructor_External_Id__c]]&amp;"|"&amp;TEXT(Lessons[[#This Row],[Lesson_Date__c]],"yyyy-mm-dd")&amp;"|"&amp;Lessons[[#This Row],[Start_Time__c]])</f>
        <v>a06ak00000amzC6AAI|2026-05-31|18:00:00.000Z</v>
      </c>
      <c r="AC521">
        <f>IF(Lessons[[#This Row],[Double Booked Key]]="","",COUNTIF(Lessons[Double Booked Key],Lessons[[#This Row],[Double Booked Key]]))</f>
        <v>1</v>
      </c>
      <c r="AD521" s="6" t="str">
        <f>_xlfn.XLOOKUP(Lessons[[#This Row],[Location_External_Id__c]], Locations[Location Id], Locations[Location Name])</f>
        <v>Red Bank</v>
      </c>
      <c r="AE521" s="6" t="str">
        <f>TEXT(Lessons[[#This Row],[Lesson_Date__c]], "yyyy-mm")</f>
        <v>2026-05</v>
      </c>
      <c r="AF521" s="6" t="str">
        <f>IF(Lessons[[#This Row],[Lesson_Date__c]]&lt;=Data_Audit!$F$1, "Yes", "No")</f>
        <v>Yes</v>
      </c>
    </row>
    <row r="522" spans="1:32">
      <c r="A522" t="s">
        <v>52</v>
      </c>
      <c r="B522" t="s">
        <v>53</v>
      </c>
      <c r="C522">
        <v>30</v>
      </c>
      <c r="D522" t="s">
        <v>1955</v>
      </c>
      <c r="E522" t="s">
        <v>318</v>
      </c>
      <c r="F522" t="s">
        <v>319</v>
      </c>
      <c r="G522" t="s">
        <v>69</v>
      </c>
      <c r="H522" t="s">
        <v>237</v>
      </c>
      <c r="I522" t="b">
        <v>0</v>
      </c>
      <c r="K522" t="s">
        <v>52</v>
      </c>
      <c r="L522" t="s">
        <v>79</v>
      </c>
      <c r="O522" s="1">
        <v>46293</v>
      </c>
      <c r="P522" t="s">
        <v>1956</v>
      </c>
      <c r="Q522" t="s">
        <v>1957</v>
      </c>
      <c r="R522" t="s">
        <v>63</v>
      </c>
      <c r="S522" t="b">
        <v>0</v>
      </c>
      <c r="T522" t="b">
        <v>0</v>
      </c>
      <c r="U522" t="s">
        <v>1957</v>
      </c>
      <c r="V522" t="s">
        <v>140</v>
      </c>
      <c r="W522" t="s">
        <v>65</v>
      </c>
      <c r="X522" t="s">
        <v>1944</v>
      </c>
      <c r="Y522" t="s">
        <v>1945</v>
      </c>
      <c r="Z522" t="s">
        <v>79</v>
      </c>
      <c r="AA522" t="b">
        <f>ISNUMBER(SEARCH(";"&amp;Lessons[[#This Row],[Instrument__c]]&amp;";",";"&amp;_xlfn.XLOOKUP(Lessons[[#This Row],[Instructor_External_Id__c]], Instructors[Id], Instructors[Instruments_Taught__c])&amp;";"))</f>
        <v>1</v>
      </c>
      <c r="AB522" t="str">
        <f>IF(LEFT(Lessons[[#This Row],[Status__c]],9)="Cancelled","",Lessons[[#This Row],[Instructor_External_Id__c]]&amp;"|"&amp;TEXT(Lessons[[#This Row],[Lesson_Date__c]],"yyyy-mm-dd")&amp;"|"&amp;Lessons[[#This Row],[Start_Time__c]])</f>
        <v>a06ak00000amzBzAAI|2026-09-28|15:00:00.000Z</v>
      </c>
      <c r="AC522">
        <f>IF(Lessons[[#This Row],[Double Booked Key]]="","",COUNTIF(Lessons[Double Booked Key],Lessons[[#This Row],[Double Booked Key]]))</f>
        <v>1</v>
      </c>
      <c r="AD522" s="6" t="str">
        <f>_xlfn.XLOOKUP(Lessons[[#This Row],[Location_External_Id__c]], Locations[Location Id], Locations[Location Name])</f>
        <v>Red Bank</v>
      </c>
      <c r="AE522" s="6" t="str">
        <f>TEXT(Lessons[[#This Row],[Lesson_Date__c]], "yyyy-mm")</f>
        <v>2026-09</v>
      </c>
      <c r="AF522" s="6" t="str">
        <f>IF(Lessons[[#This Row],[Lesson_Date__c]]&lt;=Data_Audit!$F$1, "Yes", "No")</f>
        <v>Yes</v>
      </c>
    </row>
    <row r="523" spans="1:32">
      <c r="A523" t="s">
        <v>52</v>
      </c>
      <c r="B523" t="s">
        <v>53</v>
      </c>
      <c r="C523">
        <v>60</v>
      </c>
      <c r="D523" t="s">
        <v>1958</v>
      </c>
      <c r="E523" t="s">
        <v>1386</v>
      </c>
      <c r="F523" t="s">
        <v>1387</v>
      </c>
      <c r="G523" t="s">
        <v>57</v>
      </c>
      <c r="H523" t="s">
        <v>237</v>
      </c>
      <c r="I523" t="b">
        <v>0</v>
      </c>
      <c r="K523" t="s">
        <v>52</v>
      </c>
      <c r="L523" t="s">
        <v>1517</v>
      </c>
      <c r="O523" s="1">
        <v>46236</v>
      </c>
      <c r="P523" t="s">
        <v>1959</v>
      </c>
      <c r="Q523" t="s">
        <v>1960</v>
      </c>
      <c r="R523" t="s">
        <v>63</v>
      </c>
      <c r="S523" t="b">
        <v>0</v>
      </c>
      <c r="T523" t="b">
        <v>0</v>
      </c>
      <c r="U523" t="s">
        <v>1960</v>
      </c>
      <c r="V523" t="s">
        <v>94</v>
      </c>
      <c r="W523" t="s">
        <v>65</v>
      </c>
      <c r="X523" t="s">
        <v>1944</v>
      </c>
      <c r="Y523" t="s">
        <v>1945</v>
      </c>
      <c r="Z523" t="s">
        <v>1517</v>
      </c>
      <c r="AA523" t="b">
        <f>ISNUMBER(SEARCH(";"&amp;Lessons[[#This Row],[Instrument__c]]&amp;";",";"&amp;_xlfn.XLOOKUP(Lessons[[#This Row],[Instructor_External_Id__c]], Instructors[Id], Instructors[Instruments_Taught__c])&amp;";"))</f>
        <v>1</v>
      </c>
      <c r="AB523" t="str">
        <f>IF(LEFT(Lessons[[#This Row],[Status__c]],9)="Cancelled","",Lessons[[#This Row],[Instructor_External_Id__c]]&amp;"|"&amp;TEXT(Lessons[[#This Row],[Lesson_Date__c]],"yyyy-mm-dd")&amp;"|"&amp;Lessons[[#This Row],[Start_Time__c]])</f>
        <v>a06ak00000amzC6AAI|2026-08-02|19:00:00.000Z</v>
      </c>
      <c r="AC523">
        <f>IF(Lessons[[#This Row],[Double Booked Key]]="","",COUNTIF(Lessons[Double Booked Key],Lessons[[#This Row],[Double Booked Key]]))</f>
        <v>1</v>
      </c>
      <c r="AD523" s="6" t="str">
        <f>_xlfn.XLOOKUP(Lessons[[#This Row],[Location_External_Id__c]], Locations[Location Id], Locations[Location Name])</f>
        <v>Red Bank</v>
      </c>
      <c r="AE523" s="6" t="str">
        <f>TEXT(Lessons[[#This Row],[Lesson_Date__c]], "yyyy-mm")</f>
        <v>2026-08</v>
      </c>
      <c r="AF523" s="6" t="str">
        <f>IF(Lessons[[#This Row],[Lesson_Date__c]]&lt;=Data_Audit!$F$1, "Yes", "No")</f>
        <v>Yes</v>
      </c>
    </row>
    <row r="524" spans="1:32">
      <c r="A524" t="s">
        <v>52</v>
      </c>
      <c r="B524" t="s">
        <v>53</v>
      </c>
      <c r="C524">
        <v>30</v>
      </c>
      <c r="D524" t="s">
        <v>1961</v>
      </c>
      <c r="E524" t="s">
        <v>337</v>
      </c>
      <c r="F524" t="s">
        <v>338</v>
      </c>
      <c r="G524" t="s">
        <v>106</v>
      </c>
      <c r="H524" t="s">
        <v>284</v>
      </c>
      <c r="I524" t="b">
        <v>0</v>
      </c>
      <c r="K524" t="s">
        <v>52</v>
      </c>
      <c r="L524" t="s">
        <v>1517</v>
      </c>
      <c r="O524" s="1">
        <v>46033</v>
      </c>
      <c r="P524" t="s">
        <v>1962</v>
      </c>
      <c r="Q524" t="s">
        <v>1963</v>
      </c>
      <c r="R524" t="s">
        <v>150</v>
      </c>
      <c r="S524" t="b">
        <v>0</v>
      </c>
      <c r="T524" t="b">
        <v>0</v>
      </c>
      <c r="U524" t="s">
        <v>1963</v>
      </c>
      <c r="V524" t="s">
        <v>102</v>
      </c>
      <c r="W524" t="s">
        <v>65</v>
      </c>
      <c r="X524" t="s">
        <v>1964</v>
      </c>
      <c r="Y524" t="s">
        <v>1965</v>
      </c>
      <c r="Z524" t="s">
        <v>1517</v>
      </c>
      <c r="AA524" t="b">
        <f>ISNUMBER(SEARCH(";"&amp;Lessons[[#This Row],[Instrument__c]]&amp;";",";"&amp;_xlfn.XLOOKUP(Lessons[[#This Row],[Instructor_External_Id__c]], Instructors[Id], Instructors[Instruments_Taught__c])&amp;";"))</f>
        <v>1</v>
      </c>
      <c r="AB524" t="str">
        <f>IF(LEFT(Lessons[[#This Row],[Status__c]],9)="Cancelled","",Lessons[[#This Row],[Instructor_External_Id__c]]&amp;"|"&amp;TEXT(Lessons[[#This Row],[Lesson_Date__c]],"yyyy-mm-dd")&amp;"|"&amp;Lessons[[#This Row],[Start_Time__c]])</f>
        <v>a06ak00000amzCIAAY|2026-01-11|16:00:00.000Z</v>
      </c>
      <c r="AC524">
        <f>IF(Lessons[[#This Row],[Double Booked Key]]="","",COUNTIF(Lessons[Double Booked Key],Lessons[[#This Row],[Double Booked Key]]))</f>
        <v>1</v>
      </c>
      <c r="AD524" s="6" t="str">
        <f>_xlfn.XLOOKUP(Lessons[[#This Row],[Location_External_Id__c]], Locations[Location Id], Locations[Location Name])</f>
        <v>Toms River</v>
      </c>
      <c r="AE524" s="6" t="str">
        <f>TEXT(Lessons[[#This Row],[Lesson_Date__c]], "yyyy-mm")</f>
        <v>2026-01</v>
      </c>
      <c r="AF524" s="6" t="str">
        <f>IF(Lessons[[#This Row],[Lesson_Date__c]]&lt;=Data_Audit!$F$1, "Yes", "No")</f>
        <v>Yes</v>
      </c>
    </row>
    <row r="525" spans="1:32">
      <c r="A525" t="s">
        <v>52</v>
      </c>
      <c r="B525" t="s">
        <v>53</v>
      </c>
      <c r="C525">
        <v>45</v>
      </c>
      <c r="D525" t="s">
        <v>1966</v>
      </c>
      <c r="E525" t="s">
        <v>337</v>
      </c>
      <c r="F525" t="s">
        <v>338</v>
      </c>
      <c r="G525" t="s">
        <v>69</v>
      </c>
      <c r="H525" t="s">
        <v>284</v>
      </c>
      <c r="I525" t="b">
        <v>0</v>
      </c>
      <c r="K525" t="s">
        <v>52</v>
      </c>
      <c r="L525" t="s">
        <v>1517</v>
      </c>
      <c r="O525" s="1">
        <v>46131</v>
      </c>
      <c r="P525" t="s">
        <v>1967</v>
      </c>
      <c r="Q525" t="s">
        <v>1968</v>
      </c>
      <c r="R525" t="s">
        <v>150</v>
      </c>
      <c r="S525" t="b">
        <v>0</v>
      </c>
      <c r="T525" t="b">
        <v>0</v>
      </c>
      <c r="U525" t="s">
        <v>1968</v>
      </c>
      <c r="V525" t="s">
        <v>102</v>
      </c>
      <c r="W525" t="s">
        <v>65</v>
      </c>
      <c r="X525" t="s">
        <v>1964</v>
      </c>
      <c r="Y525" t="s">
        <v>1965</v>
      </c>
      <c r="Z525" t="s">
        <v>1517</v>
      </c>
      <c r="AA525" t="b">
        <f>ISNUMBER(SEARCH(";"&amp;Lessons[[#This Row],[Instrument__c]]&amp;";",";"&amp;_xlfn.XLOOKUP(Lessons[[#This Row],[Instructor_External_Id__c]], Instructors[Id], Instructors[Instruments_Taught__c])&amp;";"))</f>
        <v>1</v>
      </c>
      <c r="AB525" t="str">
        <f>IF(LEFT(Lessons[[#This Row],[Status__c]],9)="Cancelled","",Lessons[[#This Row],[Instructor_External_Id__c]]&amp;"|"&amp;TEXT(Lessons[[#This Row],[Lesson_Date__c]],"yyyy-mm-dd")&amp;"|"&amp;Lessons[[#This Row],[Start_Time__c]])</f>
        <v>a06ak00000amzCIAAY|2026-04-19|16:00:00.000Z</v>
      </c>
      <c r="AC525">
        <f>IF(Lessons[[#This Row],[Double Booked Key]]="","",COUNTIF(Lessons[Double Booked Key],Lessons[[#This Row],[Double Booked Key]]))</f>
        <v>1</v>
      </c>
      <c r="AD525" s="6" t="str">
        <f>_xlfn.XLOOKUP(Lessons[[#This Row],[Location_External_Id__c]], Locations[Location Id], Locations[Location Name])</f>
        <v>Toms River</v>
      </c>
      <c r="AE525" s="6" t="str">
        <f>TEXT(Lessons[[#This Row],[Lesson_Date__c]], "yyyy-mm")</f>
        <v>2026-04</v>
      </c>
      <c r="AF525" s="6" t="str">
        <f>IF(Lessons[[#This Row],[Lesson_Date__c]]&lt;=Data_Audit!$F$1, "Yes", "No")</f>
        <v>Yes</v>
      </c>
    </row>
    <row r="526" spans="1:32">
      <c r="A526" t="s">
        <v>52</v>
      </c>
      <c r="B526" t="s">
        <v>53</v>
      </c>
      <c r="C526">
        <v>45</v>
      </c>
      <c r="D526" t="s">
        <v>1969</v>
      </c>
      <c r="E526" t="s">
        <v>337</v>
      </c>
      <c r="F526" t="s">
        <v>338</v>
      </c>
      <c r="G526" t="s">
        <v>164</v>
      </c>
      <c r="H526" t="s">
        <v>284</v>
      </c>
      <c r="I526" t="b">
        <v>0</v>
      </c>
      <c r="K526" t="s">
        <v>52</v>
      </c>
      <c r="L526" t="s">
        <v>1517</v>
      </c>
      <c r="O526" s="1">
        <v>46212</v>
      </c>
      <c r="P526" t="s">
        <v>1970</v>
      </c>
      <c r="Q526" t="s">
        <v>1971</v>
      </c>
      <c r="R526" t="s">
        <v>150</v>
      </c>
      <c r="S526" t="b">
        <v>0</v>
      </c>
      <c r="T526" t="b">
        <v>0</v>
      </c>
      <c r="U526" t="s">
        <v>1971</v>
      </c>
      <c r="V526" t="s">
        <v>140</v>
      </c>
      <c r="W526" t="s">
        <v>65</v>
      </c>
      <c r="X526" t="s">
        <v>1964</v>
      </c>
      <c r="Y526" t="s">
        <v>1965</v>
      </c>
      <c r="Z526" t="s">
        <v>1517</v>
      </c>
      <c r="AA526" t="b">
        <f>ISNUMBER(SEARCH(";"&amp;Lessons[[#This Row],[Instrument__c]]&amp;";",";"&amp;_xlfn.XLOOKUP(Lessons[[#This Row],[Instructor_External_Id__c]], Instructors[Id], Instructors[Instruments_Taught__c])&amp;";"))</f>
        <v>1</v>
      </c>
      <c r="AB526" t="str">
        <f>IF(LEFT(Lessons[[#This Row],[Status__c]],9)="Cancelled","",Lessons[[#This Row],[Instructor_External_Id__c]]&amp;"|"&amp;TEXT(Lessons[[#This Row],[Lesson_Date__c]],"yyyy-mm-dd")&amp;"|"&amp;Lessons[[#This Row],[Start_Time__c]])</f>
        <v>a06ak00000amzCIAAY|2026-07-09|15:00:00.000Z</v>
      </c>
      <c r="AC526">
        <f>IF(Lessons[[#This Row],[Double Booked Key]]="","",COUNTIF(Lessons[Double Booked Key],Lessons[[#This Row],[Double Booked Key]]))</f>
        <v>1</v>
      </c>
      <c r="AD526" s="6" t="str">
        <f>_xlfn.XLOOKUP(Lessons[[#This Row],[Location_External_Id__c]], Locations[Location Id], Locations[Location Name])</f>
        <v>Toms River</v>
      </c>
      <c r="AE526" s="6" t="str">
        <f>TEXT(Lessons[[#This Row],[Lesson_Date__c]], "yyyy-mm")</f>
        <v>2026-07</v>
      </c>
      <c r="AF526" s="6" t="str">
        <f>IF(Lessons[[#This Row],[Lesson_Date__c]]&lt;=Data_Audit!$F$1, "Yes", "No")</f>
        <v>Yes</v>
      </c>
    </row>
    <row r="527" spans="1:32">
      <c r="A527" t="s">
        <v>52</v>
      </c>
      <c r="B527" t="s">
        <v>53</v>
      </c>
      <c r="C527">
        <v>60</v>
      </c>
      <c r="D527" t="s">
        <v>1972</v>
      </c>
      <c r="E527" t="s">
        <v>337</v>
      </c>
      <c r="F527" t="s">
        <v>338</v>
      </c>
      <c r="G527" t="s">
        <v>164</v>
      </c>
      <c r="H527" t="s">
        <v>284</v>
      </c>
      <c r="I527" t="b">
        <v>0</v>
      </c>
      <c r="K527" t="s">
        <v>52</v>
      </c>
      <c r="L527" t="s">
        <v>1517</v>
      </c>
      <c r="O527" s="1">
        <v>46242</v>
      </c>
      <c r="P527" t="s">
        <v>1973</v>
      </c>
      <c r="Q527" t="s">
        <v>1974</v>
      </c>
      <c r="R527" t="s">
        <v>150</v>
      </c>
      <c r="S527" t="b">
        <v>0</v>
      </c>
      <c r="T527" t="b">
        <v>0</v>
      </c>
      <c r="U527" t="s">
        <v>1974</v>
      </c>
      <c r="V527" t="s">
        <v>94</v>
      </c>
      <c r="W527" t="s">
        <v>65</v>
      </c>
      <c r="X527" t="s">
        <v>1964</v>
      </c>
      <c r="Y527" t="s">
        <v>1965</v>
      </c>
      <c r="Z527" t="s">
        <v>1517</v>
      </c>
      <c r="AA527" t="b">
        <f>ISNUMBER(SEARCH(";"&amp;Lessons[[#This Row],[Instrument__c]]&amp;";",";"&amp;_xlfn.XLOOKUP(Lessons[[#This Row],[Instructor_External_Id__c]], Instructors[Id], Instructors[Instruments_Taught__c])&amp;";"))</f>
        <v>1</v>
      </c>
      <c r="AB527" t="str">
        <f>IF(LEFT(Lessons[[#This Row],[Status__c]],9)="Cancelled","",Lessons[[#This Row],[Instructor_External_Id__c]]&amp;"|"&amp;TEXT(Lessons[[#This Row],[Lesson_Date__c]],"yyyy-mm-dd")&amp;"|"&amp;Lessons[[#This Row],[Start_Time__c]])</f>
        <v>a06ak00000amzCIAAY|2026-08-08|19:00:00.000Z</v>
      </c>
      <c r="AC527">
        <f>IF(Lessons[[#This Row],[Double Booked Key]]="","",COUNTIF(Lessons[Double Booked Key],Lessons[[#This Row],[Double Booked Key]]))</f>
        <v>1</v>
      </c>
      <c r="AD527" s="6" t="str">
        <f>_xlfn.XLOOKUP(Lessons[[#This Row],[Location_External_Id__c]], Locations[Location Id], Locations[Location Name])</f>
        <v>Toms River</v>
      </c>
      <c r="AE527" s="6" t="str">
        <f>TEXT(Lessons[[#This Row],[Lesson_Date__c]], "yyyy-mm")</f>
        <v>2026-08</v>
      </c>
      <c r="AF527" s="6" t="str">
        <f>IF(Lessons[[#This Row],[Lesson_Date__c]]&lt;=Data_Audit!$F$1, "Yes", "No")</f>
        <v>Yes</v>
      </c>
    </row>
    <row r="528" spans="1:32">
      <c r="A528" t="s">
        <v>52</v>
      </c>
      <c r="B528" t="s">
        <v>53</v>
      </c>
      <c r="C528">
        <v>30</v>
      </c>
      <c r="D528" t="s">
        <v>1975</v>
      </c>
      <c r="E528" t="s">
        <v>337</v>
      </c>
      <c r="F528" t="s">
        <v>338</v>
      </c>
      <c r="G528" t="s">
        <v>57</v>
      </c>
      <c r="H528" t="s">
        <v>284</v>
      </c>
      <c r="I528" t="b">
        <v>0</v>
      </c>
      <c r="K528" t="s">
        <v>52</v>
      </c>
      <c r="L528" t="s">
        <v>1517</v>
      </c>
      <c r="O528" s="1">
        <v>46044</v>
      </c>
      <c r="P528" t="s">
        <v>1976</v>
      </c>
      <c r="Q528" t="s">
        <v>1977</v>
      </c>
      <c r="R528" t="s">
        <v>150</v>
      </c>
      <c r="S528" t="b">
        <v>0</v>
      </c>
      <c r="T528" t="b">
        <v>0</v>
      </c>
      <c r="U528" t="s">
        <v>1977</v>
      </c>
      <c r="V528" t="s">
        <v>135</v>
      </c>
      <c r="W528" t="s">
        <v>65</v>
      </c>
      <c r="X528" t="s">
        <v>1964</v>
      </c>
      <c r="Y528" t="s">
        <v>1965</v>
      </c>
      <c r="Z528" t="s">
        <v>1517</v>
      </c>
      <c r="AA528" t="b">
        <f>ISNUMBER(SEARCH(";"&amp;Lessons[[#This Row],[Instrument__c]]&amp;";",";"&amp;_xlfn.XLOOKUP(Lessons[[#This Row],[Instructor_External_Id__c]], Instructors[Id], Instructors[Instruments_Taught__c])&amp;";"))</f>
        <v>1</v>
      </c>
      <c r="AB528" t="str">
        <f>IF(LEFT(Lessons[[#This Row],[Status__c]],9)="Cancelled","",Lessons[[#This Row],[Instructor_External_Id__c]]&amp;"|"&amp;TEXT(Lessons[[#This Row],[Lesson_Date__c]],"yyyy-mm-dd")&amp;"|"&amp;Lessons[[#This Row],[Start_Time__c]])</f>
        <v>a06ak00000amzCIAAY|2026-01-22|15:30:00.000Z</v>
      </c>
      <c r="AC528">
        <f>IF(Lessons[[#This Row],[Double Booked Key]]="","",COUNTIF(Lessons[Double Booked Key],Lessons[[#This Row],[Double Booked Key]]))</f>
        <v>1</v>
      </c>
      <c r="AD528" s="6" t="str">
        <f>_xlfn.XLOOKUP(Lessons[[#This Row],[Location_External_Id__c]], Locations[Location Id], Locations[Location Name])</f>
        <v>Toms River</v>
      </c>
      <c r="AE528" s="6" t="str">
        <f>TEXT(Lessons[[#This Row],[Lesson_Date__c]], "yyyy-mm")</f>
        <v>2026-01</v>
      </c>
      <c r="AF528" s="6" t="str">
        <f>IF(Lessons[[#This Row],[Lesson_Date__c]]&lt;=Data_Audit!$F$1, "Yes", "No")</f>
        <v>Yes</v>
      </c>
    </row>
    <row r="529" spans="1:32">
      <c r="A529" t="s">
        <v>52</v>
      </c>
      <c r="B529" t="s">
        <v>53</v>
      </c>
      <c r="C529">
        <v>30</v>
      </c>
      <c r="D529" t="s">
        <v>1978</v>
      </c>
      <c r="E529" t="s">
        <v>337</v>
      </c>
      <c r="F529" t="s">
        <v>338</v>
      </c>
      <c r="G529" t="s">
        <v>164</v>
      </c>
      <c r="H529" t="s">
        <v>284</v>
      </c>
      <c r="I529" t="b">
        <v>0</v>
      </c>
      <c r="K529" t="s">
        <v>52</v>
      </c>
      <c r="L529" t="s">
        <v>1517</v>
      </c>
      <c r="O529" s="1">
        <v>46225</v>
      </c>
      <c r="P529" t="s">
        <v>1979</v>
      </c>
      <c r="Q529" t="s">
        <v>1980</v>
      </c>
      <c r="R529" t="s">
        <v>150</v>
      </c>
      <c r="S529" t="b">
        <v>0</v>
      </c>
      <c r="T529" t="b">
        <v>0</v>
      </c>
      <c r="U529" t="s">
        <v>1980</v>
      </c>
      <c r="V529" t="s">
        <v>64</v>
      </c>
      <c r="W529" t="s">
        <v>65</v>
      </c>
      <c r="X529" t="s">
        <v>1964</v>
      </c>
      <c r="Y529" t="s">
        <v>1965</v>
      </c>
      <c r="Z529" t="s">
        <v>1517</v>
      </c>
      <c r="AA529" t="b">
        <f>ISNUMBER(SEARCH(";"&amp;Lessons[[#This Row],[Instrument__c]]&amp;";",";"&amp;_xlfn.XLOOKUP(Lessons[[#This Row],[Instructor_External_Id__c]], Instructors[Id], Instructors[Instruments_Taught__c])&amp;";"))</f>
        <v>1</v>
      </c>
      <c r="AB529" t="str">
        <f>IF(LEFT(Lessons[[#This Row],[Status__c]],9)="Cancelled","",Lessons[[#This Row],[Instructor_External_Id__c]]&amp;"|"&amp;TEXT(Lessons[[#This Row],[Lesson_Date__c]],"yyyy-mm-dd")&amp;"|"&amp;Lessons[[#This Row],[Start_Time__c]])</f>
        <v>a06ak00000amzCIAAY|2026-07-22|11:00:00.000Z</v>
      </c>
      <c r="AC529">
        <f>IF(Lessons[[#This Row],[Double Booked Key]]="","",COUNTIF(Lessons[Double Booked Key],Lessons[[#This Row],[Double Booked Key]]))</f>
        <v>1</v>
      </c>
      <c r="AD529" s="6" t="str">
        <f>_xlfn.XLOOKUP(Lessons[[#This Row],[Location_External_Id__c]], Locations[Location Id], Locations[Location Name])</f>
        <v>Toms River</v>
      </c>
      <c r="AE529" s="6" t="str">
        <f>TEXT(Lessons[[#This Row],[Lesson_Date__c]], "yyyy-mm")</f>
        <v>2026-07</v>
      </c>
      <c r="AF529" s="6" t="str">
        <f>IF(Lessons[[#This Row],[Lesson_Date__c]]&lt;=Data_Audit!$F$1, "Yes", "No")</f>
        <v>Yes</v>
      </c>
    </row>
    <row r="530" spans="1:32">
      <c r="A530" t="s">
        <v>52</v>
      </c>
      <c r="B530" t="s">
        <v>53</v>
      </c>
      <c r="C530">
        <v>60</v>
      </c>
      <c r="D530" t="s">
        <v>1981</v>
      </c>
      <c r="E530" t="s">
        <v>337</v>
      </c>
      <c r="F530" t="s">
        <v>338</v>
      </c>
      <c r="G530" t="s">
        <v>57</v>
      </c>
      <c r="H530" t="s">
        <v>284</v>
      </c>
      <c r="I530" t="b">
        <v>0</v>
      </c>
      <c r="K530" t="s">
        <v>52</v>
      </c>
      <c r="L530" t="s">
        <v>1517</v>
      </c>
      <c r="O530" s="1">
        <v>46226</v>
      </c>
      <c r="P530" t="s">
        <v>1982</v>
      </c>
      <c r="Q530" t="s">
        <v>1983</v>
      </c>
      <c r="R530" t="s">
        <v>150</v>
      </c>
      <c r="S530" t="b">
        <v>0</v>
      </c>
      <c r="T530" t="b">
        <v>0</v>
      </c>
      <c r="U530" t="s">
        <v>1983</v>
      </c>
      <c r="V530" t="s">
        <v>140</v>
      </c>
      <c r="W530" t="s">
        <v>65</v>
      </c>
      <c r="X530" t="s">
        <v>1964</v>
      </c>
      <c r="Y530" t="s">
        <v>1965</v>
      </c>
      <c r="Z530" t="s">
        <v>1517</v>
      </c>
      <c r="AA530" t="b">
        <f>ISNUMBER(SEARCH(";"&amp;Lessons[[#This Row],[Instrument__c]]&amp;";",";"&amp;_xlfn.XLOOKUP(Lessons[[#This Row],[Instructor_External_Id__c]], Instructors[Id], Instructors[Instruments_Taught__c])&amp;";"))</f>
        <v>1</v>
      </c>
      <c r="AB530" t="str">
        <f>IF(LEFT(Lessons[[#This Row],[Status__c]],9)="Cancelled","",Lessons[[#This Row],[Instructor_External_Id__c]]&amp;"|"&amp;TEXT(Lessons[[#This Row],[Lesson_Date__c]],"yyyy-mm-dd")&amp;"|"&amp;Lessons[[#This Row],[Start_Time__c]])</f>
        <v>a06ak00000amzCIAAY|2026-07-23|15:00:00.000Z</v>
      </c>
      <c r="AC530">
        <f>IF(Lessons[[#This Row],[Double Booked Key]]="","",COUNTIF(Lessons[Double Booked Key],Lessons[[#This Row],[Double Booked Key]]))</f>
        <v>1</v>
      </c>
      <c r="AD530" s="6" t="str">
        <f>_xlfn.XLOOKUP(Lessons[[#This Row],[Location_External_Id__c]], Locations[Location Id], Locations[Location Name])</f>
        <v>Toms River</v>
      </c>
      <c r="AE530" s="6" t="str">
        <f>TEXT(Lessons[[#This Row],[Lesson_Date__c]], "yyyy-mm")</f>
        <v>2026-07</v>
      </c>
      <c r="AF530" s="6" t="str">
        <f>IF(Lessons[[#This Row],[Lesson_Date__c]]&lt;=Data_Audit!$F$1, "Yes", "No")</f>
        <v>Yes</v>
      </c>
    </row>
    <row r="531" spans="1:32">
      <c r="A531" t="s">
        <v>52</v>
      </c>
      <c r="B531" t="s">
        <v>53</v>
      </c>
      <c r="C531">
        <v>30</v>
      </c>
      <c r="D531" t="s">
        <v>1984</v>
      </c>
      <c r="E531" t="s">
        <v>337</v>
      </c>
      <c r="F531" t="s">
        <v>338</v>
      </c>
      <c r="G531" t="s">
        <v>57</v>
      </c>
      <c r="H531" t="s">
        <v>284</v>
      </c>
      <c r="I531" t="b">
        <v>0</v>
      </c>
      <c r="K531" t="s">
        <v>52</v>
      </c>
      <c r="L531" t="s">
        <v>1517</v>
      </c>
      <c r="O531" s="1">
        <v>46135</v>
      </c>
      <c r="P531" t="s">
        <v>1985</v>
      </c>
      <c r="Q531" t="s">
        <v>1986</v>
      </c>
      <c r="R531" t="s">
        <v>150</v>
      </c>
      <c r="S531" t="b">
        <v>0</v>
      </c>
      <c r="T531" t="b">
        <v>0</v>
      </c>
      <c r="U531" t="s">
        <v>1986</v>
      </c>
      <c r="V531" t="s">
        <v>140</v>
      </c>
      <c r="W531" t="s">
        <v>65</v>
      </c>
      <c r="X531" t="s">
        <v>1964</v>
      </c>
      <c r="Y531" t="s">
        <v>1965</v>
      </c>
      <c r="Z531" t="s">
        <v>1517</v>
      </c>
      <c r="AA531" t="b">
        <f>ISNUMBER(SEARCH(";"&amp;Lessons[[#This Row],[Instrument__c]]&amp;";",";"&amp;_xlfn.XLOOKUP(Lessons[[#This Row],[Instructor_External_Id__c]], Instructors[Id], Instructors[Instruments_Taught__c])&amp;";"))</f>
        <v>1</v>
      </c>
      <c r="AB531" t="str">
        <f>IF(LEFT(Lessons[[#This Row],[Status__c]],9)="Cancelled","",Lessons[[#This Row],[Instructor_External_Id__c]]&amp;"|"&amp;TEXT(Lessons[[#This Row],[Lesson_Date__c]],"yyyy-mm-dd")&amp;"|"&amp;Lessons[[#This Row],[Start_Time__c]])</f>
        <v>a06ak00000amzCIAAY|2026-04-23|15:00:00.000Z</v>
      </c>
      <c r="AC531">
        <f>IF(Lessons[[#This Row],[Double Booked Key]]="","",COUNTIF(Lessons[Double Booked Key],Lessons[[#This Row],[Double Booked Key]]))</f>
        <v>1</v>
      </c>
      <c r="AD531" s="6" t="str">
        <f>_xlfn.XLOOKUP(Lessons[[#This Row],[Location_External_Id__c]], Locations[Location Id], Locations[Location Name])</f>
        <v>Toms River</v>
      </c>
      <c r="AE531" s="6" t="str">
        <f>TEXT(Lessons[[#This Row],[Lesson_Date__c]], "yyyy-mm")</f>
        <v>2026-04</v>
      </c>
      <c r="AF531" s="6" t="str">
        <f>IF(Lessons[[#This Row],[Lesson_Date__c]]&lt;=Data_Audit!$F$1, "Yes", "No")</f>
        <v>Yes</v>
      </c>
    </row>
    <row r="532" spans="1:32">
      <c r="A532" t="s">
        <v>52</v>
      </c>
      <c r="B532" t="s">
        <v>53</v>
      </c>
      <c r="C532">
        <v>30</v>
      </c>
      <c r="D532" t="s">
        <v>1987</v>
      </c>
      <c r="E532" t="s">
        <v>459</v>
      </c>
      <c r="F532" t="s">
        <v>460</v>
      </c>
      <c r="G532" t="s">
        <v>164</v>
      </c>
      <c r="H532" t="s">
        <v>461</v>
      </c>
      <c r="I532" t="b">
        <v>0</v>
      </c>
      <c r="K532" t="s">
        <v>52</v>
      </c>
      <c r="L532" t="s">
        <v>1517</v>
      </c>
      <c r="O532" s="1">
        <v>46113</v>
      </c>
      <c r="P532" t="s">
        <v>1988</v>
      </c>
      <c r="Q532" t="s">
        <v>1989</v>
      </c>
      <c r="R532" t="s">
        <v>83</v>
      </c>
      <c r="S532" t="b">
        <v>0</v>
      </c>
      <c r="T532" t="b">
        <v>0</v>
      </c>
      <c r="U532" t="s">
        <v>1989</v>
      </c>
      <c r="V532" t="s">
        <v>135</v>
      </c>
      <c r="W532" t="s">
        <v>65</v>
      </c>
      <c r="X532" t="s">
        <v>1990</v>
      </c>
      <c r="Y532" t="s">
        <v>1991</v>
      </c>
      <c r="Z532" t="s">
        <v>1517</v>
      </c>
      <c r="AA532" t="b">
        <f>ISNUMBER(SEARCH(";"&amp;Lessons[[#This Row],[Instrument__c]]&amp;";",";"&amp;_xlfn.XLOOKUP(Lessons[[#This Row],[Instructor_External_Id__c]], Instructors[Id], Instructors[Instruments_Taught__c])&amp;";"))</f>
        <v>1</v>
      </c>
      <c r="AB532" t="str">
        <f>IF(LEFT(Lessons[[#This Row],[Status__c]],9)="Cancelled","",Lessons[[#This Row],[Instructor_External_Id__c]]&amp;"|"&amp;TEXT(Lessons[[#This Row],[Lesson_Date__c]],"yyyy-mm-dd")&amp;"|"&amp;Lessons[[#This Row],[Start_Time__c]])</f>
        <v>a06ak00000amzC8AAI|2026-04-01|15:30:00.000Z</v>
      </c>
      <c r="AC532">
        <f>IF(Lessons[[#This Row],[Double Booked Key]]="","",COUNTIF(Lessons[Double Booked Key],Lessons[[#This Row],[Double Booked Key]]))</f>
        <v>1</v>
      </c>
      <c r="AD532" s="6" t="str">
        <f>_xlfn.XLOOKUP(Lessons[[#This Row],[Location_External_Id__c]], Locations[Location Id], Locations[Location Name])</f>
        <v>Brick</v>
      </c>
      <c r="AE532" s="6" t="str">
        <f>TEXT(Lessons[[#This Row],[Lesson_Date__c]], "yyyy-mm")</f>
        <v>2026-04</v>
      </c>
      <c r="AF532" s="6" t="str">
        <f>IF(Lessons[[#This Row],[Lesson_Date__c]]&lt;=Data_Audit!$F$1, "Yes", "No")</f>
        <v>Yes</v>
      </c>
    </row>
    <row r="533" spans="1:32">
      <c r="A533" t="s">
        <v>52</v>
      </c>
      <c r="B533" t="s">
        <v>53</v>
      </c>
      <c r="C533">
        <v>60</v>
      </c>
      <c r="D533" t="s">
        <v>1992</v>
      </c>
      <c r="E533" t="s">
        <v>459</v>
      </c>
      <c r="F533" t="s">
        <v>460</v>
      </c>
      <c r="G533" t="s">
        <v>99</v>
      </c>
      <c r="H533" t="s">
        <v>461</v>
      </c>
      <c r="I533" t="b">
        <v>0</v>
      </c>
      <c r="K533" t="s">
        <v>52</v>
      </c>
      <c r="L533" t="s">
        <v>1517</v>
      </c>
      <c r="O533" s="1">
        <v>46267</v>
      </c>
      <c r="P533" t="s">
        <v>1993</v>
      </c>
      <c r="Q533" t="s">
        <v>1994</v>
      </c>
      <c r="R533" t="s">
        <v>83</v>
      </c>
      <c r="S533" t="b">
        <v>0</v>
      </c>
      <c r="T533" t="b">
        <v>0</v>
      </c>
      <c r="U533" t="s">
        <v>1994</v>
      </c>
      <c r="V533" t="s">
        <v>94</v>
      </c>
      <c r="W533" t="s">
        <v>65</v>
      </c>
      <c r="X533" t="s">
        <v>1990</v>
      </c>
      <c r="Y533" t="s">
        <v>1991</v>
      </c>
      <c r="Z533" t="s">
        <v>1517</v>
      </c>
      <c r="AA533" t="b">
        <f>ISNUMBER(SEARCH(";"&amp;Lessons[[#This Row],[Instrument__c]]&amp;";",";"&amp;_xlfn.XLOOKUP(Lessons[[#This Row],[Instructor_External_Id__c]], Instructors[Id], Instructors[Instruments_Taught__c])&amp;";"))</f>
        <v>1</v>
      </c>
      <c r="AB533" t="str">
        <f>IF(LEFT(Lessons[[#This Row],[Status__c]],9)="Cancelled","",Lessons[[#This Row],[Instructor_External_Id__c]]&amp;"|"&amp;TEXT(Lessons[[#This Row],[Lesson_Date__c]],"yyyy-mm-dd")&amp;"|"&amp;Lessons[[#This Row],[Start_Time__c]])</f>
        <v>a06ak00000amzC8AAI|2026-09-02|19:00:00.000Z</v>
      </c>
      <c r="AC533">
        <f>IF(Lessons[[#This Row],[Double Booked Key]]="","",COUNTIF(Lessons[Double Booked Key],Lessons[[#This Row],[Double Booked Key]]))</f>
        <v>1</v>
      </c>
      <c r="AD533" s="6" t="str">
        <f>_xlfn.XLOOKUP(Lessons[[#This Row],[Location_External_Id__c]], Locations[Location Id], Locations[Location Name])</f>
        <v>Brick</v>
      </c>
      <c r="AE533" s="6" t="str">
        <f>TEXT(Lessons[[#This Row],[Lesson_Date__c]], "yyyy-mm")</f>
        <v>2026-09</v>
      </c>
      <c r="AF533" s="6" t="str">
        <f>IF(Lessons[[#This Row],[Lesson_Date__c]]&lt;=Data_Audit!$F$1, "Yes", "No")</f>
        <v>Yes</v>
      </c>
    </row>
    <row r="534" spans="1:32">
      <c r="A534" t="s">
        <v>52</v>
      </c>
      <c r="B534" t="s">
        <v>53</v>
      </c>
      <c r="C534">
        <v>30</v>
      </c>
      <c r="D534" t="s">
        <v>1995</v>
      </c>
      <c r="E534" t="s">
        <v>459</v>
      </c>
      <c r="F534" t="s">
        <v>460</v>
      </c>
      <c r="G534" t="s">
        <v>57</v>
      </c>
      <c r="H534" t="s">
        <v>461</v>
      </c>
      <c r="I534" t="b">
        <v>0</v>
      </c>
      <c r="K534" t="s">
        <v>52</v>
      </c>
      <c r="L534" t="s">
        <v>1517</v>
      </c>
      <c r="O534" s="1">
        <v>46210</v>
      </c>
      <c r="P534" t="s">
        <v>1996</v>
      </c>
      <c r="Q534" t="s">
        <v>1997</v>
      </c>
      <c r="R534" t="s">
        <v>83</v>
      </c>
      <c r="S534" t="b">
        <v>0</v>
      </c>
      <c r="T534" t="b">
        <v>0</v>
      </c>
      <c r="U534" t="s">
        <v>1997</v>
      </c>
      <c r="V534" t="s">
        <v>102</v>
      </c>
      <c r="W534" t="s">
        <v>65</v>
      </c>
      <c r="X534" t="s">
        <v>1990</v>
      </c>
      <c r="Y534" t="s">
        <v>1991</v>
      </c>
      <c r="Z534" t="s">
        <v>1517</v>
      </c>
      <c r="AA534" t="b">
        <f>ISNUMBER(SEARCH(";"&amp;Lessons[[#This Row],[Instrument__c]]&amp;";",";"&amp;_xlfn.XLOOKUP(Lessons[[#This Row],[Instructor_External_Id__c]], Instructors[Id], Instructors[Instruments_Taught__c])&amp;";"))</f>
        <v>1</v>
      </c>
      <c r="AB534" t="str">
        <f>IF(LEFT(Lessons[[#This Row],[Status__c]],9)="Cancelled","",Lessons[[#This Row],[Instructor_External_Id__c]]&amp;"|"&amp;TEXT(Lessons[[#This Row],[Lesson_Date__c]],"yyyy-mm-dd")&amp;"|"&amp;Lessons[[#This Row],[Start_Time__c]])</f>
        <v>a06ak00000amzC8AAI|2026-07-07|16:00:00.000Z</v>
      </c>
      <c r="AC534">
        <f>IF(Lessons[[#This Row],[Double Booked Key]]="","",COUNTIF(Lessons[Double Booked Key],Lessons[[#This Row],[Double Booked Key]]))</f>
        <v>1</v>
      </c>
      <c r="AD534" s="6" t="str">
        <f>_xlfn.XLOOKUP(Lessons[[#This Row],[Location_External_Id__c]], Locations[Location Id], Locations[Location Name])</f>
        <v>Brick</v>
      </c>
      <c r="AE534" s="6" t="str">
        <f>TEXT(Lessons[[#This Row],[Lesson_Date__c]], "yyyy-mm")</f>
        <v>2026-07</v>
      </c>
      <c r="AF534" s="6" t="str">
        <f>IF(Lessons[[#This Row],[Lesson_Date__c]]&lt;=Data_Audit!$F$1, "Yes", "No")</f>
        <v>Yes</v>
      </c>
    </row>
    <row r="535" spans="1:32">
      <c r="A535" t="s">
        <v>52</v>
      </c>
      <c r="B535" t="s">
        <v>53</v>
      </c>
      <c r="C535">
        <v>30</v>
      </c>
      <c r="D535" t="s">
        <v>1998</v>
      </c>
      <c r="E535" t="s">
        <v>459</v>
      </c>
      <c r="F535" t="s">
        <v>460</v>
      </c>
      <c r="G535" t="s">
        <v>106</v>
      </c>
      <c r="H535" t="s">
        <v>461</v>
      </c>
      <c r="I535" t="b">
        <v>0</v>
      </c>
      <c r="K535" t="s">
        <v>52</v>
      </c>
      <c r="L535" t="s">
        <v>1517</v>
      </c>
      <c r="O535" s="1">
        <v>46192</v>
      </c>
      <c r="P535" t="s">
        <v>1999</v>
      </c>
      <c r="Q535" t="s">
        <v>2000</v>
      </c>
      <c r="R535" t="s">
        <v>83</v>
      </c>
      <c r="S535" t="b">
        <v>0</v>
      </c>
      <c r="T535" t="b">
        <v>0</v>
      </c>
      <c r="U535" t="s">
        <v>2000</v>
      </c>
      <c r="V535" t="s">
        <v>102</v>
      </c>
      <c r="W535" t="s">
        <v>65</v>
      </c>
      <c r="X535" t="s">
        <v>1990</v>
      </c>
      <c r="Y535" t="s">
        <v>1991</v>
      </c>
      <c r="Z535" t="s">
        <v>1517</v>
      </c>
      <c r="AA535" t="b">
        <f>ISNUMBER(SEARCH(";"&amp;Lessons[[#This Row],[Instrument__c]]&amp;";",";"&amp;_xlfn.XLOOKUP(Lessons[[#This Row],[Instructor_External_Id__c]], Instructors[Id], Instructors[Instruments_Taught__c])&amp;";"))</f>
        <v>1</v>
      </c>
      <c r="AB535" t="str">
        <f>IF(LEFT(Lessons[[#This Row],[Status__c]],9)="Cancelled","",Lessons[[#This Row],[Instructor_External_Id__c]]&amp;"|"&amp;TEXT(Lessons[[#This Row],[Lesson_Date__c]],"yyyy-mm-dd")&amp;"|"&amp;Lessons[[#This Row],[Start_Time__c]])</f>
        <v>a06ak00000amzC8AAI|2026-06-19|16:00:00.000Z</v>
      </c>
      <c r="AC535">
        <f>IF(Lessons[[#This Row],[Double Booked Key]]="","",COUNTIF(Lessons[Double Booked Key],Lessons[[#This Row],[Double Booked Key]]))</f>
        <v>1</v>
      </c>
      <c r="AD535" s="6" t="str">
        <f>_xlfn.XLOOKUP(Lessons[[#This Row],[Location_External_Id__c]], Locations[Location Id], Locations[Location Name])</f>
        <v>Brick</v>
      </c>
      <c r="AE535" s="6" t="str">
        <f>TEXT(Lessons[[#This Row],[Lesson_Date__c]], "yyyy-mm")</f>
        <v>2026-06</v>
      </c>
      <c r="AF535" s="6" t="str">
        <f>IF(Lessons[[#This Row],[Lesson_Date__c]]&lt;=Data_Audit!$F$1, "Yes", "No")</f>
        <v>Yes</v>
      </c>
    </row>
    <row r="536" spans="1:32">
      <c r="A536" t="s">
        <v>52</v>
      </c>
      <c r="B536" t="s">
        <v>53</v>
      </c>
      <c r="C536">
        <v>60</v>
      </c>
      <c r="D536" t="s">
        <v>2001</v>
      </c>
      <c r="E536" t="s">
        <v>459</v>
      </c>
      <c r="F536" t="s">
        <v>460</v>
      </c>
      <c r="G536" t="s">
        <v>164</v>
      </c>
      <c r="H536" t="s">
        <v>461</v>
      </c>
      <c r="I536" t="b">
        <v>0</v>
      </c>
      <c r="K536" t="s">
        <v>52</v>
      </c>
      <c r="L536" t="s">
        <v>1517</v>
      </c>
      <c r="O536" s="1">
        <v>46232</v>
      </c>
      <c r="P536" t="s">
        <v>2002</v>
      </c>
      <c r="Q536" t="s">
        <v>2003</v>
      </c>
      <c r="R536" t="s">
        <v>83</v>
      </c>
      <c r="S536" t="b">
        <v>0</v>
      </c>
      <c r="T536" t="b">
        <v>0</v>
      </c>
      <c r="U536" t="s">
        <v>2003</v>
      </c>
      <c r="V536" t="s">
        <v>74</v>
      </c>
      <c r="W536" t="s">
        <v>65</v>
      </c>
      <c r="X536" t="s">
        <v>1990</v>
      </c>
      <c r="Y536" t="s">
        <v>1991</v>
      </c>
      <c r="Z536" t="s">
        <v>1517</v>
      </c>
      <c r="AA536" t="b">
        <f>ISNUMBER(SEARCH(";"&amp;Lessons[[#This Row],[Instrument__c]]&amp;";",";"&amp;_xlfn.XLOOKUP(Lessons[[#This Row],[Instructor_External_Id__c]], Instructors[Id], Instructors[Instruments_Taught__c])&amp;";"))</f>
        <v>1</v>
      </c>
      <c r="AB536" t="str">
        <f>IF(LEFT(Lessons[[#This Row],[Status__c]],9)="Cancelled","",Lessons[[#This Row],[Instructor_External_Id__c]]&amp;"|"&amp;TEXT(Lessons[[#This Row],[Lesson_Date__c]],"yyyy-mm-dd")&amp;"|"&amp;Lessons[[#This Row],[Start_Time__c]])</f>
        <v>a06ak00000amzC8AAI|2026-07-29|16:30:00.000Z</v>
      </c>
      <c r="AC536">
        <f>IF(Lessons[[#This Row],[Double Booked Key]]="","",COUNTIF(Lessons[Double Booked Key],Lessons[[#This Row],[Double Booked Key]]))</f>
        <v>1</v>
      </c>
      <c r="AD536" s="6" t="str">
        <f>_xlfn.XLOOKUP(Lessons[[#This Row],[Location_External_Id__c]], Locations[Location Id], Locations[Location Name])</f>
        <v>Brick</v>
      </c>
      <c r="AE536" s="6" t="str">
        <f>TEXT(Lessons[[#This Row],[Lesson_Date__c]], "yyyy-mm")</f>
        <v>2026-07</v>
      </c>
      <c r="AF536" s="6" t="str">
        <f>IF(Lessons[[#This Row],[Lesson_Date__c]]&lt;=Data_Audit!$F$1, "Yes", "No")</f>
        <v>Yes</v>
      </c>
    </row>
    <row r="537" spans="1:32">
      <c r="A537" t="s">
        <v>52</v>
      </c>
      <c r="B537" t="s">
        <v>53</v>
      </c>
      <c r="C537">
        <v>30</v>
      </c>
      <c r="D537" t="s">
        <v>2004</v>
      </c>
      <c r="E537" t="s">
        <v>459</v>
      </c>
      <c r="F537" t="s">
        <v>460</v>
      </c>
      <c r="G537" t="s">
        <v>164</v>
      </c>
      <c r="H537" t="s">
        <v>461</v>
      </c>
      <c r="I537" t="b">
        <v>0</v>
      </c>
      <c r="K537" t="s">
        <v>52</v>
      </c>
      <c r="L537" t="s">
        <v>1517</v>
      </c>
      <c r="O537" s="1">
        <v>46293</v>
      </c>
      <c r="P537" t="s">
        <v>2005</v>
      </c>
      <c r="Q537" t="s">
        <v>2006</v>
      </c>
      <c r="R537" t="s">
        <v>83</v>
      </c>
      <c r="S537" t="b">
        <v>0</v>
      </c>
      <c r="T537" t="b">
        <v>0</v>
      </c>
      <c r="U537" t="s">
        <v>2006</v>
      </c>
      <c r="V537" t="s">
        <v>74</v>
      </c>
      <c r="W537" t="s">
        <v>65</v>
      </c>
      <c r="X537" t="s">
        <v>1990</v>
      </c>
      <c r="Y537" t="s">
        <v>1991</v>
      </c>
      <c r="Z537" t="s">
        <v>1517</v>
      </c>
      <c r="AA537" t="b">
        <f>ISNUMBER(SEARCH(";"&amp;Lessons[[#This Row],[Instrument__c]]&amp;";",";"&amp;_xlfn.XLOOKUP(Lessons[[#This Row],[Instructor_External_Id__c]], Instructors[Id], Instructors[Instruments_Taught__c])&amp;";"))</f>
        <v>1</v>
      </c>
      <c r="AB537" t="str">
        <f>IF(LEFT(Lessons[[#This Row],[Status__c]],9)="Cancelled","",Lessons[[#This Row],[Instructor_External_Id__c]]&amp;"|"&amp;TEXT(Lessons[[#This Row],[Lesson_Date__c]],"yyyy-mm-dd")&amp;"|"&amp;Lessons[[#This Row],[Start_Time__c]])</f>
        <v>a06ak00000amzC8AAI|2026-09-28|16:30:00.000Z</v>
      </c>
      <c r="AC537">
        <f>IF(Lessons[[#This Row],[Double Booked Key]]="","",COUNTIF(Lessons[Double Booked Key],Lessons[[#This Row],[Double Booked Key]]))</f>
        <v>1</v>
      </c>
      <c r="AD537" s="6" t="str">
        <f>_xlfn.XLOOKUP(Lessons[[#This Row],[Location_External_Id__c]], Locations[Location Id], Locations[Location Name])</f>
        <v>Brick</v>
      </c>
      <c r="AE537" s="6" t="str">
        <f>TEXT(Lessons[[#This Row],[Lesson_Date__c]], "yyyy-mm")</f>
        <v>2026-09</v>
      </c>
      <c r="AF537" s="6" t="str">
        <f>IF(Lessons[[#This Row],[Lesson_Date__c]]&lt;=Data_Audit!$F$1, "Yes", "No")</f>
        <v>Yes</v>
      </c>
    </row>
    <row r="538" spans="1:32">
      <c r="A538" t="s">
        <v>52</v>
      </c>
      <c r="B538" t="s">
        <v>53</v>
      </c>
      <c r="C538">
        <v>60</v>
      </c>
      <c r="D538" t="s">
        <v>2007</v>
      </c>
      <c r="E538" t="s">
        <v>459</v>
      </c>
      <c r="F538" t="s">
        <v>460</v>
      </c>
      <c r="H538" t="s">
        <v>461</v>
      </c>
      <c r="I538" t="b">
        <v>0</v>
      </c>
      <c r="K538" t="s">
        <v>52</v>
      </c>
      <c r="L538" t="s">
        <v>171</v>
      </c>
      <c r="O538" s="1">
        <v>46091</v>
      </c>
      <c r="P538" t="s">
        <v>2008</v>
      </c>
      <c r="Q538" t="s">
        <v>2009</v>
      </c>
      <c r="R538" t="s">
        <v>83</v>
      </c>
      <c r="S538" t="b">
        <v>1</v>
      </c>
      <c r="T538" t="b">
        <v>1</v>
      </c>
      <c r="U538" t="s">
        <v>2009</v>
      </c>
      <c r="V538" t="s">
        <v>102</v>
      </c>
      <c r="W538" t="s">
        <v>136</v>
      </c>
      <c r="X538" t="s">
        <v>1990</v>
      </c>
      <c r="Y538" t="s">
        <v>1991</v>
      </c>
      <c r="Z538" t="s">
        <v>171</v>
      </c>
      <c r="AA538" t="b">
        <f>ISNUMBER(SEARCH(";"&amp;Lessons[[#This Row],[Instrument__c]]&amp;";",";"&amp;_xlfn.XLOOKUP(Lessons[[#This Row],[Instructor_External_Id__c]], Instructors[Id], Instructors[Instruments_Taught__c])&amp;";"))</f>
        <v>1</v>
      </c>
      <c r="AB538" t="str">
        <f>IF(LEFT(Lessons[[#This Row],[Status__c]],9)="Cancelled","",Lessons[[#This Row],[Instructor_External_Id__c]]&amp;"|"&amp;TEXT(Lessons[[#This Row],[Lesson_Date__c]],"yyyy-mm-dd")&amp;"|"&amp;Lessons[[#This Row],[Start_Time__c]])</f>
        <v/>
      </c>
      <c r="AC538" t="str">
        <f>IF(Lessons[[#This Row],[Double Booked Key]]="","",COUNTIF(Lessons[Double Booked Key],Lessons[[#This Row],[Double Booked Key]]))</f>
        <v/>
      </c>
      <c r="AD538" s="6" t="str">
        <f>_xlfn.XLOOKUP(Lessons[[#This Row],[Location_External_Id__c]], Locations[Location Id], Locations[Location Name])</f>
        <v>Brick</v>
      </c>
      <c r="AE538" s="6" t="str">
        <f>TEXT(Lessons[[#This Row],[Lesson_Date__c]], "yyyy-mm")</f>
        <v>2026-03</v>
      </c>
      <c r="AF538" s="6" t="str">
        <f>IF(Lessons[[#This Row],[Lesson_Date__c]]&lt;=Data_Audit!$F$1, "Yes", "No")</f>
        <v>Yes</v>
      </c>
    </row>
    <row r="539" spans="1:32">
      <c r="A539" t="s">
        <v>52</v>
      </c>
      <c r="B539" t="s">
        <v>53</v>
      </c>
      <c r="C539">
        <v>30</v>
      </c>
      <c r="D539" t="s">
        <v>2010</v>
      </c>
      <c r="E539" t="s">
        <v>459</v>
      </c>
      <c r="F539" t="s">
        <v>460</v>
      </c>
      <c r="G539" t="s">
        <v>69</v>
      </c>
      <c r="H539" t="s">
        <v>461</v>
      </c>
      <c r="I539" t="b">
        <v>0</v>
      </c>
      <c r="K539" t="s">
        <v>52</v>
      </c>
      <c r="L539" t="s">
        <v>1517</v>
      </c>
      <c r="O539" s="1">
        <v>46272</v>
      </c>
      <c r="P539" t="s">
        <v>2011</v>
      </c>
      <c r="Q539" t="s">
        <v>2012</v>
      </c>
      <c r="R539" t="s">
        <v>83</v>
      </c>
      <c r="S539" t="b">
        <v>0</v>
      </c>
      <c r="T539" t="b">
        <v>0</v>
      </c>
      <c r="U539" t="s">
        <v>2012</v>
      </c>
      <c r="V539" t="s">
        <v>140</v>
      </c>
      <c r="W539" t="s">
        <v>65</v>
      </c>
      <c r="X539" t="s">
        <v>1990</v>
      </c>
      <c r="Y539" t="s">
        <v>1991</v>
      </c>
      <c r="Z539" t="s">
        <v>1517</v>
      </c>
      <c r="AA539" t="b">
        <f>ISNUMBER(SEARCH(";"&amp;Lessons[[#This Row],[Instrument__c]]&amp;";",";"&amp;_xlfn.XLOOKUP(Lessons[[#This Row],[Instructor_External_Id__c]], Instructors[Id], Instructors[Instruments_Taught__c])&amp;";"))</f>
        <v>1</v>
      </c>
      <c r="AB539" t="str">
        <f>IF(LEFT(Lessons[[#This Row],[Status__c]],9)="Cancelled","",Lessons[[#This Row],[Instructor_External_Id__c]]&amp;"|"&amp;TEXT(Lessons[[#This Row],[Lesson_Date__c]],"yyyy-mm-dd")&amp;"|"&amp;Lessons[[#This Row],[Start_Time__c]])</f>
        <v>a06ak00000amzC8AAI|2026-09-07|15:00:00.000Z</v>
      </c>
      <c r="AC539">
        <f>IF(Lessons[[#This Row],[Double Booked Key]]="","",COUNTIF(Lessons[Double Booked Key],Lessons[[#This Row],[Double Booked Key]]))</f>
        <v>1</v>
      </c>
      <c r="AD539" s="6" t="str">
        <f>_xlfn.XLOOKUP(Lessons[[#This Row],[Location_External_Id__c]], Locations[Location Id], Locations[Location Name])</f>
        <v>Brick</v>
      </c>
      <c r="AE539" s="6" t="str">
        <f>TEXT(Lessons[[#This Row],[Lesson_Date__c]], "yyyy-mm")</f>
        <v>2026-09</v>
      </c>
      <c r="AF539" s="6" t="str">
        <f>IF(Lessons[[#This Row],[Lesson_Date__c]]&lt;=Data_Audit!$F$1, "Yes", "No")</f>
        <v>Yes</v>
      </c>
    </row>
    <row r="540" spans="1:32">
      <c r="A540" t="s">
        <v>52</v>
      </c>
      <c r="B540" t="s">
        <v>53</v>
      </c>
      <c r="C540">
        <v>60</v>
      </c>
      <c r="D540" t="s">
        <v>2013</v>
      </c>
      <c r="E540" t="s">
        <v>145</v>
      </c>
      <c r="F540" t="s">
        <v>146</v>
      </c>
      <c r="G540" t="s">
        <v>164</v>
      </c>
      <c r="H540" t="s">
        <v>147</v>
      </c>
      <c r="I540" t="b">
        <v>0</v>
      </c>
      <c r="K540" t="s">
        <v>52</v>
      </c>
      <c r="L540" t="s">
        <v>1517</v>
      </c>
      <c r="O540" s="1">
        <v>46169</v>
      </c>
      <c r="P540" t="s">
        <v>2014</v>
      </c>
      <c r="Q540" t="s">
        <v>2015</v>
      </c>
      <c r="R540" t="s">
        <v>83</v>
      </c>
      <c r="S540" t="b">
        <v>0</v>
      </c>
      <c r="T540" t="b">
        <v>0</v>
      </c>
      <c r="U540" t="s">
        <v>2015</v>
      </c>
      <c r="V540" t="s">
        <v>94</v>
      </c>
      <c r="W540" t="s">
        <v>65</v>
      </c>
      <c r="X540" t="s">
        <v>2016</v>
      </c>
      <c r="Y540" t="s">
        <v>2017</v>
      </c>
      <c r="Z540" t="s">
        <v>1517</v>
      </c>
      <c r="AA540" t="b">
        <f>ISNUMBER(SEARCH(";"&amp;Lessons[[#This Row],[Instrument__c]]&amp;";",";"&amp;_xlfn.XLOOKUP(Lessons[[#This Row],[Instructor_External_Id__c]], Instructors[Id], Instructors[Instruments_Taught__c])&amp;";"))</f>
        <v>1</v>
      </c>
      <c r="AB540" t="str">
        <f>IF(LEFT(Lessons[[#This Row],[Status__c]],9)="Cancelled","",Lessons[[#This Row],[Instructor_External_Id__c]]&amp;"|"&amp;TEXT(Lessons[[#This Row],[Lesson_Date__c]],"yyyy-mm-dd")&amp;"|"&amp;Lessons[[#This Row],[Start_Time__c]])</f>
        <v>a06ak00000amzBhAAI|2026-05-27|19:00:00.000Z</v>
      </c>
      <c r="AC540">
        <f>IF(Lessons[[#This Row],[Double Booked Key]]="","",COUNTIF(Lessons[Double Booked Key],Lessons[[#This Row],[Double Booked Key]]))</f>
        <v>1</v>
      </c>
      <c r="AD540" s="6" t="str">
        <f>_xlfn.XLOOKUP(Lessons[[#This Row],[Location_External_Id__c]], Locations[Location Id], Locations[Location Name])</f>
        <v>Brick</v>
      </c>
      <c r="AE540" s="6" t="str">
        <f>TEXT(Lessons[[#This Row],[Lesson_Date__c]], "yyyy-mm")</f>
        <v>2026-05</v>
      </c>
      <c r="AF540" s="6" t="str">
        <f>IF(Lessons[[#This Row],[Lesson_Date__c]]&lt;=Data_Audit!$F$1, "Yes", "No")</f>
        <v>Yes</v>
      </c>
    </row>
    <row r="541" spans="1:32">
      <c r="A541" t="s">
        <v>52</v>
      </c>
      <c r="B541" t="s">
        <v>53</v>
      </c>
      <c r="C541">
        <v>60</v>
      </c>
      <c r="D541" t="s">
        <v>2018</v>
      </c>
      <c r="E541" t="s">
        <v>145</v>
      </c>
      <c r="F541" t="s">
        <v>146</v>
      </c>
      <c r="G541" t="s">
        <v>106</v>
      </c>
      <c r="H541" t="s">
        <v>147</v>
      </c>
      <c r="I541" t="b">
        <v>0</v>
      </c>
      <c r="K541" t="s">
        <v>52</v>
      </c>
      <c r="L541" t="s">
        <v>1517</v>
      </c>
      <c r="O541" s="1">
        <v>46187</v>
      </c>
      <c r="P541" t="s">
        <v>2019</v>
      </c>
      <c r="Q541" t="s">
        <v>2020</v>
      </c>
      <c r="R541" t="s">
        <v>83</v>
      </c>
      <c r="S541" t="b">
        <v>0</v>
      </c>
      <c r="T541" t="b">
        <v>0</v>
      </c>
      <c r="U541" t="s">
        <v>2020</v>
      </c>
      <c r="V541" t="s">
        <v>110</v>
      </c>
      <c r="W541" t="s">
        <v>65</v>
      </c>
      <c r="X541" t="s">
        <v>2016</v>
      </c>
      <c r="Y541" t="s">
        <v>2017</v>
      </c>
      <c r="Z541" t="s">
        <v>1517</v>
      </c>
      <c r="AA541" t="b">
        <f>ISNUMBER(SEARCH(";"&amp;Lessons[[#This Row],[Instrument__c]]&amp;";",";"&amp;_xlfn.XLOOKUP(Lessons[[#This Row],[Instructor_External_Id__c]], Instructors[Id], Instructors[Instruments_Taught__c])&amp;";"))</f>
        <v>1</v>
      </c>
      <c r="AB541" t="str">
        <f>IF(LEFT(Lessons[[#This Row],[Status__c]],9)="Cancelled","",Lessons[[#This Row],[Instructor_External_Id__c]]&amp;"|"&amp;TEXT(Lessons[[#This Row],[Lesson_Date__c]],"yyyy-mm-dd")&amp;"|"&amp;Lessons[[#This Row],[Start_Time__c]])</f>
        <v>a06ak00000amzBhAAI|2026-06-14|10:00:00.000Z</v>
      </c>
      <c r="AC541">
        <f>IF(Lessons[[#This Row],[Double Booked Key]]="","",COUNTIF(Lessons[Double Booked Key],Lessons[[#This Row],[Double Booked Key]]))</f>
        <v>1</v>
      </c>
      <c r="AD541" s="6" t="str">
        <f>_xlfn.XLOOKUP(Lessons[[#This Row],[Location_External_Id__c]], Locations[Location Id], Locations[Location Name])</f>
        <v>Brick</v>
      </c>
      <c r="AE541" s="6" t="str">
        <f>TEXT(Lessons[[#This Row],[Lesson_Date__c]], "yyyy-mm")</f>
        <v>2026-06</v>
      </c>
      <c r="AF541" s="6" t="str">
        <f>IF(Lessons[[#This Row],[Lesson_Date__c]]&lt;=Data_Audit!$F$1, "Yes", "No")</f>
        <v>Yes</v>
      </c>
    </row>
    <row r="542" spans="1:32">
      <c r="A542" t="s">
        <v>52</v>
      </c>
      <c r="B542" t="s">
        <v>53</v>
      </c>
      <c r="C542">
        <v>45</v>
      </c>
      <c r="D542" t="s">
        <v>2021</v>
      </c>
      <c r="E542" t="s">
        <v>145</v>
      </c>
      <c r="F542" t="s">
        <v>146</v>
      </c>
      <c r="G542" t="s">
        <v>57</v>
      </c>
      <c r="H542" t="s">
        <v>147</v>
      </c>
      <c r="I542" t="b">
        <v>0</v>
      </c>
      <c r="K542" t="s">
        <v>52</v>
      </c>
      <c r="L542" t="s">
        <v>1517</v>
      </c>
      <c r="O542" s="1">
        <v>46158</v>
      </c>
      <c r="P542" t="s">
        <v>2022</v>
      </c>
      <c r="Q542" t="s">
        <v>2023</v>
      </c>
      <c r="R542" t="s">
        <v>83</v>
      </c>
      <c r="S542" t="b">
        <v>0</v>
      </c>
      <c r="T542" t="b">
        <v>0</v>
      </c>
      <c r="U542" t="s">
        <v>2023</v>
      </c>
      <c r="V542" t="s">
        <v>74</v>
      </c>
      <c r="W542" t="s">
        <v>65</v>
      </c>
      <c r="X542" t="s">
        <v>2016</v>
      </c>
      <c r="Y542" t="s">
        <v>2017</v>
      </c>
      <c r="Z542" t="s">
        <v>1517</v>
      </c>
      <c r="AA542" t="b">
        <f>ISNUMBER(SEARCH(";"&amp;Lessons[[#This Row],[Instrument__c]]&amp;";",";"&amp;_xlfn.XLOOKUP(Lessons[[#This Row],[Instructor_External_Id__c]], Instructors[Id], Instructors[Instruments_Taught__c])&amp;";"))</f>
        <v>1</v>
      </c>
      <c r="AB542" t="str">
        <f>IF(LEFT(Lessons[[#This Row],[Status__c]],9)="Cancelled","",Lessons[[#This Row],[Instructor_External_Id__c]]&amp;"|"&amp;TEXT(Lessons[[#This Row],[Lesson_Date__c]],"yyyy-mm-dd")&amp;"|"&amp;Lessons[[#This Row],[Start_Time__c]])</f>
        <v>a06ak00000amzBhAAI|2026-05-16|16:30:00.000Z</v>
      </c>
      <c r="AC542">
        <f>IF(Lessons[[#This Row],[Double Booked Key]]="","",COUNTIF(Lessons[Double Booked Key],Lessons[[#This Row],[Double Booked Key]]))</f>
        <v>1</v>
      </c>
      <c r="AD542" s="6" t="str">
        <f>_xlfn.XLOOKUP(Lessons[[#This Row],[Location_External_Id__c]], Locations[Location Id], Locations[Location Name])</f>
        <v>Brick</v>
      </c>
      <c r="AE542" s="6" t="str">
        <f>TEXT(Lessons[[#This Row],[Lesson_Date__c]], "yyyy-mm")</f>
        <v>2026-05</v>
      </c>
      <c r="AF542" s="6" t="str">
        <f>IF(Lessons[[#This Row],[Lesson_Date__c]]&lt;=Data_Audit!$F$1, "Yes", "No")</f>
        <v>Yes</v>
      </c>
    </row>
    <row r="543" spans="1:32">
      <c r="A543" t="s">
        <v>52</v>
      </c>
      <c r="B543" t="s">
        <v>53</v>
      </c>
      <c r="C543">
        <v>30</v>
      </c>
      <c r="D543" t="s">
        <v>2024</v>
      </c>
      <c r="E543" t="s">
        <v>145</v>
      </c>
      <c r="F543" t="s">
        <v>146</v>
      </c>
      <c r="G543" t="s">
        <v>69</v>
      </c>
      <c r="H543" t="s">
        <v>147</v>
      </c>
      <c r="I543" t="b">
        <v>0</v>
      </c>
      <c r="K543" t="s">
        <v>52</v>
      </c>
      <c r="L543" t="s">
        <v>1517</v>
      </c>
      <c r="O543" s="1">
        <v>46027</v>
      </c>
      <c r="P543" t="s">
        <v>2025</v>
      </c>
      <c r="Q543" t="s">
        <v>2026</v>
      </c>
      <c r="R543" t="s">
        <v>83</v>
      </c>
      <c r="S543" t="b">
        <v>0</v>
      </c>
      <c r="T543" t="b">
        <v>0</v>
      </c>
      <c r="U543" t="s">
        <v>2026</v>
      </c>
      <c r="V543" t="s">
        <v>94</v>
      </c>
      <c r="W543" t="s">
        <v>65</v>
      </c>
      <c r="X543" t="s">
        <v>2016</v>
      </c>
      <c r="Y543" t="s">
        <v>2017</v>
      </c>
      <c r="Z543" t="s">
        <v>1517</v>
      </c>
      <c r="AA543" t="b">
        <f>ISNUMBER(SEARCH(";"&amp;Lessons[[#This Row],[Instrument__c]]&amp;";",";"&amp;_xlfn.XLOOKUP(Lessons[[#This Row],[Instructor_External_Id__c]], Instructors[Id], Instructors[Instruments_Taught__c])&amp;";"))</f>
        <v>1</v>
      </c>
      <c r="AB543" t="str">
        <f>IF(LEFT(Lessons[[#This Row],[Status__c]],9)="Cancelled","",Lessons[[#This Row],[Instructor_External_Id__c]]&amp;"|"&amp;TEXT(Lessons[[#This Row],[Lesson_Date__c]],"yyyy-mm-dd")&amp;"|"&amp;Lessons[[#This Row],[Start_Time__c]])</f>
        <v>a06ak00000amzBhAAI|2026-01-05|19:00:00.000Z</v>
      </c>
      <c r="AC543">
        <f>IF(Lessons[[#This Row],[Double Booked Key]]="","",COUNTIF(Lessons[Double Booked Key],Lessons[[#This Row],[Double Booked Key]]))</f>
        <v>1</v>
      </c>
      <c r="AD543" s="6" t="str">
        <f>_xlfn.XLOOKUP(Lessons[[#This Row],[Location_External_Id__c]], Locations[Location Id], Locations[Location Name])</f>
        <v>Brick</v>
      </c>
      <c r="AE543" s="6" t="str">
        <f>TEXT(Lessons[[#This Row],[Lesson_Date__c]], "yyyy-mm")</f>
        <v>2026-01</v>
      </c>
      <c r="AF543" s="6" t="str">
        <f>IF(Lessons[[#This Row],[Lesson_Date__c]]&lt;=Data_Audit!$F$1, "Yes", "No")</f>
        <v>Yes</v>
      </c>
    </row>
    <row r="544" spans="1:32">
      <c r="A544" t="s">
        <v>52</v>
      </c>
      <c r="B544" t="s">
        <v>53</v>
      </c>
      <c r="C544">
        <v>30</v>
      </c>
      <c r="D544" t="s">
        <v>2027</v>
      </c>
      <c r="E544" t="s">
        <v>145</v>
      </c>
      <c r="F544" t="s">
        <v>146</v>
      </c>
      <c r="G544" t="s">
        <v>99</v>
      </c>
      <c r="H544" t="s">
        <v>147</v>
      </c>
      <c r="I544" t="b">
        <v>0</v>
      </c>
      <c r="K544" t="s">
        <v>52</v>
      </c>
      <c r="L544" t="s">
        <v>1517</v>
      </c>
      <c r="O544" s="1">
        <v>46254</v>
      </c>
      <c r="P544" t="s">
        <v>2028</v>
      </c>
      <c r="Q544" t="s">
        <v>2029</v>
      </c>
      <c r="R544" t="s">
        <v>83</v>
      </c>
      <c r="S544" t="b">
        <v>0</v>
      </c>
      <c r="T544" t="b">
        <v>0</v>
      </c>
      <c r="U544" t="s">
        <v>2029</v>
      </c>
      <c r="V544" t="s">
        <v>84</v>
      </c>
      <c r="W544" t="s">
        <v>65</v>
      </c>
      <c r="X544" t="s">
        <v>2016</v>
      </c>
      <c r="Y544" t="s">
        <v>2017</v>
      </c>
      <c r="Z544" t="s">
        <v>1517</v>
      </c>
      <c r="AA544" t="b">
        <f>ISNUMBER(SEARCH(";"&amp;Lessons[[#This Row],[Instrument__c]]&amp;";",";"&amp;_xlfn.XLOOKUP(Lessons[[#This Row],[Instructor_External_Id__c]], Instructors[Id], Instructors[Instruments_Taught__c])&amp;";"))</f>
        <v>1</v>
      </c>
      <c r="AB544" t="str">
        <f>IF(LEFT(Lessons[[#This Row],[Status__c]],9)="Cancelled","",Lessons[[#This Row],[Instructor_External_Id__c]]&amp;"|"&amp;TEXT(Lessons[[#This Row],[Lesson_Date__c]],"yyyy-mm-dd")&amp;"|"&amp;Lessons[[#This Row],[Start_Time__c]])</f>
        <v>a06ak00000amzBhAAI|2026-08-20|17:00:00.000Z</v>
      </c>
      <c r="AC544">
        <f>IF(Lessons[[#This Row],[Double Booked Key]]="","",COUNTIF(Lessons[Double Booked Key],Lessons[[#This Row],[Double Booked Key]]))</f>
        <v>1</v>
      </c>
      <c r="AD544" s="6" t="str">
        <f>_xlfn.XLOOKUP(Lessons[[#This Row],[Location_External_Id__c]], Locations[Location Id], Locations[Location Name])</f>
        <v>Brick</v>
      </c>
      <c r="AE544" s="6" t="str">
        <f>TEXT(Lessons[[#This Row],[Lesson_Date__c]], "yyyy-mm")</f>
        <v>2026-08</v>
      </c>
      <c r="AF544" s="6" t="str">
        <f>IF(Lessons[[#This Row],[Lesson_Date__c]]&lt;=Data_Audit!$F$1, "Yes", "No")</f>
        <v>Yes</v>
      </c>
    </row>
    <row r="545" spans="1:32">
      <c r="A545" t="s">
        <v>52</v>
      </c>
      <c r="B545" t="s">
        <v>53</v>
      </c>
      <c r="C545">
        <v>30</v>
      </c>
      <c r="D545" t="s">
        <v>2030</v>
      </c>
      <c r="E545" t="s">
        <v>145</v>
      </c>
      <c r="F545" t="s">
        <v>146</v>
      </c>
      <c r="G545" t="s">
        <v>69</v>
      </c>
      <c r="H545" t="s">
        <v>147</v>
      </c>
      <c r="I545" t="b">
        <v>0</v>
      </c>
      <c r="K545" t="s">
        <v>52</v>
      </c>
      <c r="L545" t="s">
        <v>1517</v>
      </c>
      <c r="O545" s="1">
        <v>46241</v>
      </c>
      <c r="P545" t="s">
        <v>2031</v>
      </c>
      <c r="Q545" t="s">
        <v>2032</v>
      </c>
      <c r="R545" t="s">
        <v>83</v>
      </c>
      <c r="S545" t="b">
        <v>0</v>
      </c>
      <c r="T545" t="b">
        <v>0</v>
      </c>
      <c r="U545" t="s">
        <v>2032</v>
      </c>
      <c r="V545" t="s">
        <v>94</v>
      </c>
      <c r="W545" t="s">
        <v>65</v>
      </c>
      <c r="X545" t="s">
        <v>2016</v>
      </c>
      <c r="Y545" t="s">
        <v>2017</v>
      </c>
      <c r="Z545" t="s">
        <v>1517</v>
      </c>
      <c r="AA545" t="b">
        <f>ISNUMBER(SEARCH(";"&amp;Lessons[[#This Row],[Instrument__c]]&amp;";",";"&amp;_xlfn.XLOOKUP(Lessons[[#This Row],[Instructor_External_Id__c]], Instructors[Id], Instructors[Instruments_Taught__c])&amp;";"))</f>
        <v>1</v>
      </c>
      <c r="AB545" t="str">
        <f>IF(LEFT(Lessons[[#This Row],[Status__c]],9)="Cancelled","",Lessons[[#This Row],[Instructor_External_Id__c]]&amp;"|"&amp;TEXT(Lessons[[#This Row],[Lesson_Date__c]],"yyyy-mm-dd")&amp;"|"&amp;Lessons[[#This Row],[Start_Time__c]])</f>
        <v>a06ak00000amzBhAAI|2026-08-07|19:00:00.000Z</v>
      </c>
      <c r="AC545">
        <f>IF(Lessons[[#This Row],[Double Booked Key]]="","",COUNTIF(Lessons[Double Booked Key],Lessons[[#This Row],[Double Booked Key]]))</f>
        <v>1</v>
      </c>
      <c r="AD545" s="6" t="str">
        <f>_xlfn.XLOOKUP(Lessons[[#This Row],[Location_External_Id__c]], Locations[Location Id], Locations[Location Name])</f>
        <v>Brick</v>
      </c>
      <c r="AE545" s="6" t="str">
        <f>TEXT(Lessons[[#This Row],[Lesson_Date__c]], "yyyy-mm")</f>
        <v>2026-08</v>
      </c>
      <c r="AF545" s="6" t="str">
        <f>IF(Lessons[[#This Row],[Lesson_Date__c]]&lt;=Data_Audit!$F$1, "Yes", "No")</f>
        <v>Yes</v>
      </c>
    </row>
    <row r="546" spans="1:32">
      <c r="A546" t="s">
        <v>52</v>
      </c>
      <c r="B546" t="s">
        <v>53</v>
      </c>
      <c r="C546">
        <v>30</v>
      </c>
      <c r="D546" t="s">
        <v>2033</v>
      </c>
      <c r="E546" t="s">
        <v>145</v>
      </c>
      <c r="F546" t="s">
        <v>146</v>
      </c>
      <c r="H546" t="s">
        <v>147</v>
      </c>
      <c r="I546" t="b">
        <v>0</v>
      </c>
      <c r="K546" t="s">
        <v>52</v>
      </c>
      <c r="L546" t="s">
        <v>1517</v>
      </c>
      <c r="O546" s="1">
        <v>46285</v>
      </c>
      <c r="P546" t="s">
        <v>2034</v>
      </c>
      <c r="Q546" t="s">
        <v>2035</v>
      </c>
      <c r="R546" t="s">
        <v>83</v>
      </c>
      <c r="S546" t="b">
        <v>1</v>
      </c>
      <c r="T546" t="b">
        <v>0</v>
      </c>
      <c r="U546" t="s">
        <v>2035</v>
      </c>
      <c r="V546" t="s">
        <v>120</v>
      </c>
      <c r="W546" t="s">
        <v>136</v>
      </c>
      <c r="X546" t="s">
        <v>2016</v>
      </c>
      <c r="Y546" t="s">
        <v>2017</v>
      </c>
      <c r="Z546" t="s">
        <v>1517</v>
      </c>
      <c r="AA546" t="b">
        <f>ISNUMBER(SEARCH(";"&amp;Lessons[[#This Row],[Instrument__c]]&amp;";",";"&amp;_xlfn.XLOOKUP(Lessons[[#This Row],[Instructor_External_Id__c]], Instructors[Id], Instructors[Instruments_Taught__c])&amp;";"))</f>
        <v>1</v>
      </c>
      <c r="AB546" t="str">
        <f>IF(LEFT(Lessons[[#This Row],[Status__c]],9)="Cancelled","",Lessons[[#This Row],[Instructor_External_Id__c]]&amp;"|"&amp;TEXT(Lessons[[#This Row],[Lesson_Date__c]],"yyyy-mm-dd")&amp;"|"&amp;Lessons[[#This Row],[Start_Time__c]])</f>
        <v/>
      </c>
      <c r="AC546" t="str">
        <f>IF(Lessons[[#This Row],[Double Booked Key]]="","",COUNTIF(Lessons[Double Booked Key],Lessons[[#This Row],[Double Booked Key]]))</f>
        <v/>
      </c>
      <c r="AD546" s="6" t="str">
        <f>_xlfn.XLOOKUP(Lessons[[#This Row],[Location_External_Id__c]], Locations[Location Id], Locations[Location Name])</f>
        <v>Brick</v>
      </c>
      <c r="AE546" s="6" t="str">
        <f>TEXT(Lessons[[#This Row],[Lesson_Date__c]], "yyyy-mm")</f>
        <v>2026-09</v>
      </c>
      <c r="AF546" s="6" t="str">
        <f>IF(Lessons[[#This Row],[Lesson_Date__c]]&lt;=Data_Audit!$F$1, "Yes", "No")</f>
        <v>Yes</v>
      </c>
    </row>
    <row r="547" spans="1:32">
      <c r="A547" t="s">
        <v>52</v>
      </c>
      <c r="B547" t="s">
        <v>53</v>
      </c>
      <c r="C547">
        <v>30</v>
      </c>
      <c r="D547" t="s">
        <v>2036</v>
      </c>
      <c r="E547" t="s">
        <v>901</v>
      </c>
      <c r="F547" t="s">
        <v>902</v>
      </c>
      <c r="G547" t="s">
        <v>164</v>
      </c>
      <c r="H547" t="s">
        <v>237</v>
      </c>
      <c r="I547" t="b">
        <v>0</v>
      </c>
      <c r="K547" t="s">
        <v>52</v>
      </c>
      <c r="L547" t="s">
        <v>1517</v>
      </c>
      <c r="O547" s="1">
        <v>46148</v>
      </c>
      <c r="P547" t="s">
        <v>2037</v>
      </c>
      <c r="Q547" t="s">
        <v>2038</v>
      </c>
      <c r="R547" t="s">
        <v>63</v>
      </c>
      <c r="S547" t="b">
        <v>0</v>
      </c>
      <c r="T547" t="b">
        <v>0</v>
      </c>
      <c r="U547" t="s">
        <v>2038</v>
      </c>
      <c r="V547" t="s">
        <v>64</v>
      </c>
      <c r="W547" t="s">
        <v>65</v>
      </c>
      <c r="X547" t="s">
        <v>2039</v>
      </c>
      <c r="Y547" t="s">
        <v>2040</v>
      </c>
      <c r="Z547" t="s">
        <v>1517</v>
      </c>
      <c r="AA547" t="b">
        <f>ISNUMBER(SEARCH(";"&amp;Lessons[[#This Row],[Instrument__c]]&amp;";",";"&amp;_xlfn.XLOOKUP(Lessons[[#This Row],[Instructor_External_Id__c]], Instructors[Id], Instructors[Instruments_Taught__c])&amp;";"))</f>
        <v>1</v>
      </c>
      <c r="AB547" t="str">
        <f>IF(LEFT(Lessons[[#This Row],[Status__c]],9)="Cancelled","",Lessons[[#This Row],[Instructor_External_Id__c]]&amp;"|"&amp;TEXT(Lessons[[#This Row],[Lesson_Date__c]],"yyyy-mm-dd")&amp;"|"&amp;Lessons[[#This Row],[Start_Time__c]])</f>
        <v>a06ak00000amzCMAAY|2026-05-06|11:00:00.000Z</v>
      </c>
      <c r="AC547">
        <f>IF(Lessons[[#This Row],[Double Booked Key]]="","",COUNTIF(Lessons[Double Booked Key],Lessons[[#This Row],[Double Booked Key]]))</f>
        <v>1</v>
      </c>
      <c r="AD547" s="6" t="str">
        <f>_xlfn.XLOOKUP(Lessons[[#This Row],[Location_External_Id__c]], Locations[Location Id], Locations[Location Name])</f>
        <v>Red Bank</v>
      </c>
      <c r="AE547" s="6" t="str">
        <f>TEXT(Lessons[[#This Row],[Lesson_Date__c]], "yyyy-mm")</f>
        <v>2026-05</v>
      </c>
      <c r="AF547" s="6" t="str">
        <f>IF(Lessons[[#This Row],[Lesson_Date__c]]&lt;=Data_Audit!$F$1, "Yes", "No")</f>
        <v>Yes</v>
      </c>
    </row>
    <row r="548" spans="1:32">
      <c r="A548" t="s">
        <v>52</v>
      </c>
      <c r="B548" t="s">
        <v>53</v>
      </c>
      <c r="C548">
        <v>30</v>
      </c>
      <c r="D548" t="s">
        <v>2041</v>
      </c>
      <c r="E548" t="s">
        <v>901</v>
      </c>
      <c r="F548" t="s">
        <v>902</v>
      </c>
      <c r="G548" t="s">
        <v>164</v>
      </c>
      <c r="H548" t="s">
        <v>237</v>
      </c>
      <c r="I548" t="b">
        <v>0</v>
      </c>
      <c r="K548" t="s">
        <v>52</v>
      </c>
      <c r="L548" t="s">
        <v>1517</v>
      </c>
      <c r="O548" s="1">
        <v>46033</v>
      </c>
      <c r="P548" t="s">
        <v>2042</v>
      </c>
      <c r="Q548" t="s">
        <v>2043</v>
      </c>
      <c r="R548" t="s">
        <v>63</v>
      </c>
      <c r="S548" t="b">
        <v>0</v>
      </c>
      <c r="T548" t="b">
        <v>0</v>
      </c>
      <c r="U548" t="s">
        <v>2043</v>
      </c>
      <c r="V548" t="s">
        <v>135</v>
      </c>
      <c r="W548" t="s">
        <v>65</v>
      </c>
      <c r="X548" t="s">
        <v>2039</v>
      </c>
      <c r="Y548" t="s">
        <v>2040</v>
      </c>
      <c r="Z548" t="s">
        <v>1517</v>
      </c>
      <c r="AA548" t="b">
        <f>ISNUMBER(SEARCH(";"&amp;Lessons[[#This Row],[Instrument__c]]&amp;";",";"&amp;_xlfn.XLOOKUP(Lessons[[#This Row],[Instructor_External_Id__c]], Instructors[Id], Instructors[Instruments_Taught__c])&amp;";"))</f>
        <v>1</v>
      </c>
      <c r="AB548" t="str">
        <f>IF(LEFT(Lessons[[#This Row],[Status__c]],9)="Cancelled","",Lessons[[#This Row],[Instructor_External_Id__c]]&amp;"|"&amp;TEXT(Lessons[[#This Row],[Lesson_Date__c]],"yyyy-mm-dd")&amp;"|"&amp;Lessons[[#This Row],[Start_Time__c]])</f>
        <v>a06ak00000amzCMAAY|2026-01-11|15:30:00.000Z</v>
      </c>
      <c r="AC548">
        <f>IF(Lessons[[#This Row],[Double Booked Key]]="","",COUNTIF(Lessons[Double Booked Key],Lessons[[#This Row],[Double Booked Key]]))</f>
        <v>1</v>
      </c>
      <c r="AD548" s="6" t="str">
        <f>_xlfn.XLOOKUP(Lessons[[#This Row],[Location_External_Id__c]], Locations[Location Id], Locations[Location Name])</f>
        <v>Red Bank</v>
      </c>
      <c r="AE548" s="6" t="str">
        <f>TEXT(Lessons[[#This Row],[Lesson_Date__c]], "yyyy-mm")</f>
        <v>2026-01</v>
      </c>
      <c r="AF548" s="6" t="str">
        <f>IF(Lessons[[#This Row],[Lesson_Date__c]]&lt;=Data_Audit!$F$1, "Yes", "No")</f>
        <v>Yes</v>
      </c>
    </row>
    <row r="549" spans="1:32">
      <c r="A549" t="s">
        <v>52</v>
      </c>
      <c r="B549" t="s">
        <v>53</v>
      </c>
      <c r="C549">
        <v>45</v>
      </c>
      <c r="D549" t="s">
        <v>2044</v>
      </c>
      <c r="E549" t="s">
        <v>901</v>
      </c>
      <c r="F549" t="s">
        <v>902</v>
      </c>
      <c r="H549" t="s">
        <v>237</v>
      </c>
      <c r="I549" t="b">
        <v>0</v>
      </c>
      <c r="K549" t="s">
        <v>52</v>
      </c>
      <c r="L549" t="s">
        <v>1517</v>
      </c>
      <c r="O549" s="1">
        <v>46086</v>
      </c>
      <c r="P549" t="s">
        <v>2045</v>
      </c>
      <c r="Q549" t="s">
        <v>2046</v>
      </c>
      <c r="R549" t="s">
        <v>63</v>
      </c>
      <c r="S549" t="b">
        <v>0</v>
      </c>
      <c r="T549" t="b">
        <v>0</v>
      </c>
      <c r="U549" t="s">
        <v>2046</v>
      </c>
      <c r="V549" t="s">
        <v>74</v>
      </c>
      <c r="W549" t="s">
        <v>65</v>
      </c>
      <c r="X549" t="s">
        <v>2039</v>
      </c>
      <c r="Y549" t="s">
        <v>2040</v>
      </c>
      <c r="Z549" t="s">
        <v>1517</v>
      </c>
      <c r="AA549" t="b">
        <f>ISNUMBER(SEARCH(";"&amp;Lessons[[#This Row],[Instrument__c]]&amp;";",";"&amp;_xlfn.XLOOKUP(Lessons[[#This Row],[Instructor_External_Id__c]], Instructors[Id], Instructors[Instruments_Taught__c])&amp;";"))</f>
        <v>1</v>
      </c>
      <c r="AB549" t="str">
        <f>IF(LEFT(Lessons[[#This Row],[Status__c]],9)="Cancelled","",Lessons[[#This Row],[Instructor_External_Id__c]]&amp;"|"&amp;TEXT(Lessons[[#This Row],[Lesson_Date__c]],"yyyy-mm-dd")&amp;"|"&amp;Lessons[[#This Row],[Start_Time__c]])</f>
        <v>a06ak00000amzCMAAY|2026-03-05|16:30:00.000Z</v>
      </c>
      <c r="AC549">
        <f>IF(Lessons[[#This Row],[Double Booked Key]]="","",COUNTIF(Lessons[Double Booked Key],Lessons[[#This Row],[Double Booked Key]]))</f>
        <v>1</v>
      </c>
      <c r="AD549" s="6" t="str">
        <f>_xlfn.XLOOKUP(Lessons[[#This Row],[Location_External_Id__c]], Locations[Location Id], Locations[Location Name])</f>
        <v>Red Bank</v>
      </c>
      <c r="AE549" s="6" t="str">
        <f>TEXT(Lessons[[#This Row],[Lesson_Date__c]], "yyyy-mm")</f>
        <v>2026-03</v>
      </c>
      <c r="AF549" s="6" t="str">
        <f>IF(Lessons[[#This Row],[Lesson_Date__c]]&lt;=Data_Audit!$F$1, "Yes", "No")</f>
        <v>Yes</v>
      </c>
    </row>
    <row r="550" spans="1:32">
      <c r="A550" t="s">
        <v>52</v>
      </c>
      <c r="B550" t="s">
        <v>53</v>
      </c>
      <c r="C550">
        <v>45</v>
      </c>
      <c r="D550" t="s">
        <v>2047</v>
      </c>
      <c r="E550" t="s">
        <v>901</v>
      </c>
      <c r="F550" t="s">
        <v>902</v>
      </c>
      <c r="G550" t="s">
        <v>99</v>
      </c>
      <c r="H550" t="s">
        <v>237</v>
      </c>
      <c r="I550" t="b">
        <v>0</v>
      </c>
      <c r="K550" t="s">
        <v>52</v>
      </c>
      <c r="L550" t="s">
        <v>1517</v>
      </c>
      <c r="O550" s="1">
        <v>46075</v>
      </c>
      <c r="P550" t="s">
        <v>2048</v>
      </c>
      <c r="Q550" t="s">
        <v>2049</v>
      </c>
      <c r="R550" t="s">
        <v>63</v>
      </c>
      <c r="S550" t="b">
        <v>0</v>
      </c>
      <c r="T550" t="b">
        <v>0</v>
      </c>
      <c r="U550" t="s">
        <v>2049</v>
      </c>
      <c r="V550" t="s">
        <v>102</v>
      </c>
      <c r="W550" t="s">
        <v>65</v>
      </c>
      <c r="X550" t="s">
        <v>2039</v>
      </c>
      <c r="Y550" t="s">
        <v>2040</v>
      </c>
      <c r="Z550" t="s">
        <v>1517</v>
      </c>
      <c r="AA550" t="b">
        <f>ISNUMBER(SEARCH(";"&amp;Lessons[[#This Row],[Instrument__c]]&amp;";",";"&amp;_xlfn.XLOOKUP(Lessons[[#This Row],[Instructor_External_Id__c]], Instructors[Id], Instructors[Instruments_Taught__c])&amp;";"))</f>
        <v>1</v>
      </c>
      <c r="AB550" t="str">
        <f>IF(LEFT(Lessons[[#This Row],[Status__c]],9)="Cancelled","",Lessons[[#This Row],[Instructor_External_Id__c]]&amp;"|"&amp;TEXT(Lessons[[#This Row],[Lesson_Date__c]],"yyyy-mm-dd")&amp;"|"&amp;Lessons[[#This Row],[Start_Time__c]])</f>
        <v>a06ak00000amzCMAAY|2026-02-22|16:00:00.000Z</v>
      </c>
      <c r="AC550">
        <f>IF(Lessons[[#This Row],[Double Booked Key]]="","",COUNTIF(Lessons[Double Booked Key],Lessons[[#This Row],[Double Booked Key]]))</f>
        <v>1</v>
      </c>
      <c r="AD550" s="6" t="str">
        <f>_xlfn.XLOOKUP(Lessons[[#This Row],[Location_External_Id__c]], Locations[Location Id], Locations[Location Name])</f>
        <v>Red Bank</v>
      </c>
      <c r="AE550" s="6" t="str">
        <f>TEXT(Lessons[[#This Row],[Lesson_Date__c]], "yyyy-mm")</f>
        <v>2026-02</v>
      </c>
      <c r="AF550" s="6" t="str">
        <f>IF(Lessons[[#This Row],[Lesson_Date__c]]&lt;=Data_Audit!$F$1, "Yes", "No")</f>
        <v>Yes</v>
      </c>
    </row>
    <row r="551" spans="1:32">
      <c r="A551" t="s">
        <v>52</v>
      </c>
      <c r="B551" t="s">
        <v>53</v>
      </c>
      <c r="C551">
        <v>60</v>
      </c>
      <c r="D551" t="s">
        <v>2050</v>
      </c>
      <c r="E551" t="s">
        <v>901</v>
      </c>
      <c r="F551" t="s">
        <v>902</v>
      </c>
      <c r="G551" t="s">
        <v>57</v>
      </c>
      <c r="H551" t="s">
        <v>237</v>
      </c>
      <c r="I551" t="b">
        <v>0</v>
      </c>
      <c r="K551" t="s">
        <v>52</v>
      </c>
      <c r="L551" t="s">
        <v>1517</v>
      </c>
      <c r="O551" s="1">
        <v>46170</v>
      </c>
      <c r="P551" t="s">
        <v>2051</v>
      </c>
      <c r="Q551" t="s">
        <v>2052</v>
      </c>
      <c r="R551" t="s">
        <v>63</v>
      </c>
      <c r="S551" t="b">
        <v>0</v>
      </c>
      <c r="T551" t="b">
        <v>0</v>
      </c>
      <c r="U551" t="s">
        <v>2052</v>
      </c>
      <c r="V551" t="s">
        <v>74</v>
      </c>
      <c r="W551" t="s">
        <v>65</v>
      </c>
      <c r="X551" t="s">
        <v>2039</v>
      </c>
      <c r="Y551" t="s">
        <v>2040</v>
      </c>
      <c r="Z551" t="s">
        <v>1517</v>
      </c>
      <c r="AA551" t="b">
        <f>ISNUMBER(SEARCH(";"&amp;Lessons[[#This Row],[Instrument__c]]&amp;";",";"&amp;_xlfn.XLOOKUP(Lessons[[#This Row],[Instructor_External_Id__c]], Instructors[Id], Instructors[Instruments_Taught__c])&amp;";"))</f>
        <v>1</v>
      </c>
      <c r="AB551" t="str">
        <f>IF(LEFT(Lessons[[#This Row],[Status__c]],9)="Cancelled","",Lessons[[#This Row],[Instructor_External_Id__c]]&amp;"|"&amp;TEXT(Lessons[[#This Row],[Lesson_Date__c]],"yyyy-mm-dd")&amp;"|"&amp;Lessons[[#This Row],[Start_Time__c]])</f>
        <v>a06ak00000amzCMAAY|2026-05-28|16:30:00.000Z</v>
      </c>
      <c r="AC551">
        <f>IF(Lessons[[#This Row],[Double Booked Key]]="","",COUNTIF(Lessons[Double Booked Key],Lessons[[#This Row],[Double Booked Key]]))</f>
        <v>1</v>
      </c>
      <c r="AD551" s="6" t="str">
        <f>_xlfn.XLOOKUP(Lessons[[#This Row],[Location_External_Id__c]], Locations[Location Id], Locations[Location Name])</f>
        <v>Red Bank</v>
      </c>
      <c r="AE551" s="6" t="str">
        <f>TEXT(Lessons[[#This Row],[Lesson_Date__c]], "yyyy-mm")</f>
        <v>2026-05</v>
      </c>
      <c r="AF551" s="6" t="str">
        <f>IF(Lessons[[#This Row],[Lesson_Date__c]]&lt;=Data_Audit!$F$1, "Yes", "No")</f>
        <v>Yes</v>
      </c>
    </row>
    <row r="552" spans="1:32">
      <c r="A552" t="s">
        <v>52</v>
      </c>
      <c r="B552" t="s">
        <v>53</v>
      </c>
      <c r="C552">
        <v>30</v>
      </c>
      <c r="D552" t="s">
        <v>2053</v>
      </c>
      <c r="E552" t="s">
        <v>901</v>
      </c>
      <c r="F552" t="s">
        <v>902</v>
      </c>
      <c r="H552" t="s">
        <v>237</v>
      </c>
      <c r="I552" t="b">
        <v>0</v>
      </c>
      <c r="K552" t="s">
        <v>52</v>
      </c>
      <c r="L552" t="s">
        <v>1517</v>
      </c>
      <c r="O552" s="1">
        <v>46056</v>
      </c>
      <c r="P552" t="s">
        <v>2054</v>
      </c>
      <c r="Q552" t="s">
        <v>2055</v>
      </c>
      <c r="R552" t="s">
        <v>63</v>
      </c>
      <c r="S552" t="b">
        <v>0</v>
      </c>
      <c r="T552" t="b">
        <v>0</v>
      </c>
      <c r="U552" t="s">
        <v>2055</v>
      </c>
      <c r="V552" t="s">
        <v>74</v>
      </c>
      <c r="W552" t="s">
        <v>121</v>
      </c>
      <c r="X552" t="s">
        <v>2039</v>
      </c>
      <c r="Y552" t="s">
        <v>2040</v>
      </c>
      <c r="Z552" t="s">
        <v>1517</v>
      </c>
      <c r="AA552" t="b">
        <f>ISNUMBER(SEARCH(";"&amp;Lessons[[#This Row],[Instrument__c]]&amp;";",";"&amp;_xlfn.XLOOKUP(Lessons[[#This Row],[Instructor_External_Id__c]], Instructors[Id], Instructors[Instruments_Taught__c])&amp;";"))</f>
        <v>1</v>
      </c>
      <c r="AB552" t="str">
        <f>IF(LEFT(Lessons[[#This Row],[Status__c]],9)="Cancelled","",Lessons[[#This Row],[Instructor_External_Id__c]]&amp;"|"&amp;TEXT(Lessons[[#This Row],[Lesson_Date__c]],"yyyy-mm-dd")&amp;"|"&amp;Lessons[[#This Row],[Start_Time__c]])</f>
        <v>a06ak00000amzCMAAY|2026-02-03|16:30:00.000Z</v>
      </c>
      <c r="AC552">
        <f>IF(Lessons[[#This Row],[Double Booked Key]]="","",COUNTIF(Lessons[Double Booked Key],Lessons[[#This Row],[Double Booked Key]]))</f>
        <v>1</v>
      </c>
      <c r="AD552" s="6" t="str">
        <f>_xlfn.XLOOKUP(Lessons[[#This Row],[Location_External_Id__c]], Locations[Location Id], Locations[Location Name])</f>
        <v>Red Bank</v>
      </c>
      <c r="AE552" s="6" t="str">
        <f>TEXT(Lessons[[#This Row],[Lesson_Date__c]], "yyyy-mm")</f>
        <v>2026-02</v>
      </c>
      <c r="AF552" s="6" t="str">
        <f>IF(Lessons[[#This Row],[Lesson_Date__c]]&lt;=Data_Audit!$F$1, "Yes", "No")</f>
        <v>Yes</v>
      </c>
    </row>
    <row r="553" spans="1:32">
      <c r="A553" t="s">
        <v>52</v>
      </c>
      <c r="B553" t="s">
        <v>53</v>
      </c>
      <c r="C553">
        <v>30</v>
      </c>
      <c r="D553" t="s">
        <v>2056</v>
      </c>
      <c r="E553" t="s">
        <v>901</v>
      </c>
      <c r="F553" t="s">
        <v>902</v>
      </c>
      <c r="G553" t="s">
        <v>57</v>
      </c>
      <c r="H553" t="s">
        <v>237</v>
      </c>
      <c r="I553" t="b">
        <v>0</v>
      </c>
      <c r="K553" t="s">
        <v>52</v>
      </c>
      <c r="L553" t="s">
        <v>1517</v>
      </c>
      <c r="O553" s="1">
        <v>46180</v>
      </c>
      <c r="P553" t="s">
        <v>2057</v>
      </c>
      <c r="Q553" t="s">
        <v>2058</v>
      </c>
      <c r="R553" t="s">
        <v>63</v>
      </c>
      <c r="S553" t="b">
        <v>0</v>
      </c>
      <c r="T553" t="b">
        <v>0</v>
      </c>
      <c r="U553" t="s">
        <v>2058</v>
      </c>
      <c r="V553" t="s">
        <v>135</v>
      </c>
      <c r="W553" t="s">
        <v>65</v>
      </c>
      <c r="X553" t="s">
        <v>2039</v>
      </c>
      <c r="Y553" t="s">
        <v>2040</v>
      </c>
      <c r="Z553" t="s">
        <v>1517</v>
      </c>
      <c r="AA553" t="b">
        <f>ISNUMBER(SEARCH(";"&amp;Lessons[[#This Row],[Instrument__c]]&amp;";",";"&amp;_xlfn.XLOOKUP(Lessons[[#This Row],[Instructor_External_Id__c]], Instructors[Id], Instructors[Instruments_Taught__c])&amp;";"))</f>
        <v>1</v>
      </c>
      <c r="AB553" t="str">
        <f>IF(LEFT(Lessons[[#This Row],[Status__c]],9)="Cancelled","",Lessons[[#This Row],[Instructor_External_Id__c]]&amp;"|"&amp;TEXT(Lessons[[#This Row],[Lesson_Date__c]],"yyyy-mm-dd")&amp;"|"&amp;Lessons[[#This Row],[Start_Time__c]])</f>
        <v>a06ak00000amzCMAAY|2026-06-07|15:30:00.000Z</v>
      </c>
      <c r="AC553">
        <f>IF(Lessons[[#This Row],[Double Booked Key]]="","",COUNTIF(Lessons[Double Booked Key],Lessons[[#This Row],[Double Booked Key]]))</f>
        <v>1</v>
      </c>
      <c r="AD553" s="6" t="str">
        <f>_xlfn.XLOOKUP(Lessons[[#This Row],[Location_External_Id__c]], Locations[Location Id], Locations[Location Name])</f>
        <v>Red Bank</v>
      </c>
      <c r="AE553" s="6" t="str">
        <f>TEXT(Lessons[[#This Row],[Lesson_Date__c]], "yyyy-mm")</f>
        <v>2026-06</v>
      </c>
      <c r="AF553" s="6" t="str">
        <f>IF(Lessons[[#This Row],[Lesson_Date__c]]&lt;=Data_Audit!$F$1, "Yes", "No")</f>
        <v>Yes</v>
      </c>
    </row>
    <row r="554" spans="1:32">
      <c r="A554" t="s">
        <v>52</v>
      </c>
      <c r="B554" t="s">
        <v>53</v>
      </c>
      <c r="C554">
        <v>60</v>
      </c>
      <c r="D554" t="s">
        <v>2059</v>
      </c>
      <c r="E554" t="s">
        <v>318</v>
      </c>
      <c r="F554" t="s">
        <v>319</v>
      </c>
      <c r="G554" t="s">
        <v>106</v>
      </c>
      <c r="H554" t="s">
        <v>237</v>
      </c>
      <c r="I554" t="b">
        <v>0</v>
      </c>
      <c r="K554" t="s">
        <v>52</v>
      </c>
      <c r="L554" t="s">
        <v>79</v>
      </c>
      <c r="O554" s="1">
        <v>46292</v>
      </c>
      <c r="P554" t="s">
        <v>2060</v>
      </c>
      <c r="Q554" t="s">
        <v>2061</v>
      </c>
      <c r="R554" t="s">
        <v>63</v>
      </c>
      <c r="S554" t="b">
        <v>0</v>
      </c>
      <c r="T554" t="b">
        <v>0</v>
      </c>
      <c r="U554" t="s">
        <v>2061</v>
      </c>
      <c r="V554" t="s">
        <v>120</v>
      </c>
      <c r="W554" t="s">
        <v>65</v>
      </c>
      <c r="X554" t="s">
        <v>2039</v>
      </c>
      <c r="Y554" t="s">
        <v>2040</v>
      </c>
      <c r="Z554" t="s">
        <v>79</v>
      </c>
      <c r="AA554" t="b">
        <f>ISNUMBER(SEARCH(";"&amp;Lessons[[#This Row],[Instrument__c]]&amp;";",";"&amp;_xlfn.XLOOKUP(Lessons[[#This Row],[Instructor_External_Id__c]], Instructors[Id], Instructors[Instruments_Taught__c])&amp;";"))</f>
        <v>1</v>
      </c>
      <c r="AB554" t="str">
        <f>IF(LEFT(Lessons[[#This Row],[Status__c]],9)="Cancelled","",Lessons[[#This Row],[Instructor_External_Id__c]]&amp;"|"&amp;TEXT(Lessons[[#This Row],[Lesson_Date__c]],"yyyy-mm-dd")&amp;"|"&amp;Lessons[[#This Row],[Start_Time__c]])</f>
        <v>a06ak00000amzBzAAI|2026-09-27|18:00:00.000Z</v>
      </c>
      <c r="AC554">
        <f>IF(Lessons[[#This Row],[Double Booked Key]]="","",COUNTIF(Lessons[Double Booked Key],Lessons[[#This Row],[Double Booked Key]]))</f>
        <v>1</v>
      </c>
      <c r="AD554" s="6" t="str">
        <f>_xlfn.XLOOKUP(Lessons[[#This Row],[Location_External_Id__c]], Locations[Location Id], Locations[Location Name])</f>
        <v>Red Bank</v>
      </c>
      <c r="AE554" s="6" t="str">
        <f>TEXT(Lessons[[#This Row],[Lesson_Date__c]], "yyyy-mm")</f>
        <v>2026-09</v>
      </c>
      <c r="AF554" s="6" t="str">
        <f>IF(Lessons[[#This Row],[Lesson_Date__c]]&lt;=Data_Audit!$F$1, "Yes", "No")</f>
        <v>Yes</v>
      </c>
    </row>
    <row r="555" spans="1:32">
      <c r="A555" t="s">
        <v>52</v>
      </c>
      <c r="B555" t="s">
        <v>53</v>
      </c>
      <c r="C555">
        <v>30</v>
      </c>
      <c r="D555" t="s">
        <v>2062</v>
      </c>
      <c r="E555" t="s">
        <v>318</v>
      </c>
      <c r="F555" t="s">
        <v>319</v>
      </c>
      <c r="G555" t="s">
        <v>69</v>
      </c>
      <c r="H555" t="s">
        <v>237</v>
      </c>
      <c r="I555" t="b">
        <v>0</v>
      </c>
      <c r="K555" t="s">
        <v>52</v>
      </c>
      <c r="L555" t="s">
        <v>79</v>
      </c>
      <c r="O555" s="1">
        <v>46295</v>
      </c>
      <c r="P555" t="s">
        <v>2063</v>
      </c>
      <c r="Q555" t="s">
        <v>2064</v>
      </c>
      <c r="R555" t="s">
        <v>63</v>
      </c>
      <c r="S555" t="b">
        <v>0</v>
      </c>
      <c r="T555" t="b">
        <v>0</v>
      </c>
      <c r="U555" t="s">
        <v>2064</v>
      </c>
      <c r="V555" t="s">
        <v>135</v>
      </c>
      <c r="W555" t="s">
        <v>65</v>
      </c>
      <c r="X555" t="s">
        <v>2039</v>
      </c>
      <c r="Y555" t="s">
        <v>2040</v>
      </c>
      <c r="Z555" t="s">
        <v>79</v>
      </c>
      <c r="AA555" t="b">
        <f>ISNUMBER(SEARCH(";"&amp;Lessons[[#This Row],[Instrument__c]]&amp;";",";"&amp;_xlfn.XLOOKUP(Lessons[[#This Row],[Instructor_External_Id__c]], Instructors[Id], Instructors[Instruments_Taught__c])&amp;";"))</f>
        <v>1</v>
      </c>
      <c r="AB555" t="str">
        <f>IF(LEFT(Lessons[[#This Row],[Status__c]],9)="Cancelled","",Lessons[[#This Row],[Instructor_External_Id__c]]&amp;"|"&amp;TEXT(Lessons[[#This Row],[Lesson_Date__c]],"yyyy-mm-dd")&amp;"|"&amp;Lessons[[#This Row],[Start_Time__c]])</f>
        <v>a06ak00000amzBzAAI|2026-09-30|15:30:00.000Z</v>
      </c>
      <c r="AC555">
        <f>IF(Lessons[[#This Row],[Double Booked Key]]="","",COUNTIF(Lessons[Double Booked Key],Lessons[[#This Row],[Double Booked Key]]))</f>
        <v>1</v>
      </c>
      <c r="AD555" s="6" t="str">
        <f>_xlfn.XLOOKUP(Lessons[[#This Row],[Location_External_Id__c]], Locations[Location Id], Locations[Location Name])</f>
        <v>Red Bank</v>
      </c>
      <c r="AE555" s="6" t="str">
        <f>TEXT(Lessons[[#This Row],[Lesson_Date__c]], "yyyy-mm")</f>
        <v>2026-09</v>
      </c>
      <c r="AF555" s="6" t="str">
        <f>IF(Lessons[[#This Row],[Lesson_Date__c]]&lt;=Data_Audit!$F$1, "Yes", "No")</f>
        <v>Yes</v>
      </c>
    </row>
    <row r="556" spans="1:32">
      <c r="A556" t="s">
        <v>52</v>
      </c>
      <c r="B556" t="s">
        <v>53</v>
      </c>
      <c r="C556">
        <v>60</v>
      </c>
      <c r="D556" t="s">
        <v>2065</v>
      </c>
      <c r="E556" t="s">
        <v>390</v>
      </c>
      <c r="F556" t="s">
        <v>391</v>
      </c>
      <c r="H556" t="s">
        <v>392</v>
      </c>
      <c r="I556" t="b">
        <v>0</v>
      </c>
      <c r="K556" t="s">
        <v>52</v>
      </c>
      <c r="L556" t="s">
        <v>1517</v>
      </c>
      <c r="O556" s="1">
        <v>46115</v>
      </c>
      <c r="P556" t="s">
        <v>2066</v>
      </c>
      <c r="Q556" t="s">
        <v>2067</v>
      </c>
      <c r="R556" t="s">
        <v>83</v>
      </c>
      <c r="S556" t="b">
        <v>0</v>
      </c>
      <c r="T556" t="b">
        <v>0</v>
      </c>
      <c r="U556" t="s">
        <v>2067</v>
      </c>
      <c r="V556" t="s">
        <v>135</v>
      </c>
      <c r="W556" t="s">
        <v>85</v>
      </c>
      <c r="X556" t="s">
        <v>2068</v>
      </c>
      <c r="Y556" t="s">
        <v>2069</v>
      </c>
      <c r="Z556" t="s">
        <v>1517</v>
      </c>
      <c r="AA556" t="b">
        <f>ISNUMBER(SEARCH(";"&amp;Lessons[[#This Row],[Instrument__c]]&amp;";",";"&amp;_xlfn.XLOOKUP(Lessons[[#This Row],[Instructor_External_Id__c]], Instructors[Id], Instructors[Instruments_Taught__c])&amp;";"))</f>
        <v>1</v>
      </c>
      <c r="AB556" t="str">
        <f>IF(LEFT(Lessons[[#This Row],[Status__c]],9)="Cancelled","",Lessons[[#This Row],[Instructor_External_Id__c]]&amp;"|"&amp;TEXT(Lessons[[#This Row],[Lesson_Date__c]],"yyyy-mm-dd")&amp;"|"&amp;Lessons[[#This Row],[Start_Time__c]])</f>
        <v/>
      </c>
      <c r="AC556" t="str">
        <f>IF(Lessons[[#This Row],[Double Booked Key]]="","",COUNTIF(Lessons[Double Booked Key],Lessons[[#This Row],[Double Booked Key]]))</f>
        <v/>
      </c>
      <c r="AD556" s="6" t="str">
        <f>_xlfn.XLOOKUP(Lessons[[#This Row],[Location_External_Id__c]], Locations[Location Id], Locations[Location Name])</f>
        <v>Brick</v>
      </c>
      <c r="AE556" s="6" t="str">
        <f>TEXT(Lessons[[#This Row],[Lesson_Date__c]], "yyyy-mm")</f>
        <v>2026-04</v>
      </c>
      <c r="AF556" s="6" t="str">
        <f>IF(Lessons[[#This Row],[Lesson_Date__c]]&lt;=Data_Audit!$F$1, "Yes", "No")</f>
        <v>Yes</v>
      </c>
    </row>
    <row r="557" spans="1:32">
      <c r="A557" t="s">
        <v>52</v>
      </c>
      <c r="B557" t="s">
        <v>53</v>
      </c>
      <c r="C557">
        <v>60</v>
      </c>
      <c r="D557" t="s">
        <v>2070</v>
      </c>
      <c r="E557" t="s">
        <v>390</v>
      </c>
      <c r="F557" t="s">
        <v>391</v>
      </c>
      <c r="H557" t="s">
        <v>392</v>
      </c>
      <c r="I557" t="b">
        <v>0</v>
      </c>
      <c r="K557" t="s">
        <v>52</v>
      </c>
      <c r="L557" t="s">
        <v>1517</v>
      </c>
      <c r="O557" s="1">
        <v>46070</v>
      </c>
      <c r="P557" t="s">
        <v>2071</v>
      </c>
      <c r="Q557" t="s">
        <v>2072</v>
      </c>
      <c r="R557" t="s">
        <v>83</v>
      </c>
      <c r="S557" t="b">
        <v>0</v>
      </c>
      <c r="T557" t="b">
        <v>0</v>
      </c>
      <c r="U557" t="s">
        <v>2072</v>
      </c>
      <c r="V557" t="s">
        <v>135</v>
      </c>
      <c r="W557" t="s">
        <v>65</v>
      </c>
      <c r="X557" t="s">
        <v>2068</v>
      </c>
      <c r="Y557" t="s">
        <v>2069</v>
      </c>
      <c r="Z557" t="s">
        <v>1517</v>
      </c>
      <c r="AA557" t="b">
        <f>ISNUMBER(SEARCH(";"&amp;Lessons[[#This Row],[Instrument__c]]&amp;";",";"&amp;_xlfn.XLOOKUP(Lessons[[#This Row],[Instructor_External_Id__c]], Instructors[Id], Instructors[Instruments_Taught__c])&amp;";"))</f>
        <v>1</v>
      </c>
      <c r="AB557" t="str">
        <f>IF(LEFT(Lessons[[#This Row],[Status__c]],9)="Cancelled","",Lessons[[#This Row],[Instructor_External_Id__c]]&amp;"|"&amp;TEXT(Lessons[[#This Row],[Lesson_Date__c]],"yyyy-mm-dd")&amp;"|"&amp;Lessons[[#This Row],[Start_Time__c]])</f>
        <v>a06ak00000amzBpAAI|2026-02-17|15:30:00.000Z</v>
      </c>
      <c r="AC557">
        <f>IF(Lessons[[#This Row],[Double Booked Key]]="","",COUNTIF(Lessons[Double Booked Key],Lessons[[#This Row],[Double Booked Key]]))</f>
        <v>1</v>
      </c>
      <c r="AD557" s="6" t="str">
        <f>_xlfn.XLOOKUP(Lessons[[#This Row],[Location_External_Id__c]], Locations[Location Id], Locations[Location Name])</f>
        <v>Brick</v>
      </c>
      <c r="AE557" s="6" t="str">
        <f>TEXT(Lessons[[#This Row],[Lesson_Date__c]], "yyyy-mm")</f>
        <v>2026-02</v>
      </c>
      <c r="AF557" s="6" t="str">
        <f>IF(Lessons[[#This Row],[Lesson_Date__c]]&lt;=Data_Audit!$F$1, "Yes", "No")</f>
        <v>Yes</v>
      </c>
    </row>
    <row r="558" spans="1:32">
      <c r="A558" t="s">
        <v>52</v>
      </c>
      <c r="B558" t="s">
        <v>53</v>
      </c>
      <c r="C558">
        <v>60</v>
      </c>
      <c r="D558" t="s">
        <v>2073</v>
      </c>
      <c r="E558" t="s">
        <v>390</v>
      </c>
      <c r="F558" t="s">
        <v>391</v>
      </c>
      <c r="G558" t="s">
        <v>106</v>
      </c>
      <c r="H558" t="s">
        <v>392</v>
      </c>
      <c r="I558" t="b">
        <v>0</v>
      </c>
      <c r="K558" t="s">
        <v>52</v>
      </c>
      <c r="L558" t="s">
        <v>1517</v>
      </c>
      <c r="O558" s="1">
        <v>46189</v>
      </c>
      <c r="P558" t="s">
        <v>2074</v>
      </c>
      <c r="Q558" t="s">
        <v>2075</v>
      </c>
      <c r="R558" t="s">
        <v>83</v>
      </c>
      <c r="S558" t="b">
        <v>0</v>
      </c>
      <c r="T558" t="b">
        <v>0</v>
      </c>
      <c r="U558" t="s">
        <v>2075</v>
      </c>
      <c r="V558" t="s">
        <v>128</v>
      </c>
      <c r="W558" t="s">
        <v>65</v>
      </c>
      <c r="X558" t="s">
        <v>2068</v>
      </c>
      <c r="Y558" t="s">
        <v>2069</v>
      </c>
      <c r="Z558" t="s">
        <v>1517</v>
      </c>
      <c r="AA558" t="b">
        <f>ISNUMBER(SEARCH(";"&amp;Lessons[[#This Row],[Instrument__c]]&amp;";",";"&amp;_xlfn.XLOOKUP(Lessons[[#This Row],[Instructor_External_Id__c]], Instructors[Id], Instructors[Instruments_Taught__c])&amp;";"))</f>
        <v>1</v>
      </c>
      <c r="AB558" t="str">
        <f>IF(LEFT(Lessons[[#This Row],[Status__c]],9)="Cancelled","",Lessons[[#This Row],[Instructor_External_Id__c]]&amp;"|"&amp;TEXT(Lessons[[#This Row],[Lesson_Date__c]],"yyyy-mm-dd")&amp;"|"&amp;Lessons[[#This Row],[Start_Time__c]])</f>
        <v>a06ak00000amzBpAAI|2026-06-16|18:30:00.000Z</v>
      </c>
      <c r="AC558">
        <f>IF(Lessons[[#This Row],[Double Booked Key]]="","",COUNTIF(Lessons[Double Booked Key],Lessons[[#This Row],[Double Booked Key]]))</f>
        <v>1</v>
      </c>
      <c r="AD558" s="6" t="str">
        <f>_xlfn.XLOOKUP(Lessons[[#This Row],[Location_External_Id__c]], Locations[Location Id], Locations[Location Name])</f>
        <v>Brick</v>
      </c>
      <c r="AE558" s="6" t="str">
        <f>TEXT(Lessons[[#This Row],[Lesson_Date__c]], "yyyy-mm")</f>
        <v>2026-06</v>
      </c>
      <c r="AF558" s="6" t="str">
        <f>IF(Lessons[[#This Row],[Lesson_Date__c]]&lt;=Data_Audit!$F$1, "Yes", "No")</f>
        <v>Yes</v>
      </c>
    </row>
    <row r="559" spans="1:32">
      <c r="A559" t="s">
        <v>52</v>
      </c>
      <c r="B559" t="s">
        <v>53</v>
      </c>
      <c r="C559">
        <v>30</v>
      </c>
      <c r="D559" t="s">
        <v>2076</v>
      </c>
      <c r="E559" t="s">
        <v>390</v>
      </c>
      <c r="F559" t="s">
        <v>391</v>
      </c>
      <c r="G559" t="s">
        <v>69</v>
      </c>
      <c r="H559" t="s">
        <v>392</v>
      </c>
      <c r="I559" t="b">
        <v>0</v>
      </c>
      <c r="K559" t="s">
        <v>52</v>
      </c>
      <c r="L559" t="s">
        <v>1517</v>
      </c>
      <c r="O559" s="1">
        <v>46065</v>
      </c>
      <c r="P559" t="s">
        <v>2077</v>
      </c>
      <c r="Q559" t="s">
        <v>2078</v>
      </c>
      <c r="R559" t="s">
        <v>83</v>
      </c>
      <c r="S559" t="b">
        <v>0</v>
      </c>
      <c r="T559" t="b">
        <v>0</v>
      </c>
      <c r="U559" t="s">
        <v>2078</v>
      </c>
      <c r="V559" t="s">
        <v>128</v>
      </c>
      <c r="W559" t="s">
        <v>65</v>
      </c>
      <c r="X559" t="s">
        <v>2068</v>
      </c>
      <c r="Y559" t="s">
        <v>2069</v>
      </c>
      <c r="Z559" t="s">
        <v>1517</v>
      </c>
      <c r="AA559" t="b">
        <f>ISNUMBER(SEARCH(";"&amp;Lessons[[#This Row],[Instrument__c]]&amp;";",";"&amp;_xlfn.XLOOKUP(Lessons[[#This Row],[Instructor_External_Id__c]], Instructors[Id], Instructors[Instruments_Taught__c])&amp;";"))</f>
        <v>1</v>
      </c>
      <c r="AB559" t="str">
        <f>IF(LEFT(Lessons[[#This Row],[Status__c]],9)="Cancelled","",Lessons[[#This Row],[Instructor_External_Id__c]]&amp;"|"&amp;TEXT(Lessons[[#This Row],[Lesson_Date__c]],"yyyy-mm-dd")&amp;"|"&amp;Lessons[[#This Row],[Start_Time__c]])</f>
        <v>a06ak00000amzBpAAI|2026-02-12|18:30:00.000Z</v>
      </c>
      <c r="AC559">
        <f>IF(Lessons[[#This Row],[Double Booked Key]]="","",COUNTIF(Lessons[Double Booked Key],Lessons[[#This Row],[Double Booked Key]]))</f>
        <v>1</v>
      </c>
      <c r="AD559" s="6" t="str">
        <f>_xlfn.XLOOKUP(Lessons[[#This Row],[Location_External_Id__c]], Locations[Location Id], Locations[Location Name])</f>
        <v>Brick</v>
      </c>
      <c r="AE559" s="6" t="str">
        <f>TEXT(Lessons[[#This Row],[Lesson_Date__c]], "yyyy-mm")</f>
        <v>2026-02</v>
      </c>
      <c r="AF559" s="6" t="str">
        <f>IF(Lessons[[#This Row],[Lesson_Date__c]]&lt;=Data_Audit!$F$1, "Yes", "No")</f>
        <v>Yes</v>
      </c>
    </row>
    <row r="560" spans="1:32">
      <c r="A560" t="s">
        <v>52</v>
      </c>
      <c r="B560" t="s">
        <v>53</v>
      </c>
      <c r="C560">
        <v>45</v>
      </c>
      <c r="D560" t="s">
        <v>2079</v>
      </c>
      <c r="E560" t="s">
        <v>390</v>
      </c>
      <c r="F560" t="s">
        <v>391</v>
      </c>
      <c r="G560" t="s">
        <v>164</v>
      </c>
      <c r="H560" t="s">
        <v>392</v>
      </c>
      <c r="I560" t="b">
        <v>0</v>
      </c>
      <c r="K560" t="s">
        <v>52</v>
      </c>
      <c r="L560" t="s">
        <v>1517</v>
      </c>
      <c r="O560" s="1">
        <v>46197</v>
      </c>
      <c r="P560" t="s">
        <v>2080</v>
      </c>
      <c r="Q560" t="s">
        <v>2081</v>
      </c>
      <c r="R560" t="s">
        <v>83</v>
      </c>
      <c r="S560" t="b">
        <v>0</v>
      </c>
      <c r="T560" t="b">
        <v>0</v>
      </c>
      <c r="U560" t="s">
        <v>2081</v>
      </c>
      <c r="V560" t="s">
        <v>140</v>
      </c>
      <c r="W560" t="s">
        <v>65</v>
      </c>
      <c r="X560" t="s">
        <v>2068</v>
      </c>
      <c r="Y560" t="s">
        <v>2069</v>
      </c>
      <c r="Z560" t="s">
        <v>1517</v>
      </c>
      <c r="AA560" t="b">
        <f>ISNUMBER(SEARCH(";"&amp;Lessons[[#This Row],[Instrument__c]]&amp;";",";"&amp;_xlfn.XLOOKUP(Lessons[[#This Row],[Instructor_External_Id__c]], Instructors[Id], Instructors[Instruments_Taught__c])&amp;";"))</f>
        <v>1</v>
      </c>
      <c r="AB560" t="str">
        <f>IF(LEFT(Lessons[[#This Row],[Status__c]],9)="Cancelled","",Lessons[[#This Row],[Instructor_External_Id__c]]&amp;"|"&amp;TEXT(Lessons[[#This Row],[Lesson_Date__c]],"yyyy-mm-dd")&amp;"|"&amp;Lessons[[#This Row],[Start_Time__c]])</f>
        <v>a06ak00000amzBpAAI|2026-06-24|15:00:00.000Z</v>
      </c>
      <c r="AC560">
        <f>IF(Lessons[[#This Row],[Double Booked Key]]="","",COUNTIF(Lessons[Double Booked Key],Lessons[[#This Row],[Double Booked Key]]))</f>
        <v>1</v>
      </c>
      <c r="AD560" s="6" t="str">
        <f>_xlfn.XLOOKUP(Lessons[[#This Row],[Location_External_Id__c]], Locations[Location Id], Locations[Location Name])</f>
        <v>Brick</v>
      </c>
      <c r="AE560" s="6" t="str">
        <f>TEXT(Lessons[[#This Row],[Lesson_Date__c]], "yyyy-mm")</f>
        <v>2026-06</v>
      </c>
      <c r="AF560" s="6" t="str">
        <f>IF(Lessons[[#This Row],[Lesson_Date__c]]&lt;=Data_Audit!$F$1, "Yes", "No")</f>
        <v>Yes</v>
      </c>
    </row>
    <row r="561" spans="1:32">
      <c r="A561" t="s">
        <v>52</v>
      </c>
      <c r="B561" t="s">
        <v>53</v>
      </c>
      <c r="C561">
        <v>30</v>
      </c>
      <c r="D561" t="s">
        <v>2082</v>
      </c>
      <c r="E561" t="s">
        <v>390</v>
      </c>
      <c r="F561" t="s">
        <v>391</v>
      </c>
      <c r="G561" t="s">
        <v>99</v>
      </c>
      <c r="H561" t="s">
        <v>392</v>
      </c>
      <c r="I561" t="b">
        <v>0</v>
      </c>
      <c r="K561" t="s">
        <v>52</v>
      </c>
      <c r="L561" t="s">
        <v>1517</v>
      </c>
      <c r="O561" s="1">
        <v>46030</v>
      </c>
      <c r="P561" t="s">
        <v>2083</v>
      </c>
      <c r="Q561" t="s">
        <v>2084</v>
      </c>
      <c r="R561" t="s">
        <v>83</v>
      </c>
      <c r="S561" t="b">
        <v>0</v>
      </c>
      <c r="T561" t="b">
        <v>0</v>
      </c>
      <c r="U561" t="s">
        <v>2084</v>
      </c>
      <c r="V561" t="s">
        <v>128</v>
      </c>
      <c r="W561" t="s">
        <v>65</v>
      </c>
      <c r="X561" t="s">
        <v>2068</v>
      </c>
      <c r="Y561" t="s">
        <v>2069</v>
      </c>
      <c r="Z561" t="s">
        <v>1517</v>
      </c>
      <c r="AA561" t="b">
        <f>ISNUMBER(SEARCH(";"&amp;Lessons[[#This Row],[Instrument__c]]&amp;";",";"&amp;_xlfn.XLOOKUP(Lessons[[#This Row],[Instructor_External_Id__c]], Instructors[Id], Instructors[Instruments_Taught__c])&amp;";"))</f>
        <v>1</v>
      </c>
      <c r="AB561" t="str">
        <f>IF(LEFT(Lessons[[#This Row],[Status__c]],9)="Cancelled","",Lessons[[#This Row],[Instructor_External_Id__c]]&amp;"|"&amp;TEXT(Lessons[[#This Row],[Lesson_Date__c]],"yyyy-mm-dd")&amp;"|"&amp;Lessons[[#This Row],[Start_Time__c]])</f>
        <v>a06ak00000amzBpAAI|2026-01-08|18:30:00.000Z</v>
      </c>
      <c r="AC561">
        <f>IF(Lessons[[#This Row],[Double Booked Key]]="","",COUNTIF(Lessons[Double Booked Key],Lessons[[#This Row],[Double Booked Key]]))</f>
        <v>1</v>
      </c>
      <c r="AD561" s="6" t="str">
        <f>_xlfn.XLOOKUP(Lessons[[#This Row],[Location_External_Id__c]], Locations[Location Id], Locations[Location Name])</f>
        <v>Brick</v>
      </c>
      <c r="AE561" s="6" t="str">
        <f>TEXT(Lessons[[#This Row],[Lesson_Date__c]], "yyyy-mm")</f>
        <v>2026-01</v>
      </c>
      <c r="AF561" s="6" t="str">
        <f>IF(Lessons[[#This Row],[Lesson_Date__c]]&lt;=Data_Audit!$F$1, "Yes", "No")</f>
        <v>Yes</v>
      </c>
    </row>
    <row r="562" spans="1:32">
      <c r="A562" t="s">
        <v>52</v>
      </c>
      <c r="B562" t="s">
        <v>53</v>
      </c>
      <c r="C562">
        <v>30</v>
      </c>
      <c r="D562" t="s">
        <v>2085</v>
      </c>
      <c r="E562" t="s">
        <v>390</v>
      </c>
      <c r="F562" t="s">
        <v>391</v>
      </c>
      <c r="G562" t="s">
        <v>57</v>
      </c>
      <c r="H562" t="s">
        <v>392</v>
      </c>
      <c r="I562" t="b">
        <v>0</v>
      </c>
      <c r="K562" t="s">
        <v>52</v>
      </c>
      <c r="L562" t="s">
        <v>1517</v>
      </c>
      <c r="O562" s="1">
        <v>46257</v>
      </c>
      <c r="P562" t="s">
        <v>2086</v>
      </c>
      <c r="Q562" t="s">
        <v>2087</v>
      </c>
      <c r="R562" t="s">
        <v>83</v>
      </c>
      <c r="S562" t="b">
        <v>0</v>
      </c>
      <c r="T562" t="b">
        <v>0</v>
      </c>
      <c r="U562" t="s">
        <v>2087</v>
      </c>
      <c r="V562" t="s">
        <v>84</v>
      </c>
      <c r="W562" t="s">
        <v>65</v>
      </c>
      <c r="X562" t="s">
        <v>2068</v>
      </c>
      <c r="Y562" t="s">
        <v>2069</v>
      </c>
      <c r="Z562" t="s">
        <v>1517</v>
      </c>
      <c r="AA562" t="b">
        <f>ISNUMBER(SEARCH(";"&amp;Lessons[[#This Row],[Instrument__c]]&amp;";",";"&amp;_xlfn.XLOOKUP(Lessons[[#This Row],[Instructor_External_Id__c]], Instructors[Id], Instructors[Instruments_Taught__c])&amp;";"))</f>
        <v>1</v>
      </c>
      <c r="AB562" t="str">
        <f>IF(LEFT(Lessons[[#This Row],[Status__c]],9)="Cancelled","",Lessons[[#This Row],[Instructor_External_Id__c]]&amp;"|"&amp;TEXT(Lessons[[#This Row],[Lesson_Date__c]],"yyyy-mm-dd")&amp;"|"&amp;Lessons[[#This Row],[Start_Time__c]])</f>
        <v>a06ak00000amzBpAAI|2026-08-23|17:00:00.000Z</v>
      </c>
      <c r="AC562">
        <f>IF(Lessons[[#This Row],[Double Booked Key]]="","",COUNTIF(Lessons[Double Booked Key],Lessons[[#This Row],[Double Booked Key]]))</f>
        <v>1</v>
      </c>
      <c r="AD562" s="6" t="str">
        <f>_xlfn.XLOOKUP(Lessons[[#This Row],[Location_External_Id__c]], Locations[Location Id], Locations[Location Name])</f>
        <v>Brick</v>
      </c>
      <c r="AE562" s="6" t="str">
        <f>TEXT(Lessons[[#This Row],[Lesson_Date__c]], "yyyy-mm")</f>
        <v>2026-08</v>
      </c>
      <c r="AF562" s="6" t="str">
        <f>IF(Lessons[[#This Row],[Lesson_Date__c]]&lt;=Data_Audit!$F$1, "Yes", "No")</f>
        <v>Yes</v>
      </c>
    </row>
    <row r="563" spans="1:32">
      <c r="A563" t="s">
        <v>52</v>
      </c>
      <c r="B563" t="s">
        <v>53</v>
      </c>
      <c r="C563">
        <v>60</v>
      </c>
      <c r="D563" t="s">
        <v>2088</v>
      </c>
      <c r="E563" t="s">
        <v>359</v>
      </c>
      <c r="F563" t="s">
        <v>360</v>
      </c>
      <c r="H563" t="s">
        <v>392</v>
      </c>
      <c r="I563" t="b">
        <v>0</v>
      </c>
      <c r="K563" t="s">
        <v>52</v>
      </c>
      <c r="L563" t="s">
        <v>1517</v>
      </c>
      <c r="O563" s="1">
        <v>46037</v>
      </c>
      <c r="P563" t="s">
        <v>2089</v>
      </c>
      <c r="Q563" t="s">
        <v>2090</v>
      </c>
      <c r="R563" t="s">
        <v>63</v>
      </c>
      <c r="S563" t="b">
        <v>0</v>
      </c>
      <c r="T563" t="b">
        <v>0</v>
      </c>
      <c r="U563" t="s">
        <v>2090</v>
      </c>
      <c r="V563" t="s">
        <v>64</v>
      </c>
      <c r="W563" t="s">
        <v>85</v>
      </c>
      <c r="X563" t="s">
        <v>2091</v>
      </c>
      <c r="Y563" t="s">
        <v>2092</v>
      </c>
      <c r="Z563" t="s">
        <v>1517</v>
      </c>
      <c r="AA563" t="b">
        <f>ISNUMBER(SEARCH(";"&amp;Lessons[[#This Row],[Instrument__c]]&amp;";",";"&amp;_xlfn.XLOOKUP(Lessons[[#This Row],[Instructor_External_Id__c]], Instructors[Id], Instructors[Instruments_Taught__c])&amp;";"))</f>
        <v>1</v>
      </c>
      <c r="AB563" t="str">
        <f>IF(LEFT(Lessons[[#This Row],[Status__c]],9)="Cancelled","",Lessons[[#This Row],[Instructor_External_Id__c]]&amp;"|"&amp;TEXT(Lessons[[#This Row],[Lesson_Date__c]],"yyyy-mm-dd")&amp;"|"&amp;Lessons[[#This Row],[Start_Time__c]])</f>
        <v/>
      </c>
      <c r="AC563" t="str">
        <f>IF(Lessons[[#This Row],[Double Booked Key]]="","",COUNTIF(Lessons[Double Booked Key],Lessons[[#This Row],[Double Booked Key]]))</f>
        <v/>
      </c>
      <c r="AD563" s="6" t="str">
        <f>_xlfn.XLOOKUP(Lessons[[#This Row],[Location_External_Id__c]], Locations[Location Id], Locations[Location Name])</f>
        <v>Red Bank</v>
      </c>
      <c r="AE563" s="6" t="str">
        <f>TEXT(Lessons[[#This Row],[Lesson_Date__c]], "yyyy-mm")</f>
        <v>2026-01</v>
      </c>
      <c r="AF563" s="6" t="str">
        <f>IF(Lessons[[#This Row],[Lesson_Date__c]]&lt;=Data_Audit!$F$1, "Yes", "No")</f>
        <v>Yes</v>
      </c>
    </row>
    <row r="564" spans="1:32">
      <c r="A564" t="s">
        <v>52</v>
      </c>
      <c r="B564" t="s">
        <v>53</v>
      </c>
      <c r="C564">
        <v>30</v>
      </c>
      <c r="D564" t="s">
        <v>2093</v>
      </c>
      <c r="E564" t="s">
        <v>359</v>
      </c>
      <c r="F564" t="s">
        <v>360</v>
      </c>
      <c r="G564" t="s">
        <v>106</v>
      </c>
      <c r="H564" t="s">
        <v>392</v>
      </c>
      <c r="I564" t="b">
        <v>0</v>
      </c>
      <c r="K564" t="s">
        <v>52</v>
      </c>
      <c r="L564" t="s">
        <v>1517</v>
      </c>
      <c r="O564" s="1">
        <v>46057</v>
      </c>
      <c r="P564" t="s">
        <v>2094</v>
      </c>
      <c r="Q564" t="s">
        <v>2095</v>
      </c>
      <c r="R564" t="s">
        <v>63</v>
      </c>
      <c r="S564" t="b">
        <v>0</v>
      </c>
      <c r="T564" t="b">
        <v>0</v>
      </c>
      <c r="U564" t="s">
        <v>2095</v>
      </c>
      <c r="V564" t="s">
        <v>102</v>
      </c>
      <c r="W564" t="s">
        <v>65</v>
      </c>
      <c r="X564" t="s">
        <v>2091</v>
      </c>
      <c r="Y564" t="s">
        <v>2092</v>
      </c>
      <c r="Z564" t="s">
        <v>1517</v>
      </c>
      <c r="AA564" t="b">
        <f>ISNUMBER(SEARCH(";"&amp;Lessons[[#This Row],[Instrument__c]]&amp;";",";"&amp;_xlfn.XLOOKUP(Lessons[[#This Row],[Instructor_External_Id__c]], Instructors[Id], Instructors[Instruments_Taught__c])&amp;";"))</f>
        <v>1</v>
      </c>
      <c r="AB564" t="str">
        <f>IF(LEFT(Lessons[[#This Row],[Status__c]],9)="Cancelled","",Lessons[[#This Row],[Instructor_External_Id__c]]&amp;"|"&amp;TEXT(Lessons[[#This Row],[Lesson_Date__c]],"yyyy-mm-dd")&amp;"|"&amp;Lessons[[#This Row],[Start_Time__c]])</f>
        <v>a06ak00000amzBiAAI|2026-02-04|16:00:00.000Z</v>
      </c>
      <c r="AC564">
        <f>IF(Lessons[[#This Row],[Double Booked Key]]="","",COUNTIF(Lessons[Double Booked Key],Lessons[[#This Row],[Double Booked Key]]))</f>
        <v>1</v>
      </c>
      <c r="AD564" s="6" t="str">
        <f>_xlfn.XLOOKUP(Lessons[[#This Row],[Location_External_Id__c]], Locations[Location Id], Locations[Location Name])</f>
        <v>Red Bank</v>
      </c>
      <c r="AE564" s="6" t="str">
        <f>TEXT(Lessons[[#This Row],[Lesson_Date__c]], "yyyy-mm")</f>
        <v>2026-02</v>
      </c>
      <c r="AF564" s="6" t="str">
        <f>IF(Lessons[[#This Row],[Lesson_Date__c]]&lt;=Data_Audit!$F$1, "Yes", "No")</f>
        <v>Yes</v>
      </c>
    </row>
    <row r="565" spans="1:32">
      <c r="A565" t="s">
        <v>52</v>
      </c>
      <c r="B565" t="s">
        <v>53</v>
      </c>
      <c r="C565">
        <v>30</v>
      </c>
      <c r="D565" t="s">
        <v>2096</v>
      </c>
      <c r="E565" t="s">
        <v>359</v>
      </c>
      <c r="F565" t="s">
        <v>360</v>
      </c>
      <c r="G565" t="s">
        <v>57</v>
      </c>
      <c r="H565" t="s">
        <v>392</v>
      </c>
      <c r="I565" t="b">
        <v>0</v>
      </c>
      <c r="K565" t="s">
        <v>52</v>
      </c>
      <c r="L565" t="s">
        <v>1517</v>
      </c>
      <c r="O565" s="1">
        <v>46158</v>
      </c>
      <c r="P565" t="s">
        <v>2097</v>
      </c>
      <c r="Q565" t="s">
        <v>2098</v>
      </c>
      <c r="R565" t="s">
        <v>63</v>
      </c>
      <c r="S565" t="b">
        <v>0</v>
      </c>
      <c r="T565" t="b">
        <v>0</v>
      </c>
      <c r="U565" t="s">
        <v>2098</v>
      </c>
      <c r="V565" t="s">
        <v>135</v>
      </c>
      <c r="W565" t="s">
        <v>65</v>
      </c>
      <c r="X565" t="s">
        <v>2091</v>
      </c>
      <c r="Y565" t="s">
        <v>2092</v>
      </c>
      <c r="Z565" t="s">
        <v>1517</v>
      </c>
      <c r="AA565" t="b">
        <f>ISNUMBER(SEARCH(";"&amp;Lessons[[#This Row],[Instrument__c]]&amp;";",";"&amp;_xlfn.XLOOKUP(Lessons[[#This Row],[Instructor_External_Id__c]], Instructors[Id], Instructors[Instruments_Taught__c])&amp;";"))</f>
        <v>1</v>
      </c>
      <c r="AB565" t="str">
        <f>IF(LEFT(Lessons[[#This Row],[Status__c]],9)="Cancelled","",Lessons[[#This Row],[Instructor_External_Id__c]]&amp;"|"&amp;TEXT(Lessons[[#This Row],[Lesson_Date__c]],"yyyy-mm-dd")&amp;"|"&amp;Lessons[[#This Row],[Start_Time__c]])</f>
        <v>a06ak00000amzBiAAI|2026-05-16|15:30:00.000Z</v>
      </c>
      <c r="AC565">
        <f>IF(Lessons[[#This Row],[Double Booked Key]]="","",COUNTIF(Lessons[Double Booked Key],Lessons[[#This Row],[Double Booked Key]]))</f>
        <v>1</v>
      </c>
      <c r="AD565" s="6" t="str">
        <f>_xlfn.XLOOKUP(Lessons[[#This Row],[Location_External_Id__c]], Locations[Location Id], Locations[Location Name])</f>
        <v>Red Bank</v>
      </c>
      <c r="AE565" s="6" t="str">
        <f>TEXT(Lessons[[#This Row],[Lesson_Date__c]], "yyyy-mm")</f>
        <v>2026-05</v>
      </c>
      <c r="AF565" s="6" t="str">
        <f>IF(Lessons[[#This Row],[Lesson_Date__c]]&lt;=Data_Audit!$F$1, "Yes", "No")</f>
        <v>Yes</v>
      </c>
    </row>
    <row r="566" spans="1:32">
      <c r="A566" t="s">
        <v>52</v>
      </c>
      <c r="B566" t="s">
        <v>53</v>
      </c>
      <c r="C566">
        <v>45</v>
      </c>
      <c r="D566" t="s">
        <v>2099</v>
      </c>
      <c r="E566" t="s">
        <v>359</v>
      </c>
      <c r="F566" t="s">
        <v>360</v>
      </c>
      <c r="G566" t="s">
        <v>106</v>
      </c>
      <c r="H566" t="s">
        <v>392</v>
      </c>
      <c r="I566" t="b">
        <v>0</v>
      </c>
      <c r="K566" t="s">
        <v>52</v>
      </c>
      <c r="L566" t="s">
        <v>1517</v>
      </c>
      <c r="O566" s="1">
        <v>46092</v>
      </c>
      <c r="P566" t="s">
        <v>2100</v>
      </c>
      <c r="Q566" t="s">
        <v>2101</v>
      </c>
      <c r="R566" t="s">
        <v>63</v>
      </c>
      <c r="S566" t="b">
        <v>0</v>
      </c>
      <c r="T566" t="b">
        <v>0</v>
      </c>
      <c r="U566" t="s">
        <v>2101</v>
      </c>
      <c r="V566" t="s">
        <v>74</v>
      </c>
      <c r="W566" t="s">
        <v>65</v>
      </c>
      <c r="X566" t="s">
        <v>2091</v>
      </c>
      <c r="Y566" t="s">
        <v>2092</v>
      </c>
      <c r="Z566" t="s">
        <v>1517</v>
      </c>
      <c r="AA566" t="b">
        <f>ISNUMBER(SEARCH(";"&amp;Lessons[[#This Row],[Instrument__c]]&amp;";",";"&amp;_xlfn.XLOOKUP(Lessons[[#This Row],[Instructor_External_Id__c]], Instructors[Id], Instructors[Instruments_Taught__c])&amp;";"))</f>
        <v>1</v>
      </c>
      <c r="AB566" t="str">
        <f>IF(LEFT(Lessons[[#This Row],[Status__c]],9)="Cancelled","",Lessons[[#This Row],[Instructor_External_Id__c]]&amp;"|"&amp;TEXT(Lessons[[#This Row],[Lesson_Date__c]],"yyyy-mm-dd")&amp;"|"&amp;Lessons[[#This Row],[Start_Time__c]])</f>
        <v>a06ak00000amzBiAAI|2026-03-11|16:30:00.000Z</v>
      </c>
      <c r="AC566">
        <f>IF(Lessons[[#This Row],[Double Booked Key]]="","",COUNTIF(Lessons[Double Booked Key],Lessons[[#This Row],[Double Booked Key]]))</f>
        <v>1</v>
      </c>
      <c r="AD566" s="6" t="str">
        <f>_xlfn.XLOOKUP(Lessons[[#This Row],[Location_External_Id__c]], Locations[Location Id], Locations[Location Name])</f>
        <v>Red Bank</v>
      </c>
      <c r="AE566" s="6" t="str">
        <f>TEXT(Lessons[[#This Row],[Lesson_Date__c]], "yyyy-mm")</f>
        <v>2026-03</v>
      </c>
      <c r="AF566" s="6" t="str">
        <f>IF(Lessons[[#This Row],[Lesson_Date__c]]&lt;=Data_Audit!$F$1, "Yes", "No")</f>
        <v>Yes</v>
      </c>
    </row>
    <row r="567" spans="1:32">
      <c r="A567" t="s">
        <v>52</v>
      </c>
      <c r="B567" t="s">
        <v>53</v>
      </c>
      <c r="C567">
        <v>60</v>
      </c>
      <c r="D567" t="s">
        <v>2102</v>
      </c>
      <c r="E567" t="s">
        <v>359</v>
      </c>
      <c r="F567" t="s">
        <v>360</v>
      </c>
      <c r="G567" t="s">
        <v>106</v>
      </c>
      <c r="H567" t="s">
        <v>392</v>
      </c>
      <c r="I567" t="b">
        <v>0</v>
      </c>
      <c r="K567" t="s">
        <v>52</v>
      </c>
      <c r="L567" t="s">
        <v>1517</v>
      </c>
      <c r="O567" s="1">
        <v>46297</v>
      </c>
      <c r="P567" t="s">
        <v>2103</v>
      </c>
      <c r="Q567" t="s">
        <v>2104</v>
      </c>
      <c r="R567" t="s">
        <v>63</v>
      </c>
      <c r="S567" t="b">
        <v>0</v>
      </c>
      <c r="T567" t="b">
        <v>0</v>
      </c>
      <c r="U567" t="s">
        <v>2104</v>
      </c>
      <c r="V567" t="s">
        <v>94</v>
      </c>
      <c r="W567" t="s">
        <v>65</v>
      </c>
      <c r="X567" t="s">
        <v>2091</v>
      </c>
      <c r="Y567" t="s">
        <v>2092</v>
      </c>
      <c r="Z567" t="s">
        <v>1517</v>
      </c>
      <c r="AA567" t="b">
        <f>ISNUMBER(SEARCH(";"&amp;Lessons[[#This Row],[Instrument__c]]&amp;";",";"&amp;_xlfn.XLOOKUP(Lessons[[#This Row],[Instructor_External_Id__c]], Instructors[Id], Instructors[Instruments_Taught__c])&amp;";"))</f>
        <v>1</v>
      </c>
      <c r="AB567" t="str">
        <f>IF(LEFT(Lessons[[#This Row],[Status__c]],9)="Cancelled","",Lessons[[#This Row],[Instructor_External_Id__c]]&amp;"|"&amp;TEXT(Lessons[[#This Row],[Lesson_Date__c]],"yyyy-mm-dd")&amp;"|"&amp;Lessons[[#This Row],[Start_Time__c]])</f>
        <v>a06ak00000amzBiAAI|2026-10-02|19:00:00.000Z</v>
      </c>
      <c r="AC567">
        <f>IF(Lessons[[#This Row],[Double Booked Key]]="","",COUNTIF(Lessons[Double Booked Key],Lessons[[#This Row],[Double Booked Key]]))</f>
        <v>1</v>
      </c>
      <c r="AD567" s="6" t="str">
        <f>_xlfn.XLOOKUP(Lessons[[#This Row],[Location_External_Id__c]], Locations[Location Id], Locations[Location Name])</f>
        <v>Red Bank</v>
      </c>
      <c r="AE567" s="6" t="str">
        <f>TEXT(Lessons[[#This Row],[Lesson_Date__c]], "yyyy-mm")</f>
        <v>2026-10</v>
      </c>
      <c r="AF567" s="6" t="str">
        <f>IF(Lessons[[#This Row],[Lesson_Date__c]]&lt;=Data_Audit!$F$1, "Yes", "No")</f>
        <v>Yes</v>
      </c>
    </row>
    <row r="568" spans="1:32">
      <c r="A568" t="s">
        <v>52</v>
      </c>
      <c r="B568" t="s">
        <v>53</v>
      </c>
      <c r="C568">
        <v>45</v>
      </c>
      <c r="D568" t="s">
        <v>2105</v>
      </c>
      <c r="E568" t="s">
        <v>359</v>
      </c>
      <c r="F568" t="s">
        <v>360</v>
      </c>
      <c r="G568" t="s">
        <v>99</v>
      </c>
      <c r="H568" t="s">
        <v>392</v>
      </c>
      <c r="I568" t="b">
        <v>0</v>
      </c>
      <c r="K568" t="s">
        <v>52</v>
      </c>
      <c r="L568" t="s">
        <v>1517</v>
      </c>
      <c r="O568" s="1">
        <v>46275</v>
      </c>
      <c r="P568" t="s">
        <v>2106</v>
      </c>
      <c r="Q568" t="s">
        <v>2107</v>
      </c>
      <c r="R568" t="s">
        <v>63</v>
      </c>
      <c r="S568" t="b">
        <v>0</v>
      </c>
      <c r="T568" t="b">
        <v>0</v>
      </c>
      <c r="U568" t="s">
        <v>2107</v>
      </c>
      <c r="V568" t="s">
        <v>64</v>
      </c>
      <c r="W568" t="s">
        <v>65</v>
      </c>
      <c r="X568" t="s">
        <v>2091</v>
      </c>
      <c r="Y568" t="s">
        <v>2092</v>
      </c>
      <c r="Z568" t="s">
        <v>1517</v>
      </c>
      <c r="AA568" t="b">
        <f>ISNUMBER(SEARCH(";"&amp;Lessons[[#This Row],[Instrument__c]]&amp;";",";"&amp;_xlfn.XLOOKUP(Lessons[[#This Row],[Instructor_External_Id__c]], Instructors[Id], Instructors[Instruments_Taught__c])&amp;";"))</f>
        <v>1</v>
      </c>
      <c r="AB568" t="str">
        <f>IF(LEFT(Lessons[[#This Row],[Status__c]],9)="Cancelled","",Lessons[[#This Row],[Instructor_External_Id__c]]&amp;"|"&amp;TEXT(Lessons[[#This Row],[Lesson_Date__c]],"yyyy-mm-dd")&amp;"|"&amp;Lessons[[#This Row],[Start_Time__c]])</f>
        <v>a06ak00000amzBiAAI|2026-09-10|11:00:00.000Z</v>
      </c>
      <c r="AC568">
        <f>IF(Lessons[[#This Row],[Double Booked Key]]="","",COUNTIF(Lessons[Double Booked Key],Lessons[[#This Row],[Double Booked Key]]))</f>
        <v>1</v>
      </c>
      <c r="AD568" s="6" t="str">
        <f>_xlfn.XLOOKUP(Lessons[[#This Row],[Location_External_Id__c]], Locations[Location Id], Locations[Location Name])</f>
        <v>Red Bank</v>
      </c>
      <c r="AE568" s="6" t="str">
        <f>TEXT(Lessons[[#This Row],[Lesson_Date__c]], "yyyy-mm")</f>
        <v>2026-09</v>
      </c>
      <c r="AF568" s="6" t="str">
        <f>IF(Lessons[[#This Row],[Lesson_Date__c]]&lt;=Data_Audit!$F$1, "Yes", "No")</f>
        <v>Yes</v>
      </c>
    </row>
    <row r="569" spans="1:32">
      <c r="A569" t="s">
        <v>52</v>
      </c>
      <c r="B569" t="s">
        <v>53</v>
      </c>
      <c r="C569">
        <v>30</v>
      </c>
      <c r="D569" t="s">
        <v>2108</v>
      </c>
      <c r="E569" t="s">
        <v>359</v>
      </c>
      <c r="F569" t="s">
        <v>360</v>
      </c>
      <c r="G569" t="s">
        <v>164</v>
      </c>
      <c r="H569" t="s">
        <v>392</v>
      </c>
      <c r="I569" t="b">
        <v>0</v>
      </c>
      <c r="K569" t="s">
        <v>52</v>
      </c>
      <c r="L569" t="s">
        <v>1517</v>
      </c>
      <c r="O569" s="1">
        <v>46062</v>
      </c>
      <c r="P569" t="s">
        <v>2109</v>
      </c>
      <c r="Q569" t="s">
        <v>2110</v>
      </c>
      <c r="R569" t="s">
        <v>63</v>
      </c>
      <c r="S569" t="b">
        <v>0</v>
      </c>
      <c r="T569" t="b">
        <v>0</v>
      </c>
      <c r="U569" t="s">
        <v>2110</v>
      </c>
      <c r="V569" t="s">
        <v>135</v>
      </c>
      <c r="W569" t="s">
        <v>65</v>
      </c>
      <c r="X569" t="s">
        <v>2091</v>
      </c>
      <c r="Y569" t="s">
        <v>2092</v>
      </c>
      <c r="Z569" t="s">
        <v>1517</v>
      </c>
      <c r="AA569" t="b">
        <f>ISNUMBER(SEARCH(";"&amp;Lessons[[#This Row],[Instrument__c]]&amp;";",";"&amp;_xlfn.XLOOKUP(Lessons[[#This Row],[Instructor_External_Id__c]], Instructors[Id], Instructors[Instruments_Taught__c])&amp;";"))</f>
        <v>1</v>
      </c>
      <c r="AB569" t="str">
        <f>IF(LEFT(Lessons[[#This Row],[Status__c]],9)="Cancelled","",Lessons[[#This Row],[Instructor_External_Id__c]]&amp;"|"&amp;TEXT(Lessons[[#This Row],[Lesson_Date__c]],"yyyy-mm-dd")&amp;"|"&amp;Lessons[[#This Row],[Start_Time__c]])</f>
        <v>a06ak00000amzBiAAI|2026-02-09|15:30:00.000Z</v>
      </c>
      <c r="AC569">
        <f>IF(Lessons[[#This Row],[Double Booked Key]]="","",COUNTIF(Lessons[Double Booked Key],Lessons[[#This Row],[Double Booked Key]]))</f>
        <v>1</v>
      </c>
      <c r="AD569" s="6" t="str">
        <f>_xlfn.XLOOKUP(Lessons[[#This Row],[Location_External_Id__c]], Locations[Location Id], Locations[Location Name])</f>
        <v>Red Bank</v>
      </c>
      <c r="AE569" s="6" t="str">
        <f>TEXT(Lessons[[#This Row],[Lesson_Date__c]], "yyyy-mm")</f>
        <v>2026-02</v>
      </c>
      <c r="AF569" s="6" t="str">
        <f>IF(Lessons[[#This Row],[Lesson_Date__c]]&lt;=Data_Audit!$F$1, "Yes", "No")</f>
        <v>Yes</v>
      </c>
    </row>
    <row r="570" spans="1:32">
      <c r="A570" t="s">
        <v>52</v>
      </c>
      <c r="B570" t="s">
        <v>53</v>
      </c>
      <c r="C570">
        <v>30</v>
      </c>
      <c r="D570" t="s">
        <v>2111</v>
      </c>
      <c r="E570" t="s">
        <v>282</v>
      </c>
      <c r="F570" t="s">
        <v>283</v>
      </c>
      <c r="H570" t="s">
        <v>284</v>
      </c>
      <c r="I570" t="b">
        <v>0</v>
      </c>
      <c r="K570" t="s">
        <v>52</v>
      </c>
      <c r="L570" t="s">
        <v>1517</v>
      </c>
      <c r="O570" s="1">
        <v>46176</v>
      </c>
      <c r="P570" t="s">
        <v>2112</v>
      </c>
      <c r="Q570" t="s">
        <v>2113</v>
      </c>
      <c r="R570" t="s">
        <v>83</v>
      </c>
      <c r="S570" t="b">
        <v>0</v>
      </c>
      <c r="T570" t="b">
        <v>0</v>
      </c>
      <c r="U570" t="s">
        <v>2113</v>
      </c>
      <c r="V570" t="s">
        <v>140</v>
      </c>
      <c r="W570" t="s">
        <v>65</v>
      </c>
      <c r="X570" t="s">
        <v>2114</v>
      </c>
      <c r="Y570" t="s">
        <v>2115</v>
      </c>
      <c r="Z570" t="s">
        <v>1517</v>
      </c>
      <c r="AA570" t="b">
        <f>ISNUMBER(SEARCH(";"&amp;Lessons[[#This Row],[Instrument__c]]&amp;";",";"&amp;_xlfn.XLOOKUP(Lessons[[#This Row],[Instructor_External_Id__c]], Instructors[Id], Instructors[Instruments_Taught__c])&amp;";"))</f>
        <v>1</v>
      </c>
      <c r="AB570" t="str">
        <f>IF(LEFT(Lessons[[#This Row],[Status__c]],9)="Cancelled","",Lessons[[#This Row],[Instructor_External_Id__c]]&amp;"|"&amp;TEXT(Lessons[[#This Row],[Lesson_Date__c]],"yyyy-mm-dd")&amp;"|"&amp;Lessons[[#This Row],[Start_Time__c]])</f>
        <v>a06ak00000amzBxAAI|2026-06-03|15:00:00.000Z</v>
      </c>
      <c r="AC570">
        <f>IF(Lessons[[#This Row],[Double Booked Key]]="","",COUNTIF(Lessons[Double Booked Key],Lessons[[#This Row],[Double Booked Key]]))</f>
        <v>1</v>
      </c>
      <c r="AD570" s="6" t="str">
        <f>_xlfn.XLOOKUP(Lessons[[#This Row],[Location_External_Id__c]], Locations[Location Id], Locations[Location Name])</f>
        <v>Brick</v>
      </c>
      <c r="AE570" s="6" t="str">
        <f>TEXT(Lessons[[#This Row],[Lesson_Date__c]], "yyyy-mm")</f>
        <v>2026-06</v>
      </c>
      <c r="AF570" s="6" t="str">
        <f>IF(Lessons[[#This Row],[Lesson_Date__c]]&lt;=Data_Audit!$F$1, "Yes", "No")</f>
        <v>Yes</v>
      </c>
    </row>
    <row r="571" spans="1:32">
      <c r="A571" t="s">
        <v>52</v>
      </c>
      <c r="B571" t="s">
        <v>53</v>
      </c>
      <c r="C571">
        <v>30</v>
      </c>
      <c r="D571" t="s">
        <v>2116</v>
      </c>
      <c r="E571" t="s">
        <v>282</v>
      </c>
      <c r="F571" t="s">
        <v>283</v>
      </c>
      <c r="G571" t="s">
        <v>69</v>
      </c>
      <c r="H571" t="s">
        <v>284</v>
      </c>
      <c r="I571" t="b">
        <v>0</v>
      </c>
      <c r="K571" t="s">
        <v>52</v>
      </c>
      <c r="L571" t="s">
        <v>1517</v>
      </c>
      <c r="O571" s="1">
        <v>46168</v>
      </c>
      <c r="P571" t="s">
        <v>2117</v>
      </c>
      <c r="Q571" t="s">
        <v>2118</v>
      </c>
      <c r="R571" t="s">
        <v>83</v>
      </c>
      <c r="S571" t="b">
        <v>0</v>
      </c>
      <c r="T571" t="b">
        <v>0</v>
      </c>
      <c r="U571" t="s">
        <v>2118</v>
      </c>
      <c r="V571" t="s">
        <v>110</v>
      </c>
      <c r="W571" t="s">
        <v>65</v>
      </c>
      <c r="X571" t="s">
        <v>2114</v>
      </c>
      <c r="Y571" t="s">
        <v>2115</v>
      </c>
      <c r="Z571" t="s">
        <v>1517</v>
      </c>
      <c r="AA571" t="b">
        <f>ISNUMBER(SEARCH(";"&amp;Lessons[[#This Row],[Instrument__c]]&amp;";",";"&amp;_xlfn.XLOOKUP(Lessons[[#This Row],[Instructor_External_Id__c]], Instructors[Id], Instructors[Instruments_Taught__c])&amp;";"))</f>
        <v>1</v>
      </c>
      <c r="AB571" t="str">
        <f>IF(LEFT(Lessons[[#This Row],[Status__c]],9)="Cancelled","",Lessons[[#This Row],[Instructor_External_Id__c]]&amp;"|"&amp;TEXT(Lessons[[#This Row],[Lesson_Date__c]],"yyyy-mm-dd")&amp;"|"&amp;Lessons[[#This Row],[Start_Time__c]])</f>
        <v>a06ak00000amzBxAAI|2026-05-26|10:00:00.000Z</v>
      </c>
      <c r="AC571">
        <f>IF(Lessons[[#This Row],[Double Booked Key]]="","",COUNTIF(Lessons[Double Booked Key],Lessons[[#This Row],[Double Booked Key]]))</f>
        <v>1</v>
      </c>
      <c r="AD571" s="6" t="str">
        <f>_xlfn.XLOOKUP(Lessons[[#This Row],[Location_External_Id__c]], Locations[Location Id], Locations[Location Name])</f>
        <v>Brick</v>
      </c>
      <c r="AE571" s="6" t="str">
        <f>TEXT(Lessons[[#This Row],[Lesson_Date__c]], "yyyy-mm")</f>
        <v>2026-05</v>
      </c>
      <c r="AF571" s="6" t="str">
        <f>IF(Lessons[[#This Row],[Lesson_Date__c]]&lt;=Data_Audit!$F$1, "Yes", "No")</f>
        <v>Yes</v>
      </c>
    </row>
    <row r="572" spans="1:32">
      <c r="A572" t="s">
        <v>52</v>
      </c>
      <c r="B572" t="s">
        <v>53</v>
      </c>
      <c r="C572">
        <v>30</v>
      </c>
      <c r="D572" t="s">
        <v>2119</v>
      </c>
      <c r="E572" t="s">
        <v>89</v>
      </c>
      <c r="F572" t="s">
        <v>90</v>
      </c>
      <c r="G572" t="s">
        <v>69</v>
      </c>
      <c r="H572" t="s">
        <v>650</v>
      </c>
      <c r="I572" t="b">
        <v>0</v>
      </c>
      <c r="K572" t="s">
        <v>52</v>
      </c>
      <c r="L572" t="s">
        <v>1517</v>
      </c>
      <c r="O572" s="1">
        <v>46152</v>
      </c>
      <c r="P572" t="s">
        <v>2120</v>
      </c>
      <c r="Q572" t="s">
        <v>2121</v>
      </c>
      <c r="R572" t="s">
        <v>83</v>
      </c>
      <c r="S572" t="b">
        <v>0</v>
      </c>
      <c r="T572" t="b">
        <v>0</v>
      </c>
      <c r="U572" t="s">
        <v>2121</v>
      </c>
      <c r="V572" t="s">
        <v>128</v>
      </c>
      <c r="W572" t="s">
        <v>65</v>
      </c>
      <c r="X572" t="s">
        <v>2122</v>
      </c>
      <c r="Y572" t="s">
        <v>2123</v>
      </c>
      <c r="Z572" t="s">
        <v>1517</v>
      </c>
      <c r="AA572" t="b">
        <f>ISNUMBER(SEARCH(";"&amp;Lessons[[#This Row],[Instrument__c]]&amp;";",";"&amp;_xlfn.XLOOKUP(Lessons[[#This Row],[Instructor_External_Id__c]], Instructors[Id], Instructors[Instruments_Taught__c])&amp;";"))</f>
        <v>1</v>
      </c>
      <c r="AB572" t="str">
        <f>IF(LEFT(Lessons[[#This Row],[Status__c]],9)="Cancelled","",Lessons[[#This Row],[Instructor_External_Id__c]]&amp;"|"&amp;TEXT(Lessons[[#This Row],[Lesson_Date__c]],"yyyy-mm-dd")&amp;"|"&amp;Lessons[[#This Row],[Start_Time__c]])</f>
        <v>a06ak00000amzCFAAY|2026-05-10|18:30:00.000Z</v>
      </c>
      <c r="AC572">
        <f>IF(Lessons[[#This Row],[Double Booked Key]]="","",COUNTIF(Lessons[Double Booked Key],Lessons[[#This Row],[Double Booked Key]]))</f>
        <v>1</v>
      </c>
      <c r="AD572" s="6" t="str">
        <f>_xlfn.XLOOKUP(Lessons[[#This Row],[Location_External_Id__c]], Locations[Location Id], Locations[Location Name])</f>
        <v>Brick</v>
      </c>
      <c r="AE572" s="6" t="str">
        <f>TEXT(Lessons[[#This Row],[Lesson_Date__c]], "yyyy-mm")</f>
        <v>2026-05</v>
      </c>
      <c r="AF572" s="6" t="str">
        <f>IF(Lessons[[#This Row],[Lesson_Date__c]]&lt;=Data_Audit!$F$1, "Yes", "No")</f>
        <v>Yes</v>
      </c>
    </row>
    <row r="573" spans="1:32">
      <c r="A573" t="s">
        <v>52</v>
      </c>
      <c r="B573" t="s">
        <v>53</v>
      </c>
      <c r="C573">
        <v>30</v>
      </c>
      <c r="D573" t="s">
        <v>2124</v>
      </c>
      <c r="E573" t="s">
        <v>89</v>
      </c>
      <c r="F573" t="s">
        <v>90</v>
      </c>
      <c r="G573" t="s">
        <v>69</v>
      </c>
      <c r="H573" t="s">
        <v>650</v>
      </c>
      <c r="I573" t="b">
        <v>0</v>
      </c>
      <c r="K573" t="s">
        <v>52</v>
      </c>
      <c r="L573" t="s">
        <v>1517</v>
      </c>
      <c r="O573" s="1">
        <v>46202</v>
      </c>
      <c r="P573" t="s">
        <v>2125</v>
      </c>
      <c r="Q573" t="s">
        <v>2126</v>
      </c>
      <c r="R573" t="s">
        <v>83</v>
      </c>
      <c r="S573" t="b">
        <v>0</v>
      </c>
      <c r="T573" t="b">
        <v>0</v>
      </c>
      <c r="U573" t="s">
        <v>2126</v>
      </c>
      <c r="V573" t="s">
        <v>128</v>
      </c>
      <c r="W573" t="s">
        <v>65</v>
      </c>
      <c r="X573" t="s">
        <v>2122</v>
      </c>
      <c r="Y573" t="s">
        <v>2123</v>
      </c>
      <c r="Z573" t="s">
        <v>1517</v>
      </c>
      <c r="AA573" t="b">
        <f>ISNUMBER(SEARCH(";"&amp;Lessons[[#This Row],[Instrument__c]]&amp;";",";"&amp;_xlfn.XLOOKUP(Lessons[[#This Row],[Instructor_External_Id__c]], Instructors[Id], Instructors[Instruments_Taught__c])&amp;";"))</f>
        <v>1</v>
      </c>
      <c r="AB573" t="str">
        <f>IF(LEFT(Lessons[[#This Row],[Status__c]],9)="Cancelled","",Lessons[[#This Row],[Instructor_External_Id__c]]&amp;"|"&amp;TEXT(Lessons[[#This Row],[Lesson_Date__c]],"yyyy-mm-dd")&amp;"|"&amp;Lessons[[#This Row],[Start_Time__c]])</f>
        <v>a06ak00000amzCFAAY|2026-06-29|18:30:00.000Z</v>
      </c>
      <c r="AC573">
        <f>IF(Lessons[[#This Row],[Double Booked Key]]="","",COUNTIF(Lessons[Double Booked Key],Lessons[[#This Row],[Double Booked Key]]))</f>
        <v>1</v>
      </c>
      <c r="AD573" s="6" t="str">
        <f>_xlfn.XLOOKUP(Lessons[[#This Row],[Location_External_Id__c]], Locations[Location Id], Locations[Location Name])</f>
        <v>Brick</v>
      </c>
      <c r="AE573" s="6" t="str">
        <f>TEXT(Lessons[[#This Row],[Lesson_Date__c]], "yyyy-mm")</f>
        <v>2026-06</v>
      </c>
      <c r="AF573" s="6" t="str">
        <f>IF(Lessons[[#This Row],[Lesson_Date__c]]&lt;=Data_Audit!$F$1, "Yes", "No")</f>
        <v>Yes</v>
      </c>
    </row>
    <row r="574" spans="1:32">
      <c r="A574" t="s">
        <v>52</v>
      </c>
      <c r="B574" t="s">
        <v>53</v>
      </c>
      <c r="C574">
        <v>60</v>
      </c>
      <c r="D574" t="s">
        <v>2127</v>
      </c>
      <c r="E574" t="s">
        <v>89</v>
      </c>
      <c r="F574" t="s">
        <v>90</v>
      </c>
      <c r="H574" t="s">
        <v>650</v>
      </c>
      <c r="I574" t="b">
        <v>0</v>
      </c>
      <c r="K574" t="s">
        <v>52</v>
      </c>
      <c r="L574" t="s">
        <v>1517</v>
      </c>
      <c r="O574" s="1">
        <v>46281</v>
      </c>
      <c r="P574" t="s">
        <v>2128</v>
      </c>
      <c r="Q574" t="s">
        <v>2129</v>
      </c>
      <c r="R574" t="s">
        <v>83</v>
      </c>
      <c r="S574" t="b">
        <v>1</v>
      </c>
      <c r="T574" t="b">
        <v>0</v>
      </c>
      <c r="U574" t="s">
        <v>2129</v>
      </c>
      <c r="V574" t="s">
        <v>110</v>
      </c>
      <c r="W574" t="s">
        <v>136</v>
      </c>
      <c r="X574" t="s">
        <v>2122</v>
      </c>
      <c r="Y574" t="s">
        <v>2123</v>
      </c>
      <c r="Z574" t="s">
        <v>1517</v>
      </c>
      <c r="AA574" t="b">
        <f>ISNUMBER(SEARCH(";"&amp;Lessons[[#This Row],[Instrument__c]]&amp;";",";"&amp;_xlfn.XLOOKUP(Lessons[[#This Row],[Instructor_External_Id__c]], Instructors[Id], Instructors[Instruments_Taught__c])&amp;";"))</f>
        <v>1</v>
      </c>
      <c r="AB574" t="str">
        <f>IF(LEFT(Lessons[[#This Row],[Status__c]],9)="Cancelled","",Lessons[[#This Row],[Instructor_External_Id__c]]&amp;"|"&amp;TEXT(Lessons[[#This Row],[Lesson_Date__c]],"yyyy-mm-dd")&amp;"|"&amp;Lessons[[#This Row],[Start_Time__c]])</f>
        <v/>
      </c>
      <c r="AC574" t="str">
        <f>IF(Lessons[[#This Row],[Double Booked Key]]="","",COUNTIF(Lessons[Double Booked Key],Lessons[[#This Row],[Double Booked Key]]))</f>
        <v/>
      </c>
      <c r="AD574" s="6" t="str">
        <f>_xlfn.XLOOKUP(Lessons[[#This Row],[Location_External_Id__c]], Locations[Location Id], Locations[Location Name])</f>
        <v>Brick</v>
      </c>
      <c r="AE574" s="6" t="str">
        <f>TEXT(Lessons[[#This Row],[Lesson_Date__c]], "yyyy-mm")</f>
        <v>2026-09</v>
      </c>
      <c r="AF574" s="6" t="str">
        <f>IF(Lessons[[#This Row],[Lesson_Date__c]]&lt;=Data_Audit!$F$1, "Yes", "No")</f>
        <v>Yes</v>
      </c>
    </row>
    <row r="575" spans="1:32">
      <c r="A575" t="s">
        <v>52</v>
      </c>
      <c r="B575" t="s">
        <v>53</v>
      </c>
      <c r="C575">
        <v>30</v>
      </c>
      <c r="D575" t="s">
        <v>2130</v>
      </c>
      <c r="E575" t="s">
        <v>89</v>
      </c>
      <c r="F575" t="s">
        <v>90</v>
      </c>
      <c r="H575" t="s">
        <v>650</v>
      </c>
      <c r="I575" t="b">
        <v>0</v>
      </c>
      <c r="K575" t="s">
        <v>52</v>
      </c>
      <c r="L575" t="s">
        <v>1517</v>
      </c>
      <c r="O575" s="1">
        <v>46198</v>
      </c>
      <c r="P575" t="s">
        <v>2131</v>
      </c>
      <c r="Q575" t="s">
        <v>2132</v>
      </c>
      <c r="R575" t="s">
        <v>83</v>
      </c>
      <c r="S575" t="b">
        <v>0</v>
      </c>
      <c r="T575" t="b">
        <v>0</v>
      </c>
      <c r="U575" t="s">
        <v>2132</v>
      </c>
      <c r="V575" t="s">
        <v>102</v>
      </c>
      <c r="W575" t="s">
        <v>65</v>
      </c>
      <c r="X575" t="s">
        <v>2122</v>
      </c>
      <c r="Y575" t="s">
        <v>2123</v>
      </c>
      <c r="Z575" t="s">
        <v>1517</v>
      </c>
      <c r="AA575" t="b">
        <f>ISNUMBER(SEARCH(";"&amp;Lessons[[#This Row],[Instrument__c]]&amp;";",";"&amp;_xlfn.XLOOKUP(Lessons[[#This Row],[Instructor_External_Id__c]], Instructors[Id], Instructors[Instruments_Taught__c])&amp;";"))</f>
        <v>1</v>
      </c>
      <c r="AB575" t="str">
        <f>IF(LEFT(Lessons[[#This Row],[Status__c]],9)="Cancelled","",Lessons[[#This Row],[Instructor_External_Id__c]]&amp;"|"&amp;TEXT(Lessons[[#This Row],[Lesson_Date__c]],"yyyy-mm-dd")&amp;"|"&amp;Lessons[[#This Row],[Start_Time__c]])</f>
        <v>a06ak00000amzCFAAY|2026-06-25|16:00:00.000Z</v>
      </c>
      <c r="AC575">
        <f>IF(Lessons[[#This Row],[Double Booked Key]]="","",COUNTIF(Lessons[Double Booked Key],Lessons[[#This Row],[Double Booked Key]]))</f>
        <v>1</v>
      </c>
      <c r="AD575" s="6" t="str">
        <f>_xlfn.XLOOKUP(Lessons[[#This Row],[Location_External_Id__c]], Locations[Location Id], Locations[Location Name])</f>
        <v>Brick</v>
      </c>
      <c r="AE575" s="6" t="str">
        <f>TEXT(Lessons[[#This Row],[Lesson_Date__c]], "yyyy-mm")</f>
        <v>2026-06</v>
      </c>
      <c r="AF575" s="6" t="str">
        <f>IF(Lessons[[#This Row],[Lesson_Date__c]]&lt;=Data_Audit!$F$1, "Yes", "No")</f>
        <v>Yes</v>
      </c>
    </row>
    <row r="576" spans="1:32">
      <c r="A576" t="s">
        <v>52</v>
      </c>
      <c r="B576" t="s">
        <v>53</v>
      </c>
      <c r="C576">
        <v>30</v>
      </c>
      <c r="D576" t="s">
        <v>2133</v>
      </c>
      <c r="E576" t="s">
        <v>89</v>
      </c>
      <c r="F576" t="s">
        <v>90</v>
      </c>
      <c r="H576" t="s">
        <v>650</v>
      </c>
      <c r="I576" t="b">
        <v>0</v>
      </c>
      <c r="K576" t="s">
        <v>52</v>
      </c>
      <c r="L576" t="s">
        <v>1517</v>
      </c>
      <c r="O576" s="1">
        <v>46165</v>
      </c>
      <c r="P576" t="s">
        <v>2134</v>
      </c>
      <c r="Q576" t="s">
        <v>2135</v>
      </c>
      <c r="R576" t="s">
        <v>83</v>
      </c>
      <c r="S576" t="b">
        <v>0</v>
      </c>
      <c r="T576" t="b">
        <v>0</v>
      </c>
      <c r="U576" t="s">
        <v>2135</v>
      </c>
      <c r="V576" t="s">
        <v>120</v>
      </c>
      <c r="W576" t="s">
        <v>121</v>
      </c>
      <c r="X576" t="s">
        <v>2122</v>
      </c>
      <c r="Y576" t="s">
        <v>2123</v>
      </c>
      <c r="Z576" t="s">
        <v>1517</v>
      </c>
      <c r="AA576" t="b">
        <f>ISNUMBER(SEARCH(";"&amp;Lessons[[#This Row],[Instrument__c]]&amp;";",";"&amp;_xlfn.XLOOKUP(Lessons[[#This Row],[Instructor_External_Id__c]], Instructors[Id], Instructors[Instruments_Taught__c])&amp;";"))</f>
        <v>1</v>
      </c>
      <c r="AB576" t="str">
        <f>IF(LEFT(Lessons[[#This Row],[Status__c]],9)="Cancelled","",Lessons[[#This Row],[Instructor_External_Id__c]]&amp;"|"&amp;TEXT(Lessons[[#This Row],[Lesson_Date__c]],"yyyy-mm-dd")&amp;"|"&amp;Lessons[[#This Row],[Start_Time__c]])</f>
        <v>a06ak00000amzCFAAY|2026-05-23|18:00:00.000Z</v>
      </c>
      <c r="AC576">
        <f>IF(Lessons[[#This Row],[Double Booked Key]]="","",COUNTIF(Lessons[Double Booked Key],Lessons[[#This Row],[Double Booked Key]]))</f>
        <v>1</v>
      </c>
      <c r="AD576" s="6" t="str">
        <f>_xlfn.XLOOKUP(Lessons[[#This Row],[Location_External_Id__c]], Locations[Location Id], Locations[Location Name])</f>
        <v>Brick</v>
      </c>
      <c r="AE576" s="6" t="str">
        <f>TEXT(Lessons[[#This Row],[Lesson_Date__c]], "yyyy-mm")</f>
        <v>2026-05</v>
      </c>
      <c r="AF576" s="6" t="str">
        <f>IF(Lessons[[#This Row],[Lesson_Date__c]]&lt;=Data_Audit!$F$1, "Yes", "No")</f>
        <v>Yes</v>
      </c>
    </row>
    <row r="577" spans="1:32">
      <c r="A577" t="s">
        <v>52</v>
      </c>
      <c r="B577" t="s">
        <v>53</v>
      </c>
      <c r="C577">
        <v>30</v>
      </c>
      <c r="D577" t="s">
        <v>2136</v>
      </c>
      <c r="E577" t="s">
        <v>89</v>
      </c>
      <c r="F577" t="s">
        <v>90</v>
      </c>
      <c r="G577" t="s">
        <v>57</v>
      </c>
      <c r="H577" t="s">
        <v>650</v>
      </c>
      <c r="I577" t="b">
        <v>0</v>
      </c>
      <c r="K577" t="s">
        <v>52</v>
      </c>
      <c r="L577" t="s">
        <v>1517</v>
      </c>
      <c r="O577" s="1">
        <v>46279</v>
      </c>
      <c r="P577" t="s">
        <v>2137</v>
      </c>
      <c r="Q577" t="s">
        <v>2138</v>
      </c>
      <c r="R577" t="s">
        <v>83</v>
      </c>
      <c r="S577" t="b">
        <v>0</v>
      </c>
      <c r="T577" t="b">
        <v>0</v>
      </c>
      <c r="U577" t="s">
        <v>2138</v>
      </c>
      <c r="V577" t="s">
        <v>84</v>
      </c>
      <c r="W577" t="s">
        <v>65</v>
      </c>
      <c r="X577" t="s">
        <v>2122</v>
      </c>
      <c r="Y577" t="s">
        <v>2123</v>
      </c>
      <c r="Z577" t="s">
        <v>1517</v>
      </c>
      <c r="AA577" t="b">
        <f>ISNUMBER(SEARCH(";"&amp;Lessons[[#This Row],[Instrument__c]]&amp;";",";"&amp;_xlfn.XLOOKUP(Lessons[[#This Row],[Instructor_External_Id__c]], Instructors[Id], Instructors[Instruments_Taught__c])&amp;";"))</f>
        <v>1</v>
      </c>
      <c r="AB577" t="str">
        <f>IF(LEFT(Lessons[[#This Row],[Status__c]],9)="Cancelled","",Lessons[[#This Row],[Instructor_External_Id__c]]&amp;"|"&amp;TEXT(Lessons[[#This Row],[Lesson_Date__c]],"yyyy-mm-dd")&amp;"|"&amp;Lessons[[#This Row],[Start_Time__c]])</f>
        <v>a06ak00000amzCFAAY|2026-09-14|17:00:00.000Z</v>
      </c>
      <c r="AC577">
        <f>IF(Lessons[[#This Row],[Double Booked Key]]="","",COUNTIF(Lessons[Double Booked Key],Lessons[[#This Row],[Double Booked Key]]))</f>
        <v>1</v>
      </c>
      <c r="AD577" s="6" t="str">
        <f>_xlfn.XLOOKUP(Lessons[[#This Row],[Location_External_Id__c]], Locations[Location Id], Locations[Location Name])</f>
        <v>Brick</v>
      </c>
      <c r="AE577" s="6" t="str">
        <f>TEXT(Lessons[[#This Row],[Lesson_Date__c]], "yyyy-mm")</f>
        <v>2026-09</v>
      </c>
      <c r="AF577" s="6" t="str">
        <f>IF(Lessons[[#This Row],[Lesson_Date__c]]&lt;=Data_Audit!$F$1, "Yes", "No")</f>
        <v>Yes</v>
      </c>
    </row>
    <row r="578" spans="1:32">
      <c r="A578" t="s">
        <v>52</v>
      </c>
      <c r="B578" t="s">
        <v>53</v>
      </c>
      <c r="C578">
        <v>30</v>
      </c>
      <c r="D578" t="s">
        <v>2139</v>
      </c>
      <c r="E578" t="s">
        <v>490</v>
      </c>
      <c r="F578" t="s">
        <v>491</v>
      </c>
      <c r="H578" t="s">
        <v>392</v>
      </c>
      <c r="I578" t="b">
        <v>0</v>
      </c>
      <c r="K578" t="s">
        <v>52</v>
      </c>
      <c r="L578" t="s">
        <v>1517</v>
      </c>
      <c r="O578" s="1">
        <v>46162</v>
      </c>
      <c r="P578" t="s">
        <v>2140</v>
      </c>
      <c r="Q578" t="s">
        <v>2141</v>
      </c>
      <c r="R578" t="s">
        <v>63</v>
      </c>
      <c r="S578" t="b">
        <v>0</v>
      </c>
      <c r="T578" t="b">
        <v>0</v>
      </c>
      <c r="U578" t="s">
        <v>2141</v>
      </c>
      <c r="V578" t="s">
        <v>74</v>
      </c>
      <c r="W578" t="s">
        <v>65</v>
      </c>
      <c r="X578" t="s">
        <v>2142</v>
      </c>
      <c r="Y578" t="s">
        <v>2143</v>
      </c>
      <c r="Z578" t="s">
        <v>1517</v>
      </c>
      <c r="AA578" t="b">
        <f>ISNUMBER(SEARCH(";"&amp;Lessons[[#This Row],[Instrument__c]]&amp;";",";"&amp;_xlfn.XLOOKUP(Lessons[[#This Row],[Instructor_External_Id__c]], Instructors[Id], Instructors[Instruments_Taught__c])&amp;";"))</f>
        <v>1</v>
      </c>
      <c r="AB578" t="str">
        <f>IF(LEFT(Lessons[[#This Row],[Status__c]],9)="Cancelled","",Lessons[[#This Row],[Instructor_External_Id__c]]&amp;"|"&amp;TEXT(Lessons[[#This Row],[Lesson_Date__c]],"yyyy-mm-dd")&amp;"|"&amp;Lessons[[#This Row],[Start_Time__c]])</f>
        <v>a06ak00000amzBrAAI|2026-05-20|16:30:00.000Z</v>
      </c>
      <c r="AC578">
        <f>IF(Lessons[[#This Row],[Double Booked Key]]="","",COUNTIF(Lessons[Double Booked Key],Lessons[[#This Row],[Double Booked Key]]))</f>
        <v>1</v>
      </c>
      <c r="AD578" s="6" t="str">
        <f>_xlfn.XLOOKUP(Lessons[[#This Row],[Location_External_Id__c]], Locations[Location Id], Locations[Location Name])</f>
        <v>Red Bank</v>
      </c>
      <c r="AE578" s="6" t="str">
        <f>TEXT(Lessons[[#This Row],[Lesson_Date__c]], "yyyy-mm")</f>
        <v>2026-05</v>
      </c>
      <c r="AF578" s="6" t="str">
        <f>IF(Lessons[[#This Row],[Lesson_Date__c]]&lt;=Data_Audit!$F$1, "Yes", "No")</f>
        <v>Yes</v>
      </c>
    </row>
    <row r="579" spans="1:32">
      <c r="A579" t="s">
        <v>52</v>
      </c>
      <c r="B579" t="s">
        <v>53</v>
      </c>
      <c r="C579">
        <v>45</v>
      </c>
      <c r="D579" t="s">
        <v>2144</v>
      </c>
      <c r="E579" t="s">
        <v>490</v>
      </c>
      <c r="F579" t="s">
        <v>491</v>
      </c>
      <c r="G579" t="s">
        <v>69</v>
      </c>
      <c r="H579" t="s">
        <v>392</v>
      </c>
      <c r="I579" t="b">
        <v>0</v>
      </c>
      <c r="K579" t="s">
        <v>52</v>
      </c>
      <c r="L579" t="s">
        <v>1517</v>
      </c>
      <c r="O579" s="1">
        <v>46056</v>
      </c>
      <c r="P579" t="s">
        <v>2145</v>
      </c>
      <c r="Q579" t="s">
        <v>2146</v>
      </c>
      <c r="R579" t="s">
        <v>63</v>
      </c>
      <c r="S579" t="b">
        <v>0</v>
      </c>
      <c r="T579" t="b">
        <v>0</v>
      </c>
      <c r="U579" t="s">
        <v>2146</v>
      </c>
      <c r="V579" t="s">
        <v>116</v>
      </c>
      <c r="W579" t="s">
        <v>65</v>
      </c>
      <c r="X579" t="s">
        <v>2142</v>
      </c>
      <c r="Y579" t="s">
        <v>2143</v>
      </c>
      <c r="Z579" t="s">
        <v>1517</v>
      </c>
      <c r="AA579" t="b">
        <f>ISNUMBER(SEARCH(";"&amp;Lessons[[#This Row],[Instrument__c]]&amp;";",";"&amp;_xlfn.XLOOKUP(Lessons[[#This Row],[Instructor_External_Id__c]], Instructors[Id], Instructors[Instruments_Taught__c])&amp;";"))</f>
        <v>1</v>
      </c>
      <c r="AB579" t="str">
        <f>IF(LEFT(Lessons[[#This Row],[Status__c]],9)="Cancelled","",Lessons[[#This Row],[Instructor_External_Id__c]]&amp;"|"&amp;TEXT(Lessons[[#This Row],[Lesson_Date__c]],"yyyy-mm-dd")&amp;"|"&amp;Lessons[[#This Row],[Start_Time__c]])</f>
        <v>a06ak00000amzBrAAI|2026-02-03|17:30:00.000Z</v>
      </c>
      <c r="AC579">
        <f>IF(Lessons[[#This Row],[Double Booked Key]]="","",COUNTIF(Lessons[Double Booked Key],Lessons[[#This Row],[Double Booked Key]]))</f>
        <v>1</v>
      </c>
      <c r="AD579" s="6" t="str">
        <f>_xlfn.XLOOKUP(Lessons[[#This Row],[Location_External_Id__c]], Locations[Location Id], Locations[Location Name])</f>
        <v>Red Bank</v>
      </c>
      <c r="AE579" s="6" t="str">
        <f>TEXT(Lessons[[#This Row],[Lesson_Date__c]], "yyyy-mm")</f>
        <v>2026-02</v>
      </c>
      <c r="AF579" s="6" t="str">
        <f>IF(Lessons[[#This Row],[Lesson_Date__c]]&lt;=Data_Audit!$F$1, "Yes", "No")</f>
        <v>Yes</v>
      </c>
    </row>
    <row r="580" spans="1:32">
      <c r="A580" t="s">
        <v>52</v>
      </c>
      <c r="B580" t="s">
        <v>53</v>
      </c>
      <c r="C580">
        <v>60</v>
      </c>
      <c r="D580" t="s">
        <v>2147</v>
      </c>
      <c r="E580" t="s">
        <v>490</v>
      </c>
      <c r="F580" t="s">
        <v>491</v>
      </c>
      <c r="G580" t="s">
        <v>57</v>
      </c>
      <c r="H580" t="s">
        <v>392</v>
      </c>
      <c r="I580" t="b">
        <v>0</v>
      </c>
      <c r="K580" t="s">
        <v>52</v>
      </c>
      <c r="L580" t="s">
        <v>1517</v>
      </c>
      <c r="O580" s="1">
        <v>46061</v>
      </c>
      <c r="P580" t="s">
        <v>2148</v>
      </c>
      <c r="Q580" t="s">
        <v>2149</v>
      </c>
      <c r="R580" t="s">
        <v>63</v>
      </c>
      <c r="S580" t="b">
        <v>0</v>
      </c>
      <c r="T580" t="b">
        <v>0</v>
      </c>
      <c r="U580" t="s">
        <v>2149</v>
      </c>
      <c r="V580" t="s">
        <v>110</v>
      </c>
      <c r="W580" t="s">
        <v>65</v>
      </c>
      <c r="X580" t="s">
        <v>2142</v>
      </c>
      <c r="Y580" t="s">
        <v>2143</v>
      </c>
      <c r="Z580" t="s">
        <v>1517</v>
      </c>
      <c r="AA580" t="b">
        <f>ISNUMBER(SEARCH(";"&amp;Lessons[[#This Row],[Instrument__c]]&amp;";",";"&amp;_xlfn.XLOOKUP(Lessons[[#This Row],[Instructor_External_Id__c]], Instructors[Id], Instructors[Instruments_Taught__c])&amp;";"))</f>
        <v>1</v>
      </c>
      <c r="AB580" t="str">
        <f>IF(LEFT(Lessons[[#This Row],[Status__c]],9)="Cancelled","",Lessons[[#This Row],[Instructor_External_Id__c]]&amp;"|"&amp;TEXT(Lessons[[#This Row],[Lesson_Date__c]],"yyyy-mm-dd")&amp;"|"&amp;Lessons[[#This Row],[Start_Time__c]])</f>
        <v>a06ak00000amzBrAAI|2026-02-08|10:00:00.000Z</v>
      </c>
      <c r="AC580">
        <f>IF(Lessons[[#This Row],[Double Booked Key]]="","",COUNTIF(Lessons[Double Booked Key],Lessons[[#This Row],[Double Booked Key]]))</f>
        <v>1</v>
      </c>
      <c r="AD580" s="6" t="str">
        <f>_xlfn.XLOOKUP(Lessons[[#This Row],[Location_External_Id__c]], Locations[Location Id], Locations[Location Name])</f>
        <v>Red Bank</v>
      </c>
      <c r="AE580" s="6" t="str">
        <f>TEXT(Lessons[[#This Row],[Lesson_Date__c]], "yyyy-mm")</f>
        <v>2026-02</v>
      </c>
      <c r="AF580" s="6" t="str">
        <f>IF(Lessons[[#This Row],[Lesson_Date__c]]&lt;=Data_Audit!$F$1, "Yes", "No")</f>
        <v>Yes</v>
      </c>
    </row>
    <row r="581" spans="1:32">
      <c r="A581" t="s">
        <v>52</v>
      </c>
      <c r="B581" t="s">
        <v>53</v>
      </c>
      <c r="C581">
        <v>30</v>
      </c>
      <c r="D581" t="s">
        <v>2150</v>
      </c>
      <c r="E581" t="s">
        <v>490</v>
      </c>
      <c r="F581" t="s">
        <v>491</v>
      </c>
      <c r="G581" t="s">
        <v>99</v>
      </c>
      <c r="H581" t="s">
        <v>392</v>
      </c>
      <c r="I581" t="b">
        <v>0</v>
      </c>
      <c r="K581" t="s">
        <v>52</v>
      </c>
      <c r="L581" t="s">
        <v>1517</v>
      </c>
      <c r="O581" s="1">
        <v>46186</v>
      </c>
      <c r="P581" t="s">
        <v>2151</v>
      </c>
      <c r="Q581" t="s">
        <v>2152</v>
      </c>
      <c r="R581" t="s">
        <v>63</v>
      </c>
      <c r="S581" t="b">
        <v>0</v>
      </c>
      <c r="T581" t="b">
        <v>0</v>
      </c>
      <c r="U581" t="s">
        <v>2152</v>
      </c>
      <c r="V581" t="s">
        <v>64</v>
      </c>
      <c r="W581" t="s">
        <v>65</v>
      </c>
      <c r="X581" t="s">
        <v>2142</v>
      </c>
      <c r="Y581" t="s">
        <v>2143</v>
      </c>
      <c r="Z581" t="s">
        <v>1517</v>
      </c>
      <c r="AA581" t="b">
        <f>ISNUMBER(SEARCH(";"&amp;Lessons[[#This Row],[Instrument__c]]&amp;";",";"&amp;_xlfn.XLOOKUP(Lessons[[#This Row],[Instructor_External_Id__c]], Instructors[Id], Instructors[Instruments_Taught__c])&amp;";"))</f>
        <v>1</v>
      </c>
      <c r="AB581" t="str">
        <f>IF(LEFT(Lessons[[#This Row],[Status__c]],9)="Cancelled","",Lessons[[#This Row],[Instructor_External_Id__c]]&amp;"|"&amp;TEXT(Lessons[[#This Row],[Lesson_Date__c]],"yyyy-mm-dd")&amp;"|"&amp;Lessons[[#This Row],[Start_Time__c]])</f>
        <v>a06ak00000amzBrAAI|2026-06-13|11:00:00.000Z</v>
      </c>
      <c r="AC581">
        <f>IF(Lessons[[#This Row],[Double Booked Key]]="","",COUNTIF(Lessons[Double Booked Key],Lessons[[#This Row],[Double Booked Key]]))</f>
        <v>1</v>
      </c>
      <c r="AD581" s="6" t="str">
        <f>_xlfn.XLOOKUP(Lessons[[#This Row],[Location_External_Id__c]], Locations[Location Id], Locations[Location Name])</f>
        <v>Red Bank</v>
      </c>
      <c r="AE581" s="6" t="str">
        <f>TEXT(Lessons[[#This Row],[Lesson_Date__c]], "yyyy-mm")</f>
        <v>2026-06</v>
      </c>
      <c r="AF581" s="6" t="str">
        <f>IF(Lessons[[#This Row],[Lesson_Date__c]]&lt;=Data_Audit!$F$1, "Yes", "No")</f>
        <v>Yes</v>
      </c>
    </row>
    <row r="582" spans="1:32">
      <c r="A582" t="s">
        <v>52</v>
      </c>
      <c r="B582" t="s">
        <v>53</v>
      </c>
      <c r="C582">
        <v>30</v>
      </c>
      <c r="D582" t="s">
        <v>2153</v>
      </c>
      <c r="E582" t="s">
        <v>490</v>
      </c>
      <c r="F582" t="s">
        <v>491</v>
      </c>
      <c r="G582" t="s">
        <v>57</v>
      </c>
      <c r="H582" t="s">
        <v>392</v>
      </c>
      <c r="I582" t="b">
        <v>0</v>
      </c>
      <c r="K582" t="s">
        <v>52</v>
      </c>
      <c r="L582" t="s">
        <v>1517</v>
      </c>
      <c r="O582" s="1">
        <v>46128</v>
      </c>
      <c r="P582" t="s">
        <v>2154</v>
      </c>
      <c r="Q582" t="s">
        <v>2155</v>
      </c>
      <c r="R582" t="s">
        <v>63</v>
      </c>
      <c r="S582" t="b">
        <v>0</v>
      </c>
      <c r="T582" t="b">
        <v>0</v>
      </c>
      <c r="U582" t="s">
        <v>2155</v>
      </c>
      <c r="V582" t="s">
        <v>84</v>
      </c>
      <c r="W582" t="s">
        <v>65</v>
      </c>
      <c r="X582" t="s">
        <v>2142</v>
      </c>
      <c r="Y582" t="s">
        <v>2143</v>
      </c>
      <c r="Z582" t="s">
        <v>1517</v>
      </c>
      <c r="AA582" t="b">
        <f>ISNUMBER(SEARCH(";"&amp;Lessons[[#This Row],[Instrument__c]]&amp;";",";"&amp;_xlfn.XLOOKUP(Lessons[[#This Row],[Instructor_External_Id__c]], Instructors[Id], Instructors[Instruments_Taught__c])&amp;";"))</f>
        <v>1</v>
      </c>
      <c r="AB582" t="str">
        <f>IF(LEFT(Lessons[[#This Row],[Status__c]],9)="Cancelled","",Lessons[[#This Row],[Instructor_External_Id__c]]&amp;"|"&amp;TEXT(Lessons[[#This Row],[Lesson_Date__c]],"yyyy-mm-dd")&amp;"|"&amp;Lessons[[#This Row],[Start_Time__c]])</f>
        <v>a06ak00000amzBrAAI|2026-04-16|17:00:00.000Z</v>
      </c>
      <c r="AC582">
        <f>IF(Lessons[[#This Row],[Double Booked Key]]="","",COUNTIF(Lessons[Double Booked Key],Lessons[[#This Row],[Double Booked Key]]))</f>
        <v>1</v>
      </c>
      <c r="AD582" s="6" t="str">
        <f>_xlfn.XLOOKUP(Lessons[[#This Row],[Location_External_Id__c]], Locations[Location Id], Locations[Location Name])</f>
        <v>Red Bank</v>
      </c>
      <c r="AE582" s="6" t="str">
        <f>TEXT(Lessons[[#This Row],[Lesson_Date__c]], "yyyy-mm")</f>
        <v>2026-04</v>
      </c>
      <c r="AF582" s="6" t="str">
        <f>IF(Lessons[[#This Row],[Lesson_Date__c]]&lt;=Data_Audit!$F$1, "Yes", "No")</f>
        <v>Yes</v>
      </c>
    </row>
    <row r="583" spans="1:32">
      <c r="A583" t="s">
        <v>52</v>
      </c>
      <c r="B583" t="s">
        <v>53</v>
      </c>
      <c r="C583">
        <v>30</v>
      </c>
      <c r="D583" t="s">
        <v>2156</v>
      </c>
      <c r="E583" t="s">
        <v>490</v>
      </c>
      <c r="F583" t="s">
        <v>491</v>
      </c>
      <c r="H583" t="s">
        <v>392</v>
      </c>
      <c r="I583" t="b">
        <v>0</v>
      </c>
      <c r="K583" t="s">
        <v>52</v>
      </c>
      <c r="L583" t="s">
        <v>1517</v>
      </c>
      <c r="O583" s="1">
        <v>46074</v>
      </c>
      <c r="P583" t="s">
        <v>2157</v>
      </c>
      <c r="Q583" t="s">
        <v>2158</v>
      </c>
      <c r="R583" t="s">
        <v>63</v>
      </c>
      <c r="S583" t="b">
        <v>0</v>
      </c>
      <c r="T583" t="b">
        <v>0</v>
      </c>
      <c r="U583" t="s">
        <v>2158</v>
      </c>
      <c r="V583" t="s">
        <v>120</v>
      </c>
      <c r="W583" t="s">
        <v>65</v>
      </c>
      <c r="X583" t="s">
        <v>2142</v>
      </c>
      <c r="Y583" t="s">
        <v>2143</v>
      </c>
      <c r="Z583" t="s">
        <v>1517</v>
      </c>
      <c r="AA583" t="b">
        <f>ISNUMBER(SEARCH(";"&amp;Lessons[[#This Row],[Instrument__c]]&amp;";",";"&amp;_xlfn.XLOOKUP(Lessons[[#This Row],[Instructor_External_Id__c]], Instructors[Id], Instructors[Instruments_Taught__c])&amp;";"))</f>
        <v>1</v>
      </c>
      <c r="AB583" t="str">
        <f>IF(LEFT(Lessons[[#This Row],[Status__c]],9)="Cancelled","",Lessons[[#This Row],[Instructor_External_Id__c]]&amp;"|"&amp;TEXT(Lessons[[#This Row],[Lesson_Date__c]],"yyyy-mm-dd")&amp;"|"&amp;Lessons[[#This Row],[Start_Time__c]])</f>
        <v>a06ak00000amzBrAAI|2026-02-21|18:00:00.000Z</v>
      </c>
      <c r="AC583">
        <f>IF(Lessons[[#This Row],[Double Booked Key]]="","",COUNTIF(Lessons[Double Booked Key],Lessons[[#This Row],[Double Booked Key]]))</f>
        <v>1</v>
      </c>
      <c r="AD583" s="6" t="str">
        <f>_xlfn.XLOOKUP(Lessons[[#This Row],[Location_External_Id__c]], Locations[Location Id], Locations[Location Name])</f>
        <v>Red Bank</v>
      </c>
      <c r="AE583" s="6" t="str">
        <f>TEXT(Lessons[[#This Row],[Lesson_Date__c]], "yyyy-mm")</f>
        <v>2026-02</v>
      </c>
      <c r="AF583" s="6" t="str">
        <f>IF(Lessons[[#This Row],[Lesson_Date__c]]&lt;=Data_Audit!$F$1, "Yes", "No")</f>
        <v>Yes</v>
      </c>
    </row>
    <row r="584" spans="1:32">
      <c r="A584" t="s">
        <v>52</v>
      </c>
      <c r="B584" t="s">
        <v>53</v>
      </c>
      <c r="C584">
        <v>60</v>
      </c>
      <c r="D584" t="s">
        <v>2159</v>
      </c>
      <c r="E584" t="s">
        <v>490</v>
      </c>
      <c r="F584" t="s">
        <v>491</v>
      </c>
      <c r="H584" t="s">
        <v>392</v>
      </c>
      <c r="I584" t="b">
        <v>0</v>
      </c>
      <c r="K584" t="s">
        <v>52</v>
      </c>
      <c r="L584" t="s">
        <v>1517</v>
      </c>
      <c r="O584" s="1">
        <v>46196</v>
      </c>
      <c r="P584" t="s">
        <v>2160</v>
      </c>
      <c r="Q584" t="s">
        <v>2161</v>
      </c>
      <c r="R584" t="s">
        <v>63</v>
      </c>
      <c r="S584" t="b">
        <v>0</v>
      </c>
      <c r="T584" t="b">
        <v>0</v>
      </c>
      <c r="U584" t="s">
        <v>2161</v>
      </c>
      <c r="V584" t="s">
        <v>94</v>
      </c>
      <c r="W584" t="s">
        <v>121</v>
      </c>
      <c r="X584" t="s">
        <v>2142</v>
      </c>
      <c r="Y584" t="s">
        <v>2143</v>
      </c>
      <c r="Z584" t="s">
        <v>1517</v>
      </c>
      <c r="AA584" t="b">
        <f>ISNUMBER(SEARCH(";"&amp;Lessons[[#This Row],[Instrument__c]]&amp;";",";"&amp;_xlfn.XLOOKUP(Lessons[[#This Row],[Instructor_External_Id__c]], Instructors[Id], Instructors[Instruments_Taught__c])&amp;";"))</f>
        <v>1</v>
      </c>
      <c r="AB584" t="str">
        <f>IF(LEFT(Lessons[[#This Row],[Status__c]],9)="Cancelled","",Lessons[[#This Row],[Instructor_External_Id__c]]&amp;"|"&amp;TEXT(Lessons[[#This Row],[Lesson_Date__c]],"yyyy-mm-dd")&amp;"|"&amp;Lessons[[#This Row],[Start_Time__c]])</f>
        <v>a06ak00000amzBrAAI|2026-06-23|19:00:00.000Z</v>
      </c>
      <c r="AC584">
        <f>IF(Lessons[[#This Row],[Double Booked Key]]="","",COUNTIF(Lessons[Double Booked Key],Lessons[[#This Row],[Double Booked Key]]))</f>
        <v>1</v>
      </c>
      <c r="AD584" s="6" t="str">
        <f>_xlfn.XLOOKUP(Lessons[[#This Row],[Location_External_Id__c]], Locations[Location Id], Locations[Location Name])</f>
        <v>Red Bank</v>
      </c>
      <c r="AE584" s="6" t="str">
        <f>TEXT(Lessons[[#This Row],[Lesson_Date__c]], "yyyy-mm")</f>
        <v>2026-06</v>
      </c>
      <c r="AF584" s="6" t="str">
        <f>IF(Lessons[[#This Row],[Lesson_Date__c]]&lt;=Data_Audit!$F$1, "Yes", "No")</f>
        <v>Yes</v>
      </c>
    </row>
    <row r="585" spans="1:32">
      <c r="A585" t="s">
        <v>52</v>
      </c>
      <c r="B585" t="s">
        <v>53</v>
      </c>
      <c r="C585">
        <v>60</v>
      </c>
      <c r="D585" t="s">
        <v>2162</v>
      </c>
      <c r="E585" t="s">
        <v>548</v>
      </c>
      <c r="F585" t="s">
        <v>549</v>
      </c>
      <c r="G585" t="s">
        <v>164</v>
      </c>
      <c r="H585" t="s">
        <v>203</v>
      </c>
      <c r="I585" t="b">
        <v>0</v>
      </c>
      <c r="K585" t="s">
        <v>52</v>
      </c>
      <c r="L585" t="s">
        <v>1517</v>
      </c>
      <c r="O585" s="1">
        <v>46247</v>
      </c>
      <c r="P585" t="s">
        <v>2163</v>
      </c>
      <c r="Q585" t="s">
        <v>2164</v>
      </c>
      <c r="R585" t="s">
        <v>63</v>
      </c>
      <c r="S585" t="b">
        <v>0</v>
      </c>
      <c r="T585" t="b">
        <v>0</v>
      </c>
      <c r="U585" t="s">
        <v>2164</v>
      </c>
      <c r="V585" t="s">
        <v>102</v>
      </c>
      <c r="W585" t="s">
        <v>65</v>
      </c>
      <c r="X585" t="s">
        <v>2165</v>
      </c>
      <c r="Y585" t="s">
        <v>2166</v>
      </c>
      <c r="Z585" t="s">
        <v>1517</v>
      </c>
      <c r="AA585" t="b">
        <f>ISNUMBER(SEARCH(";"&amp;Lessons[[#This Row],[Instrument__c]]&amp;";",";"&amp;_xlfn.XLOOKUP(Lessons[[#This Row],[Instructor_External_Id__c]], Instructors[Id], Instructors[Instruments_Taught__c])&amp;";"))</f>
        <v>1</v>
      </c>
      <c r="AB585" t="str">
        <f>IF(LEFT(Lessons[[#This Row],[Status__c]],9)="Cancelled","",Lessons[[#This Row],[Instructor_External_Id__c]]&amp;"|"&amp;TEXT(Lessons[[#This Row],[Lesson_Date__c]],"yyyy-mm-dd")&amp;"|"&amp;Lessons[[#This Row],[Start_Time__c]])</f>
        <v>a06ak00000amzCHAAY|2026-08-13|16:00:00.000Z</v>
      </c>
      <c r="AC585">
        <f>IF(Lessons[[#This Row],[Double Booked Key]]="","",COUNTIF(Lessons[Double Booked Key],Lessons[[#This Row],[Double Booked Key]]))</f>
        <v>1</v>
      </c>
      <c r="AD585" s="6" t="str">
        <f>_xlfn.XLOOKUP(Lessons[[#This Row],[Location_External_Id__c]], Locations[Location Id], Locations[Location Name])</f>
        <v>Red Bank</v>
      </c>
      <c r="AE585" s="6" t="str">
        <f>TEXT(Lessons[[#This Row],[Lesson_Date__c]], "yyyy-mm")</f>
        <v>2026-08</v>
      </c>
      <c r="AF585" s="6" t="str">
        <f>IF(Lessons[[#This Row],[Lesson_Date__c]]&lt;=Data_Audit!$F$1, "Yes", "No")</f>
        <v>Yes</v>
      </c>
    </row>
    <row r="586" spans="1:32">
      <c r="A586" t="s">
        <v>52</v>
      </c>
      <c r="B586" t="s">
        <v>53</v>
      </c>
      <c r="C586">
        <v>45</v>
      </c>
      <c r="D586" t="s">
        <v>2167</v>
      </c>
      <c r="E586" t="s">
        <v>548</v>
      </c>
      <c r="F586" t="s">
        <v>549</v>
      </c>
      <c r="G586" t="s">
        <v>69</v>
      </c>
      <c r="H586" t="s">
        <v>203</v>
      </c>
      <c r="I586" t="b">
        <v>0</v>
      </c>
      <c r="K586" t="s">
        <v>52</v>
      </c>
      <c r="L586" t="s">
        <v>1517</v>
      </c>
      <c r="O586" s="1">
        <v>46268</v>
      </c>
      <c r="P586" t="s">
        <v>2168</v>
      </c>
      <c r="Q586" t="s">
        <v>2169</v>
      </c>
      <c r="R586" t="s">
        <v>63</v>
      </c>
      <c r="S586" t="b">
        <v>0</v>
      </c>
      <c r="T586" t="b">
        <v>0</v>
      </c>
      <c r="U586" t="s">
        <v>2169</v>
      </c>
      <c r="V586" t="s">
        <v>64</v>
      </c>
      <c r="W586" t="s">
        <v>65</v>
      </c>
      <c r="X586" t="s">
        <v>2165</v>
      </c>
      <c r="Y586" t="s">
        <v>2166</v>
      </c>
      <c r="Z586" t="s">
        <v>1517</v>
      </c>
      <c r="AA586" t="b">
        <f>ISNUMBER(SEARCH(";"&amp;Lessons[[#This Row],[Instrument__c]]&amp;";",";"&amp;_xlfn.XLOOKUP(Lessons[[#This Row],[Instructor_External_Id__c]], Instructors[Id], Instructors[Instruments_Taught__c])&amp;";"))</f>
        <v>1</v>
      </c>
      <c r="AB586" t="str">
        <f>IF(LEFT(Lessons[[#This Row],[Status__c]],9)="Cancelled","",Lessons[[#This Row],[Instructor_External_Id__c]]&amp;"|"&amp;TEXT(Lessons[[#This Row],[Lesson_Date__c]],"yyyy-mm-dd")&amp;"|"&amp;Lessons[[#This Row],[Start_Time__c]])</f>
        <v>a06ak00000amzCHAAY|2026-09-03|11:00:00.000Z</v>
      </c>
      <c r="AC586">
        <f>IF(Lessons[[#This Row],[Double Booked Key]]="","",COUNTIF(Lessons[Double Booked Key],Lessons[[#This Row],[Double Booked Key]]))</f>
        <v>1</v>
      </c>
      <c r="AD586" s="6" t="str">
        <f>_xlfn.XLOOKUP(Lessons[[#This Row],[Location_External_Id__c]], Locations[Location Id], Locations[Location Name])</f>
        <v>Red Bank</v>
      </c>
      <c r="AE586" s="6" t="str">
        <f>TEXT(Lessons[[#This Row],[Lesson_Date__c]], "yyyy-mm")</f>
        <v>2026-09</v>
      </c>
      <c r="AF586" s="6" t="str">
        <f>IF(Lessons[[#This Row],[Lesson_Date__c]]&lt;=Data_Audit!$F$1, "Yes", "No")</f>
        <v>Yes</v>
      </c>
    </row>
    <row r="587" spans="1:32">
      <c r="A587" t="s">
        <v>52</v>
      </c>
      <c r="B587" t="s">
        <v>53</v>
      </c>
      <c r="C587">
        <v>60</v>
      </c>
      <c r="D587" t="s">
        <v>2170</v>
      </c>
      <c r="E587" t="s">
        <v>548</v>
      </c>
      <c r="F587" t="s">
        <v>549</v>
      </c>
      <c r="H587" t="s">
        <v>203</v>
      </c>
      <c r="I587" t="b">
        <v>0</v>
      </c>
      <c r="K587" t="s">
        <v>52</v>
      </c>
      <c r="L587" t="s">
        <v>1517</v>
      </c>
      <c r="O587" s="1">
        <v>46042</v>
      </c>
      <c r="P587" t="s">
        <v>2171</v>
      </c>
      <c r="Q587" t="s">
        <v>2172</v>
      </c>
      <c r="R587" t="s">
        <v>63</v>
      </c>
      <c r="S587" t="b">
        <v>0</v>
      </c>
      <c r="T587" t="b">
        <v>0</v>
      </c>
      <c r="U587" t="s">
        <v>2172</v>
      </c>
      <c r="V587" t="s">
        <v>120</v>
      </c>
      <c r="W587" t="s">
        <v>65</v>
      </c>
      <c r="X587" t="s">
        <v>2165</v>
      </c>
      <c r="Y587" t="s">
        <v>2166</v>
      </c>
      <c r="Z587" t="s">
        <v>1517</v>
      </c>
      <c r="AA587" t="b">
        <f>ISNUMBER(SEARCH(";"&amp;Lessons[[#This Row],[Instrument__c]]&amp;";",";"&amp;_xlfn.XLOOKUP(Lessons[[#This Row],[Instructor_External_Id__c]], Instructors[Id], Instructors[Instruments_Taught__c])&amp;";"))</f>
        <v>1</v>
      </c>
      <c r="AB587" t="str">
        <f>IF(LEFT(Lessons[[#This Row],[Status__c]],9)="Cancelled","",Lessons[[#This Row],[Instructor_External_Id__c]]&amp;"|"&amp;TEXT(Lessons[[#This Row],[Lesson_Date__c]],"yyyy-mm-dd")&amp;"|"&amp;Lessons[[#This Row],[Start_Time__c]])</f>
        <v>a06ak00000amzCHAAY|2026-01-20|18:00:00.000Z</v>
      </c>
      <c r="AC587">
        <f>IF(Lessons[[#This Row],[Double Booked Key]]="","",COUNTIF(Lessons[Double Booked Key],Lessons[[#This Row],[Double Booked Key]]))</f>
        <v>1</v>
      </c>
      <c r="AD587" s="6" t="str">
        <f>_xlfn.XLOOKUP(Lessons[[#This Row],[Location_External_Id__c]], Locations[Location Id], Locations[Location Name])</f>
        <v>Red Bank</v>
      </c>
      <c r="AE587" s="6" t="str">
        <f>TEXT(Lessons[[#This Row],[Lesson_Date__c]], "yyyy-mm")</f>
        <v>2026-01</v>
      </c>
      <c r="AF587" s="6" t="str">
        <f>IF(Lessons[[#This Row],[Lesson_Date__c]]&lt;=Data_Audit!$F$1, "Yes", "No")</f>
        <v>Yes</v>
      </c>
    </row>
    <row r="588" spans="1:32">
      <c r="A588" t="s">
        <v>52</v>
      </c>
      <c r="B588" t="s">
        <v>53</v>
      </c>
      <c r="C588">
        <v>45</v>
      </c>
      <c r="D588" t="s">
        <v>2173</v>
      </c>
      <c r="E588" t="s">
        <v>548</v>
      </c>
      <c r="F588" t="s">
        <v>549</v>
      </c>
      <c r="H588" t="s">
        <v>203</v>
      </c>
      <c r="I588" t="b">
        <v>0</v>
      </c>
      <c r="K588" t="s">
        <v>52</v>
      </c>
      <c r="L588" t="s">
        <v>2174</v>
      </c>
      <c r="O588" s="1">
        <v>46150</v>
      </c>
      <c r="P588" t="s">
        <v>2175</v>
      </c>
      <c r="Q588" t="s">
        <v>2176</v>
      </c>
      <c r="R588" t="s">
        <v>63</v>
      </c>
      <c r="S588" t="b">
        <v>0</v>
      </c>
      <c r="T588" t="b">
        <v>0</v>
      </c>
      <c r="U588" t="s">
        <v>2176</v>
      </c>
      <c r="V588" t="s">
        <v>84</v>
      </c>
      <c r="W588" t="s">
        <v>121</v>
      </c>
      <c r="X588" t="s">
        <v>2165</v>
      </c>
      <c r="Y588" t="s">
        <v>2166</v>
      </c>
      <c r="Z588" t="s">
        <v>2174</v>
      </c>
      <c r="AA588" t="b">
        <f>ISNUMBER(SEARCH(";"&amp;Lessons[[#This Row],[Instrument__c]]&amp;";",";"&amp;_xlfn.XLOOKUP(Lessons[[#This Row],[Instructor_External_Id__c]], Instructors[Id], Instructors[Instruments_Taught__c])&amp;";"))</f>
        <v>1</v>
      </c>
      <c r="AB588" t="str">
        <f>IF(LEFT(Lessons[[#This Row],[Status__c]],9)="Cancelled","",Lessons[[#This Row],[Instructor_External_Id__c]]&amp;"|"&amp;TEXT(Lessons[[#This Row],[Lesson_Date__c]],"yyyy-mm-dd")&amp;"|"&amp;Lessons[[#This Row],[Start_Time__c]])</f>
        <v>a06ak00000amzCHAAY|2026-05-08|17:00:00.000Z</v>
      </c>
      <c r="AC588">
        <f>IF(Lessons[[#This Row],[Double Booked Key]]="","",COUNTIF(Lessons[Double Booked Key],Lessons[[#This Row],[Double Booked Key]]))</f>
        <v>1</v>
      </c>
      <c r="AD588" s="6" t="str">
        <f>_xlfn.XLOOKUP(Lessons[[#This Row],[Location_External_Id__c]], Locations[Location Id], Locations[Location Name])</f>
        <v>Red Bank</v>
      </c>
      <c r="AE588" s="6" t="str">
        <f>TEXT(Lessons[[#This Row],[Lesson_Date__c]], "yyyy-mm")</f>
        <v>2026-05</v>
      </c>
      <c r="AF588" s="6" t="str">
        <f>IF(Lessons[[#This Row],[Lesson_Date__c]]&lt;=Data_Audit!$F$1, "Yes", "No")</f>
        <v>Yes</v>
      </c>
    </row>
    <row r="589" spans="1:32">
      <c r="A589" t="s">
        <v>52</v>
      </c>
      <c r="B589" t="s">
        <v>53</v>
      </c>
      <c r="C589">
        <v>30</v>
      </c>
      <c r="D589" t="s">
        <v>2177</v>
      </c>
      <c r="E589" t="s">
        <v>548</v>
      </c>
      <c r="F589" t="s">
        <v>549</v>
      </c>
      <c r="H589" t="s">
        <v>203</v>
      </c>
      <c r="I589" t="b">
        <v>0</v>
      </c>
      <c r="K589" t="s">
        <v>52</v>
      </c>
      <c r="L589" t="s">
        <v>171</v>
      </c>
      <c r="O589" s="1">
        <v>46111</v>
      </c>
      <c r="P589" t="s">
        <v>2178</v>
      </c>
      <c r="Q589" t="s">
        <v>2179</v>
      </c>
      <c r="R589" t="s">
        <v>63</v>
      </c>
      <c r="S589" t="b">
        <v>1</v>
      </c>
      <c r="T589" t="b">
        <v>1</v>
      </c>
      <c r="U589" t="s">
        <v>2179</v>
      </c>
      <c r="V589" t="s">
        <v>94</v>
      </c>
      <c r="W589" t="s">
        <v>136</v>
      </c>
      <c r="X589" t="s">
        <v>2165</v>
      </c>
      <c r="Y589" t="s">
        <v>2166</v>
      </c>
      <c r="Z589" t="s">
        <v>171</v>
      </c>
      <c r="AA589" t="b">
        <f>ISNUMBER(SEARCH(";"&amp;Lessons[[#This Row],[Instrument__c]]&amp;";",";"&amp;_xlfn.XLOOKUP(Lessons[[#This Row],[Instructor_External_Id__c]], Instructors[Id], Instructors[Instruments_Taught__c])&amp;";"))</f>
        <v>1</v>
      </c>
      <c r="AB589" t="str">
        <f>IF(LEFT(Lessons[[#This Row],[Status__c]],9)="Cancelled","",Lessons[[#This Row],[Instructor_External_Id__c]]&amp;"|"&amp;TEXT(Lessons[[#This Row],[Lesson_Date__c]],"yyyy-mm-dd")&amp;"|"&amp;Lessons[[#This Row],[Start_Time__c]])</f>
        <v/>
      </c>
      <c r="AC589" t="str">
        <f>IF(Lessons[[#This Row],[Double Booked Key]]="","",COUNTIF(Lessons[Double Booked Key],Lessons[[#This Row],[Double Booked Key]]))</f>
        <v/>
      </c>
      <c r="AD589" s="6" t="str">
        <f>_xlfn.XLOOKUP(Lessons[[#This Row],[Location_External_Id__c]], Locations[Location Id], Locations[Location Name])</f>
        <v>Red Bank</v>
      </c>
      <c r="AE589" s="6" t="str">
        <f>TEXT(Lessons[[#This Row],[Lesson_Date__c]], "yyyy-mm")</f>
        <v>2026-03</v>
      </c>
      <c r="AF589" s="6" t="str">
        <f>IF(Lessons[[#This Row],[Lesson_Date__c]]&lt;=Data_Audit!$F$1, "Yes", "No")</f>
        <v>Yes</v>
      </c>
    </row>
    <row r="590" spans="1:32">
      <c r="A590" t="s">
        <v>52</v>
      </c>
      <c r="B590" t="s">
        <v>53</v>
      </c>
      <c r="C590">
        <v>60</v>
      </c>
      <c r="D590" t="s">
        <v>2180</v>
      </c>
      <c r="E590" t="s">
        <v>548</v>
      </c>
      <c r="F590" t="s">
        <v>549</v>
      </c>
      <c r="H590" t="s">
        <v>203</v>
      </c>
      <c r="I590" t="b">
        <v>0</v>
      </c>
      <c r="K590" t="s">
        <v>52</v>
      </c>
      <c r="L590" t="s">
        <v>2174</v>
      </c>
      <c r="O590" s="1">
        <v>46222</v>
      </c>
      <c r="P590" t="s">
        <v>2181</v>
      </c>
      <c r="Q590" t="s">
        <v>2182</v>
      </c>
      <c r="R590" t="s">
        <v>63</v>
      </c>
      <c r="S590" t="b">
        <v>0</v>
      </c>
      <c r="T590" t="b">
        <v>0</v>
      </c>
      <c r="U590" t="s">
        <v>2182</v>
      </c>
      <c r="V590" t="s">
        <v>140</v>
      </c>
      <c r="W590" t="s">
        <v>65</v>
      </c>
      <c r="X590" t="s">
        <v>2165</v>
      </c>
      <c r="Y590" t="s">
        <v>2166</v>
      </c>
      <c r="Z590" t="s">
        <v>2174</v>
      </c>
      <c r="AA590" t="b">
        <f>ISNUMBER(SEARCH(";"&amp;Lessons[[#This Row],[Instrument__c]]&amp;";",";"&amp;_xlfn.XLOOKUP(Lessons[[#This Row],[Instructor_External_Id__c]], Instructors[Id], Instructors[Instruments_Taught__c])&amp;";"))</f>
        <v>1</v>
      </c>
      <c r="AB590" t="str">
        <f>IF(LEFT(Lessons[[#This Row],[Status__c]],9)="Cancelled","",Lessons[[#This Row],[Instructor_External_Id__c]]&amp;"|"&amp;TEXT(Lessons[[#This Row],[Lesson_Date__c]],"yyyy-mm-dd")&amp;"|"&amp;Lessons[[#This Row],[Start_Time__c]])</f>
        <v>a06ak00000amzCHAAY|2026-07-19|15:00:00.000Z</v>
      </c>
      <c r="AC590">
        <f>IF(Lessons[[#This Row],[Double Booked Key]]="","",COUNTIF(Lessons[Double Booked Key],Lessons[[#This Row],[Double Booked Key]]))</f>
        <v>1</v>
      </c>
      <c r="AD590" s="6" t="str">
        <f>_xlfn.XLOOKUP(Lessons[[#This Row],[Location_External_Id__c]], Locations[Location Id], Locations[Location Name])</f>
        <v>Red Bank</v>
      </c>
      <c r="AE590" s="6" t="str">
        <f>TEXT(Lessons[[#This Row],[Lesson_Date__c]], "yyyy-mm")</f>
        <v>2026-07</v>
      </c>
      <c r="AF590" s="6" t="str">
        <f>IF(Lessons[[#This Row],[Lesson_Date__c]]&lt;=Data_Audit!$F$1, "Yes", "No")</f>
        <v>Yes</v>
      </c>
    </row>
    <row r="591" spans="1:32">
      <c r="A591" t="s">
        <v>52</v>
      </c>
      <c r="B591" t="s">
        <v>53</v>
      </c>
      <c r="C591">
        <v>30</v>
      </c>
      <c r="D591" t="s">
        <v>2183</v>
      </c>
      <c r="E591" t="s">
        <v>548</v>
      </c>
      <c r="F591" t="s">
        <v>549</v>
      </c>
      <c r="H591" t="s">
        <v>203</v>
      </c>
      <c r="I591" t="b">
        <v>0</v>
      </c>
      <c r="K591" t="s">
        <v>52</v>
      </c>
      <c r="L591" t="s">
        <v>2174</v>
      </c>
      <c r="O591" s="1">
        <v>46142</v>
      </c>
      <c r="P591" t="s">
        <v>2184</v>
      </c>
      <c r="Q591" t="s">
        <v>2185</v>
      </c>
      <c r="R591" t="s">
        <v>63</v>
      </c>
      <c r="S591" t="b">
        <v>0</v>
      </c>
      <c r="T591" t="b">
        <v>0</v>
      </c>
      <c r="U591" t="s">
        <v>2185</v>
      </c>
      <c r="V591" t="s">
        <v>110</v>
      </c>
      <c r="W591" t="s">
        <v>65</v>
      </c>
      <c r="X591" t="s">
        <v>2165</v>
      </c>
      <c r="Y591" t="s">
        <v>2166</v>
      </c>
      <c r="Z591" t="s">
        <v>2174</v>
      </c>
      <c r="AA591" t="b">
        <f>ISNUMBER(SEARCH(";"&amp;Lessons[[#This Row],[Instrument__c]]&amp;";",";"&amp;_xlfn.XLOOKUP(Lessons[[#This Row],[Instructor_External_Id__c]], Instructors[Id], Instructors[Instruments_Taught__c])&amp;";"))</f>
        <v>1</v>
      </c>
      <c r="AB591" t="str">
        <f>IF(LEFT(Lessons[[#This Row],[Status__c]],9)="Cancelled","",Lessons[[#This Row],[Instructor_External_Id__c]]&amp;"|"&amp;TEXT(Lessons[[#This Row],[Lesson_Date__c]],"yyyy-mm-dd")&amp;"|"&amp;Lessons[[#This Row],[Start_Time__c]])</f>
        <v>a06ak00000amzCHAAY|2026-04-30|10:00:00.000Z</v>
      </c>
      <c r="AC591">
        <f>IF(Lessons[[#This Row],[Double Booked Key]]="","",COUNTIF(Lessons[Double Booked Key],Lessons[[#This Row],[Double Booked Key]]))</f>
        <v>1</v>
      </c>
      <c r="AD591" s="6" t="str">
        <f>_xlfn.XLOOKUP(Lessons[[#This Row],[Location_External_Id__c]], Locations[Location Id], Locations[Location Name])</f>
        <v>Red Bank</v>
      </c>
      <c r="AE591" s="6" t="str">
        <f>TEXT(Lessons[[#This Row],[Lesson_Date__c]], "yyyy-mm")</f>
        <v>2026-04</v>
      </c>
      <c r="AF591" s="6" t="str">
        <f>IF(Lessons[[#This Row],[Lesson_Date__c]]&lt;=Data_Audit!$F$1, "Yes", "No")</f>
        <v>Yes</v>
      </c>
    </row>
    <row r="592" spans="1:32">
      <c r="A592" t="s">
        <v>52</v>
      </c>
      <c r="B592" t="s">
        <v>53</v>
      </c>
      <c r="C592">
        <v>30</v>
      </c>
      <c r="D592" t="s">
        <v>2186</v>
      </c>
      <c r="E592" t="s">
        <v>548</v>
      </c>
      <c r="F592" t="s">
        <v>549</v>
      </c>
      <c r="H592" t="s">
        <v>203</v>
      </c>
      <c r="I592" t="b">
        <v>0</v>
      </c>
      <c r="K592" t="s">
        <v>52</v>
      </c>
      <c r="L592" t="s">
        <v>2174</v>
      </c>
      <c r="O592" s="1">
        <v>46190</v>
      </c>
      <c r="P592" t="s">
        <v>2187</v>
      </c>
      <c r="Q592" t="s">
        <v>2188</v>
      </c>
      <c r="R592" t="s">
        <v>63</v>
      </c>
      <c r="S592" t="b">
        <v>0</v>
      </c>
      <c r="T592" t="b">
        <v>0</v>
      </c>
      <c r="U592" t="s">
        <v>2188</v>
      </c>
      <c r="V592" t="s">
        <v>94</v>
      </c>
      <c r="W592" t="s">
        <v>65</v>
      </c>
      <c r="X592" t="s">
        <v>2165</v>
      </c>
      <c r="Y592" t="s">
        <v>2166</v>
      </c>
      <c r="Z592" t="s">
        <v>2174</v>
      </c>
      <c r="AA592" t="b">
        <f>ISNUMBER(SEARCH(";"&amp;Lessons[[#This Row],[Instrument__c]]&amp;";",";"&amp;_xlfn.XLOOKUP(Lessons[[#This Row],[Instructor_External_Id__c]], Instructors[Id], Instructors[Instruments_Taught__c])&amp;";"))</f>
        <v>1</v>
      </c>
      <c r="AB592" t="str">
        <f>IF(LEFT(Lessons[[#This Row],[Status__c]],9)="Cancelled","",Lessons[[#This Row],[Instructor_External_Id__c]]&amp;"|"&amp;TEXT(Lessons[[#This Row],[Lesson_Date__c]],"yyyy-mm-dd")&amp;"|"&amp;Lessons[[#This Row],[Start_Time__c]])</f>
        <v>a06ak00000amzCHAAY|2026-06-17|19:00:00.000Z</v>
      </c>
      <c r="AC592">
        <f>IF(Lessons[[#This Row],[Double Booked Key]]="","",COUNTIF(Lessons[Double Booked Key],Lessons[[#This Row],[Double Booked Key]]))</f>
        <v>1</v>
      </c>
      <c r="AD592" s="6" t="str">
        <f>_xlfn.XLOOKUP(Lessons[[#This Row],[Location_External_Id__c]], Locations[Location Id], Locations[Location Name])</f>
        <v>Red Bank</v>
      </c>
      <c r="AE592" s="6" t="str">
        <f>TEXT(Lessons[[#This Row],[Lesson_Date__c]], "yyyy-mm")</f>
        <v>2026-06</v>
      </c>
      <c r="AF592" s="6" t="str">
        <f>IF(Lessons[[#This Row],[Lesson_Date__c]]&lt;=Data_Audit!$F$1, "Yes", "No")</f>
        <v>Yes</v>
      </c>
    </row>
    <row r="593" spans="1:32">
      <c r="A593" t="s">
        <v>52</v>
      </c>
      <c r="B593" t="s">
        <v>53</v>
      </c>
      <c r="C593">
        <v>45</v>
      </c>
      <c r="D593" t="s">
        <v>2189</v>
      </c>
      <c r="E593" t="s">
        <v>548</v>
      </c>
      <c r="F593" t="s">
        <v>549</v>
      </c>
      <c r="G593" t="s">
        <v>99</v>
      </c>
      <c r="H593" t="s">
        <v>203</v>
      </c>
      <c r="I593" t="b">
        <v>0</v>
      </c>
      <c r="K593" t="s">
        <v>52</v>
      </c>
      <c r="L593" t="s">
        <v>2174</v>
      </c>
      <c r="O593" s="1">
        <v>46126</v>
      </c>
      <c r="P593" t="s">
        <v>2190</v>
      </c>
      <c r="Q593" t="s">
        <v>2191</v>
      </c>
      <c r="R593" t="s">
        <v>63</v>
      </c>
      <c r="S593" t="b">
        <v>0</v>
      </c>
      <c r="T593" t="b">
        <v>0</v>
      </c>
      <c r="U593" t="s">
        <v>2191</v>
      </c>
      <c r="V593" t="s">
        <v>135</v>
      </c>
      <c r="W593" t="s">
        <v>65</v>
      </c>
      <c r="X593" t="s">
        <v>2165</v>
      </c>
      <c r="Y593" t="s">
        <v>2166</v>
      </c>
      <c r="Z593" t="s">
        <v>2174</v>
      </c>
      <c r="AA593" t="b">
        <f>ISNUMBER(SEARCH(";"&amp;Lessons[[#This Row],[Instrument__c]]&amp;";",";"&amp;_xlfn.XLOOKUP(Lessons[[#This Row],[Instructor_External_Id__c]], Instructors[Id], Instructors[Instruments_Taught__c])&amp;";"))</f>
        <v>1</v>
      </c>
      <c r="AB593" t="str">
        <f>IF(LEFT(Lessons[[#This Row],[Status__c]],9)="Cancelled","",Lessons[[#This Row],[Instructor_External_Id__c]]&amp;"|"&amp;TEXT(Lessons[[#This Row],[Lesson_Date__c]],"yyyy-mm-dd")&amp;"|"&amp;Lessons[[#This Row],[Start_Time__c]])</f>
        <v>a06ak00000amzCHAAY|2026-04-14|15:30:00.000Z</v>
      </c>
      <c r="AC593">
        <f>IF(Lessons[[#This Row],[Double Booked Key]]="","",COUNTIF(Lessons[Double Booked Key],Lessons[[#This Row],[Double Booked Key]]))</f>
        <v>1</v>
      </c>
      <c r="AD593" s="6" t="str">
        <f>_xlfn.XLOOKUP(Lessons[[#This Row],[Location_External_Id__c]], Locations[Location Id], Locations[Location Name])</f>
        <v>Red Bank</v>
      </c>
      <c r="AE593" s="6" t="str">
        <f>TEXT(Lessons[[#This Row],[Lesson_Date__c]], "yyyy-mm")</f>
        <v>2026-04</v>
      </c>
      <c r="AF593" s="6" t="str">
        <f>IF(Lessons[[#This Row],[Lesson_Date__c]]&lt;=Data_Audit!$F$1, "Yes", "No")</f>
        <v>Yes</v>
      </c>
    </row>
    <row r="594" spans="1:32">
      <c r="A594" t="s">
        <v>52</v>
      </c>
      <c r="B594" t="s">
        <v>53</v>
      </c>
      <c r="C594">
        <v>60</v>
      </c>
      <c r="D594" t="s">
        <v>2192</v>
      </c>
      <c r="E594" t="s">
        <v>243</v>
      </c>
      <c r="F594" t="s">
        <v>244</v>
      </c>
      <c r="H594" t="s">
        <v>650</v>
      </c>
      <c r="I594" t="b">
        <v>0</v>
      </c>
      <c r="K594" t="s">
        <v>52</v>
      </c>
      <c r="L594" t="s">
        <v>79</v>
      </c>
      <c r="O594" s="1">
        <v>46296</v>
      </c>
      <c r="P594" t="s">
        <v>2193</v>
      </c>
      <c r="Q594" t="s">
        <v>2194</v>
      </c>
      <c r="R594" t="s">
        <v>83</v>
      </c>
      <c r="S594" t="b">
        <v>0</v>
      </c>
      <c r="T594" t="b">
        <v>0</v>
      </c>
      <c r="U594" t="s">
        <v>2194</v>
      </c>
      <c r="V594" t="s">
        <v>64</v>
      </c>
      <c r="W594" t="s">
        <v>85</v>
      </c>
      <c r="X594" t="s">
        <v>2195</v>
      </c>
      <c r="Y594" t="s">
        <v>2196</v>
      </c>
      <c r="Z594" t="s">
        <v>79</v>
      </c>
      <c r="AA594" t="b">
        <f>ISNUMBER(SEARCH(";"&amp;Lessons[[#This Row],[Instrument__c]]&amp;";",";"&amp;_xlfn.XLOOKUP(Lessons[[#This Row],[Instructor_External_Id__c]], Instructors[Id], Instructors[Instruments_Taught__c])&amp;";"))</f>
        <v>1</v>
      </c>
      <c r="AB594" t="str">
        <f>IF(LEFT(Lessons[[#This Row],[Status__c]],9)="Cancelled","",Lessons[[#This Row],[Instructor_External_Id__c]]&amp;"|"&amp;TEXT(Lessons[[#This Row],[Lesson_Date__c]],"yyyy-mm-dd")&amp;"|"&amp;Lessons[[#This Row],[Start_Time__c]])</f>
        <v/>
      </c>
      <c r="AC594" t="str">
        <f>IF(Lessons[[#This Row],[Double Booked Key]]="","",COUNTIF(Lessons[Double Booked Key],Lessons[[#This Row],[Double Booked Key]]))</f>
        <v/>
      </c>
      <c r="AD594" s="6" t="str">
        <f>_xlfn.XLOOKUP(Lessons[[#This Row],[Location_External_Id__c]], Locations[Location Id], Locations[Location Name])</f>
        <v>Brick</v>
      </c>
      <c r="AE594" s="6" t="str">
        <f>TEXT(Lessons[[#This Row],[Lesson_Date__c]], "yyyy-mm")</f>
        <v>2026-10</v>
      </c>
      <c r="AF594" s="6" t="str">
        <f>IF(Lessons[[#This Row],[Lesson_Date__c]]&lt;=Data_Audit!$F$1, "Yes", "No")</f>
        <v>Yes</v>
      </c>
    </row>
    <row r="595" spans="1:32">
      <c r="A595" t="s">
        <v>52</v>
      </c>
      <c r="B595" t="s">
        <v>53</v>
      </c>
      <c r="C595">
        <v>30</v>
      </c>
      <c r="D595" t="s">
        <v>2197</v>
      </c>
      <c r="E595" t="s">
        <v>923</v>
      </c>
      <c r="F595" t="s">
        <v>924</v>
      </c>
      <c r="G595" t="s">
        <v>57</v>
      </c>
      <c r="H595" t="s">
        <v>650</v>
      </c>
      <c r="I595" t="b">
        <v>0</v>
      </c>
      <c r="K595" t="s">
        <v>52</v>
      </c>
      <c r="L595" t="s">
        <v>2174</v>
      </c>
      <c r="O595" s="1">
        <v>46275</v>
      </c>
      <c r="P595" t="s">
        <v>2198</v>
      </c>
      <c r="Q595" t="s">
        <v>2199</v>
      </c>
      <c r="R595" t="s">
        <v>83</v>
      </c>
      <c r="S595" t="b">
        <v>0</v>
      </c>
      <c r="T595" t="b">
        <v>0</v>
      </c>
      <c r="U595" t="s">
        <v>2199</v>
      </c>
      <c r="V595" t="s">
        <v>116</v>
      </c>
      <c r="W595" t="s">
        <v>65</v>
      </c>
      <c r="X595" t="s">
        <v>2195</v>
      </c>
      <c r="Y595" t="s">
        <v>2196</v>
      </c>
      <c r="Z595" t="s">
        <v>2174</v>
      </c>
      <c r="AA595" t="b">
        <f>ISNUMBER(SEARCH(";"&amp;Lessons[[#This Row],[Instrument__c]]&amp;";",";"&amp;_xlfn.XLOOKUP(Lessons[[#This Row],[Instructor_External_Id__c]], Instructors[Id], Instructors[Instruments_Taught__c])&amp;";"))</f>
        <v>1</v>
      </c>
      <c r="AB595" t="str">
        <f>IF(LEFT(Lessons[[#This Row],[Status__c]],9)="Cancelled","",Lessons[[#This Row],[Instructor_External_Id__c]]&amp;"|"&amp;TEXT(Lessons[[#This Row],[Lesson_Date__c]],"yyyy-mm-dd")&amp;"|"&amp;Lessons[[#This Row],[Start_Time__c]])</f>
        <v>a06ak00000amzCEAAY|2026-09-10|17:30:00.000Z</v>
      </c>
      <c r="AC595">
        <f>IF(Lessons[[#This Row],[Double Booked Key]]="","",COUNTIF(Lessons[Double Booked Key],Lessons[[#This Row],[Double Booked Key]]))</f>
        <v>1</v>
      </c>
      <c r="AD595" s="6" t="str">
        <f>_xlfn.XLOOKUP(Lessons[[#This Row],[Location_External_Id__c]], Locations[Location Id], Locations[Location Name])</f>
        <v>Brick</v>
      </c>
      <c r="AE595" s="6" t="str">
        <f>TEXT(Lessons[[#This Row],[Lesson_Date__c]], "yyyy-mm")</f>
        <v>2026-09</v>
      </c>
      <c r="AF595" s="6" t="str">
        <f>IF(Lessons[[#This Row],[Lesson_Date__c]]&lt;=Data_Audit!$F$1, "Yes", "No")</f>
        <v>Yes</v>
      </c>
    </row>
    <row r="596" spans="1:32">
      <c r="A596" t="s">
        <v>52</v>
      </c>
      <c r="B596" t="s">
        <v>53</v>
      </c>
      <c r="C596">
        <v>45</v>
      </c>
      <c r="D596" t="s">
        <v>2200</v>
      </c>
      <c r="E596" t="s">
        <v>923</v>
      </c>
      <c r="F596" t="s">
        <v>924</v>
      </c>
      <c r="H596" t="s">
        <v>650</v>
      </c>
      <c r="I596" t="b">
        <v>0</v>
      </c>
      <c r="K596" t="s">
        <v>52</v>
      </c>
      <c r="L596" t="s">
        <v>2174</v>
      </c>
      <c r="O596" s="1">
        <v>46181</v>
      </c>
      <c r="P596" t="s">
        <v>2201</v>
      </c>
      <c r="Q596" t="s">
        <v>2202</v>
      </c>
      <c r="R596" t="s">
        <v>83</v>
      </c>
      <c r="S596" t="b">
        <v>0</v>
      </c>
      <c r="T596" t="b">
        <v>0</v>
      </c>
      <c r="U596" t="s">
        <v>2202</v>
      </c>
      <c r="V596" t="s">
        <v>128</v>
      </c>
      <c r="W596" t="s">
        <v>121</v>
      </c>
      <c r="X596" t="s">
        <v>2195</v>
      </c>
      <c r="Y596" t="s">
        <v>2196</v>
      </c>
      <c r="Z596" t="s">
        <v>2174</v>
      </c>
      <c r="AA596" t="b">
        <f>ISNUMBER(SEARCH(";"&amp;Lessons[[#This Row],[Instrument__c]]&amp;";",";"&amp;_xlfn.XLOOKUP(Lessons[[#This Row],[Instructor_External_Id__c]], Instructors[Id], Instructors[Instruments_Taught__c])&amp;";"))</f>
        <v>1</v>
      </c>
      <c r="AB596" t="str">
        <f>IF(LEFT(Lessons[[#This Row],[Status__c]],9)="Cancelled","",Lessons[[#This Row],[Instructor_External_Id__c]]&amp;"|"&amp;TEXT(Lessons[[#This Row],[Lesson_Date__c]],"yyyy-mm-dd")&amp;"|"&amp;Lessons[[#This Row],[Start_Time__c]])</f>
        <v>a06ak00000amzCEAAY|2026-06-08|18:30:00.000Z</v>
      </c>
      <c r="AC596">
        <f>IF(Lessons[[#This Row],[Double Booked Key]]="","",COUNTIF(Lessons[Double Booked Key],Lessons[[#This Row],[Double Booked Key]]))</f>
        <v>1</v>
      </c>
      <c r="AD596" s="6" t="str">
        <f>_xlfn.XLOOKUP(Lessons[[#This Row],[Location_External_Id__c]], Locations[Location Id], Locations[Location Name])</f>
        <v>Brick</v>
      </c>
      <c r="AE596" s="6" t="str">
        <f>TEXT(Lessons[[#This Row],[Lesson_Date__c]], "yyyy-mm")</f>
        <v>2026-06</v>
      </c>
      <c r="AF596" s="6" t="str">
        <f>IF(Lessons[[#This Row],[Lesson_Date__c]]&lt;=Data_Audit!$F$1, "Yes", "No")</f>
        <v>Yes</v>
      </c>
    </row>
    <row r="597" spans="1:32">
      <c r="A597" t="s">
        <v>52</v>
      </c>
      <c r="B597" t="s">
        <v>53</v>
      </c>
      <c r="C597">
        <v>30</v>
      </c>
      <c r="D597" t="s">
        <v>2203</v>
      </c>
      <c r="E597" t="s">
        <v>923</v>
      </c>
      <c r="F597" t="s">
        <v>924</v>
      </c>
      <c r="H597" t="s">
        <v>650</v>
      </c>
      <c r="I597" t="b">
        <v>0</v>
      </c>
      <c r="K597" t="s">
        <v>52</v>
      </c>
      <c r="L597" t="s">
        <v>2174</v>
      </c>
      <c r="O597" s="1">
        <v>46051</v>
      </c>
      <c r="P597" t="s">
        <v>2204</v>
      </c>
      <c r="Q597" t="s">
        <v>2205</v>
      </c>
      <c r="R597" t="s">
        <v>83</v>
      </c>
      <c r="S597" t="b">
        <v>0</v>
      </c>
      <c r="T597" t="b">
        <v>0</v>
      </c>
      <c r="U597" t="s">
        <v>2205</v>
      </c>
      <c r="V597" t="s">
        <v>110</v>
      </c>
      <c r="W597" t="s">
        <v>121</v>
      </c>
      <c r="X597" t="s">
        <v>2195</v>
      </c>
      <c r="Y597" t="s">
        <v>2196</v>
      </c>
      <c r="Z597" t="s">
        <v>2174</v>
      </c>
      <c r="AA597" t="b">
        <f>ISNUMBER(SEARCH(";"&amp;Lessons[[#This Row],[Instrument__c]]&amp;";",";"&amp;_xlfn.XLOOKUP(Lessons[[#This Row],[Instructor_External_Id__c]], Instructors[Id], Instructors[Instruments_Taught__c])&amp;";"))</f>
        <v>1</v>
      </c>
      <c r="AB597" t="str">
        <f>IF(LEFT(Lessons[[#This Row],[Status__c]],9)="Cancelled","",Lessons[[#This Row],[Instructor_External_Id__c]]&amp;"|"&amp;TEXT(Lessons[[#This Row],[Lesson_Date__c]],"yyyy-mm-dd")&amp;"|"&amp;Lessons[[#This Row],[Start_Time__c]])</f>
        <v>a06ak00000amzCEAAY|2026-01-29|10:00:00.000Z</v>
      </c>
      <c r="AC597">
        <f>IF(Lessons[[#This Row],[Double Booked Key]]="","",COUNTIF(Lessons[Double Booked Key],Lessons[[#This Row],[Double Booked Key]]))</f>
        <v>1</v>
      </c>
      <c r="AD597" s="6" t="str">
        <f>_xlfn.XLOOKUP(Lessons[[#This Row],[Location_External_Id__c]], Locations[Location Id], Locations[Location Name])</f>
        <v>Brick</v>
      </c>
      <c r="AE597" s="6" t="str">
        <f>TEXT(Lessons[[#This Row],[Lesson_Date__c]], "yyyy-mm")</f>
        <v>2026-01</v>
      </c>
      <c r="AF597" s="6" t="str">
        <f>IF(Lessons[[#This Row],[Lesson_Date__c]]&lt;=Data_Audit!$F$1, "Yes", "No")</f>
        <v>Yes</v>
      </c>
    </row>
    <row r="598" spans="1:32">
      <c r="A598" t="s">
        <v>52</v>
      </c>
      <c r="B598" t="s">
        <v>53</v>
      </c>
      <c r="C598">
        <v>30</v>
      </c>
      <c r="D598" t="s">
        <v>2206</v>
      </c>
      <c r="E598" t="s">
        <v>923</v>
      </c>
      <c r="F598" t="s">
        <v>924</v>
      </c>
      <c r="G598" t="s">
        <v>57</v>
      </c>
      <c r="H598" t="s">
        <v>650</v>
      </c>
      <c r="I598" t="b">
        <v>0</v>
      </c>
      <c r="K598" t="s">
        <v>52</v>
      </c>
      <c r="L598" t="s">
        <v>2174</v>
      </c>
      <c r="O598" s="1">
        <v>46127</v>
      </c>
      <c r="P598" t="s">
        <v>2207</v>
      </c>
      <c r="Q598" t="s">
        <v>2208</v>
      </c>
      <c r="R598" t="s">
        <v>83</v>
      </c>
      <c r="S598" t="b">
        <v>0</v>
      </c>
      <c r="T598" t="b">
        <v>0</v>
      </c>
      <c r="U598" t="s">
        <v>2208</v>
      </c>
      <c r="V598" t="s">
        <v>120</v>
      </c>
      <c r="W598" t="s">
        <v>65</v>
      </c>
      <c r="X598" t="s">
        <v>2195</v>
      </c>
      <c r="Y598" t="s">
        <v>2196</v>
      </c>
      <c r="Z598" t="s">
        <v>2174</v>
      </c>
      <c r="AA598" t="b">
        <f>ISNUMBER(SEARCH(";"&amp;Lessons[[#This Row],[Instrument__c]]&amp;";",";"&amp;_xlfn.XLOOKUP(Lessons[[#This Row],[Instructor_External_Id__c]], Instructors[Id], Instructors[Instruments_Taught__c])&amp;";"))</f>
        <v>1</v>
      </c>
      <c r="AB598" t="str">
        <f>IF(LEFT(Lessons[[#This Row],[Status__c]],9)="Cancelled","",Lessons[[#This Row],[Instructor_External_Id__c]]&amp;"|"&amp;TEXT(Lessons[[#This Row],[Lesson_Date__c]],"yyyy-mm-dd")&amp;"|"&amp;Lessons[[#This Row],[Start_Time__c]])</f>
        <v>a06ak00000amzCEAAY|2026-04-15|18:00:00.000Z</v>
      </c>
      <c r="AC598">
        <f>IF(Lessons[[#This Row],[Double Booked Key]]="","",COUNTIF(Lessons[Double Booked Key],Lessons[[#This Row],[Double Booked Key]]))</f>
        <v>1</v>
      </c>
      <c r="AD598" s="6" t="str">
        <f>_xlfn.XLOOKUP(Lessons[[#This Row],[Location_External_Id__c]], Locations[Location Id], Locations[Location Name])</f>
        <v>Brick</v>
      </c>
      <c r="AE598" s="6" t="str">
        <f>TEXT(Lessons[[#This Row],[Lesson_Date__c]], "yyyy-mm")</f>
        <v>2026-04</v>
      </c>
      <c r="AF598" s="6" t="str">
        <f>IF(Lessons[[#This Row],[Lesson_Date__c]]&lt;=Data_Audit!$F$1, "Yes", "No")</f>
        <v>Yes</v>
      </c>
    </row>
    <row r="599" spans="1:32">
      <c r="A599" t="s">
        <v>52</v>
      </c>
      <c r="B599" t="s">
        <v>53</v>
      </c>
      <c r="C599">
        <v>30</v>
      </c>
      <c r="D599" t="s">
        <v>2209</v>
      </c>
      <c r="E599" t="s">
        <v>923</v>
      </c>
      <c r="F599" t="s">
        <v>924</v>
      </c>
      <c r="H599" t="s">
        <v>650</v>
      </c>
      <c r="I599" t="b">
        <v>0</v>
      </c>
      <c r="K599" t="s">
        <v>52</v>
      </c>
      <c r="L599" t="s">
        <v>2174</v>
      </c>
      <c r="O599" s="1">
        <v>46207</v>
      </c>
      <c r="P599" t="s">
        <v>2210</v>
      </c>
      <c r="Q599" t="s">
        <v>2211</v>
      </c>
      <c r="R599" t="s">
        <v>83</v>
      </c>
      <c r="S599" t="b">
        <v>0</v>
      </c>
      <c r="T599" t="b">
        <v>0</v>
      </c>
      <c r="U599" t="s">
        <v>2211</v>
      </c>
      <c r="V599" t="s">
        <v>110</v>
      </c>
      <c r="W599" t="s">
        <v>65</v>
      </c>
      <c r="X599" t="s">
        <v>2195</v>
      </c>
      <c r="Y599" t="s">
        <v>2196</v>
      </c>
      <c r="Z599" t="s">
        <v>2174</v>
      </c>
      <c r="AA599" t="b">
        <f>ISNUMBER(SEARCH(";"&amp;Lessons[[#This Row],[Instrument__c]]&amp;";",";"&amp;_xlfn.XLOOKUP(Lessons[[#This Row],[Instructor_External_Id__c]], Instructors[Id], Instructors[Instruments_Taught__c])&amp;";"))</f>
        <v>1</v>
      </c>
      <c r="AB599" t="str">
        <f>IF(LEFT(Lessons[[#This Row],[Status__c]],9)="Cancelled","",Lessons[[#This Row],[Instructor_External_Id__c]]&amp;"|"&amp;TEXT(Lessons[[#This Row],[Lesson_Date__c]],"yyyy-mm-dd")&amp;"|"&amp;Lessons[[#This Row],[Start_Time__c]])</f>
        <v>a06ak00000amzCEAAY|2026-07-04|10:00:00.000Z</v>
      </c>
      <c r="AC599">
        <f>IF(Lessons[[#This Row],[Double Booked Key]]="","",COUNTIF(Lessons[Double Booked Key],Lessons[[#This Row],[Double Booked Key]]))</f>
        <v>1</v>
      </c>
      <c r="AD599" s="6" t="str">
        <f>_xlfn.XLOOKUP(Lessons[[#This Row],[Location_External_Id__c]], Locations[Location Id], Locations[Location Name])</f>
        <v>Brick</v>
      </c>
      <c r="AE599" s="6" t="str">
        <f>TEXT(Lessons[[#This Row],[Lesson_Date__c]], "yyyy-mm")</f>
        <v>2026-07</v>
      </c>
      <c r="AF599" s="6" t="str">
        <f>IF(Lessons[[#This Row],[Lesson_Date__c]]&lt;=Data_Audit!$F$1, "Yes", "No")</f>
        <v>Yes</v>
      </c>
    </row>
    <row r="600" spans="1:32">
      <c r="A600" t="s">
        <v>52</v>
      </c>
      <c r="B600" t="s">
        <v>53</v>
      </c>
      <c r="C600">
        <v>60</v>
      </c>
      <c r="D600" t="s">
        <v>2212</v>
      </c>
      <c r="E600" t="s">
        <v>944</v>
      </c>
      <c r="F600" t="s">
        <v>945</v>
      </c>
      <c r="H600" t="s">
        <v>392</v>
      </c>
      <c r="I600" t="b">
        <v>0</v>
      </c>
      <c r="K600" t="s">
        <v>52</v>
      </c>
      <c r="L600" t="s">
        <v>171</v>
      </c>
      <c r="O600" s="1">
        <v>46175</v>
      </c>
      <c r="P600" t="s">
        <v>2213</v>
      </c>
      <c r="Q600" t="s">
        <v>2214</v>
      </c>
      <c r="R600" t="s">
        <v>150</v>
      </c>
      <c r="S600" t="b">
        <v>1</v>
      </c>
      <c r="T600" t="b">
        <v>1</v>
      </c>
      <c r="U600" t="s">
        <v>2214</v>
      </c>
      <c r="V600" t="s">
        <v>140</v>
      </c>
      <c r="W600" t="s">
        <v>136</v>
      </c>
      <c r="X600" t="s">
        <v>2215</v>
      </c>
      <c r="Y600" t="s">
        <v>2216</v>
      </c>
      <c r="Z600" t="s">
        <v>171</v>
      </c>
      <c r="AA600" t="b">
        <f>ISNUMBER(SEARCH(";"&amp;Lessons[[#This Row],[Instrument__c]]&amp;";",";"&amp;_xlfn.XLOOKUP(Lessons[[#This Row],[Instructor_External_Id__c]], Instructors[Id], Instructors[Instruments_Taught__c])&amp;";"))</f>
        <v>1</v>
      </c>
      <c r="AB600" t="str">
        <f>IF(LEFT(Lessons[[#This Row],[Status__c]],9)="Cancelled","",Lessons[[#This Row],[Instructor_External_Id__c]]&amp;"|"&amp;TEXT(Lessons[[#This Row],[Lesson_Date__c]],"yyyy-mm-dd")&amp;"|"&amp;Lessons[[#This Row],[Start_Time__c]])</f>
        <v/>
      </c>
      <c r="AC600" t="str">
        <f>IF(Lessons[[#This Row],[Double Booked Key]]="","",COUNTIF(Lessons[Double Booked Key],Lessons[[#This Row],[Double Booked Key]]))</f>
        <v/>
      </c>
      <c r="AD600" s="6" t="str">
        <f>_xlfn.XLOOKUP(Lessons[[#This Row],[Location_External_Id__c]], Locations[Location Id], Locations[Location Name])</f>
        <v>Toms River</v>
      </c>
      <c r="AE600" s="6" t="str">
        <f>TEXT(Lessons[[#This Row],[Lesson_Date__c]], "yyyy-mm")</f>
        <v>2026-06</v>
      </c>
      <c r="AF600" s="6" t="str">
        <f>IF(Lessons[[#This Row],[Lesson_Date__c]]&lt;=Data_Audit!$F$1, "Yes", "No")</f>
        <v>Yes</v>
      </c>
    </row>
    <row r="601" spans="1:32">
      <c r="A601" t="s">
        <v>52</v>
      </c>
      <c r="B601" t="s">
        <v>53</v>
      </c>
      <c r="C601">
        <v>30</v>
      </c>
      <c r="D601" t="s">
        <v>2217</v>
      </c>
      <c r="E601" t="s">
        <v>944</v>
      </c>
      <c r="F601" t="s">
        <v>945</v>
      </c>
      <c r="H601" t="s">
        <v>392</v>
      </c>
      <c r="I601" t="b">
        <v>0</v>
      </c>
      <c r="K601" t="s">
        <v>52</v>
      </c>
      <c r="L601" t="s">
        <v>2174</v>
      </c>
      <c r="O601" s="1">
        <v>46134</v>
      </c>
      <c r="P601" t="s">
        <v>2218</v>
      </c>
      <c r="Q601" t="s">
        <v>2219</v>
      </c>
      <c r="R601" t="s">
        <v>150</v>
      </c>
      <c r="S601" t="b">
        <v>0</v>
      </c>
      <c r="T601" t="b">
        <v>0</v>
      </c>
      <c r="U601" t="s">
        <v>2219</v>
      </c>
      <c r="V601" t="s">
        <v>74</v>
      </c>
      <c r="W601" t="s">
        <v>65</v>
      </c>
      <c r="X601" t="s">
        <v>2215</v>
      </c>
      <c r="Y601" t="s">
        <v>2216</v>
      </c>
      <c r="Z601" t="s">
        <v>2174</v>
      </c>
      <c r="AA601" t="b">
        <f>ISNUMBER(SEARCH(";"&amp;Lessons[[#This Row],[Instrument__c]]&amp;";",";"&amp;_xlfn.XLOOKUP(Lessons[[#This Row],[Instructor_External_Id__c]], Instructors[Id], Instructors[Instruments_Taught__c])&amp;";"))</f>
        <v>1</v>
      </c>
      <c r="AB601" t="str">
        <f>IF(LEFT(Lessons[[#This Row],[Status__c]],9)="Cancelled","",Lessons[[#This Row],[Instructor_External_Id__c]]&amp;"|"&amp;TEXT(Lessons[[#This Row],[Lesson_Date__c]],"yyyy-mm-dd")&amp;"|"&amp;Lessons[[#This Row],[Start_Time__c]])</f>
        <v>a06ak00000amzBtAAI|2026-04-22|16:30:00.000Z</v>
      </c>
      <c r="AC601">
        <f>IF(Lessons[[#This Row],[Double Booked Key]]="","",COUNTIF(Lessons[Double Booked Key],Lessons[[#This Row],[Double Booked Key]]))</f>
        <v>1</v>
      </c>
      <c r="AD601" s="6" t="str">
        <f>_xlfn.XLOOKUP(Lessons[[#This Row],[Location_External_Id__c]], Locations[Location Id], Locations[Location Name])</f>
        <v>Toms River</v>
      </c>
      <c r="AE601" s="6" t="str">
        <f>TEXT(Lessons[[#This Row],[Lesson_Date__c]], "yyyy-mm")</f>
        <v>2026-04</v>
      </c>
      <c r="AF601" s="6" t="str">
        <f>IF(Lessons[[#This Row],[Lesson_Date__c]]&lt;=Data_Audit!$F$1, "Yes", "No")</f>
        <v>Yes</v>
      </c>
    </row>
    <row r="602" spans="1:32">
      <c r="A602" t="s">
        <v>52</v>
      </c>
      <c r="B602" t="s">
        <v>53</v>
      </c>
      <c r="C602">
        <v>30</v>
      </c>
      <c r="D602" t="s">
        <v>2220</v>
      </c>
      <c r="E602" t="s">
        <v>944</v>
      </c>
      <c r="F602" t="s">
        <v>945</v>
      </c>
      <c r="G602" t="s">
        <v>106</v>
      </c>
      <c r="H602" t="s">
        <v>392</v>
      </c>
      <c r="I602" t="b">
        <v>0</v>
      </c>
      <c r="K602" t="s">
        <v>52</v>
      </c>
      <c r="L602" t="s">
        <v>2174</v>
      </c>
      <c r="O602" s="1">
        <v>46046</v>
      </c>
      <c r="P602" t="s">
        <v>2221</v>
      </c>
      <c r="Q602" t="s">
        <v>2222</v>
      </c>
      <c r="R602" t="s">
        <v>150</v>
      </c>
      <c r="S602" t="b">
        <v>0</v>
      </c>
      <c r="T602" t="b">
        <v>0</v>
      </c>
      <c r="U602" t="s">
        <v>2222</v>
      </c>
      <c r="V602" t="s">
        <v>94</v>
      </c>
      <c r="W602" t="s">
        <v>65</v>
      </c>
      <c r="X602" t="s">
        <v>2215</v>
      </c>
      <c r="Y602" t="s">
        <v>2216</v>
      </c>
      <c r="Z602" t="s">
        <v>2174</v>
      </c>
      <c r="AA602" t="b">
        <f>ISNUMBER(SEARCH(";"&amp;Lessons[[#This Row],[Instrument__c]]&amp;";",";"&amp;_xlfn.XLOOKUP(Lessons[[#This Row],[Instructor_External_Id__c]], Instructors[Id], Instructors[Instruments_Taught__c])&amp;";"))</f>
        <v>1</v>
      </c>
      <c r="AB602" t="str">
        <f>IF(LEFT(Lessons[[#This Row],[Status__c]],9)="Cancelled","",Lessons[[#This Row],[Instructor_External_Id__c]]&amp;"|"&amp;TEXT(Lessons[[#This Row],[Lesson_Date__c]],"yyyy-mm-dd")&amp;"|"&amp;Lessons[[#This Row],[Start_Time__c]])</f>
        <v>a06ak00000amzBtAAI|2026-01-24|19:00:00.000Z</v>
      </c>
      <c r="AC602">
        <f>IF(Lessons[[#This Row],[Double Booked Key]]="","",COUNTIF(Lessons[Double Booked Key],Lessons[[#This Row],[Double Booked Key]]))</f>
        <v>1</v>
      </c>
      <c r="AD602" s="6" t="str">
        <f>_xlfn.XLOOKUP(Lessons[[#This Row],[Location_External_Id__c]], Locations[Location Id], Locations[Location Name])</f>
        <v>Toms River</v>
      </c>
      <c r="AE602" s="6" t="str">
        <f>TEXT(Lessons[[#This Row],[Lesson_Date__c]], "yyyy-mm")</f>
        <v>2026-01</v>
      </c>
      <c r="AF602" s="6" t="str">
        <f>IF(Lessons[[#This Row],[Lesson_Date__c]]&lt;=Data_Audit!$F$1, "Yes", "No")</f>
        <v>Yes</v>
      </c>
    </row>
    <row r="603" spans="1:32">
      <c r="A603" t="s">
        <v>52</v>
      </c>
      <c r="B603" t="s">
        <v>53</v>
      </c>
      <c r="C603">
        <v>60</v>
      </c>
      <c r="D603" t="s">
        <v>2223</v>
      </c>
      <c r="E603" t="s">
        <v>944</v>
      </c>
      <c r="F603" t="s">
        <v>945</v>
      </c>
      <c r="G603" t="s">
        <v>69</v>
      </c>
      <c r="H603" t="s">
        <v>392</v>
      </c>
      <c r="I603" t="b">
        <v>0</v>
      </c>
      <c r="K603" t="s">
        <v>52</v>
      </c>
      <c r="L603" t="s">
        <v>2174</v>
      </c>
      <c r="O603" s="1">
        <v>46184</v>
      </c>
      <c r="P603" t="s">
        <v>2224</v>
      </c>
      <c r="Q603" t="s">
        <v>2225</v>
      </c>
      <c r="R603" t="s">
        <v>150</v>
      </c>
      <c r="S603" t="b">
        <v>0</v>
      </c>
      <c r="T603" t="b">
        <v>0</v>
      </c>
      <c r="U603" t="s">
        <v>2225</v>
      </c>
      <c r="V603" t="s">
        <v>140</v>
      </c>
      <c r="W603" t="s">
        <v>65</v>
      </c>
      <c r="X603" t="s">
        <v>2215</v>
      </c>
      <c r="Y603" t="s">
        <v>2216</v>
      </c>
      <c r="Z603" t="s">
        <v>2174</v>
      </c>
      <c r="AA603" t="b">
        <f>ISNUMBER(SEARCH(";"&amp;Lessons[[#This Row],[Instrument__c]]&amp;";",";"&amp;_xlfn.XLOOKUP(Lessons[[#This Row],[Instructor_External_Id__c]], Instructors[Id], Instructors[Instruments_Taught__c])&amp;";"))</f>
        <v>1</v>
      </c>
      <c r="AB603" t="str">
        <f>IF(LEFT(Lessons[[#This Row],[Status__c]],9)="Cancelled","",Lessons[[#This Row],[Instructor_External_Id__c]]&amp;"|"&amp;TEXT(Lessons[[#This Row],[Lesson_Date__c]],"yyyy-mm-dd")&amp;"|"&amp;Lessons[[#This Row],[Start_Time__c]])</f>
        <v>a06ak00000amzBtAAI|2026-06-11|15:00:00.000Z</v>
      </c>
      <c r="AC603">
        <f>IF(Lessons[[#This Row],[Double Booked Key]]="","",COUNTIF(Lessons[Double Booked Key],Lessons[[#This Row],[Double Booked Key]]))</f>
        <v>1</v>
      </c>
      <c r="AD603" s="6" t="str">
        <f>_xlfn.XLOOKUP(Lessons[[#This Row],[Location_External_Id__c]], Locations[Location Id], Locations[Location Name])</f>
        <v>Toms River</v>
      </c>
      <c r="AE603" s="6" t="str">
        <f>TEXT(Lessons[[#This Row],[Lesson_Date__c]], "yyyy-mm")</f>
        <v>2026-06</v>
      </c>
      <c r="AF603" s="6" t="str">
        <f>IF(Lessons[[#This Row],[Lesson_Date__c]]&lt;=Data_Audit!$F$1, "Yes", "No")</f>
        <v>Yes</v>
      </c>
    </row>
    <row r="604" spans="1:32">
      <c r="A604" t="s">
        <v>52</v>
      </c>
      <c r="B604" t="s">
        <v>53</v>
      </c>
      <c r="C604">
        <v>60</v>
      </c>
      <c r="D604" t="s">
        <v>2226</v>
      </c>
      <c r="E604" t="s">
        <v>431</v>
      </c>
      <c r="F604" t="s">
        <v>432</v>
      </c>
      <c r="G604" t="s">
        <v>99</v>
      </c>
      <c r="H604" t="s">
        <v>527</v>
      </c>
      <c r="I604" t="b">
        <v>0</v>
      </c>
      <c r="K604" t="s">
        <v>52</v>
      </c>
      <c r="L604" t="s">
        <v>2174</v>
      </c>
      <c r="O604" s="1">
        <v>46220</v>
      </c>
      <c r="P604" t="s">
        <v>2227</v>
      </c>
      <c r="Q604" t="s">
        <v>2228</v>
      </c>
      <c r="R604" t="s">
        <v>63</v>
      </c>
      <c r="S604" t="b">
        <v>0</v>
      </c>
      <c r="T604" t="b">
        <v>0</v>
      </c>
      <c r="U604" t="s">
        <v>2228</v>
      </c>
      <c r="V604" t="s">
        <v>140</v>
      </c>
      <c r="W604" t="s">
        <v>65</v>
      </c>
      <c r="X604" t="s">
        <v>2229</v>
      </c>
      <c r="Y604" t="s">
        <v>2230</v>
      </c>
      <c r="Z604" t="s">
        <v>2174</v>
      </c>
      <c r="AA604" t="b">
        <f>ISNUMBER(SEARCH(";"&amp;Lessons[[#This Row],[Instrument__c]]&amp;";",";"&amp;_xlfn.XLOOKUP(Lessons[[#This Row],[Instructor_External_Id__c]], Instructors[Id], Instructors[Instruments_Taught__c])&amp;";"))</f>
        <v>1</v>
      </c>
      <c r="AB604" t="str">
        <f>IF(LEFT(Lessons[[#This Row],[Status__c]],9)="Cancelled","",Lessons[[#This Row],[Instructor_External_Id__c]]&amp;"|"&amp;TEXT(Lessons[[#This Row],[Lesson_Date__c]],"yyyy-mm-dd")&amp;"|"&amp;Lessons[[#This Row],[Start_Time__c]])</f>
        <v>a06ak00000amzCDAAY|2026-07-17|15:00:00.000Z</v>
      </c>
      <c r="AC604">
        <f>IF(Lessons[[#This Row],[Double Booked Key]]="","",COUNTIF(Lessons[Double Booked Key],Lessons[[#This Row],[Double Booked Key]]))</f>
        <v>1</v>
      </c>
      <c r="AD604" s="6" t="str">
        <f>_xlfn.XLOOKUP(Lessons[[#This Row],[Location_External_Id__c]], Locations[Location Id], Locations[Location Name])</f>
        <v>Red Bank</v>
      </c>
      <c r="AE604" s="6" t="str">
        <f>TEXT(Lessons[[#This Row],[Lesson_Date__c]], "yyyy-mm")</f>
        <v>2026-07</v>
      </c>
      <c r="AF604" s="6" t="str">
        <f>IF(Lessons[[#This Row],[Lesson_Date__c]]&lt;=Data_Audit!$F$1, "Yes", "No")</f>
        <v>Yes</v>
      </c>
    </row>
    <row r="605" spans="1:32">
      <c r="A605" t="s">
        <v>52</v>
      </c>
      <c r="B605" t="s">
        <v>53</v>
      </c>
      <c r="C605">
        <v>30</v>
      </c>
      <c r="D605" t="s">
        <v>2231</v>
      </c>
      <c r="E605" t="s">
        <v>431</v>
      </c>
      <c r="F605" t="s">
        <v>432</v>
      </c>
      <c r="G605" t="s">
        <v>106</v>
      </c>
      <c r="H605" t="s">
        <v>527</v>
      </c>
      <c r="I605" t="b">
        <v>0</v>
      </c>
      <c r="K605" t="s">
        <v>52</v>
      </c>
      <c r="L605" t="s">
        <v>2174</v>
      </c>
      <c r="O605" s="1">
        <v>46134</v>
      </c>
      <c r="P605" t="s">
        <v>2232</v>
      </c>
      <c r="Q605" t="s">
        <v>2233</v>
      </c>
      <c r="R605" t="s">
        <v>63</v>
      </c>
      <c r="S605" t="b">
        <v>0</v>
      </c>
      <c r="T605" t="b">
        <v>0</v>
      </c>
      <c r="U605" t="s">
        <v>2233</v>
      </c>
      <c r="V605" t="s">
        <v>94</v>
      </c>
      <c r="W605" t="s">
        <v>65</v>
      </c>
      <c r="X605" t="s">
        <v>2229</v>
      </c>
      <c r="Y605" t="s">
        <v>2230</v>
      </c>
      <c r="Z605" t="s">
        <v>2174</v>
      </c>
      <c r="AA605" t="b">
        <f>ISNUMBER(SEARCH(";"&amp;Lessons[[#This Row],[Instrument__c]]&amp;";",";"&amp;_xlfn.XLOOKUP(Lessons[[#This Row],[Instructor_External_Id__c]], Instructors[Id], Instructors[Instruments_Taught__c])&amp;";"))</f>
        <v>1</v>
      </c>
      <c r="AB605" t="str">
        <f>IF(LEFT(Lessons[[#This Row],[Status__c]],9)="Cancelled","",Lessons[[#This Row],[Instructor_External_Id__c]]&amp;"|"&amp;TEXT(Lessons[[#This Row],[Lesson_Date__c]],"yyyy-mm-dd")&amp;"|"&amp;Lessons[[#This Row],[Start_Time__c]])</f>
        <v>a06ak00000amzCDAAY|2026-04-22|19:00:00.000Z</v>
      </c>
      <c r="AC605">
        <f>IF(Lessons[[#This Row],[Double Booked Key]]="","",COUNTIF(Lessons[Double Booked Key],Lessons[[#This Row],[Double Booked Key]]))</f>
        <v>1</v>
      </c>
      <c r="AD605" s="6" t="str">
        <f>_xlfn.XLOOKUP(Lessons[[#This Row],[Location_External_Id__c]], Locations[Location Id], Locations[Location Name])</f>
        <v>Red Bank</v>
      </c>
      <c r="AE605" s="6" t="str">
        <f>TEXT(Lessons[[#This Row],[Lesson_Date__c]], "yyyy-mm")</f>
        <v>2026-04</v>
      </c>
      <c r="AF605" s="6" t="str">
        <f>IF(Lessons[[#This Row],[Lesson_Date__c]]&lt;=Data_Audit!$F$1, "Yes", "No")</f>
        <v>Yes</v>
      </c>
    </row>
    <row r="606" spans="1:32">
      <c r="A606" t="s">
        <v>52</v>
      </c>
      <c r="B606" t="s">
        <v>53</v>
      </c>
      <c r="C606">
        <v>30</v>
      </c>
      <c r="D606" t="s">
        <v>2234</v>
      </c>
      <c r="E606" t="s">
        <v>431</v>
      </c>
      <c r="F606" t="s">
        <v>432</v>
      </c>
      <c r="H606" t="s">
        <v>527</v>
      </c>
      <c r="I606" t="b">
        <v>0</v>
      </c>
      <c r="K606" t="s">
        <v>52</v>
      </c>
      <c r="L606" t="s">
        <v>171</v>
      </c>
      <c r="O606" s="1">
        <v>46098</v>
      </c>
      <c r="P606" t="s">
        <v>2235</v>
      </c>
      <c r="Q606" t="s">
        <v>2236</v>
      </c>
      <c r="R606" t="s">
        <v>63</v>
      </c>
      <c r="S606" t="b">
        <v>1</v>
      </c>
      <c r="T606" t="b">
        <v>1</v>
      </c>
      <c r="U606" t="s">
        <v>2236</v>
      </c>
      <c r="V606" t="s">
        <v>128</v>
      </c>
      <c r="W606" t="s">
        <v>136</v>
      </c>
      <c r="X606" t="s">
        <v>2229</v>
      </c>
      <c r="Y606" t="s">
        <v>2230</v>
      </c>
      <c r="Z606" t="s">
        <v>171</v>
      </c>
      <c r="AA606" t="b">
        <f>ISNUMBER(SEARCH(";"&amp;Lessons[[#This Row],[Instrument__c]]&amp;";",";"&amp;_xlfn.XLOOKUP(Lessons[[#This Row],[Instructor_External_Id__c]], Instructors[Id], Instructors[Instruments_Taught__c])&amp;";"))</f>
        <v>1</v>
      </c>
      <c r="AB606" t="str">
        <f>IF(LEFT(Lessons[[#This Row],[Status__c]],9)="Cancelled","",Lessons[[#This Row],[Instructor_External_Id__c]]&amp;"|"&amp;TEXT(Lessons[[#This Row],[Lesson_Date__c]],"yyyy-mm-dd")&amp;"|"&amp;Lessons[[#This Row],[Start_Time__c]])</f>
        <v/>
      </c>
      <c r="AC606" t="str">
        <f>IF(Lessons[[#This Row],[Double Booked Key]]="","",COUNTIF(Lessons[Double Booked Key],Lessons[[#This Row],[Double Booked Key]]))</f>
        <v/>
      </c>
      <c r="AD606" s="6" t="str">
        <f>_xlfn.XLOOKUP(Lessons[[#This Row],[Location_External_Id__c]], Locations[Location Id], Locations[Location Name])</f>
        <v>Red Bank</v>
      </c>
      <c r="AE606" s="6" t="str">
        <f>TEXT(Lessons[[#This Row],[Lesson_Date__c]], "yyyy-mm")</f>
        <v>2026-03</v>
      </c>
      <c r="AF606" s="6" t="str">
        <f>IF(Lessons[[#This Row],[Lesson_Date__c]]&lt;=Data_Audit!$F$1, "Yes", "No")</f>
        <v>Yes</v>
      </c>
    </row>
    <row r="607" spans="1:32">
      <c r="A607" t="s">
        <v>52</v>
      </c>
      <c r="B607" t="s">
        <v>53</v>
      </c>
      <c r="C607">
        <v>60</v>
      </c>
      <c r="D607" t="s">
        <v>2237</v>
      </c>
      <c r="E607" t="s">
        <v>983</v>
      </c>
      <c r="F607" t="s">
        <v>984</v>
      </c>
      <c r="H607" t="s">
        <v>237</v>
      </c>
      <c r="I607" t="b">
        <v>0</v>
      </c>
      <c r="K607" t="s">
        <v>52</v>
      </c>
      <c r="L607" t="s">
        <v>2174</v>
      </c>
      <c r="O607" s="1">
        <v>46108</v>
      </c>
      <c r="P607" t="s">
        <v>2238</v>
      </c>
      <c r="Q607" t="s">
        <v>2239</v>
      </c>
      <c r="R607" t="s">
        <v>63</v>
      </c>
      <c r="S607" t="b">
        <v>0</v>
      </c>
      <c r="T607" t="b">
        <v>0</v>
      </c>
      <c r="U607" t="s">
        <v>2239</v>
      </c>
      <c r="V607" t="s">
        <v>116</v>
      </c>
      <c r="W607" t="s">
        <v>65</v>
      </c>
      <c r="X607" t="s">
        <v>2240</v>
      </c>
      <c r="Y607" t="s">
        <v>2241</v>
      </c>
      <c r="Z607" t="s">
        <v>2174</v>
      </c>
      <c r="AA607" t="b">
        <f>ISNUMBER(SEARCH(";"&amp;Lessons[[#This Row],[Instrument__c]]&amp;";",";"&amp;_xlfn.XLOOKUP(Lessons[[#This Row],[Instructor_External_Id__c]], Instructors[Id], Instructors[Instruments_Taught__c])&amp;";"))</f>
        <v>1</v>
      </c>
      <c r="AB607" t="str">
        <f>IF(LEFT(Lessons[[#This Row],[Status__c]],9)="Cancelled","",Lessons[[#This Row],[Instructor_External_Id__c]]&amp;"|"&amp;TEXT(Lessons[[#This Row],[Lesson_Date__c]],"yyyy-mm-dd")&amp;"|"&amp;Lessons[[#This Row],[Start_Time__c]])</f>
        <v>a06ak00000amzBoAAI|2026-03-27|17:30:00.000Z</v>
      </c>
      <c r="AC607">
        <f>IF(Lessons[[#This Row],[Double Booked Key]]="","",COUNTIF(Lessons[Double Booked Key],Lessons[[#This Row],[Double Booked Key]]))</f>
        <v>1</v>
      </c>
      <c r="AD607" s="6" t="str">
        <f>_xlfn.XLOOKUP(Lessons[[#This Row],[Location_External_Id__c]], Locations[Location Id], Locations[Location Name])</f>
        <v>Red Bank</v>
      </c>
      <c r="AE607" s="6" t="str">
        <f>TEXT(Lessons[[#This Row],[Lesson_Date__c]], "yyyy-mm")</f>
        <v>2026-03</v>
      </c>
      <c r="AF607" s="6" t="str">
        <f>IF(Lessons[[#This Row],[Lesson_Date__c]]&lt;=Data_Audit!$F$1, "Yes", "No")</f>
        <v>Yes</v>
      </c>
    </row>
    <row r="608" spans="1:32">
      <c r="A608" t="s">
        <v>52</v>
      </c>
      <c r="B608" t="s">
        <v>53</v>
      </c>
      <c r="C608">
        <v>30</v>
      </c>
      <c r="D608" t="s">
        <v>2242</v>
      </c>
      <c r="E608" t="s">
        <v>55</v>
      </c>
      <c r="F608" t="s">
        <v>56</v>
      </c>
      <c r="H608" t="s">
        <v>237</v>
      </c>
      <c r="I608" t="b">
        <v>0</v>
      </c>
      <c r="K608" t="s">
        <v>52</v>
      </c>
      <c r="L608" t="s">
        <v>91</v>
      </c>
      <c r="O608" s="1">
        <v>46092</v>
      </c>
      <c r="P608" t="s">
        <v>2243</v>
      </c>
      <c r="Q608" t="s">
        <v>2244</v>
      </c>
      <c r="R608" t="s">
        <v>63</v>
      </c>
      <c r="S608" t="b">
        <v>1</v>
      </c>
      <c r="T608" t="b">
        <v>0</v>
      </c>
      <c r="U608" t="s">
        <v>2244</v>
      </c>
      <c r="V608" t="s">
        <v>135</v>
      </c>
      <c r="W608" t="s">
        <v>95</v>
      </c>
      <c r="X608" t="s">
        <v>2240</v>
      </c>
      <c r="Y608" t="s">
        <v>2241</v>
      </c>
      <c r="Z608" t="s">
        <v>91</v>
      </c>
      <c r="AA608" t="b">
        <f>ISNUMBER(SEARCH(";"&amp;Lessons[[#This Row],[Instrument__c]]&amp;";",";"&amp;_xlfn.XLOOKUP(Lessons[[#This Row],[Instructor_External_Id__c]], Instructors[Id], Instructors[Instruments_Taught__c])&amp;";"))</f>
        <v>0</v>
      </c>
      <c r="AB608" t="str">
        <f>IF(LEFT(Lessons[[#This Row],[Status__c]],9)="Cancelled","",Lessons[[#This Row],[Instructor_External_Id__c]]&amp;"|"&amp;TEXT(Lessons[[#This Row],[Lesson_Date__c]],"yyyy-mm-dd")&amp;"|"&amp;Lessons[[#This Row],[Start_Time__c]])</f>
        <v>a06ak00000amzC9AAI|2026-03-11|15:30:00.000Z</v>
      </c>
      <c r="AC608">
        <f>IF(Lessons[[#This Row],[Double Booked Key]]="","",COUNTIF(Lessons[Double Booked Key],Lessons[[#This Row],[Double Booked Key]]))</f>
        <v>1</v>
      </c>
      <c r="AD608" s="6" t="str">
        <f>_xlfn.XLOOKUP(Lessons[[#This Row],[Location_External_Id__c]], Locations[Location Id], Locations[Location Name])</f>
        <v>Red Bank</v>
      </c>
      <c r="AE608" s="6" t="str">
        <f>TEXT(Lessons[[#This Row],[Lesson_Date__c]], "yyyy-mm")</f>
        <v>2026-03</v>
      </c>
      <c r="AF608" s="6" t="str">
        <f>IF(Lessons[[#This Row],[Lesson_Date__c]]&lt;=Data_Audit!$F$1, "Yes", "No")</f>
        <v>Yes</v>
      </c>
    </row>
    <row r="609" spans="1:32">
      <c r="A609" t="s">
        <v>52</v>
      </c>
      <c r="B609" t="s">
        <v>53</v>
      </c>
      <c r="C609">
        <v>30</v>
      </c>
      <c r="D609" t="s">
        <v>2245</v>
      </c>
      <c r="E609" t="s">
        <v>983</v>
      </c>
      <c r="F609" t="s">
        <v>984</v>
      </c>
      <c r="G609" t="s">
        <v>164</v>
      </c>
      <c r="H609" t="s">
        <v>237</v>
      </c>
      <c r="I609" t="b">
        <v>0</v>
      </c>
      <c r="K609" t="s">
        <v>52</v>
      </c>
      <c r="L609" t="s">
        <v>2174</v>
      </c>
      <c r="O609" s="1">
        <v>46157</v>
      </c>
      <c r="P609" t="s">
        <v>2246</v>
      </c>
      <c r="Q609" t="s">
        <v>2247</v>
      </c>
      <c r="R609" t="s">
        <v>63</v>
      </c>
      <c r="S609" t="b">
        <v>0</v>
      </c>
      <c r="T609" t="b">
        <v>0</v>
      </c>
      <c r="U609" t="s">
        <v>2247</v>
      </c>
      <c r="V609" t="s">
        <v>116</v>
      </c>
      <c r="W609" t="s">
        <v>65</v>
      </c>
      <c r="X609" t="s">
        <v>2240</v>
      </c>
      <c r="Y609" t="s">
        <v>2241</v>
      </c>
      <c r="Z609" t="s">
        <v>2174</v>
      </c>
      <c r="AA609" t="b">
        <f>ISNUMBER(SEARCH(";"&amp;Lessons[[#This Row],[Instrument__c]]&amp;";",";"&amp;_xlfn.XLOOKUP(Lessons[[#This Row],[Instructor_External_Id__c]], Instructors[Id], Instructors[Instruments_Taught__c])&amp;";"))</f>
        <v>1</v>
      </c>
      <c r="AB609" t="str">
        <f>IF(LEFT(Lessons[[#This Row],[Status__c]],9)="Cancelled","",Lessons[[#This Row],[Instructor_External_Id__c]]&amp;"|"&amp;TEXT(Lessons[[#This Row],[Lesson_Date__c]],"yyyy-mm-dd")&amp;"|"&amp;Lessons[[#This Row],[Start_Time__c]])</f>
        <v>a06ak00000amzBoAAI|2026-05-15|17:30:00.000Z</v>
      </c>
      <c r="AC609">
        <f>IF(Lessons[[#This Row],[Double Booked Key]]="","",COUNTIF(Lessons[Double Booked Key],Lessons[[#This Row],[Double Booked Key]]))</f>
        <v>1</v>
      </c>
      <c r="AD609" s="6" t="str">
        <f>_xlfn.XLOOKUP(Lessons[[#This Row],[Location_External_Id__c]], Locations[Location Id], Locations[Location Name])</f>
        <v>Red Bank</v>
      </c>
      <c r="AE609" s="6" t="str">
        <f>TEXT(Lessons[[#This Row],[Lesson_Date__c]], "yyyy-mm")</f>
        <v>2026-05</v>
      </c>
      <c r="AF609" s="6" t="str">
        <f>IF(Lessons[[#This Row],[Lesson_Date__c]]&lt;=Data_Audit!$F$1, "Yes", "No")</f>
        <v>Yes</v>
      </c>
    </row>
    <row r="610" spans="1:32">
      <c r="A610" t="s">
        <v>52</v>
      </c>
      <c r="B610" t="s">
        <v>53</v>
      </c>
      <c r="C610">
        <v>45</v>
      </c>
      <c r="D610" t="s">
        <v>2248</v>
      </c>
      <c r="E610" t="s">
        <v>983</v>
      </c>
      <c r="F610" t="s">
        <v>984</v>
      </c>
      <c r="H610" t="s">
        <v>237</v>
      </c>
      <c r="I610" t="b">
        <v>0</v>
      </c>
      <c r="K610" t="s">
        <v>52</v>
      </c>
      <c r="L610" t="s">
        <v>2174</v>
      </c>
      <c r="O610" s="1">
        <v>46184</v>
      </c>
      <c r="P610" t="s">
        <v>2249</v>
      </c>
      <c r="Q610" t="s">
        <v>2250</v>
      </c>
      <c r="R610" t="s">
        <v>63</v>
      </c>
      <c r="S610" t="b">
        <v>0</v>
      </c>
      <c r="T610" t="b">
        <v>0</v>
      </c>
      <c r="U610" t="s">
        <v>2250</v>
      </c>
      <c r="V610" t="s">
        <v>116</v>
      </c>
      <c r="W610" t="s">
        <v>65</v>
      </c>
      <c r="X610" t="s">
        <v>2240</v>
      </c>
      <c r="Y610" t="s">
        <v>2241</v>
      </c>
      <c r="Z610" t="s">
        <v>2174</v>
      </c>
      <c r="AA610" t="b">
        <f>ISNUMBER(SEARCH(";"&amp;Lessons[[#This Row],[Instrument__c]]&amp;";",";"&amp;_xlfn.XLOOKUP(Lessons[[#This Row],[Instructor_External_Id__c]], Instructors[Id], Instructors[Instruments_Taught__c])&amp;";"))</f>
        <v>1</v>
      </c>
      <c r="AB610" t="str">
        <f>IF(LEFT(Lessons[[#This Row],[Status__c]],9)="Cancelled","",Lessons[[#This Row],[Instructor_External_Id__c]]&amp;"|"&amp;TEXT(Lessons[[#This Row],[Lesson_Date__c]],"yyyy-mm-dd")&amp;"|"&amp;Lessons[[#This Row],[Start_Time__c]])</f>
        <v>a06ak00000amzBoAAI|2026-06-11|17:30:00.000Z</v>
      </c>
      <c r="AC610">
        <f>IF(Lessons[[#This Row],[Double Booked Key]]="","",COUNTIF(Lessons[Double Booked Key],Lessons[[#This Row],[Double Booked Key]]))</f>
        <v>1</v>
      </c>
      <c r="AD610" s="6" t="str">
        <f>_xlfn.XLOOKUP(Lessons[[#This Row],[Location_External_Id__c]], Locations[Location Id], Locations[Location Name])</f>
        <v>Red Bank</v>
      </c>
      <c r="AE610" s="6" t="str">
        <f>TEXT(Lessons[[#This Row],[Lesson_Date__c]], "yyyy-mm")</f>
        <v>2026-06</v>
      </c>
      <c r="AF610" s="6" t="str">
        <f>IF(Lessons[[#This Row],[Lesson_Date__c]]&lt;=Data_Audit!$F$1, "Yes", "No")</f>
        <v>Yes</v>
      </c>
    </row>
    <row r="611" spans="1:32">
      <c r="A611" t="s">
        <v>52</v>
      </c>
      <c r="B611" t="s">
        <v>53</v>
      </c>
      <c r="C611">
        <v>30</v>
      </c>
      <c r="D611" t="s">
        <v>2251</v>
      </c>
      <c r="E611" t="s">
        <v>983</v>
      </c>
      <c r="F611" t="s">
        <v>984</v>
      </c>
      <c r="G611" t="s">
        <v>69</v>
      </c>
      <c r="H611" t="s">
        <v>237</v>
      </c>
      <c r="I611" t="b">
        <v>0</v>
      </c>
      <c r="K611" t="s">
        <v>52</v>
      </c>
      <c r="L611" t="s">
        <v>2174</v>
      </c>
      <c r="O611" s="1">
        <v>46114</v>
      </c>
      <c r="P611" t="s">
        <v>2252</v>
      </c>
      <c r="Q611" t="s">
        <v>2253</v>
      </c>
      <c r="R611" t="s">
        <v>63</v>
      </c>
      <c r="S611" t="b">
        <v>0</v>
      </c>
      <c r="T611" t="b">
        <v>0</v>
      </c>
      <c r="U611" t="s">
        <v>2253</v>
      </c>
      <c r="V611" t="s">
        <v>135</v>
      </c>
      <c r="W611" t="s">
        <v>65</v>
      </c>
      <c r="X611" t="s">
        <v>2240</v>
      </c>
      <c r="Y611" t="s">
        <v>2241</v>
      </c>
      <c r="Z611" t="s">
        <v>2174</v>
      </c>
      <c r="AA611" t="b">
        <f>ISNUMBER(SEARCH(";"&amp;Lessons[[#This Row],[Instrument__c]]&amp;";",";"&amp;_xlfn.XLOOKUP(Lessons[[#This Row],[Instructor_External_Id__c]], Instructors[Id], Instructors[Instruments_Taught__c])&amp;";"))</f>
        <v>1</v>
      </c>
      <c r="AB611" t="str">
        <f>IF(LEFT(Lessons[[#This Row],[Status__c]],9)="Cancelled","",Lessons[[#This Row],[Instructor_External_Id__c]]&amp;"|"&amp;TEXT(Lessons[[#This Row],[Lesson_Date__c]],"yyyy-mm-dd")&amp;"|"&amp;Lessons[[#This Row],[Start_Time__c]])</f>
        <v>a06ak00000amzBoAAI|2026-04-02|15:30:00.000Z</v>
      </c>
      <c r="AC611">
        <f>IF(Lessons[[#This Row],[Double Booked Key]]="","",COUNTIF(Lessons[Double Booked Key],Lessons[[#This Row],[Double Booked Key]]))</f>
        <v>1</v>
      </c>
      <c r="AD611" s="6" t="str">
        <f>_xlfn.XLOOKUP(Lessons[[#This Row],[Location_External_Id__c]], Locations[Location Id], Locations[Location Name])</f>
        <v>Red Bank</v>
      </c>
      <c r="AE611" s="6" t="str">
        <f>TEXT(Lessons[[#This Row],[Lesson_Date__c]], "yyyy-mm")</f>
        <v>2026-04</v>
      </c>
      <c r="AF611" s="6" t="str">
        <f>IF(Lessons[[#This Row],[Lesson_Date__c]]&lt;=Data_Audit!$F$1, "Yes", "No")</f>
        <v>Yes</v>
      </c>
    </row>
    <row r="612" spans="1:32">
      <c r="A612" t="s">
        <v>52</v>
      </c>
      <c r="B612" t="s">
        <v>53</v>
      </c>
      <c r="C612">
        <v>30</v>
      </c>
      <c r="D612" t="s">
        <v>2254</v>
      </c>
      <c r="E612" t="s">
        <v>983</v>
      </c>
      <c r="F612" t="s">
        <v>984</v>
      </c>
      <c r="G612" t="s">
        <v>106</v>
      </c>
      <c r="H612" t="s">
        <v>237</v>
      </c>
      <c r="I612" t="b">
        <v>0</v>
      </c>
      <c r="K612" t="s">
        <v>52</v>
      </c>
      <c r="L612" t="s">
        <v>2174</v>
      </c>
      <c r="O612" s="1">
        <v>46104</v>
      </c>
      <c r="P612" t="s">
        <v>2255</v>
      </c>
      <c r="Q612" t="s">
        <v>2256</v>
      </c>
      <c r="R612" t="s">
        <v>63</v>
      </c>
      <c r="S612" t="b">
        <v>0</v>
      </c>
      <c r="T612" t="b">
        <v>0</v>
      </c>
      <c r="U612" t="s">
        <v>2256</v>
      </c>
      <c r="V612" t="s">
        <v>94</v>
      </c>
      <c r="W612" t="s">
        <v>65</v>
      </c>
      <c r="X612" t="s">
        <v>2240</v>
      </c>
      <c r="Y612" t="s">
        <v>2241</v>
      </c>
      <c r="Z612" t="s">
        <v>2174</v>
      </c>
      <c r="AA612" t="b">
        <f>ISNUMBER(SEARCH(";"&amp;Lessons[[#This Row],[Instrument__c]]&amp;";",";"&amp;_xlfn.XLOOKUP(Lessons[[#This Row],[Instructor_External_Id__c]], Instructors[Id], Instructors[Instruments_Taught__c])&amp;";"))</f>
        <v>1</v>
      </c>
      <c r="AB612" t="str">
        <f>IF(LEFT(Lessons[[#This Row],[Status__c]],9)="Cancelled","",Lessons[[#This Row],[Instructor_External_Id__c]]&amp;"|"&amp;TEXT(Lessons[[#This Row],[Lesson_Date__c]],"yyyy-mm-dd")&amp;"|"&amp;Lessons[[#This Row],[Start_Time__c]])</f>
        <v>a06ak00000amzBoAAI|2026-03-23|19:00:00.000Z</v>
      </c>
      <c r="AC612">
        <f>IF(Lessons[[#This Row],[Double Booked Key]]="","",COUNTIF(Lessons[Double Booked Key],Lessons[[#This Row],[Double Booked Key]]))</f>
        <v>1</v>
      </c>
      <c r="AD612" s="6" t="str">
        <f>_xlfn.XLOOKUP(Lessons[[#This Row],[Location_External_Id__c]], Locations[Location Id], Locations[Location Name])</f>
        <v>Red Bank</v>
      </c>
      <c r="AE612" s="6" t="str">
        <f>TEXT(Lessons[[#This Row],[Lesson_Date__c]], "yyyy-mm")</f>
        <v>2026-03</v>
      </c>
      <c r="AF612" s="6" t="str">
        <f>IF(Lessons[[#This Row],[Lesson_Date__c]]&lt;=Data_Audit!$F$1, "Yes", "No")</f>
        <v>Yes</v>
      </c>
    </row>
    <row r="613" spans="1:32">
      <c r="A613" t="s">
        <v>52</v>
      </c>
      <c r="B613" t="s">
        <v>53</v>
      </c>
      <c r="C613">
        <v>60</v>
      </c>
      <c r="D613" t="s">
        <v>2257</v>
      </c>
      <c r="E613" t="s">
        <v>983</v>
      </c>
      <c r="F613" t="s">
        <v>984</v>
      </c>
      <c r="H613" t="s">
        <v>237</v>
      </c>
      <c r="I613" t="b">
        <v>0</v>
      </c>
      <c r="K613" t="s">
        <v>52</v>
      </c>
      <c r="L613" t="s">
        <v>2174</v>
      </c>
      <c r="O613" s="1">
        <v>46281</v>
      </c>
      <c r="P613" t="s">
        <v>2258</v>
      </c>
      <c r="Q613" t="s">
        <v>2259</v>
      </c>
      <c r="R613" t="s">
        <v>63</v>
      </c>
      <c r="S613" t="b">
        <v>1</v>
      </c>
      <c r="T613" t="b">
        <v>1</v>
      </c>
      <c r="U613" t="s">
        <v>2259</v>
      </c>
      <c r="V613" t="s">
        <v>110</v>
      </c>
      <c r="W613" t="s">
        <v>136</v>
      </c>
      <c r="X613" t="s">
        <v>2240</v>
      </c>
      <c r="Y613" t="s">
        <v>2241</v>
      </c>
      <c r="Z613" t="s">
        <v>2174</v>
      </c>
      <c r="AA613" t="b">
        <f>ISNUMBER(SEARCH(";"&amp;Lessons[[#This Row],[Instrument__c]]&amp;";",";"&amp;_xlfn.XLOOKUP(Lessons[[#This Row],[Instructor_External_Id__c]], Instructors[Id], Instructors[Instruments_Taught__c])&amp;";"))</f>
        <v>1</v>
      </c>
      <c r="AB613" t="str">
        <f>IF(LEFT(Lessons[[#This Row],[Status__c]],9)="Cancelled","",Lessons[[#This Row],[Instructor_External_Id__c]]&amp;"|"&amp;TEXT(Lessons[[#This Row],[Lesson_Date__c]],"yyyy-mm-dd")&amp;"|"&amp;Lessons[[#This Row],[Start_Time__c]])</f>
        <v/>
      </c>
      <c r="AC613" t="str">
        <f>IF(Lessons[[#This Row],[Double Booked Key]]="","",COUNTIF(Lessons[Double Booked Key],Lessons[[#This Row],[Double Booked Key]]))</f>
        <v/>
      </c>
      <c r="AD613" s="6" t="str">
        <f>_xlfn.XLOOKUP(Lessons[[#This Row],[Location_External_Id__c]], Locations[Location Id], Locations[Location Name])</f>
        <v>Red Bank</v>
      </c>
      <c r="AE613" s="6" t="str">
        <f>TEXT(Lessons[[#This Row],[Lesson_Date__c]], "yyyy-mm")</f>
        <v>2026-09</v>
      </c>
      <c r="AF613" s="6" t="str">
        <f>IF(Lessons[[#This Row],[Lesson_Date__c]]&lt;=Data_Audit!$F$1, "Yes", "No")</f>
        <v>Yes</v>
      </c>
    </row>
    <row r="614" spans="1:32">
      <c r="A614" t="s">
        <v>52</v>
      </c>
      <c r="B614" t="s">
        <v>53</v>
      </c>
      <c r="C614">
        <v>60</v>
      </c>
      <c r="D614" t="s">
        <v>2260</v>
      </c>
      <c r="E614" t="s">
        <v>983</v>
      </c>
      <c r="F614" t="s">
        <v>984</v>
      </c>
      <c r="H614" t="s">
        <v>237</v>
      </c>
      <c r="I614" t="b">
        <v>0</v>
      </c>
      <c r="K614" t="s">
        <v>52</v>
      </c>
      <c r="L614" t="s">
        <v>171</v>
      </c>
      <c r="O614" s="1">
        <v>46035</v>
      </c>
      <c r="P614" t="s">
        <v>2261</v>
      </c>
      <c r="Q614" t="s">
        <v>2262</v>
      </c>
      <c r="R614" t="s">
        <v>63</v>
      </c>
      <c r="S614" t="b">
        <v>1</v>
      </c>
      <c r="T614" t="b">
        <v>1</v>
      </c>
      <c r="U614" t="s">
        <v>2262</v>
      </c>
      <c r="V614" t="s">
        <v>116</v>
      </c>
      <c r="W614" t="s">
        <v>136</v>
      </c>
      <c r="X614" t="s">
        <v>2240</v>
      </c>
      <c r="Y614" t="s">
        <v>2241</v>
      </c>
      <c r="Z614" t="s">
        <v>171</v>
      </c>
      <c r="AA614" t="b">
        <f>ISNUMBER(SEARCH(";"&amp;Lessons[[#This Row],[Instrument__c]]&amp;";",";"&amp;_xlfn.XLOOKUP(Lessons[[#This Row],[Instructor_External_Id__c]], Instructors[Id], Instructors[Instruments_Taught__c])&amp;";"))</f>
        <v>1</v>
      </c>
      <c r="AB614" t="str">
        <f>IF(LEFT(Lessons[[#This Row],[Status__c]],9)="Cancelled","",Lessons[[#This Row],[Instructor_External_Id__c]]&amp;"|"&amp;TEXT(Lessons[[#This Row],[Lesson_Date__c]],"yyyy-mm-dd")&amp;"|"&amp;Lessons[[#This Row],[Start_Time__c]])</f>
        <v/>
      </c>
      <c r="AC614" t="str">
        <f>IF(Lessons[[#This Row],[Double Booked Key]]="","",COUNTIF(Lessons[Double Booked Key],Lessons[[#This Row],[Double Booked Key]]))</f>
        <v/>
      </c>
      <c r="AD614" s="6" t="str">
        <f>_xlfn.XLOOKUP(Lessons[[#This Row],[Location_External_Id__c]], Locations[Location Id], Locations[Location Name])</f>
        <v>Red Bank</v>
      </c>
      <c r="AE614" s="6" t="str">
        <f>TEXT(Lessons[[#This Row],[Lesson_Date__c]], "yyyy-mm")</f>
        <v>2026-01</v>
      </c>
      <c r="AF614" s="6" t="str">
        <f>IF(Lessons[[#This Row],[Lesson_Date__c]]&lt;=Data_Audit!$F$1, "Yes", "No")</f>
        <v>Yes</v>
      </c>
    </row>
    <row r="615" spans="1:32">
      <c r="A615" t="s">
        <v>52</v>
      </c>
      <c r="B615" t="s">
        <v>53</v>
      </c>
      <c r="C615">
        <v>45</v>
      </c>
      <c r="D615" t="s">
        <v>2263</v>
      </c>
      <c r="E615" t="s">
        <v>764</v>
      </c>
      <c r="F615" t="s">
        <v>765</v>
      </c>
      <c r="G615" t="s">
        <v>106</v>
      </c>
      <c r="H615" t="s">
        <v>284</v>
      </c>
      <c r="I615" t="b">
        <v>0</v>
      </c>
      <c r="K615" t="s">
        <v>52</v>
      </c>
      <c r="L615" t="s">
        <v>2174</v>
      </c>
      <c r="O615" s="1">
        <v>46220</v>
      </c>
      <c r="P615" t="s">
        <v>2264</v>
      </c>
      <c r="Q615" t="s">
        <v>2265</v>
      </c>
      <c r="R615" t="s">
        <v>63</v>
      </c>
      <c r="S615" t="b">
        <v>0</v>
      </c>
      <c r="T615" t="b">
        <v>0</v>
      </c>
      <c r="U615" t="s">
        <v>2265</v>
      </c>
      <c r="V615" t="s">
        <v>84</v>
      </c>
      <c r="W615" t="s">
        <v>65</v>
      </c>
      <c r="X615" t="s">
        <v>2266</v>
      </c>
      <c r="Y615" t="s">
        <v>2267</v>
      </c>
      <c r="Z615" t="s">
        <v>2174</v>
      </c>
      <c r="AA615" t="b">
        <f>ISNUMBER(SEARCH(";"&amp;Lessons[[#This Row],[Instrument__c]]&amp;";",";"&amp;_xlfn.XLOOKUP(Lessons[[#This Row],[Instructor_External_Id__c]], Instructors[Id], Instructors[Instruments_Taught__c])&amp;";"))</f>
        <v>1</v>
      </c>
      <c r="AB615" t="str">
        <f>IF(LEFT(Lessons[[#This Row],[Status__c]],9)="Cancelled","",Lessons[[#This Row],[Instructor_External_Id__c]]&amp;"|"&amp;TEXT(Lessons[[#This Row],[Lesson_Date__c]],"yyyy-mm-dd")&amp;"|"&amp;Lessons[[#This Row],[Start_Time__c]])</f>
        <v>a06ak00000amzBnAAI|2026-07-17|17:00:00.000Z</v>
      </c>
      <c r="AC615">
        <f>IF(Lessons[[#This Row],[Double Booked Key]]="","",COUNTIF(Lessons[Double Booked Key],Lessons[[#This Row],[Double Booked Key]]))</f>
        <v>1</v>
      </c>
      <c r="AD615" s="6" t="str">
        <f>_xlfn.XLOOKUP(Lessons[[#This Row],[Location_External_Id__c]], Locations[Location Id], Locations[Location Name])</f>
        <v>Red Bank</v>
      </c>
      <c r="AE615" s="6" t="str">
        <f>TEXT(Lessons[[#This Row],[Lesson_Date__c]], "yyyy-mm")</f>
        <v>2026-07</v>
      </c>
      <c r="AF615" s="6" t="str">
        <f>IF(Lessons[[#This Row],[Lesson_Date__c]]&lt;=Data_Audit!$F$1, "Yes", "No")</f>
        <v>Yes</v>
      </c>
    </row>
    <row r="616" spans="1:32">
      <c r="A616" t="s">
        <v>52</v>
      </c>
      <c r="B616" t="s">
        <v>53</v>
      </c>
      <c r="C616">
        <v>45</v>
      </c>
      <c r="D616" t="s">
        <v>2268</v>
      </c>
      <c r="E616" t="s">
        <v>764</v>
      </c>
      <c r="F616" t="s">
        <v>765</v>
      </c>
      <c r="G616" t="s">
        <v>99</v>
      </c>
      <c r="H616" t="s">
        <v>284</v>
      </c>
      <c r="I616" t="b">
        <v>0</v>
      </c>
      <c r="K616" t="s">
        <v>52</v>
      </c>
      <c r="L616" t="s">
        <v>2174</v>
      </c>
      <c r="O616" s="1">
        <v>46111</v>
      </c>
      <c r="P616" t="s">
        <v>2269</v>
      </c>
      <c r="Q616" t="s">
        <v>2270</v>
      </c>
      <c r="R616" t="s">
        <v>63</v>
      </c>
      <c r="S616" t="b">
        <v>0</v>
      </c>
      <c r="T616" t="b">
        <v>0</v>
      </c>
      <c r="U616" t="s">
        <v>2270</v>
      </c>
      <c r="V616" t="s">
        <v>94</v>
      </c>
      <c r="W616" t="s">
        <v>65</v>
      </c>
      <c r="X616" t="s">
        <v>2266</v>
      </c>
      <c r="Y616" t="s">
        <v>2267</v>
      </c>
      <c r="Z616" t="s">
        <v>2174</v>
      </c>
      <c r="AA616" t="b">
        <f>ISNUMBER(SEARCH(";"&amp;Lessons[[#This Row],[Instrument__c]]&amp;";",";"&amp;_xlfn.XLOOKUP(Lessons[[#This Row],[Instructor_External_Id__c]], Instructors[Id], Instructors[Instruments_Taught__c])&amp;";"))</f>
        <v>1</v>
      </c>
      <c r="AB616" t="str">
        <f>IF(LEFT(Lessons[[#This Row],[Status__c]],9)="Cancelled","",Lessons[[#This Row],[Instructor_External_Id__c]]&amp;"|"&amp;TEXT(Lessons[[#This Row],[Lesson_Date__c]],"yyyy-mm-dd")&amp;"|"&amp;Lessons[[#This Row],[Start_Time__c]])</f>
        <v>a06ak00000amzBnAAI|2026-03-30|19:00:00.000Z</v>
      </c>
      <c r="AC616">
        <f>IF(Lessons[[#This Row],[Double Booked Key]]="","",COUNTIF(Lessons[Double Booked Key],Lessons[[#This Row],[Double Booked Key]]))</f>
        <v>1</v>
      </c>
      <c r="AD616" s="6" t="str">
        <f>_xlfn.XLOOKUP(Lessons[[#This Row],[Location_External_Id__c]], Locations[Location Id], Locations[Location Name])</f>
        <v>Red Bank</v>
      </c>
      <c r="AE616" s="6" t="str">
        <f>TEXT(Lessons[[#This Row],[Lesson_Date__c]], "yyyy-mm")</f>
        <v>2026-03</v>
      </c>
      <c r="AF616" s="6" t="str">
        <f>IF(Lessons[[#This Row],[Lesson_Date__c]]&lt;=Data_Audit!$F$1, "Yes", "No")</f>
        <v>Yes</v>
      </c>
    </row>
    <row r="617" spans="1:32">
      <c r="A617" t="s">
        <v>52</v>
      </c>
      <c r="B617" t="s">
        <v>53</v>
      </c>
      <c r="C617">
        <v>30</v>
      </c>
      <c r="D617" t="s">
        <v>2271</v>
      </c>
      <c r="E617" t="s">
        <v>764</v>
      </c>
      <c r="F617" t="s">
        <v>765</v>
      </c>
      <c r="G617" t="s">
        <v>106</v>
      </c>
      <c r="H617" t="s">
        <v>284</v>
      </c>
      <c r="I617" t="b">
        <v>0</v>
      </c>
      <c r="K617" t="s">
        <v>52</v>
      </c>
      <c r="L617" t="s">
        <v>2174</v>
      </c>
      <c r="O617" s="1">
        <v>46088</v>
      </c>
      <c r="P617" t="s">
        <v>2272</v>
      </c>
      <c r="Q617" t="s">
        <v>2273</v>
      </c>
      <c r="R617" t="s">
        <v>63</v>
      </c>
      <c r="S617" t="b">
        <v>0</v>
      </c>
      <c r="T617" t="b">
        <v>0</v>
      </c>
      <c r="U617" t="s">
        <v>2273</v>
      </c>
      <c r="V617" t="s">
        <v>135</v>
      </c>
      <c r="W617" t="s">
        <v>65</v>
      </c>
      <c r="X617" t="s">
        <v>2266</v>
      </c>
      <c r="Y617" t="s">
        <v>2267</v>
      </c>
      <c r="Z617" t="s">
        <v>2174</v>
      </c>
      <c r="AA617" t="b">
        <f>ISNUMBER(SEARCH(";"&amp;Lessons[[#This Row],[Instrument__c]]&amp;";",";"&amp;_xlfn.XLOOKUP(Lessons[[#This Row],[Instructor_External_Id__c]], Instructors[Id], Instructors[Instruments_Taught__c])&amp;";"))</f>
        <v>1</v>
      </c>
      <c r="AB617" t="str">
        <f>IF(LEFT(Lessons[[#This Row],[Status__c]],9)="Cancelled","",Lessons[[#This Row],[Instructor_External_Id__c]]&amp;"|"&amp;TEXT(Lessons[[#This Row],[Lesson_Date__c]],"yyyy-mm-dd")&amp;"|"&amp;Lessons[[#This Row],[Start_Time__c]])</f>
        <v>a06ak00000amzBnAAI|2026-03-07|15:30:00.000Z</v>
      </c>
      <c r="AC617">
        <f>IF(Lessons[[#This Row],[Double Booked Key]]="","",COUNTIF(Lessons[Double Booked Key],Lessons[[#This Row],[Double Booked Key]]))</f>
        <v>1</v>
      </c>
      <c r="AD617" s="6" t="str">
        <f>_xlfn.XLOOKUP(Lessons[[#This Row],[Location_External_Id__c]], Locations[Location Id], Locations[Location Name])</f>
        <v>Red Bank</v>
      </c>
      <c r="AE617" s="6" t="str">
        <f>TEXT(Lessons[[#This Row],[Lesson_Date__c]], "yyyy-mm")</f>
        <v>2026-03</v>
      </c>
      <c r="AF617" s="6" t="str">
        <f>IF(Lessons[[#This Row],[Lesson_Date__c]]&lt;=Data_Audit!$F$1, "Yes", "No")</f>
        <v>Yes</v>
      </c>
    </row>
    <row r="618" spans="1:32">
      <c r="A618" t="s">
        <v>52</v>
      </c>
      <c r="B618" t="s">
        <v>53</v>
      </c>
      <c r="C618">
        <v>45</v>
      </c>
      <c r="D618" t="s">
        <v>2274</v>
      </c>
      <c r="E618" t="s">
        <v>804</v>
      </c>
      <c r="F618" t="s">
        <v>805</v>
      </c>
      <c r="G618" t="s">
        <v>69</v>
      </c>
      <c r="H618" t="s">
        <v>147</v>
      </c>
      <c r="I618" t="b">
        <v>0</v>
      </c>
      <c r="K618" t="s">
        <v>52</v>
      </c>
      <c r="L618" t="s">
        <v>2174</v>
      </c>
      <c r="O618" s="1">
        <v>46183</v>
      </c>
      <c r="P618" t="s">
        <v>2275</v>
      </c>
      <c r="Q618" t="s">
        <v>2276</v>
      </c>
      <c r="R618" t="s">
        <v>63</v>
      </c>
      <c r="S618" t="b">
        <v>0</v>
      </c>
      <c r="T618" t="b">
        <v>0</v>
      </c>
      <c r="U618" t="s">
        <v>2276</v>
      </c>
      <c r="V618" t="s">
        <v>110</v>
      </c>
      <c r="W618" t="s">
        <v>65</v>
      </c>
      <c r="X618" t="s">
        <v>2277</v>
      </c>
      <c r="Y618" t="s">
        <v>2278</v>
      </c>
      <c r="Z618" t="s">
        <v>2174</v>
      </c>
      <c r="AA618" t="b">
        <f>ISNUMBER(SEARCH(";"&amp;Lessons[[#This Row],[Instrument__c]]&amp;";",";"&amp;_xlfn.XLOOKUP(Lessons[[#This Row],[Instructor_External_Id__c]], Instructors[Id], Instructors[Instruments_Taught__c])&amp;";"))</f>
        <v>1</v>
      </c>
      <c r="AB618" t="str">
        <f>IF(LEFT(Lessons[[#This Row],[Status__c]],9)="Cancelled","",Lessons[[#This Row],[Instructor_External_Id__c]]&amp;"|"&amp;TEXT(Lessons[[#This Row],[Lesson_Date__c]],"yyyy-mm-dd")&amp;"|"&amp;Lessons[[#This Row],[Start_Time__c]])</f>
        <v>a06ak00000amzCBAAY|2026-06-10|10:00:00.000Z</v>
      </c>
      <c r="AC618">
        <f>IF(Lessons[[#This Row],[Double Booked Key]]="","",COUNTIF(Lessons[Double Booked Key],Lessons[[#This Row],[Double Booked Key]]))</f>
        <v>1</v>
      </c>
      <c r="AD618" s="6" t="str">
        <f>_xlfn.XLOOKUP(Lessons[[#This Row],[Location_External_Id__c]], Locations[Location Id], Locations[Location Name])</f>
        <v>Red Bank</v>
      </c>
      <c r="AE618" s="6" t="str">
        <f>TEXT(Lessons[[#This Row],[Lesson_Date__c]], "yyyy-mm")</f>
        <v>2026-06</v>
      </c>
      <c r="AF618" s="6" t="str">
        <f>IF(Lessons[[#This Row],[Lesson_Date__c]]&lt;=Data_Audit!$F$1, "Yes", "No")</f>
        <v>Yes</v>
      </c>
    </row>
    <row r="619" spans="1:32">
      <c r="A619" t="s">
        <v>52</v>
      </c>
      <c r="B619" t="s">
        <v>53</v>
      </c>
      <c r="C619">
        <v>45</v>
      </c>
      <c r="D619" t="s">
        <v>2279</v>
      </c>
      <c r="E619" t="s">
        <v>804</v>
      </c>
      <c r="F619" t="s">
        <v>805</v>
      </c>
      <c r="G619" t="s">
        <v>69</v>
      </c>
      <c r="H619" t="s">
        <v>147</v>
      </c>
      <c r="I619" t="b">
        <v>0</v>
      </c>
      <c r="K619" t="s">
        <v>52</v>
      </c>
      <c r="L619" t="s">
        <v>2174</v>
      </c>
      <c r="O619" s="1">
        <v>46120</v>
      </c>
      <c r="P619" t="s">
        <v>2280</v>
      </c>
      <c r="Q619" t="s">
        <v>2281</v>
      </c>
      <c r="R619" t="s">
        <v>63</v>
      </c>
      <c r="S619" t="b">
        <v>0</v>
      </c>
      <c r="T619" t="b">
        <v>0</v>
      </c>
      <c r="U619" t="s">
        <v>2281</v>
      </c>
      <c r="V619" t="s">
        <v>74</v>
      </c>
      <c r="W619" t="s">
        <v>65</v>
      </c>
      <c r="X619" t="s">
        <v>2277</v>
      </c>
      <c r="Y619" t="s">
        <v>2278</v>
      </c>
      <c r="Z619" t="s">
        <v>2174</v>
      </c>
      <c r="AA619" t="b">
        <f>ISNUMBER(SEARCH(";"&amp;Lessons[[#This Row],[Instrument__c]]&amp;";",";"&amp;_xlfn.XLOOKUP(Lessons[[#This Row],[Instructor_External_Id__c]], Instructors[Id], Instructors[Instruments_Taught__c])&amp;";"))</f>
        <v>1</v>
      </c>
      <c r="AB619" t="str">
        <f>IF(LEFT(Lessons[[#This Row],[Status__c]],9)="Cancelled","",Lessons[[#This Row],[Instructor_External_Id__c]]&amp;"|"&amp;TEXT(Lessons[[#This Row],[Lesson_Date__c]],"yyyy-mm-dd")&amp;"|"&amp;Lessons[[#This Row],[Start_Time__c]])</f>
        <v>a06ak00000amzCBAAY|2026-04-08|16:30:00.000Z</v>
      </c>
      <c r="AC619">
        <f>IF(Lessons[[#This Row],[Double Booked Key]]="","",COUNTIF(Lessons[Double Booked Key],Lessons[[#This Row],[Double Booked Key]]))</f>
        <v>1</v>
      </c>
      <c r="AD619" s="6" t="str">
        <f>_xlfn.XLOOKUP(Lessons[[#This Row],[Location_External_Id__c]], Locations[Location Id], Locations[Location Name])</f>
        <v>Red Bank</v>
      </c>
      <c r="AE619" s="6" t="str">
        <f>TEXT(Lessons[[#This Row],[Lesson_Date__c]], "yyyy-mm")</f>
        <v>2026-04</v>
      </c>
      <c r="AF619" s="6" t="str">
        <f>IF(Lessons[[#This Row],[Lesson_Date__c]]&lt;=Data_Audit!$F$1, "Yes", "No")</f>
        <v>Yes</v>
      </c>
    </row>
    <row r="620" spans="1:32">
      <c r="A620" t="s">
        <v>52</v>
      </c>
      <c r="B620" t="s">
        <v>53</v>
      </c>
      <c r="C620">
        <v>30</v>
      </c>
      <c r="D620" t="s">
        <v>2282</v>
      </c>
      <c r="E620" t="s">
        <v>804</v>
      </c>
      <c r="F620" t="s">
        <v>805</v>
      </c>
      <c r="H620" t="s">
        <v>147</v>
      </c>
      <c r="I620" t="b">
        <v>0</v>
      </c>
      <c r="K620" t="s">
        <v>52</v>
      </c>
      <c r="L620" t="s">
        <v>2174</v>
      </c>
      <c r="O620" s="1">
        <v>46267</v>
      </c>
      <c r="P620" t="s">
        <v>2283</v>
      </c>
      <c r="Q620" t="s">
        <v>2284</v>
      </c>
      <c r="R620" t="s">
        <v>63</v>
      </c>
      <c r="S620" t="b">
        <v>0</v>
      </c>
      <c r="T620" t="b">
        <v>0</v>
      </c>
      <c r="U620" t="s">
        <v>2284</v>
      </c>
      <c r="V620" t="s">
        <v>84</v>
      </c>
      <c r="W620" t="s">
        <v>121</v>
      </c>
      <c r="X620" t="s">
        <v>2277</v>
      </c>
      <c r="Y620" t="s">
        <v>2278</v>
      </c>
      <c r="Z620" t="s">
        <v>2174</v>
      </c>
      <c r="AA620" t="b">
        <f>ISNUMBER(SEARCH(";"&amp;Lessons[[#This Row],[Instrument__c]]&amp;";",";"&amp;_xlfn.XLOOKUP(Lessons[[#This Row],[Instructor_External_Id__c]], Instructors[Id], Instructors[Instruments_Taught__c])&amp;";"))</f>
        <v>1</v>
      </c>
      <c r="AB620" t="str">
        <f>IF(LEFT(Lessons[[#This Row],[Status__c]],9)="Cancelled","",Lessons[[#This Row],[Instructor_External_Id__c]]&amp;"|"&amp;TEXT(Lessons[[#This Row],[Lesson_Date__c]],"yyyy-mm-dd")&amp;"|"&amp;Lessons[[#This Row],[Start_Time__c]])</f>
        <v>a06ak00000amzCBAAY|2026-09-02|17:00:00.000Z</v>
      </c>
      <c r="AC620">
        <f>IF(Lessons[[#This Row],[Double Booked Key]]="","",COUNTIF(Lessons[Double Booked Key],Lessons[[#This Row],[Double Booked Key]]))</f>
        <v>1</v>
      </c>
      <c r="AD620" s="6" t="str">
        <f>_xlfn.XLOOKUP(Lessons[[#This Row],[Location_External_Id__c]], Locations[Location Id], Locations[Location Name])</f>
        <v>Red Bank</v>
      </c>
      <c r="AE620" s="6" t="str">
        <f>TEXT(Lessons[[#This Row],[Lesson_Date__c]], "yyyy-mm")</f>
        <v>2026-09</v>
      </c>
      <c r="AF620" s="6" t="str">
        <f>IF(Lessons[[#This Row],[Lesson_Date__c]]&lt;=Data_Audit!$F$1, "Yes", "No")</f>
        <v>Yes</v>
      </c>
    </row>
    <row r="621" spans="1:32">
      <c r="A621" t="s">
        <v>52</v>
      </c>
      <c r="B621" t="s">
        <v>53</v>
      </c>
      <c r="C621">
        <v>30</v>
      </c>
      <c r="D621" t="s">
        <v>2285</v>
      </c>
      <c r="E621" t="s">
        <v>804</v>
      </c>
      <c r="F621" t="s">
        <v>805</v>
      </c>
      <c r="H621" t="s">
        <v>147</v>
      </c>
      <c r="I621" t="b">
        <v>0</v>
      </c>
      <c r="K621" t="s">
        <v>52</v>
      </c>
      <c r="L621" t="s">
        <v>2174</v>
      </c>
      <c r="O621" s="1">
        <v>46180</v>
      </c>
      <c r="P621" t="s">
        <v>2286</v>
      </c>
      <c r="Q621" t="s">
        <v>2287</v>
      </c>
      <c r="R621" t="s">
        <v>63</v>
      </c>
      <c r="S621" t="b">
        <v>0</v>
      </c>
      <c r="T621" t="b">
        <v>0</v>
      </c>
      <c r="U621" t="s">
        <v>2287</v>
      </c>
      <c r="V621" t="s">
        <v>94</v>
      </c>
      <c r="W621" t="s">
        <v>121</v>
      </c>
      <c r="X621" t="s">
        <v>2277</v>
      </c>
      <c r="Y621" t="s">
        <v>2278</v>
      </c>
      <c r="Z621" t="s">
        <v>2174</v>
      </c>
      <c r="AA621" t="b">
        <f>ISNUMBER(SEARCH(";"&amp;Lessons[[#This Row],[Instrument__c]]&amp;";",";"&amp;_xlfn.XLOOKUP(Lessons[[#This Row],[Instructor_External_Id__c]], Instructors[Id], Instructors[Instruments_Taught__c])&amp;";"))</f>
        <v>1</v>
      </c>
      <c r="AB621" t="str">
        <f>IF(LEFT(Lessons[[#This Row],[Status__c]],9)="Cancelled","",Lessons[[#This Row],[Instructor_External_Id__c]]&amp;"|"&amp;TEXT(Lessons[[#This Row],[Lesson_Date__c]],"yyyy-mm-dd")&amp;"|"&amp;Lessons[[#This Row],[Start_Time__c]])</f>
        <v>a06ak00000amzCBAAY|2026-06-07|19:00:00.000Z</v>
      </c>
      <c r="AC621">
        <f>IF(Lessons[[#This Row],[Double Booked Key]]="","",COUNTIF(Lessons[Double Booked Key],Lessons[[#This Row],[Double Booked Key]]))</f>
        <v>1</v>
      </c>
      <c r="AD621" s="6" t="str">
        <f>_xlfn.XLOOKUP(Lessons[[#This Row],[Location_External_Id__c]], Locations[Location Id], Locations[Location Name])</f>
        <v>Red Bank</v>
      </c>
      <c r="AE621" s="6" t="str">
        <f>TEXT(Lessons[[#This Row],[Lesson_Date__c]], "yyyy-mm")</f>
        <v>2026-06</v>
      </c>
      <c r="AF621" s="6" t="str">
        <f>IF(Lessons[[#This Row],[Lesson_Date__c]]&lt;=Data_Audit!$F$1, "Yes", "No")</f>
        <v>Yes</v>
      </c>
    </row>
    <row r="622" spans="1:32">
      <c r="A622" t="s">
        <v>52</v>
      </c>
      <c r="B622" t="s">
        <v>53</v>
      </c>
      <c r="C622">
        <v>30</v>
      </c>
      <c r="D622" t="s">
        <v>2288</v>
      </c>
      <c r="E622" t="s">
        <v>804</v>
      </c>
      <c r="F622" t="s">
        <v>805</v>
      </c>
      <c r="H622" t="s">
        <v>147</v>
      </c>
      <c r="I622" t="b">
        <v>0</v>
      </c>
      <c r="K622" t="s">
        <v>52</v>
      </c>
      <c r="L622" t="s">
        <v>2174</v>
      </c>
      <c r="O622" s="1">
        <v>46254</v>
      </c>
      <c r="P622" t="s">
        <v>2289</v>
      </c>
      <c r="Q622" t="s">
        <v>2290</v>
      </c>
      <c r="R622" t="s">
        <v>63</v>
      </c>
      <c r="S622" t="b">
        <v>0</v>
      </c>
      <c r="T622" t="b">
        <v>0</v>
      </c>
      <c r="U622" t="s">
        <v>2290</v>
      </c>
      <c r="V622" t="s">
        <v>84</v>
      </c>
      <c r="W622" t="s">
        <v>65</v>
      </c>
      <c r="X622" t="s">
        <v>2277</v>
      </c>
      <c r="Y622" t="s">
        <v>2278</v>
      </c>
      <c r="Z622" t="s">
        <v>2174</v>
      </c>
      <c r="AA622" t="b">
        <f>ISNUMBER(SEARCH(";"&amp;Lessons[[#This Row],[Instrument__c]]&amp;";",";"&amp;_xlfn.XLOOKUP(Lessons[[#This Row],[Instructor_External_Id__c]], Instructors[Id], Instructors[Instruments_Taught__c])&amp;";"))</f>
        <v>1</v>
      </c>
      <c r="AB622" t="str">
        <f>IF(LEFT(Lessons[[#This Row],[Status__c]],9)="Cancelled","",Lessons[[#This Row],[Instructor_External_Id__c]]&amp;"|"&amp;TEXT(Lessons[[#This Row],[Lesson_Date__c]],"yyyy-mm-dd")&amp;"|"&amp;Lessons[[#This Row],[Start_Time__c]])</f>
        <v>a06ak00000amzCBAAY|2026-08-20|17:00:00.000Z</v>
      </c>
      <c r="AC622">
        <f>IF(Lessons[[#This Row],[Double Booked Key]]="","",COUNTIF(Lessons[Double Booked Key],Lessons[[#This Row],[Double Booked Key]]))</f>
        <v>1</v>
      </c>
      <c r="AD622" s="6" t="str">
        <f>_xlfn.XLOOKUP(Lessons[[#This Row],[Location_External_Id__c]], Locations[Location Id], Locations[Location Name])</f>
        <v>Red Bank</v>
      </c>
      <c r="AE622" s="6" t="str">
        <f>TEXT(Lessons[[#This Row],[Lesson_Date__c]], "yyyy-mm")</f>
        <v>2026-08</v>
      </c>
      <c r="AF622" s="6" t="str">
        <f>IF(Lessons[[#This Row],[Lesson_Date__c]]&lt;=Data_Audit!$F$1, "Yes", "No")</f>
        <v>Yes</v>
      </c>
    </row>
    <row r="623" spans="1:32">
      <c r="A623" t="s">
        <v>52</v>
      </c>
      <c r="B623" t="s">
        <v>53</v>
      </c>
      <c r="C623">
        <v>30</v>
      </c>
      <c r="D623" t="s">
        <v>2291</v>
      </c>
      <c r="E623" t="s">
        <v>104</v>
      </c>
      <c r="F623" t="s">
        <v>105</v>
      </c>
      <c r="G623" t="s">
        <v>69</v>
      </c>
      <c r="H623" t="s">
        <v>107</v>
      </c>
      <c r="I623" t="b">
        <v>0</v>
      </c>
      <c r="K623" t="s">
        <v>52</v>
      </c>
      <c r="L623" t="s">
        <v>2174</v>
      </c>
      <c r="O623" s="1">
        <v>46238</v>
      </c>
      <c r="P623" t="s">
        <v>2292</v>
      </c>
      <c r="Q623" t="s">
        <v>2293</v>
      </c>
      <c r="R623" t="s">
        <v>63</v>
      </c>
      <c r="S623" t="b">
        <v>0</v>
      </c>
      <c r="T623" t="b">
        <v>0</v>
      </c>
      <c r="U623" t="s">
        <v>2293</v>
      </c>
      <c r="V623" t="s">
        <v>116</v>
      </c>
      <c r="W623" t="s">
        <v>65</v>
      </c>
      <c r="X623" t="s">
        <v>2294</v>
      </c>
      <c r="Y623" t="s">
        <v>2295</v>
      </c>
      <c r="Z623" t="s">
        <v>2174</v>
      </c>
      <c r="AA623" t="b">
        <f>ISNUMBER(SEARCH(";"&amp;Lessons[[#This Row],[Instrument__c]]&amp;";",";"&amp;_xlfn.XLOOKUP(Lessons[[#This Row],[Instructor_External_Id__c]], Instructors[Id], Instructors[Instruments_Taught__c])&amp;";"))</f>
        <v>1</v>
      </c>
      <c r="AB623" t="str">
        <f>IF(LEFT(Lessons[[#This Row],[Status__c]],9)="Cancelled","",Lessons[[#This Row],[Instructor_External_Id__c]]&amp;"|"&amp;TEXT(Lessons[[#This Row],[Lesson_Date__c]],"yyyy-mm-dd")&amp;"|"&amp;Lessons[[#This Row],[Start_Time__c]])</f>
        <v>a06ak00000amzBeAAI|2026-08-04|17:30:00.000Z</v>
      </c>
      <c r="AC623">
        <f>IF(Lessons[[#This Row],[Double Booked Key]]="","",COUNTIF(Lessons[Double Booked Key],Lessons[[#This Row],[Double Booked Key]]))</f>
        <v>1</v>
      </c>
      <c r="AD623" s="6" t="str">
        <f>_xlfn.XLOOKUP(Lessons[[#This Row],[Location_External_Id__c]], Locations[Location Id], Locations[Location Name])</f>
        <v>Red Bank</v>
      </c>
      <c r="AE623" s="6" t="str">
        <f>TEXT(Lessons[[#This Row],[Lesson_Date__c]], "yyyy-mm")</f>
        <v>2026-08</v>
      </c>
      <c r="AF623" s="6" t="str">
        <f>IF(Lessons[[#This Row],[Lesson_Date__c]]&lt;=Data_Audit!$F$1, "Yes", "No")</f>
        <v>Yes</v>
      </c>
    </row>
    <row r="624" spans="1:32">
      <c r="A624" t="s">
        <v>52</v>
      </c>
      <c r="B624" t="s">
        <v>53</v>
      </c>
      <c r="C624">
        <v>45</v>
      </c>
      <c r="D624" t="s">
        <v>2296</v>
      </c>
      <c r="E624" t="s">
        <v>104</v>
      </c>
      <c r="F624" t="s">
        <v>105</v>
      </c>
      <c r="G624" t="s">
        <v>57</v>
      </c>
      <c r="H624" t="s">
        <v>107</v>
      </c>
      <c r="I624" t="b">
        <v>0</v>
      </c>
      <c r="K624" t="s">
        <v>52</v>
      </c>
      <c r="L624" t="s">
        <v>2174</v>
      </c>
      <c r="O624" s="1">
        <v>46143</v>
      </c>
      <c r="P624" t="s">
        <v>2297</v>
      </c>
      <c r="Q624" t="s">
        <v>2298</v>
      </c>
      <c r="R624" t="s">
        <v>63</v>
      </c>
      <c r="S624" t="b">
        <v>0</v>
      </c>
      <c r="T624" t="b">
        <v>0</v>
      </c>
      <c r="U624" t="s">
        <v>2298</v>
      </c>
      <c r="V624" t="s">
        <v>140</v>
      </c>
      <c r="W624" t="s">
        <v>65</v>
      </c>
      <c r="X624" t="s">
        <v>2294</v>
      </c>
      <c r="Y624" t="s">
        <v>2295</v>
      </c>
      <c r="Z624" t="s">
        <v>2174</v>
      </c>
      <c r="AA624" t="b">
        <f>ISNUMBER(SEARCH(";"&amp;Lessons[[#This Row],[Instrument__c]]&amp;";",";"&amp;_xlfn.XLOOKUP(Lessons[[#This Row],[Instructor_External_Id__c]], Instructors[Id], Instructors[Instruments_Taught__c])&amp;";"))</f>
        <v>1</v>
      </c>
      <c r="AB624" t="str">
        <f>IF(LEFT(Lessons[[#This Row],[Status__c]],9)="Cancelled","",Lessons[[#This Row],[Instructor_External_Id__c]]&amp;"|"&amp;TEXT(Lessons[[#This Row],[Lesson_Date__c]],"yyyy-mm-dd")&amp;"|"&amp;Lessons[[#This Row],[Start_Time__c]])</f>
        <v>a06ak00000amzBeAAI|2026-05-01|15:00:00.000Z</v>
      </c>
      <c r="AC624">
        <f>IF(Lessons[[#This Row],[Double Booked Key]]="","",COUNTIF(Lessons[Double Booked Key],Lessons[[#This Row],[Double Booked Key]]))</f>
        <v>1</v>
      </c>
      <c r="AD624" s="6" t="str">
        <f>_xlfn.XLOOKUP(Lessons[[#This Row],[Location_External_Id__c]], Locations[Location Id], Locations[Location Name])</f>
        <v>Red Bank</v>
      </c>
      <c r="AE624" s="6" t="str">
        <f>TEXT(Lessons[[#This Row],[Lesson_Date__c]], "yyyy-mm")</f>
        <v>2026-05</v>
      </c>
      <c r="AF624" s="6" t="str">
        <f>IF(Lessons[[#This Row],[Lesson_Date__c]]&lt;=Data_Audit!$F$1, "Yes", "No")</f>
        <v>Yes</v>
      </c>
    </row>
    <row r="625" spans="1:32">
      <c r="A625" t="s">
        <v>52</v>
      </c>
      <c r="B625" t="s">
        <v>53</v>
      </c>
      <c r="C625">
        <v>60</v>
      </c>
      <c r="D625" t="s">
        <v>2299</v>
      </c>
      <c r="E625" t="s">
        <v>104</v>
      </c>
      <c r="F625" t="s">
        <v>105</v>
      </c>
      <c r="H625" t="s">
        <v>107</v>
      </c>
      <c r="I625" t="b">
        <v>0</v>
      </c>
      <c r="K625" t="s">
        <v>52</v>
      </c>
      <c r="L625" t="s">
        <v>171</v>
      </c>
      <c r="O625" s="1">
        <v>46146</v>
      </c>
      <c r="P625" t="s">
        <v>2300</v>
      </c>
      <c r="Q625" t="s">
        <v>2301</v>
      </c>
      <c r="R625" t="s">
        <v>63</v>
      </c>
      <c r="S625" t="b">
        <v>1</v>
      </c>
      <c r="T625" t="b">
        <v>1</v>
      </c>
      <c r="U625" t="s">
        <v>2301</v>
      </c>
      <c r="V625" t="s">
        <v>120</v>
      </c>
      <c r="W625" t="s">
        <v>136</v>
      </c>
      <c r="X625" t="s">
        <v>2294</v>
      </c>
      <c r="Y625" t="s">
        <v>2295</v>
      </c>
      <c r="Z625" t="s">
        <v>171</v>
      </c>
      <c r="AA625" t="b">
        <f>ISNUMBER(SEARCH(";"&amp;Lessons[[#This Row],[Instrument__c]]&amp;";",";"&amp;_xlfn.XLOOKUP(Lessons[[#This Row],[Instructor_External_Id__c]], Instructors[Id], Instructors[Instruments_Taught__c])&amp;";"))</f>
        <v>1</v>
      </c>
      <c r="AB625" t="str">
        <f>IF(LEFT(Lessons[[#This Row],[Status__c]],9)="Cancelled","",Lessons[[#This Row],[Instructor_External_Id__c]]&amp;"|"&amp;TEXT(Lessons[[#This Row],[Lesson_Date__c]],"yyyy-mm-dd")&amp;"|"&amp;Lessons[[#This Row],[Start_Time__c]])</f>
        <v/>
      </c>
      <c r="AC625" t="str">
        <f>IF(Lessons[[#This Row],[Double Booked Key]]="","",COUNTIF(Lessons[Double Booked Key],Lessons[[#This Row],[Double Booked Key]]))</f>
        <v/>
      </c>
      <c r="AD625" s="6" t="str">
        <f>_xlfn.XLOOKUP(Lessons[[#This Row],[Location_External_Id__c]], Locations[Location Id], Locations[Location Name])</f>
        <v>Red Bank</v>
      </c>
      <c r="AE625" s="6" t="str">
        <f>TEXT(Lessons[[#This Row],[Lesson_Date__c]], "yyyy-mm")</f>
        <v>2026-05</v>
      </c>
      <c r="AF625" s="6" t="str">
        <f>IF(Lessons[[#This Row],[Lesson_Date__c]]&lt;=Data_Audit!$F$1, "Yes", "No")</f>
        <v>Yes</v>
      </c>
    </row>
    <row r="626" spans="1:32">
      <c r="A626" t="s">
        <v>52</v>
      </c>
      <c r="B626" t="s">
        <v>53</v>
      </c>
      <c r="C626">
        <v>30</v>
      </c>
      <c r="D626" t="s">
        <v>2302</v>
      </c>
      <c r="E626" t="s">
        <v>525</v>
      </c>
      <c r="F626" t="s">
        <v>526</v>
      </c>
      <c r="G626" t="s">
        <v>164</v>
      </c>
      <c r="H626" t="s">
        <v>527</v>
      </c>
      <c r="I626" t="b">
        <v>0</v>
      </c>
      <c r="K626" t="s">
        <v>52</v>
      </c>
      <c r="L626" t="s">
        <v>2174</v>
      </c>
      <c r="O626" s="1">
        <v>46202</v>
      </c>
      <c r="P626" t="s">
        <v>2303</v>
      </c>
      <c r="Q626" t="s">
        <v>2304</v>
      </c>
      <c r="R626" t="s">
        <v>63</v>
      </c>
      <c r="S626" t="b">
        <v>0</v>
      </c>
      <c r="T626" t="b">
        <v>0</v>
      </c>
      <c r="U626" t="s">
        <v>2304</v>
      </c>
      <c r="V626" t="s">
        <v>140</v>
      </c>
      <c r="W626" t="s">
        <v>65</v>
      </c>
      <c r="X626" t="s">
        <v>2305</v>
      </c>
      <c r="Y626" t="s">
        <v>2306</v>
      </c>
      <c r="Z626" t="s">
        <v>2174</v>
      </c>
      <c r="AA626" t="b">
        <f>ISNUMBER(SEARCH(";"&amp;Lessons[[#This Row],[Instrument__c]]&amp;";",";"&amp;_xlfn.XLOOKUP(Lessons[[#This Row],[Instructor_External_Id__c]], Instructors[Id], Instructors[Instruments_Taught__c])&amp;";"))</f>
        <v>1</v>
      </c>
      <c r="AB626" t="str">
        <f>IF(LEFT(Lessons[[#This Row],[Status__c]],9)="Cancelled","",Lessons[[#This Row],[Instructor_External_Id__c]]&amp;"|"&amp;TEXT(Lessons[[#This Row],[Lesson_Date__c]],"yyyy-mm-dd")&amp;"|"&amp;Lessons[[#This Row],[Start_Time__c]])</f>
        <v>a06ak00000amzC7AAI|2026-06-29|15:00:00.000Z</v>
      </c>
      <c r="AC626">
        <f>IF(Lessons[[#This Row],[Double Booked Key]]="","",COUNTIF(Lessons[Double Booked Key],Lessons[[#This Row],[Double Booked Key]]))</f>
        <v>1</v>
      </c>
      <c r="AD626" s="6" t="str">
        <f>_xlfn.XLOOKUP(Lessons[[#This Row],[Location_External_Id__c]], Locations[Location Id], Locations[Location Name])</f>
        <v>Red Bank</v>
      </c>
      <c r="AE626" s="6" t="str">
        <f>TEXT(Lessons[[#This Row],[Lesson_Date__c]], "yyyy-mm")</f>
        <v>2026-06</v>
      </c>
      <c r="AF626" s="6" t="str">
        <f>IF(Lessons[[#This Row],[Lesson_Date__c]]&lt;=Data_Audit!$F$1, "Yes", "No")</f>
        <v>Yes</v>
      </c>
    </row>
    <row r="627" spans="1:32">
      <c r="A627" t="s">
        <v>52</v>
      </c>
      <c r="B627" t="s">
        <v>53</v>
      </c>
      <c r="C627">
        <v>45</v>
      </c>
      <c r="D627" t="s">
        <v>2307</v>
      </c>
      <c r="E627" t="s">
        <v>525</v>
      </c>
      <c r="F627" t="s">
        <v>526</v>
      </c>
      <c r="G627" t="s">
        <v>69</v>
      </c>
      <c r="H627" t="s">
        <v>527</v>
      </c>
      <c r="I627" t="b">
        <v>0</v>
      </c>
      <c r="K627" t="s">
        <v>52</v>
      </c>
      <c r="L627" t="s">
        <v>2174</v>
      </c>
      <c r="O627" s="1">
        <v>46189</v>
      </c>
      <c r="P627" t="s">
        <v>2308</v>
      </c>
      <c r="Q627" t="s">
        <v>2309</v>
      </c>
      <c r="R627" t="s">
        <v>63</v>
      </c>
      <c r="S627" t="b">
        <v>0</v>
      </c>
      <c r="T627" t="b">
        <v>0</v>
      </c>
      <c r="U627" t="s">
        <v>2309</v>
      </c>
      <c r="V627" t="s">
        <v>94</v>
      </c>
      <c r="W627" t="s">
        <v>65</v>
      </c>
      <c r="X627" t="s">
        <v>2305</v>
      </c>
      <c r="Y627" t="s">
        <v>2306</v>
      </c>
      <c r="Z627" t="s">
        <v>2174</v>
      </c>
      <c r="AA627" t="b">
        <f>ISNUMBER(SEARCH(";"&amp;Lessons[[#This Row],[Instrument__c]]&amp;";",";"&amp;_xlfn.XLOOKUP(Lessons[[#This Row],[Instructor_External_Id__c]], Instructors[Id], Instructors[Instruments_Taught__c])&amp;";"))</f>
        <v>1</v>
      </c>
      <c r="AB627" t="str">
        <f>IF(LEFT(Lessons[[#This Row],[Status__c]],9)="Cancelled","",Lessons[[#This Row],[Instructor_External_Id__c]]&amp;"|"&amp;TEXT(Lessons[[#This Row],[Lesson_Date__c]],"yyyy-mm-dd")&amp;"|"&amp;Lessons[[#This Row],[Start_Time__c]])</f>
        <v>a06ak00000amzC7AAI|2026-06-16|19:00:00.000Z</v>
      </c>
      <c r="AC627">
        <f>IF(Lessons[[#This Row],[Double Booked Key]]="","",COUNTIF(Lessons[Double Booked Key],Lessons[[#This Row],[Double Booked Key]]))</f>
        <v>1</v>
      </c>
      <c r="AD627" s="6" t="str">
        <f>_xlfn.XLOOKUP(Lessons[[#This Row],[Location_External_Id__c]], Locations[Location Id], Locations[Location Name])</f>
        <v>Red Bank</v>
      </c>
      <c r="AE627" s="6" t="str">
        <f>TEXT(Lessons[[#This Row],[Lesson_Date__c]], "yyyy-mm")</f>
        <v>2026-06</v>
      </c>
      <c r="AF627" s="6" t="str">
        <f>IF(Lessons[[#This Row],[Lesson_Date__c]]&lt;=Data_Audit!$F$1, "Yes", "No")</f>
        <v>Yes</v>
      </c>
    </row>
    <row r="628" spans="1:32">
      <c r="A628" t="s">
        <v>52</v>
      </c>
      <c r="B628" t="s">
        <v>53</v>
      </c>
      <c r="C628">
        <v>30</v>
      </c>
      <c r="D628" t="s">
        <v>2310</v>
      </c>
      <c r="E628" t="s">
        <v>525</v>
      </c>
      <c r="F628" t="s">
        <v>526</v>
      </c>
      <c r="G628" t="s">
        <v>69</v>
      </c>
      <c r="H628" t="s">
        <v>527</v>
      </c>
      <c r="I628" t="b">
        <v>0</v>
      </c>
      <c r="K628" t="s">
        <v>52</v>
      </c>
      <c r="L628" t="s">
        <v>2174</v>
      </c>
      <c r="O628" s="1">
        <v>46105</v>
      </c>
      <c r="P628" t="s">
        <v>2311</v>
      </c>
      <c r="Q628" t="s">
        <v>2312</v>
      </c>
      <c r="R628" t="s">
        <v>63</v>
      </c>
      <c r="S628" t="b">
        <v>0</v>
      </c>
      <c r="T628" t="b">
        <v>0</v>
      </c>
      <c r="U628" t="s">
        <v>2312</v>
      </c>
      <c r="V628" t="s">
        <v>128</v>
      </c>
      <c r="W628" t="s">
        <v>65</v>
      </c>
      <c r="X628" t="s">
        <v>2305</v>
      </c>
      <c r="Y628" t="s">
        <v>2306</v>
      </c>
      <c r="Z628" t="s">
        <v>2174</v>
      </c>
      <c r="AA628" t="b">
        <f>ISNUMBER(SEARCH(";"&amp;Lessons[[#This Row],[Instrument__c]]&amp;";",";"&amp;_xlfn.XLOOKUP(Lessons[[#This Row],[Instructor_External_Id__c]], Instructors[Id], Instructors[Instruments_Taught__c])&amp;";"))</f>
        <v>1</v>
      </c>
      <c r="AB628" t="str">
        <f>IF(LEFT(Lessons[[#This Row],[Status__c]],9)="Cancelled","",Lessons[[#This Row],[Instructor_External_Id__c]]&amp;"|"&amp;TEXT(Lessons[[#This Row],[Lesson_Date__c]],"yyyy-mm-dd")&amp;"|"&amp;Lessons[[#This Row],[Start_Time__c]])</f>
        <v>a06ak00000amzC7AAI|2026-03-24|18:30:00.000Z</v>
      </c>
      <c r="AC628">
        <f>IF(Lessons[[#This Row],[Double Booked Key]]="","",COUNTIF(Lessons[Double Booked Key],Lessons[[#This Row],[Double Booked Key]]))</f>
        <v>1</v>
      </c>
      <c r="AD628" s="6" t="str">
        <f>_xlfn.XLOOKUP(Lessons[[#This Row],[Location_External_Id__c]], Locations[Location Id], Locations[Location Name])</f>
        <v>Red Bank</v>
      </c>
      <c r="AE628" s="6" t="str">
        <f>TEXT(Lessons[[#This Row],[Lesson_Date__c]], "yyyy-mm")</f>
        <v>2026-03</v>
      </c>
      <c r="AF628" s="6" t="str">
        <f>IF(Lessons[[#This Row],[Lesson_Date__c]]&lt;=Data_Audit!$F$1, "Yes", "No")</f>
        <v>Yes</v>
      </c>
    </row>
    <row r="629" spans="1:32">
      <c r="A629" t="s">
        <v>52</v>
      </c>
      <c r="B629" t="s">
        <v>53</v>
      </c>
      <c r="C629">
        <v>45</v>
      </c>
      <c r="D629" t="s">
        <v>2313</v>
      </c>
      <c r="E629" t="s">
        <v>525</v>
      </c>
      <c r="F629" t="s">
        <v>526</v>
      </c>
      <c r="H629" t="s">
        <v>527</v>
      </c>
      <c r="I629" t="b">
        <v>0</v>
      </c>
      <c r="K629" t="s">
        <v>52</v>
      </c>
      <c r="L629" t="s">
        <v>2174</v>
      </c>
      <c r="O629" s="1">
        <v>46112</v>
      </c>
      <c r="P629" t="s">
        <v>2314</v>
      </c>
      <c r="Q629" t="s">
        <v>2315</v>
      </c>
      <c r="R629" t="s">
        <v>63</v>
      </c>
      <c r="S629" t="b">
        <v>0</v>
      </c>
      <c r="T629" t="b">
        <v>0</v>
      </c>
      <c r="U629" t="s">
        <v>2315</v>
      </c>
      <c r="V629" t="s">
        <v>64</v>
      </c>
      <c r="W629" t="s">
        <v>85</v>
      </c>
      <c r="X629" t="s">
        <v>2305</v>
      </c>
      <c r="Y629" t="s">
        <v>2306</v>
      </c>
      <c r="Z629" t="s">
        <v>2174</v>
      </c>
      <c r="AA629" t="b">
        <f>ISNUMBER(SEARCH(";"&amp;Lessons[[#This Row],[Instrument__c]]&amp;";",";"&amp;_xlfn.XLOOKUP(Lessons[[#This Row],[Instructor_External_Id__c]], Instructors[Id], Instructors[Instruments_Taught__c])&amp;";"))</f>
        <v>1</v>
      </c>
      <c r="AB629" t="str">
        <f>IF(LEFT(Lessons[[#This Row],[Status__c]],9)="Cancelled","",Lessons[[#This Row],[Instructor_External_Id__c]]&amp;"|"&amp;TEXT(Lessons[[#This Row],[Lesson_Date__c]],"yyyy-mm-dd")&amp;"|"&amp;Lessons[[#This Row],[Start_Time__c]])</f>
        <v/>
      </c>
      <c r="AC629" t="str">
        <f>IF(Lessons[[#This Row],[Double Booked Key]]="","",COUNTIF(Lessons[Double Booked Key],Lessons[[#This Row],[Double Booked Key]]))</f>
        <v/>
      </c>
      <c r="AD629" s="6" t="str">
        <f>_xlfn.XLOOKUP(Lessons[[#This Row],[Location_External_Id__c]], Locations[Location Id], Locations[Location Name])</f>
        <v>Red Bank</v>
      </c>
      <c r="AE629" s="6" t="str">
        <f>TEXT(Lessons[[#This Row],[Lesson_Date__c]], "yyyy-mm")</f>
        <v>2026-03</v>
      </c>
      <c r="AF629" s="6" t="str">
        <f>IF(Lessons[[#This Row],[Lesson_Date__c]]&lt;=Data_Audit!$F$1, "Yes", "No")</f>
        <v>Yes</v>
      </c>
    </row>
    <row r="630" spans="1:32">
      <c r="A630" t="s">
        <v>52</v>
      </c>
      <c r="B630" t="s">
        <v>53</v>
      </c>
      <c r="C630">
        <v>45</v>
      </c>
      <c r="D630" t="s">
        <v>2316</v>
      </c>
      <c r="E630" t="s">
        <v>525</v>
      </c>
      <c r="F630" t="s">
        <v>526</v>
      </c>
      <c r="G630" t="s">
        <v>106</v>
      </c>
      <c r="H630" t="s">
        <v>527</v>
      </c>
      <c r="I630" t="b">
        <v>0</v>
      </c>
      <c r="K630" t="s">
        <v>52</v>
      </c>
      <c r="L630" t="s">
        <v>2174</v>
      </c>
      <c r="O630" s="1">
        <v>46178</v>
      </c>
      <c r="P630" t="s">
        <v>2317</v>
      </c>
      <c r="Q630" t="s">
        <v>2318</v>
      </c>
      <c r="R630" t="s">
        <v>63</v>
      </c>
      <c r="S630" t="b">
        <v>0</v>
      </c>
      <c r="T630" t="b">
        <v>0</v>
      </c>
      <c r="U630" t="s">
        <v>2318</v>
      </c>
      <c r="V630" t="s">
        <v>74</v>
      </c>
      <c r="W630" t="s">
        <v>65</v>
      </c>
      <c r="X630" t="s">
        <v>2305</v>
      </c>
      <c r="Y630" t="s">
        <v>2306</v>
      </c>
      <c r="Z630" t="s">
        <v>2174</v>
      </c>
      <c r="AA630" t="b">
        <f>ISNUMBER(SEARCH(";"&amp;Lessons[[#This Row],[Instrument__c]]&amp;";",";"&amp;_xlfn.XLOOKUP(Lessons[[#This Row],[Instructor_External_Id__c]], Instructors[Id], Instructors[Instruments_Taught__c])&amp;";"))</f>
        <v>1</v>
      </c>
      <c r="AB630" t="str">
        <f>IF(LEFT(Lessons[[#This Row],[Status__c]],9)="Cancelled","",Lessons[[#This Row],[Instructor_External_Id__c]]&amp;"|"&amp;TEXT(Lessons[[#This Row],[Lesson_Date__c]],"yyyy-mm-dd")&amp;"|"&amp;Lessons[[#This Row],[Start_Time__c]])</f>
        <v>a06ak00000amzC7AAI|2026-06-05|16:30:00.000Z</v>
      </c>
      <c r="AC630">
        <f>IF(Lessons[[#This Row],[Double Booked Key]]="","",COUNTIF(Lessons[Double Booked Key],Lessons[[#This Row],[Double Booked Key]]))</f>
        <v>1</v>
      </c>
      <c r="AD630" s="6" t="str">
        <f>_xlfn.XLOOKUP(Lessons[[#This Row],[Location_External_Id__c]], Locations[Location Id], Locations[Location Name])</f>
        <v>Red Bank</v>
      </c>
      <c r="AE630" s="6" t="str">
        <f>TEXT(Lessons[[#This Row],[Lesson_Date__c]], "yyyy-mm")</f>
        <v>2026-06</v>
      </c>
      <c r="AF630" s="6" t="str">
        <f>IF(Lessons[[#This Row],[Lesson_Date__c]]&lt;=Data_Audit!$F$1, "Yes", "No")</f>
        <v>Yes</v>
      </c>
    </row>
    <row r="631" spans="1:32">
      <c r="A631" t="s">
        <v>52</v>
      </c>
      <c r="B631" t="s">
        <v>53</v>
      </c>
      <c r="C631">
        <v>60</v>
      </c>
      <c r="D631" t="s">
        <v>2319</v>
      </c>
      <c r="E631" t="s">
        <v>525</v>
      </c>
      <c r="F631" t="s">
        <v>526</v>
      </c>
      <c r="H631" t="s">
        <v>527</v>
      </c>
      <c r="I631" t="b">
        <v>0</v>
      </c>
      <c r="K631" t="s">
        <v>52</v>
      </c>
      <c r="L631" t="s">
        <v>2174</v>
      </c>
      <c r="O631" s="1">
        <v>46138</v>
      </c>
      <c r="P631" t="s">
        <v>2320</v>
      </c>
      <c r="Q631" t="s">
        <v>2321</v>
      </c>
      <c r="R631" t="s">
        <v>63</v>
      </c>
      <c r="S631" t="b">
        <v>0</v>
      </c>
      <c r="T631" t="b">
        <v>0</v>
      </c>
      <c r="U631" t="s">
        <v>2321</v>
      </c>
      <c r="V631" t="s">
        <v>64</v>
      </c>
      <c r="W631" t="s">
        <v>121</v>
      </c>
      <c r="X631" t="s">
        <v>2305</v>
      </c>
      <c r="Y631" t="s">
        <v>2306</v>
      </c>
      <c r="Z631" t="s">
        <v>2174</v>
      </c>
      <c r="AA631" t="b">
        <f>ISNUMBER(SEARCH(";"&amp;Lessons[[#This Row],[Instrument__c]]&amp;";",";"&amp;_xlfn.XLOOKUP(Lessons[[#This Row],[Instructor_External_Id__c]], Instructors[Id], Instructors[Instruments_Taught__c])&amp;";"))</f>
        <v>1</v>
      </c>
      <c r="AB631" t="str">
        <f>IF(LEFT(Lessons[[#This Row],[Status__c]],9)="Cancelled","",Lessons[[#This Row],[Instructor_External_Id__c]]&amp;"|"&amp;TEXT(Lessons[[#This Row],[Lesson_Date__c]],"yyyy-mm-dd")&amp;"|"&amp;Lessons[[#This Row],[Start_Time__c]])</f>
        <v>a06ak00000amzC7AAI|2026-04-26|11:00:00.000Z</v>
      </c>
      <c r="AC631">
        <f>IF(Lessons[[#This Row],[Double Booked Key]]="","",COUNTIF(Lessons[Double Booked Key],Lessons[[#This Row],[Double Booked Key]]))</f>
        <v>1</v>
      </c>
      <c r="AD631" s="6" t="str">
        <f>_xlfn.XLOOKUP(Lessons[[#This Row],[Location_External_Id__c]], Locations[Location Id], Locations[Location Name])</f>
        <v>Red Bank</v>
      </c>
      <c r="AE631" s="6" t="str">
        <f>TEXT(Lessons[[#This Row],[Lesson_Date__c]], "yyyy-mm")</f>
        <v>2026-04</v>
      </c>
      <c r="AF631" s="6" t="str">
        <f>IF(Lessons[[#This Row],[Lesson_Date__c]]&lt;=Data_Audit!$F$1, "Yes", "No")</f>
        <v>Yes</v>
      </c>
    </row>
    <row r="632" spans="1:32">
      <c r="A632" t="s">
        <v>52</v>
      </c>
      <c r="B632" t="s">
        <v>53</v>
      </c>
      <c r="C632">
        <v>60</v>
      </c>
      <c r="D632" t="s">
        <v>2322</v>
      </c>
      <c r="E632" t="s">
        <v>525</v>
      </c>
      <c r="F632" t="s">
        <v>526</v>
      </c>
      <c r="G632" t="s">
        <v>69</v>
      </c>
      <c r="H632" t="s">
        <v>527</v>
      </c>
      <c r="I632" t="b">
        <v>0</v>
      </c>
      <c r="K632" t="s">
        <v>52</v>
      </c>
      <c r="L632" t="s">
        <v>2174</v>
      </c>
      <c r="O632" s="1">
        <v>46202</v>
      </c>
      <c r="P632" t="s">
        <v>2323</v>
      </c>
      <c r="Q632" t="s">
        <v>2324</v>
      </c>
      <c r="R632" t="s">
        <v>63</v>
      </c>
      <c r="S632" t="b">
        <v>0</v>
      </c>
      <c r="T632" t="b">
        <v>0</v>
      </c>
      <c r="U632" t="s">
        <v>2324</v>
      </c>
      <c r="V632" t="s">
        <v>74</v>
      </c>
      <c r="W632" t="s">
        <v>65</v>
      </c>
      <c r="X632" t="s">
        <v>2305</v>
      </c>
      <c r="Y632" t="s">
        <v>2306</v>
      </c>
      <c r="Z632" t="s">
        <v>2174</v>
      </c>
      <c r="AA632" t="b">
        <f>ISNUMBER(SEARCH(";"&amp;Lessons[[#This Row],[Instrument__c]]&amp;";",";"&amp;_xlfn.XLOOKUP(Lessons[[#This Row],[Instructor_External_Id__c]], Instructors[Id], Instructors[Instruments_Taught__c])&amp;";"))</f>
        <v>1</v>
      </c>
      <c r="AB632" t="str">
        <f>IF(LEFT(Lessons[[#This Row],[Status__c]],9)="Cancelled","",Lessons[[#This Row],[Instructor_External_Id__c]]&amp;"|"&amp;TEXT(Lessons[[#This Row],[Lesson_Date__c]],"yyyy-mm-dd")&amp;"|"&amp;Lessons[[#This Row],[Start_Time__c]])</f>
        <v>a06ak00000amzC7AAI|2026-06-29|16:30:00.000Z</v>
      </c>
      <c r="AC632">
        <f>IF(Lessons[[#This Row],[Double Booked Key]]="","",COUNTIF(Lessons[Double Booked Key],Lessons[[#This Row],[Double Booked Key]]))</f>
        <v>1</v>
      </c>
      <c r="AD632" s="6" t="str">
        <f>_xlfn.XLOOKUP(Lessons[[#This Row],[Location_External_Id__c]], Locations[Location Id], Locations[Location Name])</f>
        <v>Red Bank</v>
      </c>
      <c r="AE632" s="6" t="str">
        <f>TEXT(Lessons[[#This Row],[Lesson_Date__c]], "yyyy-mm")</f>
        <v>2026-06</v>
      </c>
      <c r="AF632" s="6" t="str">
        <f>IF(Lessons[[#This Row],[Lesson_Date__c]]&lt;=Data_Audit!$F$1, "Yes", "No")</f>
        <v>Yes</v>
      </c>
    </row>
    <row r="633" spans="1:32">
      <c r="A633" t="s">
        <v>52</v>
      </c>
      <c r="B633" t="s">
        <v>53</v>
      </c>
      <c r="C633">
        <v>60</v>
      </c>
      <c r="D633" t="s">
        <v>2325</v>
      </c>
      <c r="E633" t="s">
        <v>525</v>
      </c>
      <c r="F633" t="s">
        <v>526</v>
      </c>
      <c r="G633" t="s">
        <v>106</v>
      </c>
      <c r="H633" t="s">
        <v>527</v>
      </c>
      <c r="I633" t="b">
        <v>0</v>
      </c>
      <c r="K633" t="s">
        <v>52</v>
      </c>
      <c r="L633" t="s">
        <v>2174</v>
      </c>
      <c r="O633" s="1">
        <v>46260</v>
      </c>
      <c r="P633" t="s">
        <v>2326</v>
      </c>
      <c r="Q633" t="s">
        <v>2327</v>
      </c>
      <c r="R633" t="s">
        <v>63</v>
      </c>
      <c r="S633" t="b">
        <v>0</v>
      </c>
      <c r="T633" t="b">
        <v>0</v>
      </c>
      <c r="U633" t="s">
        <v>2327</v>
      </c>
      <c r="V633" t="s">
        <v>116</v>
      </c>
      <c r="W633" t="s">
        <v>65</v>
      </c>
      <c r="X633" t="s">
        <v>2328</v>
      </c>
      <c r="Y633" t="s">
        <v>2329</v>
      </c>
      <c r="Z633" t="s">
        <v>2174</v>
      </c>
      <c r="AA633" t="b">
        <f>ISNUMBER(SEARCH(";"&amp;Lessons[[#This Row],[Instrument__c]]&amp;";",";"&amp;_xlfn.XLOOKUP(Lessons[[#This Row],[Instructor_External_Id__c]], Instructors[Id], Instructors[Instruments_Taught__c])&amp;";"))</f>
        <v>1</v>
      </c>
      <c r="AB633" t="str">
        <f>IF(LEFT(Lessons[[#This Row],[Status__c]],9)="Cancelled","",Lessons[[#This Row],[Instructor_External_Id__c]]&amp;"|"&amp;TEXT(Lessons[[#This Row],[Lesson_Date__c]],"yyyy-mm-dd")&amp;"|"&amp;Lessons[[#This Row],[Start_Time__c]])</f>
        <v>a06ak00000amzC7AAI|2026-08-26|17:30:00.000Z</v>
      </c>
      <c r="AC633">
        <f>IF(Lessons[[#This Row],[Double Booked Key]]="","",COUNTIF(Lessons[Double Booked Key],Lessons[[#This Row],[Double Booked Key]]))</f>
        <v>1</v>
      </c>
      <c r="AD633" s="6" t="str">
        <f>_xlfn.XLOOKUP(Lessons[[#This Row],[Location_External_Id__c]], Locations[Location Id], Locations[Location Name])</f>
        <v>Red Bank</v>
      </c>
      <c r="AE633" s="6" t="str">
        <f>TEXT(Lessons[[#This Row],[Lesson_Date__c]], "yyyy-mm")</f>
        <v>2026-08</v>
      </c>
      <c r="AF633" s="6" t="str">
        <f>IF(Lessons[[#This Row],[Lesson_Date__c]]&lt;=Data_Audit!$F$1, "Yes", "No")</f>
        <v>Yes</v>
      </c>
    </row>
    <row r="634" spans="1:32">
      <c r="A634" t="s">
        <v>52</v>
      </c>
      <c r="B634" t="s">
        <v>53</v>
      </c>
      <c r="C634">
        <v>60</v>
      </c>
      <c r="D634" t="s">
        <v>2330</v>
      </c>
      <c r="E634" t="s">
        <v>525</v>
      </c>
      <c r="F634" t="s">
        <v>526</v>
      </c>
      <c r="G634" t="s">
        <v>164</v>
      </c>
      <c r="H634" t="s">
        <v>527</v>
      </c>
      <c r="I634" t="b">
        <v>0</v>
      </c>
      <c r="K634" t="s">
        <v>52</v>
      </c>
      <c r="L634" t="s">
        <v>2174</v>
      </c>
      <c r="O634" s="1">
        <v>46218</v>
      </c>
      <c r="P634" t="s">
        <v>2331</v>
      </c>
      <c r="Q634" t="s">
        <v>2332</v>
      </c>
      <c r="R634" t="s">
        <v>63</v>
      </c>
      <c r="S634" t="b">
        <v>0</v>
      </c>
      <c r="T634" t="b">
        <v>0</v>
      </c>
      <c r="U634" t="s">
        <v>2332</v>
      </c>
      <c r="V634" t="s">
        <v>120</v>
      </c>
      <c r="W634" t="s">
        <v>65</v>
      </c>
      <c r="X634" t="s">
        <v>2328</v>
      </c>
      <c r="Y634" t="s">
        <v>2329</v>
      </c>
      <c r="Z634" t="s">
        <v>2174</v>
      </c>
      <c r="AA634" t="b">
        <f>ISNUMBER(SEARCH(";"&amp;Lessons[[#This Row],[Instrument__c]]&amp;";",";"&amp;_xlfn.XLOOKUP(Lessons[[#This Row],[Instructor_External_Id__c]], Instructors[Id], Instructors[Instruments_Taught__c])&amp;";"))</f>
        <v>1</v>
      </c>
      <c r="AB634" t="str">
        <f>IF(LEFT(Lessons[[#This Row],[Status__c]],9)="Cancelled","",Lessons[[#This Row],[Instructor_External_Id__c]]&amp;"|"&amp;TEXT(Lessons[[#This Row],[Lesson_Date__c]],"yyyy-mm-dd")&amp;"|"&amp;Lessons[[#This Row],[Start_Time__c]])</f>
        <v>a06ak00000amzC7AAI|2026-07-15|18:00:00.000Z</v>
      </c>
      <c r="AC634">
        <f>IF(Lessons[[#This Row],[Double Booked Key]]="","",COUNTIF(Lessons[Double Booked Key],Lessons[[#This Row],[Double Booked Key]]))</f>
        <v>1</v>
      </c>
      <c r="AD634" s="6" t="str">
        <f>_xlfn.XLOOKUP(Lessons[[#This Row],[Location_External_Id__c]], Locations[Location Id], Locations[Location Name])</f>
        <v>Red Bank</v>
      </c>
      <c r="AE634" s="6" t="str">
        <f>TEXT(Lessons[[#This Row],[Lesson_Date__c]], "yyyy-mm")</f>
        <v>2026-07</v>
      </c>
      <c r="AF634" s="6" t="str">
        <f>IF(Lessons[[#This Row],[Lesson_Date__c]]&lt;=Data_Audit!$F$1, "Yes", "No")</f>
        <v>Yes</v>
      </c>
    </row>
    <row r="635" spans="1:32">
      <c r="A635" t="s">
        <v>52</v>
      </c>
      <c r="B635" t="s">
        <v>53</v>
      </c>
      <c r="C635">
        <v>30</v>
      </c>
      <c r="D635" t="s">
        <v>2333</v>
      </c>
      <c r="E635" t="s">
        <v>525</v>
      </c>
      <c r="F635" t="s">
        <v>526</v>
      </c>
      <c r="G635" t="s">
        <v>69</v>
      </c>
      <c r="H635" t="s">
        <v>527</v>
      </c>
      <c r="I635" t="b">
        <v>0</v>
      </c>
      <c r="K635" t="s">
        <v>52</v>
      </c>
      <c r="L635" t="s">
        <v>2174</v>
      </c>
      <c r="O635" s="1">
        <v>46150</v>
      </c>
      <c r="P635" t="s">
        <v>2334</v>
      </c>
      <c r="Q635" t="s">
        <v>2335</v>
      </c>
      <c r="R635" t="s">
        <v>63</v>
      </c>
      <c r="S635" t="b">
        <v>0</v>
      </c>
      <c r="T635" t="b">
        <v>0</v>
      </c>
      <c r="U635" t="s">
        <v>2335</v>
      </c>
      <c r="V635" t="s">
        <v>74</v>
      </c>
      <c r="W635" t="s">
        <v>65</v>
      </c>
      <c r="X635" t="s">
        <v>2328</v>
      </c>
      <c r="Y635" t="s">
        <v>2329</v>
      </c>
      <c r="Z635" t="s">
        <v>2174</v>
      </c>
      <c r="AA635" t="b">
        <f>ISNUMBER(SEARCH(";"&amp;Lessons[[#This Row],[Instrument__c]]&amp;";",";"&amp;_xlfn.XLOOKUP(Lessons[[#This Row],[Instructor_External_Id__c]], Instructors[Id], Instructors[Instruments_Taught__c])&amp;";"))</f>
        <v>1</v>
      </c>
      <c r="AB635" t="str">
        <f>IF(LEFT(Lessons[[#This Row],[Status__c]],9)="Cancelled","",Lessons[[#This Row],[Instructor_External_Id__c]]&amp;"|"&amp;TEXT(Lessons[[#This Row],[Lesson_Date__c]],"yyyy-mm-dd")&amp;"|"&amp;Lessons[[#This Row],[Start_Time__c]])</f>
        <v>a06ak00000amzC7AAI|2026-05-08|16:30:00.000Z</v>
      </c>
      <c r="AC635">
        <f>IF(Lessons[[#This Row],[Double Booked Key]]="","",COUNTIF(Lessons[Double Booked Key],Lessons[[#This Row],[Double Booked Key]]))</f>
        <v>1</v>
      </c>
      <c r="AD635" s="6" t="str">
        <f>_xlfn.XLOOKUP(Lessons[[#This Row],[Location_External_Id__c]], Locations[Location Id], Locations[Location Name])</f>
        <v>Red Bank</v>
      </c>
      <c r="AE635" s="6" t="str">
        <f>TEXT(Lessons[[#This Row],[Lesson_Date__c]], "yyyy-mm")</f>
        <v>2026-05</v>
      </c>
      <c r="AF635" s="6" t="str">
        <f>IF(Lessons[[#This Row],[Lesson_Date__c]]&lt;=Data_Audit!$F$1, "Yes", "No")</f>
        <v>Yes</v>
      </c>
    </row>
    <row r="636" spans="1:32">
      <c r="A636" t="s">
        <v>52</v>
      </c>
      <c r="B636" t="s">
        <v>53</v>
      </c>
      <c r="C636">
        <v>30</v>
      </c>
      <c r="D636" t="s">
        <v>2336</v>
      </c>
      <c r="E636" t="s">
        <v>525</v>
      </c>
      <c r="F636" t="s">
        <v>526</v>
      </c>
      <c r="H636" t="s">
        <v>527</v>
      </c>
      <c r="I636" t="b">
        <v>0</v>
      </c>
      <c r="K636" t="s">
        <v>52</v>
      </c>
      <c r="L636" t="s">
        <v>2174</v>
      </c>
      <c r="O636" s="1">
        <v>46188</v>
      </c>
      <c r="P636" t="s">
        <v>2337</v>
      </c>
      <c r="Q636" t="s">
        <v>2338</v>
      </c>
      <c r="R636" t="s">
        <v>63</v>
      </c>
      <c r="S636" t="b">
        <v>0</v>
      </c>
      <c r="T636" t="b">
        <v>0</v>
      </c>
      <c r="U636" t="s">
        <v>2338</v>
      </c>
      <c r="V636" t="s">
        <v>140</v>
      </c>
      <c r="W636" t="s">
        <v>85</v>
      </c>
      <c r="X636" t="s">
        <v>2328</v>
      </c>
      <c r="Y636" t="s">
        <v>2329</v>
      </c>
      <c r="Z636" t="s">
        <v>2174</v>
      </c>
      <c r="AA636" t="b">
        <f>ISNUMBER(SEARCH(";"&amp;Lessons[[#This Row],[Instrument__c]]&amp;";",";"&amp;_xlfn.XLOOKUP(Lessons[[#This Row],[Instructor_External_Id__c]], Instructors[Id], Instructors[Instruments_Taught__c])&amp;";"))</f>
        <v>1</v>
      </c>
      <c r="AB636" t="str">
        <f>IF(LEFT(Lessons[[#This Row],[Status__c]],9)="Cancelled","",Lessons[[#This Row],[Instructor_External_Id__c]]&amp;"|"&amp;TEXT(Lessons[[#This Row],[Lesson_Date__c]],"yyyy-mm-dd")&amp;"|"&amp;Lessons[[#This Row],[Start_Time__c]])</f>
        <v/>
      </c>
      <c r="AC636" t="str">
        <f>IF(Lessons[[#This Row],[Double Booked Key]]="","",COUNTIF(Lessons[Double Booked Key],Lessons[[#This Row],[Double Booked Key]]))</f>
        <v/>
      </c>
      <c r="AD636" s="6" t="str">
        <f>_xlfn.XLOOKUP(Lessons[[#This Row],[Location_External_Id__c]], Locations[Location Id], Locations[Location Name])</f>
        <v>Red Bank</v>
      </c>
      <c r="AE636" s="6" t="str">
        <f>TEXT(Lessons[[#This Row],[Lesson_Date__c]], "yyyy-mm")</f>
        <v>2026-06</v>
      </c>
      <c r="AF636" s="6" t="str">
        <f>IF(Lessons[[#This Row],[Lesson_Date__c]]&lt;=Data_Audit!$F$1, "Yes", "No")</f>
        <v>Yes</v>
      </c>
    </row>
    <row r="637" spans="1:32">
      <c r="A637" t="s">
        <v>52</v>
      </c>
      <c r="B637" t="s">
        <v>53</v>
      </c>
      <c r="C637">
        <v>45</v>
      </c>
      <c r="D637" t="s">
        <v>2339</v>
      </c>
      <c r="E637" t="s">
        <v>525</v>
      </c>
      <c r="F637" t="s">
        <v>526</v>
      </c>
      <c r="G637" t="s">
        <v>69</v>
      </c>
      <c r="H637" t="s">
        <v>527</v>
      </c>
      <c r="I637" t="b">
        <v>0</v>
      </c>
      <c r="K637" t="s">
        <v>52</v>
      </c>
      <c r="L637" t="s">
        <v>2174</v>
      </c>
      <c r="O637" s="1">
        <v>46250</v>
      </c>
      <c r="P637" t="s">
        <v>2340</v>
      </c>
      <c r="Q637" t="s">
        <v>2341</v>
      </c>
      <c r="R637" t="s">
        <v>63</v>
      </c>
      <c r="S637" t="b">
        <v>0</v>
      </c>
      <c r="T637" t="b">
        <v>0</v>
      </c>
      <c r="U637" t="s">
        <v>2341</v>
      </c>
      <c r="V637" t="s">
        <v>116</v>
      </c>
      <c r="W637" t="s">
        <v>65</v>
      </c>
      <c r="X637" t="s">
        <v>2328</v>
      </c>
      <c r="Y637" t="s">
        <v>2329</v>
      </c>
      <c r="Z637" t="s">
        <v>2174</v>
      </c>
      <c r="AA637" t="b">
        <f>ISNUMBER(SEARCH(";"&amp;Lessons[[#This Row],[Instrument__c]]&amp;";",";"&amp;_xlfn.XLOOKUP(Lessons[[#This Row],[Instructor_External_Id__c]], Instructors[Id], Instructors[Instruments_Taught__c])&amp;";"))</f>
        <v>1</v>
      </c>
      <c r="AB637" t="str">
        <f>IF(LEFT(Lessons[[#This Row],[Status__c]],9)="Cancelled","",Lessons[[#This Row],[Instructor_External_Id__c]]&amp;"|"&amp;TEXT(Lessons[[#This Row],[Lesson_Date__c]],"yyyy-mm-dd")&amp;"|"&amp;Lessons[[#This Row],[Start_Time__c]])</f>
        <v>a06ak00000amzC7AAI|2026-08-16|17:30:00.000Z</v>
      </c>
      <c r="AC637">
        <f>IF(Lessons[[#This Row],[Double Booked Key]]="","",COUNTIF(Lessons[Double Booked Key],Lessons[[#This Row],[Double Booked Key]]))</f>
        <v>1</v>
      </c>
      <c r="AD637" s="6" t="str">
        <f>_xlfn.XLOOKUP(Lessons[[#This Row],[Location_External_Id__c]], Locations[Location Id], Locations[Location Name])</f>
        <v>Red Bank</v>
      </c>
      <c r="AE637" s="6" t="str">
        <f>TEXT(Lessons[[#This Row],[Lesson_Date__c]], "yyyy-mm")</f>
        <v>2026-08</v>
      </c>
      <c r="AF637" s="6" t="str">
        <f>IF(Lessons[[#This Row],[Lesson_Date__c]]&lt;=Data_Audit!$F$1, "Yes", "No")</f>
        <v>Yes</v>
      </c>
    </row>
    <row r="638" spans="1:32">
      <c r="A638" t="s">
        <v>52</v>
      </c>
      <c r="B638" t="s">
        <v>53</v>
      </c>
      <c r="C638">
        <v>45</v>
      </c>
      <c r="D638" t="s">
        <v>2342</v>
      </c>
      <c r="E638" t="s">
        <v>525</v>
      </c>
      <c r="F638" t="s">
        <v>526</v>
      </c>
      <c r="G638" t="s">
        <v>164</v>
      </c>
      <c r="H638" t="s">
        <v>527</v>
      </c>
      <c r="I638" t="b">
        <v>0</v>
      </c>
      <c r="K638" t="s">
        <v>52</v>
      </c>
      <c r="L638" t="s">
        <v>2174</v>
      </c>
      <c r="O638" s="1">
        <v>46083</v>
      </c>
      <c r="P638" t="s">
        <v>2343</v>
      </c>
      <c r="Q638" t="s">
        <v>2344</v>
      </c>
      <c r="R638" t="s">
        <v>63</v>
      </c>
      <c r="S638" t="b">
        <v>0</v>
      </c>
      <c r="T638" t="b">
        <v>0</v>
      </c>
      <c r="U638" t="s">
        <v>2344</v>
      </c>
      <c r="V638" t="s">
        <v>84</v>
      </c>
      <c r="W638" t="s">
        <v>65</v>
      </c>
      <c r="X638" t="s">
        <v>2328</v>
      </c>
      <c r="Y638" t="s">
        <v>2329</v>
      </c>
      <c r="Z638" t="s">
        <v>2174</v>
      </c>
      <c r="AA638" t="b">
        <f>ISNUMBER(SEARCH(";"&amp;Lessons[[#This Row],[Instrument__c]]&amp;";",";"&amp;_xlfn.XLOOKUP(Lessons[[#This Row],[Instructor_External_Id__c]], Instructors[Id], Instructors[Instruments_Taught__c])&amp;";"))</f>
        <v>1</v>
      </c>
      <c r="AB638" t="str">
        <f>IF(LEFT(Lessons[[#This Row],[Status__c]],9)="Cancelled","",Lessons[[#This Row],[Instructor_External_Id__c]]&amp;"|"&amp;TEXT(Lessons[[#This Row],[Lesson_Date__c]],"yyyy-mm-dd")&amp;"|"&amp;Lessons[[#This Row],[Start_Time__c]])</f>
        <v>a06ak00000amzC7AAI|2026-03-02|17:00:00.000Z</v>
      </c>
      <c r="AC638">
        <f>IF(Lessons[[#This Row],[Double Booked Key]]="","",COUNTIF(Lessons[Double Booked Key],Lessons[[#This Row],[Double Booked Key]]))</f>
        <v>1</v>
      </c>
      <c r="AD638" s="6" t="str">
        <f>_xlfn.XLOOKUP(Lessons[[#This Row],[Location_External_Id__c]], Locations[Location Id], Locations[Location Name])</f>
        <v>Red Bank</v>
      </c>
      <c r="AE638" s="6" t="str">
        <f>TEXT(Lessons[[#This Row],[Lesson_Date__c]], "yyyy-mm")</f>
        <v>2026-03</v>
      </c>
      <c r="AF638" s="6" t="str">
        <f>IF(Lessons[[#This Row],[Lesson_Date__c]]&lt;=Data_Audit!$F$1, "Yes", "No")</f>
        <v>Yes</v>
      </c>
    </row>
    <row r="639" spans="1:32">
      <c r="A639" t="s">
        <v>52</v>
      </c>
      <c r="B639" t="s">
        <v>53</v>
      </c>
      <c r="C639">
        <v>60</v>
      </c>
      <c r="D639" t="s">
        <v>2345</v>
      </c>
      <c r="E639" t="s">
        <v>235</v>
      </c>
      <c r="F639" t="s">
        <v>236</v>
      </c>
      <c r="G639" t="s">
        <v>164</v>
      </c>
      <c r="H639" t="s">
        <v>237</v>
      </c>
      <c r="I639" t="b">
        <v>0</v>
      </c>
      <c r="K639" t="s">
        <v>52</v>
      </c>
      <c r="L639" t="s">
        <v>2174</v>
      </c>
      <c r="O639" s="1">
        <v>46105</v>
      </c>
      <c r="P639" t="s">
        <v>2346</v>
      </c>
      <c r="Q639" t="s">
        <v>2347</v>
      </c>
      <c r="R639" t="s">
        <v>83</v>
      </c>
      <c r="S639" t="b">
        <v>0</v>
      </c>
      <c r="T639" t="b">
        <v>0</v>
      </c>
      <c r="U639" t="s">
        <v>2347</v>
      </c>
      <c r="V639" t="s">
        <v>110</v>
      </c>
      <c r="W639" t="s">
        <v>65</v>
      </c>
      <c r="X639" t="s">
        <v>2348</v>
      </c>
      <c r="Y639" t="s">
        <v>2349</v>
      </c>
      <c r="Z639" t="s">
        <v>2174</v>
      </c>
      <c r="AA639" t="b">
        <f>ISNUMBER(SEARCH(";"&amp;Lessons[[#This Row],[Instrument__c]]&amp;";",";"&amp;_xlfn.XLOOKUP(Lessons[[#This Row],[Instructor_External_Id__c]], Instructors[Id], Instructors[Instruments_Taught__c])&amp;";"))</f>
        <v>1</v>
      </c>
      <c r="AB639" t="str">
        <f>IF(LEFT(Lessons[[#This Row],[Status__c]],9)="Cancelled","",Lessons[[#This Row],[Instructor_External_Id__c]]&amp;"|"&amp;TEXT(Lessons[[#This Row],[Lesson_Date__c]],"yyyy-mm-dd")&amp;"|"&amp;Lessons[[#This Row],[Start_Time__c]])</f>
        <v>a06ak00000amzC5AAI|2026-03-24|10:00:00.000Z</v>
      </c>
      <c r="AC639">
        <f>IF(Lessons[[#This Row],[Double Booked Key]]="","",COUNTIF(Lessons[Double Booked Key],Lessons[[#This Row],[Double Booked Key]]))</f>
        <v>1</v>
      </c>
      <c r="AD639" s="6" t="str">
        <f>_xlfn.XLOOKUP(Lessons[[#This Row],[Location_External_Id__c]], Locations[Location Id], Locations[Location Name])</f>
        <v>Brick</v>
      </c>
      <c r="AE639" s="6" t="str">
        <f>TEXT(Lessons[[#This Row],[Lesson_Date__c]], "yyyy-mm")</f>
        <v>2026-03</v>
      </c>
      <c r="AF639" s="6" t="str">
        <f>IF(Lessons[[#This Row],[Lesson_Date__c]]&lt;=Data_Audit!$F$1, "Yes", "No")</f>
        <v>Yes</v>
      </c>
    </row>
    <row r="640" spans="1:32">
      <c r="A640" t="s">
        <v>52</v>
      </c>
      <c r="B640" t="s">
        <v>53</v>
      </c>
      <c r="C640">
        <v>45</v>
      </c>
      <c r="D640" t="s">
        <v>2350</v>
      </c>
      <c r="E640" t="s">
        <v>235</v>
      </c>
      <c r="F640" t="s">
        <v>236</v>
      </c>
      <c r="H640" t="s">
        <v>237</v>
      </c>
      <c r="I640" t="b">
        <v>0</v>
      </c>
      <c r="K640" t="s">
        <v>52</v>
      </c>
      <c r="L640" t="s">
        <v>2174</v>
      </c>
      <c r="O640" s="1">
        <v>46283</v>
      </c>
      <c r="P640" t="s">
        <v>2351</v>
      </c>
      <c r="Q640" t="s">
        <v>2352</v>
      </c>
      <c r="R640" t="s">
        <v>83</v>
      </c>
      <c r="S640" t="b">
        <v>1</v>
      </c>
      <c r="T640" t="b">
        <v>1</v>
      </c>
      <c r="U640" t="s">
        <v>2352</v>
      </c>
      <c r="V640" t="s">
        <v>102</v>
      </c>
      <c r="W640" t="s">
        <v>136</v>
      </c>
      <c r="X640" t="s">
        <v>2348</v>
      </c>
      <c r="Y640" t="s">
        <v>2349</v>
      </c>
      <c r="Z640" t="s">
        <v>2174</v>
      </c>
      <c r="AA640" t="b">
        <f>ISNUMBER(SEARCH(";"&amp;Lessons[[#This Row],[Instrument__c]]&amp;";",";"&amp;_xlfn.XLOOKUP(Lessons[[#This Row],[Instructor_External_Id__c]], Instructors[Id], Instructors[Instruments_Taught__c])&amp;";"))</f>
        <v>1</v>
      </c>
      <c r="AB640" t="str">
        <f>IF(LEFT(Lessons[[#This Row],[Status__c]],9)="Cancelled","",Lessons[[#This Row],[Instructor_External_Id__c]]&amp;"|"&amp;TEXT(Lessons[[#This Row],[Lesson_Date__c]],"yyyy-mm-dd")&amp;"|"&amp;Lessons[[#This Row],[Start_Time__c]])</f>
        <v/>
      </c>
      <c r="AC640" t="str">
        <f>IF(Lessons[[#This Row],[Double Booked Key]]="","",COUNTIF(Lessons[Double Booked Key],Lessons[[#This Row],[Double Booked Key]]))</f>
        <v/>
      </c>
      <c r="AD640" s="6" t="str">
        <f>_xlfn.XLOOKUP(Lessons[[#This Row],[Location_External_Id__c]], Locations[Location Id], Locations[Location Name])</f>
        <v>Brick</v>
      </c>
      <c r="AE640" s="6" t="str">
        <f>TEXT(Lessons[[#This Row],[Lesson_Date__c]], "yyyy-mm")</f>
        <v>2026-09</v>
      </c>
      <c r="AF640" s="6" t="str">
        <f>IF(Lessons[[#This Row],[Lesson_Date__c]]&lt;=Data_Audit!$F$1, "Yes", "No")</f>
        <v>Yes</v>
      </c>
    </row>
    <row r="641" spans="1:32">
      <c r="A641" t="s">
        <v>52</v>
      </c>
      <c r="B641" t="s">
        <v>53</v>
      </c>
      <c r="C641">
        <v>30</v>
      </c>
      <c r="D641" t="s">
        <v>2353</v>
      </c>
      <c r="E641" t="s">
        <v>1203</v>
      </c>
      <c r="F641" t="s">
        <v>1204</v>
      </c>
      <c r="G641" t="s">
        <v>164</v>
      </c>
      <c r="H641" t="s">
        <v>392</v>
      </c>
      <c r="I641" t="b">
        <v>0</v>
      </c>
      <c r="K641" t="s">
        <v>52</v>
      </c>
      <c r="L641" t="s">
        <v>2174</v>
      </c>
      <c r="O641" s="1">
        <v>46127</v>
      </c>
      <c r="P641" t="s">
        <v>2354</v>
      </c>
      <c r="Q641" t="s">
        <v>2355</v>
      </c>
      <c r="R641" t="s">
        <v>63</v>
      </c>
      <c r="S641" t="b">
        <v>0</v>
      </c>
      <c r="T641" t="b">
        <v>0</v>
      </c>
      <c r="U641" t="s">
        <v>2355</v>
      </c>
      <c r="V641" t="s">
        <v>110</v>
      </c>
      <c r="W641" t="s">
        <v>65</v>
      </c>
      <c r="X641" t="s">
        <v>2356</v>
      </c>
      <c r="Y641" t="s">
        <v>2357</v>
      </c>
      <c r="Z641" t="s">
        <v>2174</v>
      </c>
      <c r="AA641" t="b">
        <f>ISNUMBER(SEARCH(";"&amp;Lessons[[#This Row],[Instrument__c]]&amp;";",";"&amp;_xlfn.XLOOKUP(Lessons[[#This Row],[Instructor_External_Id__c]], Instructors[Id], Instructors[Instruments_Taught__c])&amp;";"))</f>
        <v>1</v>
      </c>
      <c r="AB641" t="str">
        <f>IF(LEFT(Lessons[[#This Row],[Status__c]],9)="Cancelled","",Lessons[[#This Row],[Instructor_External_Id__c]]&amp;"|"&amp;TEXT(Lessons[[#This Row],[Lesson_Date__c]],"yyyy-mm-dd")&amp;"|"&amp;Lessons[[#This Row],[Start_Time__c]])</f>
        <v>a06ak00000amzBuAAI|2026-04-15|10:00:00.000Z</v>
      </c>
      <c r="AC641">
        <f>IF(Lessons[[#This Row],[Double Booked Key]]="","",COUNTIF(Lessons[Double Booked Key],Lessons[[#This Row],[Double Booked Key]]))</f>
        <v>1</v>
      </c>
      <c r="AD641" s="6" t="str">
        <f>_xlfn.XLOOKUP(Lessons[[#This Row],[Location_External_Id__c]], Locations[Location Id], Locations[Location Name])</f>
        <v>Red Bank</v>
      </c>
      <c r="AE641" s="6" t="str">
        <f>TEXT(Lessons[[#This Row],[Lesson_Date__c]], "yyyy-mm")</f>
        <v>2026-04</v>
      </c>
      <c r="AF641" s="6" t="str">
        <f>IF(Lessons[[#This Row],[Lesson_Date__c]]&lt;=Data_Audit!$F$1, "Yes", "No")</f>
        <v>Yes</v>
      </c>
    </row>
    <row r="642" spans="1:32">
      <c r="A642" t="s">
        <v>52</v>
      </c>
      <c r="B642" t="s">
        <v>53</v>
      </c>
      <c r="C642">
        <v>30</v>
      </c>
      <c r="D642" t="s">
        <v>2358</v>
      </c>
      <c r="E642" t="s">
        <v>1203</v>
      </c>
      <c r="F642" t="s">
        <v>1204</v>
      </c>
      <c r="G642" t="s">
        <v>69</v>
      </c>
      <c r="H642" t="s">
        <v>392</v>
      </c>
      <c r="I642" t="b">
        <v>0</v>
      </c>
      <c r="K642" t="s">
        <v>52</v>
      </c>
      <c r="L642" t="s">
        <v>2174</v>
      </c>
      <c r="O642" s="1">
        <v>46210</v>
      </c>
      <c r="P642" t="s">
        <v>2359</v>
      </c>
      <c r="Q642" t="s">
        <v>2360</v>
      </c>
      <c r="R642" t="s">
        <v>63</v>
      </c>
      <c r="S642" t="b">
        <v>0</v>
      </c>
      <c r="T642" t="b">
        <v>0</v>
      </c>
      <c r="U642" t="s">
        <v>2360</v>
      </c>
      <c r="V642" t="s">
        <v>110</v>
      </c>
      <c r="W642" t="s">
        <v>65</v>
      </c>
      <c r="X642" t="s">
        <v>2356</v>
      </c>
      <c r="Y642" t="s">
        <v>2357</v>
      </c>
      <c r="Z642" t="s">
        <v>2174</v>
      </c>
      <c r="AA642" t="b">
        <f>ISNUMBER(SEARCH(";"&amp;Lessons[[#This Row],[Instrument__c]]&amp;";",";"&amp;_xlfn.XLOOKUP(Lessons[[#This Row],[Instructor_External_Id__c]], Instructors[Id], Instructors[Instruments_Taught__c])&amp;";"))</f>
        <v>1</v>
      </c>
      <c r="AB642" t="str">
        <f>IF(LEFT(Lessons[[#This Row],[Status__c]],9)="Cancelled","",Lessons[[#This Row],[Instructor_External_Id__c]]&amp;"|"&amp;TEXT(Lessons[[#This Row],[Lesson_Date__c]],"yyyy-mm-dd")&amp;"|"&amp;Lessons[[#This Row],[Start_Time__c]])</f>
        <v>a06ak00000amzBuAAI|2026-07-07|10:00:00.000Z</v>
      </c>
      <c r="AC642">
        <f>IF(Lessons[[#This Row],[Double Booked Key]]="","",COUNTIF(Lessons[Double Booked Key],Lessons[[#This Row],[Double Booked Key]]))</f>
        <v>1</v>
      </c>
      <c r="AD642" s="6" t="str">
        <f>_xlfn.XLOOKUP(Lessons[[#This Row],[Location_External_Id__c]], Locations[Location Id], Locations[Location Name])</f>
        <v>Red Bank</v>
      </c>
      <c r="AE642" s="6" t="str">
        <f>TEXT(Lessons[[#This Row],[Lesson_Date__c]], "yyyy-mm")</f>
        <v>2026-07</v>
      </c>
      <c r="AF642" s="6" t="str">
        <f>IF(Lessons[[#This Row],[Lesson_Date__c]]&lt;=Data_Audit!$F$1, "Yes", "No")</f>
        <v>Yes</v>
      </c>
    </row>
    <row r="643" spans="1:32">
      <c r="A643" t="s">
        <v>52</v>
      </c>
      <c r="B643" t="s">
        <v>53</v>
      </c>
      <c r="C643">
        <v>60</v>
      </c>
      <c r="D643" t="s">
        <v>2361</v>
      </c>
      <c r="E643" t="s">
        <v>1203</v>
      </c>
      <c r="F643" t="s">
        <v>1204</v>
      </c>
      <c r="G643" t="s">
        <v>106</v>
      </c>
      <c r="H643" t="s">
        <v>392</v>
      </c>
      <c r="I643" t="b">
        <v>0</v>
      </c>
      <c r="K643" t="s">
        <v>52</v>
      </c>
      <c r="L643" t="s">
        <v>2174</v>
      </c>
      <c r="O643" s="1">
        <v>46098</v>
      </c>
      <c r="P643" t="s">
        <v>2362</v>
      </c>
      <c r="Q643" t="s">
        <v>2363</v>
      </c>
      <c r="R643" t="s">
        <v>63</v>
      </c>
      <c r="S643" t="b">
        <v>0</v>
      </c>
      <c r="T643" t="b">
        <v>0</v>
      </c>
      <c r="U643" t="s">
        <v>2363</v>
      </c>
      <c r="V643" t="s">
        <v>140</v>
      </c>
      <c r="W643" t="s">
        <v>65</v>
      </c>
      <c r="X643" t="s">
        <v>2356</v>
      </c>
      <c r="Y643" t="s">
        <v>2357</v>
      </c>
      <c r="Z643" t="s">
        <v>2174</v>
      </c>
      <c r="AA643" t="b">
        <f>ISNUMBER(SEARCH(";"&amp;Lessons[[#This Row],[Instrument__c]]&amp;";",";"&amp;_xlfn.XLOOKUP(Lessons[[#This Row],[Instructor_External_Id__c]], Instructors[Id], Instructors[Instruments_Taught__c])&amp;";"))</f>
        <v>1</v>
      </c>
      <c r="AB643" t="str">
        <f>IF(LEFT(Lessons[[#This Row],[Status__c]],9)="Cancelled","",Lessons[[#This Row],[Instructor_External_Id__c]]&amp;"|"&amp;TEXT(Lessons[[#This Row],[Lesson_Date__c]],"yyyy-mm-dd")&amp;"|"&amp;Lessons[[#This Row],[Start_Time__c]])</f>
        <v>a06ak00000amzBuAAI|2026-03-17|15:00:00.000Z</v>
      </c>
      <c r="AC643">
        <f>IF(Lessons[[#This Row],[Double Booked Key]]="","",COUNTIF(Lessons[Double Booked Key],Lessons[[#This Row],[Double Booked Key]]))</f>
        <v>1</v>
      </c>
      <c r="AD643" s="6" t="str">
        <f>_xlfn.XLOOKUP(Lessons[[#This Row],[Location_External_Id__c]], Locations[Location Id], Locations[Location Name])</f>
        <v>Red Bank</v>
      </c>
      <c r="AE643" s="6" t="str">
        <f>TEXT(Lessons[[#This Row],[Lesson_Date__c]], "yyyy-mm")</f>
        <v>2026-03</v>
      </c>
      <c r="AF643" s="6" t="str">
        <f>IF(Lessons[[#This Row],[Lesson_Date__c]]&lt;=Data_Audit!$F$1, "Yes", "No")</f>
        <v>Yes</v>
      </c>
    </row>
    <row r="644" spans="1:32">
      <c r="A644" t="s">
        <v>52</v>
      </c>
      <c r="B644" t="s">
        <v>53</v>
      </c>
      <c r="C644">
        <v>60</v>
      </c>
      <c r="D644" t="s">
        <v>2364</v>
      </c>
      <c r="E644" t="s">
        <v>1203</v>
      </c>
      <c r="F644" t="s">
        <v>1204</v>
      </c>
      <c r="H644" t="s">
        <v>392</v>
      </c>
      <c r="I644" t="b">
        <v>0</v>
      </c>
      <c r="K644" t="s">
        <v>52</v>
      </c>
      <c r="L644" t="s">
        <v>2174</v>
      </c>
      <c r="O644" s="1">
        <v>46067</v>
      </c>
      <c r="P644" t="s">
        <v>2365</v>
      </c>
      <c r="Q644" t="s">
        <v>2366</v>
      </c>
      <c r="R644" t="s">
        <v>63</v>
      </c>
      <c r="S644" t="b">
        <v>0</v>
      </c>
      <c r="T644" t="b">
        <v>0</v>
      </c>
      <c r="U644" t="s">
        <v>2366</v>
      </c>
      <c r="V644" t="s">
        <v>102</v>
      </c>
      <c r="W644" t="s">
        <v>65</v>
      </c>
      <c r="X644" t="s">
        <v>2356</v>
      </c>
      <c r="Y644" t="s">
        <v>2357</v>
      </c>
      <c r="Z644" t="s">
        <v>2174</v>
      </c>
      <c r="AA644" t="b">
        <f>ISNUMBER(SEARCH(";"&amp;Lessons[[#This Row],[Instrument__c]]&amp;";",";"&amp;_xlfn.XLOOKUP(Lessons[[#This Row],[Instructor_External_Id__c]], Instructors[Id], Instructors[Instruments_Taught__c])&amp;";"))</f>
        <v>1</v>
      </c>
      <c r="AB644" t="str">
        <f>IF(LEFT(Lessons[[#This Row],[Status__c]],9)="Cancelled","",Lessons[[#This Row],[Instructor_External_Id__c]]&amp;"|"&amp;TEXT(Lessons[[#This Row],[Lesson_Date__c]],"yyyy-mm-dd")&amp;"|"&amp;Lessons[[#This Row],[Start_Time__c]])</f>
        <v>a06ak00000amzBuAAI|2026-02-14|16:00:00.000Z</v>
      </c>
      <c r="AC644">
        <f>IF(Lessons[[#This Row],[Double Booked Key]]="","",COUNTIF(Lessons[Double Booked Key],Lessons[[#This Row],[Double Booked Key]]))</f>
        <v>1</v>
      </c>
      <c r="AD644" s="6" t="str">
        <f>_xlfn.XLOOKUP(Lessons[[#This Row],[Location_External_Id__c]], Locations[Location Id], Locations[Location Name])</f>
        <v>Red Bank</v>
      </c>
      <c r="AE644" s="6" t="str">
        <f>TEXT(Lessons[[#This Row],[Lesson_Date__c]], "yyyy-mm")</f>
        <v>2026-02</v>
      </c>
      <c r="AF644" s="6" t="str">
        <f>IF(Lessons[[#This Row],[Lesson_Date__c]]&lt;=Data_Audit!$F$1, "Yes", "No")</f>
        <v>Yes</v>
      </c>
    </row>
    <row r="645" spans="1:32">
      <c r="A645" t="s">
        <v>52</v>
      </c>
      <c r="B645" t="s">
        <v>53</v>
      </c>
      <c r="C645">
        <v>60</v>
      </c>
      <c r="D645" t="s">
        <v>2367</v>
      </c>
      <c r="E645" t="s">
        <v>1203</v>
      </c>
      <c r="F645" t="s">
        <v>1204</v>
      </c>
      <c r="G645" t="s">
        <v>106</v>
      </c>
      <c r="H645" t="s">
        <v>392</v>
      </c>
      <c r="I645" t="b">
        <v>0</v>
      </c>
      <c r="K645" t="s">
        <v>52</v>
      </c>
      <c r="L645" t="s">
        <v>2174</v>
      </c>
      <c r="O645" s="1">
        <v>46172</v>
      </c>
      <c r="P645" t="s">
        <v>2368</v>
      </c>
      <c r="Q645" t="s">
        <v>2369</v>
      </c>
      <c r="R645" t="s">
        <v>63</v>
      </c>
      <c r="S645" t="b">
        <v>0</v>
      </c>
      <c r="T645" t="b">
        <v>0</v>
      </c>
      <c r="U645" t="s">
        <v>2369</v>
      </c>
      <c r="V645" t="s">
        <v>110</v>
      </c>
      <c r="W645" t="s">
        <v>65</v>
      </c>
      <c r="X645" t="s">
        <v>2356</v>
      </c>
      <c r="Y645" t="s">
        <v>2357</v>
      </c>
      <c r="Z645" t="s">
        <v>2174</v>
      </c>
      <c r="AA645" t="b">
        <f>ISNUMBER(SEARCH(";"&amp;Lessons[[#This Row],[Instrument__c]]&amp;";",";"&amp;_xlfn.XLOOKUP(Lessons[[#This Row],[Instructor_External_Id__c]], Instructors[Id], Instructors[Instruments_Taught__c])&amp;";"))</f>
        <v>1</v>
      </c>
      <c r="AB645" t="str">
        <f>IF(LEFT(Lessons[[#This Row],[Status__c]],9)="Cancelled","",Lessons[[#This Row],[Instructor_External_Id__c]]&amp;"|"&amp;TEXT(Lessons[[#This Row],[Lesson_Date__c]],"yyyy-mm-dd")&amp;"|"&amp;Lessons[[#This Row],[Start_Time__c]])</f>
        <v>a06ak00000amzBuAAI|2026-05-30|10:00:00.000Z</v>
      </c>
      <c r="AC645">
        <f>IF(Lessons[[#This Row],[Double Booked Key]]="","",COUNTIF(Lessons[Double Booked Key],Lessons[[#This Row],[Double Booked Key]]))</f>
        <v>1</v>
      </c>
      <c r="AD645" s="6" t="str">
        <f>_xlfn.XLOOKUP(Lessons[[#This Row],[Location_External_Id__c]], Locations[Location Id], Locations[Location Name])</f>
        <v>Red Bank</v>
      </c>
      <c r="AE645" s="6" t="str">
        <f>TEXT(Lessons[[#This Row],[Lesson_Date__c]], "yyyy-mm")</f>
        <v>2026-05</v>
      </c>
      <c r="AF645" s="6" t="str">
        <f>IF(Lessons[[#This Row],[Lesson_Date__c]]&lt;=Data_Audit!$F$1, "Yes", "No")</f>
        <v>Yes</v>
      </c>
    </row>
    <row r="646" spans="1:32">
      <c r="A646" t="s">
        <v>52</v>
      </c>
      <c r="B646" t="s">
        <v>53</v>
      </c>
      <c r="C646">
        <v>30</v>
      </c>
      <c r="D646" t="s">
        <v>2370</v>
      </c>
      <c r="E646" t="s">
        <v>1203</v>
      </c>
      <c r="F646" t="s">
        <v>1204</v>
      </c>
      <c r="G646" t="s">
        <v>106</v>
      </c>
      <c r="H646" t="s">
        <v>392</v>
      </c>
      <c r="I646" t="b">
        <v>0</v>
      </c>
      <c r="K646" t="s">
        <v>52</v>
      </c>
      <c r="L646" t="s">
        <v>2174</v>
      </c>
      <c r="O646" s="1">
        <v>46270</v>
      </c>
      <c r="P646" t="s">
        <v>2371</v>
      </c>
      <c r="Q646" t="s">
        <v>2372</v>
      </c>
      <c r="R646" t="s">
        <v>63</v>
      </c>
      <c r="S646" t="b">
        <v>0</v>
      </c>
      <c r="T646" t="b">
        <v>0</v>
      </c>
      <c r="U646" t="s">
        <v>2372</v>
      </c>
      <c r="V646" t="s">
        <v>110</v>
      </c>
      <c r="W646" t="s">
        <v>65</v>
      </c>
      <c r="X646" t="s">
        <v>2356</v>
      </c>
      <c r="Y646" t="s">
        <v>2357</v>
      </c>
      <c r="Z646" t="s">
        <v>2174</v>
      </c>
      <c r="AA646" t="b">
        <f>ISNUMBER(SEARCH(";"&amp;Lessons[[#This Row],[Instrument__c]]&amp;";",";"&amp;_xlfn.XLOOKUP(Lessons[[#This Row],[Instructor_External_Id__c]], Instructors[Id], Instructors[Instruments_Taught__c])&amp;";"))</f>
        <v>1</v>
      </c>
      <c r="AB646" t="str">
        <f>IF(LEFT(Lessons[[#This Row],[Status__c]],9)="Cancelled","",Lessons[[#This Row],[Instructor_External_Id__c]]&amp;"|"&amp;TEXT(Lessons[[#This Row],[Lesson_Date__c]],"yyyy-mm-dd")&amp;"|"&amp;Lessons[[#This Row],[Start_Time__c]])</f>
        <v>a06ak00000amzBuAAI|2026-09-05|10:00:00.000Z</v>
      </c>
      <c r="AC646">
        <f>IF(Lessons[[#This Row],[Double Booked Key]]="","",COUNTIF(Lessons[Double Booked Key],Lessons[[#This Row],[Double Booked Key]]))</f>
        <v>1</v>
      </c>
      <c r="AD646" s="6" t="str">
        <f>_xlfn.XLOOKUP(Lessons[[#This Row],[Location_External_Id__c]], Locations[Location Id], Locations[Location Name])</f>
        <v>Red Bank</v>
      </c>
      <c r="AE646" s="6" t="str">
        <f>TEXT(Lessons[[#This Row],[Lesson_Date__c]], "yyyy-mm")</f>
        <v>2026-09</v>
      </c>
      <c r="AF646" s="6" t="str">
        <f>IF(Lessons[[#This Row],[Lesson_Date__c]]&lt;=Data_Audit!$F$1, "Yes", "No")</f>
        <v>Yes</v>
      </c>
    </row>
    <row r="647" spans="1:32">
      <c r="A647" t="s">
        <v>52</v>
      </c>
      <c r="B647" t="s">
        <v>53</v>
      </c>
      <c r="C647">
        <v>30</v>
      </c>
      <c r="D647" t="s">
        <v>2373</v>
      </c>
      <c r="E647" t="s">
        <v>1203</v>
      </c>
      <c r="F647" t="s">
        <v>1204</v>
      </c>
      <c r="G647" t="s">
        <v>164</v>
      </c>
      <c r="H647" t="s">
        <v>392</v>
      </c>
      <c r="I647" t="b">
        <v>0</v>
      </c>
      <c r="K647" t="s">
        <v>52</v>
      </c>
      <c r="L647" t="s">
        <v>2174</v>
      </c>
      <c r="O647" s="1">
        <v>46205</v>
      </c>
      <c r="P647" t="s">
        <v>2374</v>
      </c>
      <c r="Q647" t="s">
        <v>2375</v>
      </c>
      <c r="R647" t="s">
        <v>63</v>
      </c>
      <c r="S647" t="b">
        <v>0</v>
      </c>
      <c r="T647" t="b">
        <v>0</v>
      </c>
      <c r="U647" t="s">
        <v>2375</v>
      </c>
      <c r="V647" t="s">
        <v>135</v>
      </c>
      <c r="W647" t="s">
        <v>65</v>
      </c>
      <c r="X647" t="s">
        <v>2356</v>
      </c>
      <c r="Y647" t="s">
        <v>2357</v>
      </c>
      <c r="Z647" t="s">
        <v>2174</v>
      </c>
      <c r="AA647" t="b">
        <f>ISNUMBER(SEARCH(";"&amp;Lessons[[#This Row],[Instrument__c]]&amp;";",";"&amp;_xlfn.XLOOKUP(Lessons[[#This Row],[Instructor_External_Id__c]], Instructors[Id], Instructors[Instruments_Taught__c])&amp;";"))</f>
        <v>1</v>
      </c>
      <c r="AB647" t="str">
        <f>IF(LEFT(Lessons[[#This Row],[Status__c]],9)="Cancelled","",Lessons[[#This Row],[Instructor_External_Id__c]]&amp;"|"&amp;TEXT(Lessons[[#This Row],[Lesson_Date__c]],"yyyy-mm-dd")&amp;"|"&amp;Lessons[[#This Row],[Start_Time__c]])</f>
        <v>a06ak00000amzBuAAI|2026-07-02|15:30:00.000Z</v>
      </c>
      <c r="AC647">
        <f>IF(Lessons[[#This Row],[Double Booked Key]]="","",COUNTIF(Lessons[Double Booked Key],Lessons[[#This Row],[Double Booked Key]]))</f>
        <v>1</v>
      </c>
      <c r="AD647" s="6" t="str">
        <f>_xlfn.XLOOKUP(Lessons[[#This Row],[Location_External_Id__c]], Locations[Location Id], Locations[Location Name])</f>
        <v>Red Bank</v>
      </c>
      <c r="AE647" s="6" t="str">
        <f>TEXT(Lessons[[#This Row],[Lesson_Date__c]], "yyyy-mm")</f>
        <v>2026-07</v>
      </c>
      <c r="AF647" s="6" t="str">
        <f>IF(Lessons[[#This Row],[Lesson_Date__c]]&lt;=Data_Audit!$F$1, "Yes", "No")</f>
        <v>Yes</v>
      </c>
    </row>
    <row r="648" spans="1:32">
      <c r="A648" t="s">
        <v>52</v>
      </c>
      <c r="B648" t="s">
        <v>53</v>
      </c>
      <c r="C648">
        <v>30</v>
      </c>
      <c r="D648" t="s">
        <v>2376</v>
      </c>
      <c r="E648" t="s">
        <v>1203</v>
      </c>
      <c r="F648" t="s">
        <v>1204</v>
      </c>
      <c r="G648" t="s">
        <v>57</v>
      </c>
      <c r="H648" t="s">
        <v>392</v>
      </c>
      <c r="I648" t="b">
        <v>0</v>
      </c>
      <c r="K648" t="s">
        <v>52</v>
      </c>
      <c r="L648" t="s">
        <v>2174</v>
      </c>
      <c r="O648" s="1">
        <v>46087</v>
      </c>
      <c r="P648" t="s">
        <v>2377</v>
      </c>
      <c r="Q648" t="s">
        <v>2378</v>
      </c>
      <c r="R648" t="s">
        <v>63</v>
      </c>
      <c r="S648" t="b">
        <v>0</v>
      </c>
      <c r="T648" t="b">
        <v>0</v>
      </c>
      <c r="U648" t="s">
        <v>2378</v>
      </c>
      <c r="V648" t="s">
        <v>110</v>
      </c>
      <c r="W648" t="s">
        <v>65</v>
      </c>
      <c r="X648" t="s">
        <v>2356</v>
      </c>
      <c r="Y648" t="s">
        <v>2357</v>
      </c>
      <c r="Z648" t="s">
        <v>2174</v>
      </c>
      <c r="AA648" t="b">
        <f>ISNUMBER(SEARCH(";"&amp;Lessons[[#This Row],[Instrument__c]]&amp;";",";"&amp;_xlfn.XLOOKUP(Lessons[[#This Row],[Instructor_External_Id__c]], Instructors[Id], Instructors[Instruments_Taught__c])&amp;";"))</f>
        <v>1</v>
      </c>
      <c r="AB648" t="str">
        <f>IF(LEFT(Lessons[[#This Row],[Status__c]],9)="Cancelled","",Lessons[[#This Row],[Instructor_External_Id__c]]&amp;"|"&amp;TEXT(Lessons[[#This Row],[Lesson_Date__c]],"yyyy-mm-dd")&amp;"|"&amp;Lessons[[#This Row],[Start_Time__c]])</f>
        <v>a06ak00000amzBuAAI|2026-03-06|10:00:00.000Z</v>
      </c>
      <c r="AC648">
        <f>IF(Lessons[[#This Row],[Double Booked Key]]="","",COUNTIF(Lessons[Double Booked Key],Lessons[[#This Row],[Double Booked Key]]))</f>
        <v>1</v>
      </c>
      <c r="AD648" s="6" t="str">
        <f>_xlfn.XLOOKUP(Lessons[[#This Row],[Location_External_Id__c]], Locations[Location Id], Locations[Location Name])</f>
        <v>Red Bank</v>
      </c>
      <c r="AE648" s="6" t="str">
        <f>TEXT(Lessons[[#This Row],[Lesson_Date__c]], "yyyy-mm")</f>
        <v>2026-03</v>
      </c>
      <c r="AF648" s="6" t="str">
        <f>IF(Lessons[[#This Row],[Lesson_Date__c]]&lt;=Data_Audit!$F$1, "Yes", "No")</f>
        <v>Yes</v>
      </c>
    </row>
    <row r="649" spans="1:32">
      <c r="A649" t="s">
        <v>52</v>
      </c>
      <c r="B649" t="s">
        <v>53</v>
      </c>
      <c r="C649">
        <v>45</v>
      </c>
      <c r="D649" t="s">
        <v>2379</v>
      </c>
      <c r="E649" t="s">
        <v>1203</v>
      </c>
      <c r="F649" t="s">
        <v>1204</v>
      </c>
      <c r="G649" t="s">
        <v>164</v>
      </c>
      <c r="H649" t="s">
        <v>392</v>
      </c>
      <c r="I649" t="b">
        <v>0</v>
      </c>
      <c r="K649" t="s">
        <v>52</v>
      </c>
      <c r="L649" t="s">
        <v>2174</v>
      </c>
      <c r="O649" s="1">
        <v>46035</v>
      </c>
      <c r="P649" t="s">
        <v>2380</v>
      </c>
      <c r="Q649" t="s">
        <v>2381</v>
      </c>
      <c r="R649" t="s">
        <v>63</v>
      </c>
      <c r="S649" t="b">
        <v>0</v>
      </c>
      <c r="T649" t="b">
        <v>0</v>
      </c>
      <c r="U649" t="s">
        <v>2381</v>
      </c>
      <c r="V649" t="s">
        <v>110</v>
      </c>
      <c r="W649" t="s">
        <v>65</v>
      </c>
      <c r="X649" t="s">
        <v>2356</v>
      </c>
      <c r="Y649" t="s">
        <v>2357</v>
      </c>
      <c r="Z649" t="s">
        <v>2174</v>
      </c>
      <c r="AA649" t="b">
        <f>ISNUMBER(SEARCH(";"&amp;Lessons[[#This Row],[Instrument__c]]&amp;";",";"&amp;_xlfn.XLOOKUP(Lessons[[#This Row],[Instructor_External_Id__c]], Instructors[Id], Instructors[Instruments_Taught__c])&amp;";"))</f>
        <v>1</v>
      </c>
      <c r="AB649" t="str">
        <f>IF(LEFT(Lessons[[#This Row],[Status__c]],9)="Cancelled","",Lessons[[#This Row],[Instructor_External_Id__c]]&amp;"|"&amp;TEXT(Lessons[[#This Row],[Lesson_Date__c]],"yyyy-mm-dd")&amp;"|"&amp;Lessons[[#This Row],[Start_Time__c]])</f>
        <v>a06ak00000amzBuAAI|2026-01-13|10:00:00.000Z</v>
      </c>
      <c r="AC649">
        <f>IF(Lessons[[#This Row],[Double Booked Key]]="","",COUNTIF(Lessons[Double Booked Key],Lessons[[#This Row],[Double Booked Key]]))</f>
        <v>1</v>
      </c>
      <c r="AD649" s="6" t="str">
        <f>_xlfn.XLOOKUP(Lessons[[#This Row],[Location_External_Id__c]], Locations[Location Id], Locations[Location Name])</f>
        <v>Red Bank</v>
      </c>
      <c r="AE649" s="6" t="str">
        <f>TEXT(Lessons[[#This Row],[Lesson_Date__c]], "yyyy-mm")</f>
        <v>2026-01</v>
      </c>
      <c r="AF649" s="6" t="str">
        <f>IF(Lessons[[#This Row],[Lesson_Date__c]]&lt;=Data_Audit!$F$1, "Yes", "No")</f>
        <v>Yes</v>
      </c>
    </row>
    <row r="650" spans="1:32">
      <c r="A650" t="s">
        <v>52</v>
      </c>
      <c r="B650" t="s">
        <v>53</v>
      </c>
      <c r="C650">
        <v>60</v>
      </c>
      <c r="D650" t="s">
        <v>2382</v>
      </c>
      <c r="E650" t="s">
        <v>55</v>
      </c>
      <c r="F650" t="s">
        <v>56</v>
      </c>
      <c r="G650" t="s">
        <v>99</v>
      </c>
      <c r="H650" t="s">
        <v>650</v>
      </c>
      <c r="I650" t="b">
        <v>0</v>
      </c>
      <c r="K650" t="s">
        <v>52</v>
      </c>
      <c r="L650" t="s">
        <v>2174</v>
      </c>
      <c r="O650" s="1">
        <v>46112</v>
      </c>
      <c r="P650" t="s">
        <v>2383</v>
      </c>
      <c r="Q650" t="s">
        <v>2384</v>
      </c>
      <c r="R650" t="s">
        <v>63</v>
      </c>
      <c r="S650" t="b">
        <v>0</v>
      </c>
      <c r="T650" t="b">
        <v>0</v>
      </c>
      <c r="U650" t="s">
        <v>2384</v>
      </c>
      <c r="V650" t="s">
        <v>128</v>
      </c>
      <c r="W650" t="s">
        <v>65</v>
      </c>
      <c r="X650" t="s">
        <v>2385</v>
      </c>
      <c r="Y650" t="s">
        <v>2386</v>
      </c>
      <c r="Z650" t="s">
        <v>2174</v>
      </c>
      <c r="AA650" t="b">
        <f>ISNUMBER(SEARCH(";"&amp;Lessons[[#This Row],[Instrument__c]]&amp;";",";"&amp;_xlfn.XLOOKUP(Lessons[[#This Row],[Instructor_External_Id__c]], Instructors[Id], Instructors[Instruments_Taught__c])&amp;";"))</f>
        <v>1</v>
      </c>
      <c r="AB650" t="str">
        <f>IF(LEFT(Lessons[[#This Row],[Status__c]],9)="Cancelled","",Lessons[[#This Row],[Instructor_External_Id__c]]&amp;"|"&amp;TEXT(Lessons[[#This Row],[Lesson_Date__c]],"yyyy-mm-dd")&amp;"|"&amp;Lessons[[#This Row],[Start_Time__c]])</f>
        <v>a06ak00000amzC9AAI|2026-03-31|18:30:00.000Z</v>
      </c>
      <c r="AC650">
        <f>IF(Lessons[[#This Row],[Double Booked Key]]="","",COUNTIF(Lessons[Double Booked Key],Lessons[[#This Row],[Double Booked Key]]))</f>
        <v>1</v>
      </c>
      <c r="AD650" s="6" t="str">
        <f>_xlfn.XLOOKUP(Lessons[[#This Row],[Location_External_Id__c]], Locations[Location Id], Locations[Location Name])</f>
        <v>Red Bank</v>
      </c>
      <c r="AE650" s="6" t="str">
        <f>TEXT(Lessons[[#This Row],[Lesson_Date__c]], "yyyy-mm")</f>
        <v>2026-03</v>
      </c>
      <c r="AF650" s="6" t="str">
        <f>IF(Lessons[[#This Row],[Lesson_Date__c]]&lt;=Data_Audit!$F$1, "Yes", "No")</f>
        <v>Yes</v>
      </c>
    </row>
    <row r="651" spans="1:32">
      <c r="A651" t="s">
        <v>52</v>
      </c>
      <c r="B651" t="s">
        <v>53</v>
      </c>
      <c r="C651">
        <v>30</v>
      </c>
      <c r="D651" t="s">
        <v>2387</v>
      </c>
      <c r="E651" t="s">
        <v>55</v>
      </c>
      <c r="F651" t="s">
        <v>56</v>
      </c>
      <c r="H651" t="s">
        <v>650</v>
      </c>
      <c r="I651" t="b">
        <v>0</v>
      </c>
      <c r="K651" t="s">
        <v>52</v>
      </c>
      <c r="L651" t="s">
        <v>2174</v>
      </c>
      <c r="O651" s="1">
        <v>46251</v>
      </c>
      <c r="P651" t="s">
        <v>2388</v>
      </c>
      <c r="Q651" t="s">
        <v>2389</v>
      </c>
      <c r="R651" t="s">
        <v>63</v>
      </c>
      <c r="S651" t="b">
        <v>0</v>
      </c>
      <c r="T651" t="b">
        <v>0</v>
      </c>
      <c r="U651" t="s">
        <v>2389</v>
      </c>
      <c r="V651" t="s">
        <v>110</v>
      </c>
      <c r="W651" t="s">
        <v>85</v>
      </c>
      <c r="X651" t="s">
        <v>2385</v>
      </c>
      <c r="Y651" t="s">
        <v>2386</v>
      </c>
      <c r="Z651" t="s">
        <v>2174</v>
      </c>
      <c r="AA651" t="b">
        <f>ISNUMBER(SEARCH(";"&amp;Lessons[[#This Row],[Instrument__c]]&amp;";",";"&amp;_xlfn.XLOOKUP(Lessons[[#This Row],[Instructor_External_Id__c]], Instructors[Id], Instructors[Instruments_Taught__c])&amp;";"))</f>
        <v>1</v>
      </c>
      <c r="AB651" t="str">
        <f>IF(LEFT(Lessons[[#This Row],[Status__c]],9)="Cancelled","",Lessons[[#This Row],[Instructor_External_Id__c]]&amp;"|"&amp;TEXT(Lessons[[#This Row],[Lesson_Date__c]],"yyyy-mm-dd")&amp;"|"&amp;Lessons[[#This Row],[Start_Time__c]])</f>
        <v/>
      </c>
      <c r="AC651" t="str">
        <f>IF(Lessons[[#This Row],[Double Booked Key]]="","",COUNTIF(Lessons[Double Booked Key],Lessons[[#This Row],[Double Booked Key]]))</f>
        <v/>
      </c>
      <c r="AD651" s="6" t="str">
        <f>_xlfn.XLOOKUP(Lessons[[#This Row],[Location_External_Id__c]], Locations[Location Id], Locations[Location Name])</f>
        <v>Red Bank</v>
      </c>
      <c r="AE651" s="6" t="str">
        <f>TEXT(Lessons[[#This Row],[Lesson_Date__c]], "yyyy-mm")</f>
        <v>2026-08</v>
      </c>
      <c r="AF651" s="6" t="str">
        <f>IF(Lessons[[#This Row],[Lesson_Date__c]]&lt;=Data_Audit!$F$1, "Yes", "No")</f>
        <v>Yes</v>
      </c>
    </row>
    <row r="652" spans="1:32">
      <c r="A652" t="s">
        <v>52</v>
      </c>
      <c r="B652" t="s">
        <v>53</v>
      </c>
      <c r="C652">
        <v>45</v>
      </c>
      <c r="D652" t="s">
        <v>2390</v>
      </c>
      <c r="E652" t="s">
        <v>55</v>
      </c>
      <c r="F652" t="s">
        <v>56</v>
      </c>
      <c r="G652" t="s">
        <v>99</v>
      </c>
      <c r="H652" t="s">
        <v>650</v>
      </c>
      <c r="I652" t="b">
        <v>0</v>
      </c>
      <c r="K652" t="s">
        <v>52</v>
      </c>
      <c r="L652" t="s">
        <v>2174</v>
      </c>
      <c r="O652" s="1">
        <v>46184</v>
      </c>
      <c r="P652" t="s">
        <v>2391</v>
      </c>
      <c r="Q652" t="s">
        <v>2392</v>
      </c>
      <c r="R652" t="s">
        <v>63</v>
      </c>
      <c r="S652" t="b">
        <v>0</v>
      </c>
      <c r="T652" t="b">
        <v>0</v>
      </c>
      <c r="U652" t="s">
        <v>2392</v>
      </c>
      <c r="V652" t="s">
        <v>94</v>
      </c>
      <c r="W652" t="s">
        <v>65</v>
      </c>
      <c r="X652" t="s">
        <v>2385</v>
      </c>
      <c r="Y652" t="s">
        <v>2386</v>
      </c>
      <c r="Z652" t="s">
        <v>2174</v>
      </c>
      <c r="AA652" t="b">
        <f>ISNUMBER(SEARCH(";"&amp;Lessons[[#This Row],[Instrument__c]]&amp;";",";"&amp;_xlfn.XLOOKUP(Lessons[[#This Row],[Instructor_External_Id__c]], Instructors[Id], Instructors[Instruments_Taught__c])&amp;";"))</f>
        <v>1</v>
      </c>
      <c r="AB652" t="str">
        <f>IF(LEFT(Lessons[[#This Row],[Status__c]],9)="Cancelled","",Lessons[[#This Row],[Instructor_External_Id__c]]&amp;"|"&amp;TEXT(Lessons[[#This Row],[Lesson_Date__c]],"yyyy-mm-dd")&amp;"|"&amp;Lessons[[#This Row],[Start_Time__c]])</f>
        <v>a06ak00000amzC9AAI|2026-06-11|19:00:00.000Z</v>
      </c>
      <c r="AC652">
        <f>IF(Lessons[[#This Row],[Double Booked Key]]="","",COUNTIF(Lessons[Double Booked Key],Lessons[[#This Row],[Double Booked Key]]))</f>
        <v>1</v>
      </c>
      <c r="AD652" s="6" t="str">
        <f>_xlfn.XLOOKUP(Lessons[[#This Row],[Location_External_Id__c]], Locations[Location Id], Locations[Location Name])</f>
        <v>Red Bank</v>
      </c>
      <c r="AE652" s="6" t="str">
        <f>TEXT(Lessons[[#This Row],[Lesson_Date__c]], "yyyy-mm")</f>
        <v>2026-06</v>
      </c>
      <c r="AF652" s="6" t="str">
        <f>IF(Lessons[[#This Row],[Lesson_Date__c]]&lt;=Data_Audit!$F$1, "Yes", "No")</f>
        <v>Yes</v>
      </c>
    </row>
    <row r="653" spans="1:32">
      <c r="A653" t="s">
        <v>52</v>
      </c>
      <c r="B653" t="s">
        <v>53</v>
      </c>
      <c r="C653">
        <v>45</v>
      </c>
      <c r="D653" t="s">
        <v>2393</v>
      </c>
      <c r="E653" t="s">
        <v>55</v>
      </c>
      <c r="F653" t="s">
        <v>56</v>
      </c>
      <c r="G653" t="s">
        <v>69</v>
      </c>
      <c r="H653" t="s">
        <v>650</v>
      </c>
      <c r="I653" t="b">
        <v>0</v>
      </c>
      <c r="K653" t="s">
        <v>52</v>
      </c>
      <c r="L653" t="s">
        <v>2174</v>
      </c>
      <c r="O653" s="1">
        <v>46138</v>
      </c>
      <c r="P653" t="s">
        <v>2394</v>
      </c>
      <c r="Q653" t="s">
        <v>2395</v>
      </c>
      <c r="R653" t="s">
        <v>63</v>
      </c>
      <c r="S653" t="b">
        <v>0</v>
      </c>
      <c r="T653" t="b">
        <v>0</v>
      </c>
      <c r="U653" t="s">
        <v>2395</v>
      </c>
      <c r="V653" t="s">
        <v>120</v>
      </c>
      <c r="W653" t="s">
        <v>65</v>
      </c>
      <c r="X653" t="s">
        <v>2385</v>
      </c>
      <c r="Y653" t="s">
        <v>2386</v>
      </c>
      <c r="Z653" t="s">
        <v>2174</v>
      </c>
      <c r="AA653" t="b">
        <f>ISNUMBER(SEARCH(";"&amp;Lessons[[#This Row],[Instrument__c]]&amp;";",";"&amp;_xlfn.XLOOKUP(Lessons[[#This Row],[Instructor_External_Id__c]], Instructors[Id], Instructors[Instruments_Taught__c])&amp;";"))</f>
        <v>1</v>
      </c>
      <c r="AB653" t="str">
        <f>IF(LEFT(Lessons[[#This Row],[Status__c]],9)="Cancelled","",Lessons[[#This Row],[Instructor_External_Id__c]]&amp;"|"&amp;TEXT(Lessons[[#This Row],[Lesson_Date__c]],"yyyy-mm-dd")&amp;"|"&amp;Lessons[[#This Row],[Start_Time__c]])</f>
        <v>a06ak00000amzC9AAI|2026-04-26|18:00:00.000Z</v>
      </c>
      <c r="AC653">
        <f>IF(Lessons[[#This Row],[Double Booked Key]]="","",COUNTIF(Lessons[Double Booked Key],Lessons[[#This Row],[Double Booked Key]]))</f>
        <v>1</v>
      </c>
      <c r="AD653" s="6" t="str">
        <f>_xlfn.XLOOKUP(Lessons[[#This Row],[Location_External_Id__c]], Locations[Location Id], Locations[Location Name])</f>
        <v>Red Bank</v>
      </c>
      <c r="AE653" s="6" t="str">
        <f>TEXT(Lessons[[#This Row],[Lesson_Date__c]], "yyyy-mm")</f>
        <v>2026-04</v>
      </c>
      <c r="AF653" s="6" t="str">
        <f>IF(Lessons[[#This Row],[Lesson_Date__c]]&lt;=Data_Audit!$F$1, "Yes", "No")</f>
        <v>Yes</v>
      </c>
    </row>
    <row r="654" spans="1:32">
      <c r="A654" t="s">
        <v>52</v>
      </c>
      <c r="B654" t="s">
        <v>53</v>
      </c>
      <c r="C654">
        <v>30</v>
      </c>
      <c r="D654" t="s">
        <v>2396</v>
      </c>
      <c r="E654" t="s">
        <v>55</v>
      </c>
      <c r="F654" t="s">
        <v>56</v>
      </c>
      <c r="H654" t="s">
        <v>650</v>
      </c>
      <c r="I654" t="b">
        <v>0</v>
      </c>
      <c r="K654" t="s">
        <v>52</v>
      </c>
      <c r="L654" t="s">
        <v>2174</v>
      </c>
      <c r="O654" s="1">
        <v>46269</v>
      </c>
      <c r="P654" t="s">
        <v>2397</v>
      </c>
      <c r="Q654" t="s">
        <v>2398</v>
      </c>
      <c r="R654" t="s">
        <v>63</v>
      </c>
      <c r="S654" t="b">
        <v>0</v>
      </c>
      <c r="T654" t="b">
        <v>0</v>
      </c>
      <c r="U654" t="s">
        <v>2398</v>
      </c>
      <c r="V654" t="s">
        <v>102</v>
      </c>
      <c r="W654" t="s">
        <v>65</v>
      </c>
      <c r="X654" t="s">
        <v>2385</v>
      </c>
      <c r="Y654" t="s">
        <v>2386</v>
      </c>
      <c r="Z654" t="s">
        <v>2174</v>
      </c>
      <c r="AA654" t="b">
        <f>ISNUMBER(SEARCH(";"&amp;Lessons[[#This Row],[Instrument__c]]&amp;";",";"&amp;_xlfn.XLOOKUP(Lessons[[#This Row],[Instructor_External_Id__c]], Instructors[Id], Instructors[Instruments_Taught__c])&amp;";"))</f>
        <v>1</v>
      </c>
      <c r="AB654" t="str">
        <f>IF(LEFT(Lessons[[#This Row],[Status__c]],9)="Cancelled","",Lessons[[#This Row],[Instructor_External_Id__c]]&amp;"|"&amp;TEXT(Lessons[[#This Row],[Lesson_Date__c]],"yyyy-mm-dd")&amp;"|"&amp;Lessons[[#This Row],[Start_Time__c]])</f>
        <v>a06ak00000amzC9AAI|2026-09-04|16:00:00.000Z</v>
      </c>
      <c r="AC654">
        <f>IF(Lessons[[#This Row],[Double Booked Key]]="","",COUNTIF(Lessons[Double Booked Key],Lessons[[#This Row],[Double Booked Key]]))</f>
        <v>1</v>
      </c>
      <c r="AD654" s="6" t="str">
        <f>_xlfn.XLOOKUP(Lessons[[#This Row],[Location_External_Id__c]], Locations[Location Id], Locations[Location Name])</f>
        <v>Red Bank</v>
      </c>
      <c r="AE654" s="6" t="str">
        <f>TEXT(Lessons[[#This Row],[Lesson_Date__c]], "yyyy-mm")</f>
        <v>2026-09</v>
      </c>
      <c r="AF654" s="6" t="str">
        <f>IF(Lessons[[#This Row],[Lesson_Date__c]]&lt;=Data_Audit!$F$1, "Yes", "No")</f>
        <v>Yes</v>
      </c>
    </row>
    <row r="655" spans="1:32">
      <c r="A655" t="s">
        <v>52</v>
      </c>
      <c r="B655" t="s">
        <v>53</v>
      </c>
      <c r="C655">
        <v>30</v>
      </c>
      <c r="D655" t="s">
        <v>2399</v>
      </c>
      <c r="E655" t="s">
        <v>55</v>
      </c>
      <c r="F655" t="s">
        <v>56</v>
      </c>
      <c r="H655" t="s">
        <v>650</v>
      </c>
      <c r="I655" t="b">
        <v>0</v>
      </c>
      <c r="K655" t="s">
        <v>52</v>
      </c>
      <c r="L655" t="s">
        <v>2174</v>
      </c>
      <c r="O655" s="1">
        <v>46283</v>
      </c>
      <c r="P655" t="s">
        <v>2400</v>
      </c>
      <c r="Q655" t="s">
        <v>2401</v>
      </c>
      <c r="R655" t="s">
        <v>63</v>
      </c>
      <c r="S655" t="b">
        <v>1</v>
      </c>
      <c r="T655" t="b">
        <v>1</v>
      </c>
      <c r="U655" t="s">
        <v>2401</v>
      </c>
      <c r="V655" t="s">
        <v>74</v>
      </c>
      <c r="W655" t="s">
        <v>136</v>
      </c>
      <c r="X655" t="s">
        <v>2385</v>
      </c>
      <c r="Y655" t="s">
        <v>2386</v>
      </c>
      <c r="Z655" t="s">
        <v>2174</v>
      </c>
      <c r="AA655" t="b">
        <f>ISNUMBER(SEARCH(";"&amp;Lessons[[#This Row],[Instrument__c]]&amp;";",";"&amp;_xlfn.XLOOKUP(Lessons[[#This Row],[Instructor_External_Id__c]], Instructors[Id], Instructors[Instruments_Taught__c])&amp;";"))</f>
        <v>1</v>
      </c>
      <c r="AB655" t="str">
        <f>IF(LEFT(Lessons[[#This Row],[Status__c]],9)="Cancelled","",Lessons[[#This Row],[Instructor_External_Id__c]]&amp;"|"&amp;TEXT(Lessons[[#This Row],[Lesson_Date__c]],"yyyy-mm-dd")&amp;"|"&amp;Lessons[[#This Row],[Start_Time__c]])</f>
        <v/>
      </c>
      <c r="AC655" t="str">
        <f>IF(Lessons[[#This Row],[Double Booked Key]]="","",COUNTIF(Lessons[Double Booked Key],Lessons[[#This Row],[Double Booked Key]]))</f>
        <v/>
      </c>
      <c r="AD655" s="6" t="str">
        <f>_xlfn.XLOOKUP(Lessons[[#This Row],[Location_External_Id__c]], Locations[Location Id], Locations[Location Name])</f>
        <v>Red Bank</v>
      </c>
      <c r="AE655" s="6" t="str">
        <f>TEXT(Lessons[[#This Row],[Lesson_Date__c]], "yyyy-mm")</f>
        <v>2026-09</v>
      </c>
      <c r="AF655" s="6" t="str">
        <f>IF(Lessons[[#This Row],[Lesson_Date__c]]&lt;=Data_Audit!$F$1, "Yes", "No")</f>
        <v>Yes</v>
      </c>
    </row>
    <row r="656" spans="1:32">
      <c r="A656" t="s">
        <v>52</v>
      </c>
      <c r="B656" t="s">
        <v>53</v>
      </c>
      <c r="C656">
        <v>45</v>
      </c>
      <c r="D656" t="s">
        <v>2402</v>
      </c>
      <c r="E656" t="s">
        <v>55</v>
      </c>
      <c r="F656" t="s">
        <v>56</v>
      </c>
      <c r="H656" t="s">
        <v>650</v>
      </c>
      <c r="I656" t="b">
        <v>0</v>
      </c>
      <c r="K656" t="s">
        <v>52</v>
      </c>
      <c r="L656" t="s">
        <v>2174</v>
      </c>
      <c r="O656" s="1">
        <v>46244</v>
      </c>
      <c r="P656" t="s">
        <v>2403</v>
      </c>
      <c r="Q656" t="s">
        <v>2404</v>
      </c>
      <c r="R656" t="s">
        <v>63</v>
      </c>
      <c r="S656" t="b">
        <v>0</v>
      </c>
      <c r="T656" t="b">
        <v>0</v>
      </c>
      <c r="U656" t="s">
        <v>2404</v>
      </c>
      <c r="V656" t="s">
        <v>140</v>
      </c>
      <c r="W656" t="s">
        <v>65</v>
      </c>
      <c r="X656" t="s">
        <v>2385</v>
      </c>
      <c r="Y656" t="s">
        <v>2386</v>
      </c>
      <c r="Z656" t="s">
        <v>2174</v>
      </c>
      <c r="AA656" t="b">
        <f>ISNUMBER(SEARCH(";"&amp;Lessons[[#This Row],[Instrument__c]]&amp;";",";"&amp;_xlfn.XLOOKUP(Lessons[[#This Row],[Instructor_External_Id__c]], Instructors[Id], Instructors[Instruments_Taught__c])&amp;";"))</f>
        <v>1</v>
      </c>
      <c r="AB656" t="str">
        <f>IF(LEFT(Lessons[[#This Row],[Status__c]],9)="Cancelled","",Lessons[[#This Row],[Instructor_External_Id__c]]&amp;"|"&amp;TEXT(Lessons[[#This Row],[Lesson_Date__c]],"yyyy-mm-dd")&amp;"|"&amp;Lessons[[#This Row],[Start_Time__c]])</f>
        <v>a06ak00000amzC9AAI|2026-08-10|15:00:00.000Z</v>
      </c>
      <c r="AC656">
        <f>IF(Lessons[[#This Row],[Double Booked Key]]="","",COUNTIF(Lessons[Double Booked Key],Lessons[[#This Row],[Double Booked Key]]))</f>
        <v>1</v>
      </c>
      <c r="AD656" s="6" t="str">
        <f>_xlfn.XLOOKUP(Lessons[[#This Row],[Location_External_Id__c]], Locations[Location Id], Locations[Location Name])</f>
        <v>Red Bank</v>
      </c>
      <c r="AE656" s="6" t="str">
        <f>TEXT(Lessons[[#This Row],[Lesson_Date__c]], "yyyy-mm")</f>
        <v>2026-08</v>
      </c>
      <c r="AF656" s="6" t="str">
        <f>IF(Lessons[[#This Row],[Lesson_Date__c]]&lt;=Data_Audit!$F$1, "Yes", "No")</f>
        <v>Yes</v>
      </c>
    </row>
    <row r="657" spans="1:32">
      <c r="A657" t="s">
        <v>52</v>
      </c>
      <c r="B657" t="s">
        <v>53</v>
      </c>
      <c r="C657">
        <v>30</v>
      </c>
      <c r="D657" t="s">
        <v>2405</v>
      </c>
      <c r="E657" t="s">
        <v>55</v>
      </c>
      <c r="F657" t="s">
        <v>56</v>
      </c>
      <c r="G657" t="s">
        <v>106</v>
      </c>
      <c r="H657" t="s">
        <v>650</v>
      </c>
      <c r="I657" t="b">
        <v>0</v>
      </c>
      <c r="K657" t="s">
        <v>52</v>
      </c>
      <c r="L657" t="s">
        <v>2174</v>
      </c>
      <c r="O657" s="1">
        <v>46147</v>
      </c>
      <c r="P657" t="s">
        <v>2406</v>
      </c>
      <c r="Q657" t="s">
        <v>2407</v>
      </c>
      <c r="R657" t="s">
        <v>63</v>
      </c>
      <c r="S657" t="b">
        <v>0</v>
      </c>
      <c r="T657" t="b">
        <v>0</v>
      </c>
      <c r="U657" t="s">
        <v>2407</v>
      </c>
      <c r="V657" t="s">
        <v>102</v>
      </c>
      <c r="W657" t="s">
        <v>65</v>
      </c>
      <c r="X657" t="s">
        <v>2385</v>
      </c>
      <c r="Y657" t="s">
        <v>2386</v>
      </c>
      <c r="Z657" t="s">
        <v>2174</v>
      </c>
      <c r="AA657" t="b">
        <f>ISNUMBER(SEARCH(";"&amp;Lessons[[#This Row],[Instrument__c]]&amp;";",";"&amp;_xlfn.XLOOKUP(Lessons[[#This Row],[Instructor_External_Id__c]], Instructors[Id], Instructors[Instruments_Taught__c])&amp;";"))</f>
        <v>1</v>
      </c>
      <c r="AB657" t="str">
        <f>IF(LEFT(Lessons[[#This Row],[Status__c]],9)="Cancelled","",Lessons[[#This Row],[Instructor_External_Id__c]]&amp;"|"&amp;TEXT(Lessons[[#This Row],[Lesson_Date__c]],"yyyy-mm-dd")&amp;"|"&amp;Lessons[[#This Row],[Start_Time__c]])</f>
        <v>a06ak00000amzC9AAI|2026-05-05|16:00:00.000Z</v>
      </c>
      <c r="AC657">
        <f>IF(Lessons[[#This Row],[Double Booked Key]]="","",COUNTIF(Lessons[Double Booked Key],Lessons[[#This Row],[Double Booked Key]]))</f>
        <v>1</v>
      </c>
      <c r="AD657" s="6" t="str">
        <f>_xlfn.XLOOKUP(Lessons[[#This Row],[Location_External_Id__c]], Locations[Location Id], Locations[Location Name])</f>
        <v>Red Bank</v>
      </c>
      <c r="AE657" s="6" t="str">
        <f>TEXT(Lessons[[#This Row],[Lesson_Date__c]], "yyyy-mm")</f>
        <v>2026-05</v>
      </c>
      <c r="AF657" s="6" t="str">
        <f>IF(Lessons[[#This Row],[Lesson_Date__c]]&lt;=Data_Audit!$F$1, "Yes", "No")</f>
        <v>Yes</v>
      </c>
    </row>
    <row r="658" spans="1:32">
      <c r="A658" t="s">
        <v>52</v>
      </c>
      <c r="B658" t="s">
        <v>53</v>
      </c>
      <c r="C658">
        <v>30</v>
      </c>
      <c r="D658" t="s">
        <v>2408</v>
      </c>
      <c r="E658" t="s">
        <v>318</v>
      </c>
      <c r="F658" t="s">
        <v>319</v>
      </c>
      <c r="H658" t="s">
        <v>650</v>
      </c>
      <c r="I658" t="b">
        <v>0</v>
      </c>
      <c r="K658" t="s">
        <v>52</v>
      </c>
      <c r="L658" t="s">
        <v>79</v>
      </c>
      <c r="O658" s="1">
        <v>46288</v>
      </c>
      <c r="P658" t="s">
        <v>2409</v>
      </c>
      <c r="Q658" t="s">
        <v>2410</v>
      </c>
      <c r="R658" t="s">
        <v>63</v>
      </c>
      <c r="S658" t="b">
        <v>0</v>
      </c>
      <c r="T658" t="b">
        <v>0</v>
      </c>
      <c r="U658" t="s">
        <v>2410</v>
      </c>
      <c r="V658" t="s">
        <v>64</v>
      </c>
      <c r="W658" t="s">
        <v>65</v>
      </c>
      <c r="X658" t="s">
        <v>2385</v>
      </c>
      <c r="Y658" t="s">
        <v>2386</v>
      </c>
      <c r="Z658" t="s">
        <v>79</v>
      </c>
      <c r="AA658" t="b">
        <f>ISNUMBER(SEARCH(";"&amp;Lessons[[#This Row],[Instrument__c]]&amp;";",";"&amp;_xlfn.XLOOKUP(Lessons[[#This Row],[Instructor_External_Id__c]], Instructors[Id], Instructors[Instruments_Taught__c])&amp;";"))</f>
        <v>1</v>
      </c>
      <c r="AB658" t="str">
        <f>IF(LEFT(Lessons[[#This Row],[Status__c]],9)="Cancelled","",Lessons[[#This Row],[Instructor_External_Id__c]]&amp;"|"&amp;TEXT(Lessons[[#This Row],[Lesson_Date__c]],"yyyy-mm-dd")&amp;"|"&amp;Lessons[[#This Row],[Start_Time__c]])</f>
        <v>a06ak00000amzBzAAI|2026-09-23|11:00:00.000Z</v>
      </c>
      <c r="AC658">
        <f>IF(Lessons[[#This Row],[Double Booked Key]]="","",COUNTIF(Lessons[Double Booked Key],Lessons[[#This Row],[Double Booked Key]]))</f>
        <v>1</v>
      </c>
      <c r="AD658" s="6" t="str">
        <f>_xlfn.XLOOKUP(Lessons[[#This Row],[Location_External_Id__c]], Locations[Location Id], Locations[Location Name])</f>
        <v>Red Bank</v>
      </c>
      <c r="AE658" s="6" t="str">
        <f>TEXT(Lessons[[#This Row],[Lesson_Date__c]], "yyyy-mm")</f>
        <v>2026-09</v>
      </c>
      <c r="AF658" s="6" t="str">
        <f>IF(Lessons[[#This Row],[Lesson_Date__c]]&lt;=Data_Audit!$F$1, "Yes", "No")</f>
        <v>Yes</v>
      </c>
    </row>
    <row r="659" spans="1:32">
      <c r="A659" t="s">
        <v>52</v>
      </c>
      <c r="B659" t="s">
        <v>53</v>
      </c>
      <c r="C659">
        <v>45</v>
      </c>
      <c r="D659" t="s">
        <v>2411</v>
      </c>
      <c r="E659" t="s">
        <v>401</v>
      </c>
      <c r="F659" t="s">
        <v>402</v>
      </c>
      <c r="H659" t="s">
        <v>263</v>
      </c>
      <c r="I659" t="b">
        <v>0</v>
      </c>
      <c r="K659" t="s">
        <v>52</v>
      </c>
      <c r="L659" t="s">
        <v>2174</v>
      </c>
      <c r="O659" s="1">
        <v>46066</v>
      </c>
      <c r="P659" t="s">
        <v>2412</v>
      </c>
      <c r="Q659" t="s">
        <v>2413</v>
      </c>
      <c r="R659" t="s">
        <v>150</v>
      </c>
      <c r="S659" t="b">
        <v>0</v>
      </c>
      <c r="T659" t="b">
        <v>0</v>
      </c>
      <c r="U659" t="s">
        <v>2413</v>
      </c>
      <c r="V659" t="s">
        <v>84</v>
      </c>
      <c r="W659" t="s">
        <v>65</v>
      </c>
      <c r="X659" t="s">
        <v>2414</v>
      </c>
      <c r="Y659" t="s">
        <v>2415</v>
      </c>
      <c r="Z659" t="s">
        <v>2174</v>
      </c>
      <c r="AA659" t="b">
        <f>ISNUMBER(SEARCH(";"&amp;Lessons[[#This Row],[Instrument__c]]&amp;";",";"&amp;_xlfn.XLOOKUP(Lessons[[#This Row],[Instructor_External_Id__c]], Instructors[Id], Instructors[Instruments_Taught__c])&amp;";"))</f>
        <v>1</v>
      </c>
      <c r="AB659" t="str">
        <f>IF(LEFT(Lessons[[#This Row],[Status__c]],9)="Cancelled","",Lessons[[#This Row],[Instructor_External_Id__c]]&amp;"|"&amp;TEXT(Lessons[[#This Row],[Lesson_Date__c]],"yyyy-mm-dd")&amp;"|"&amp;Lessons[[#This Row],[Start_Time__c]])</f>
        <v>a06ak00000amzBfAAI|2026-02-13|17:00:00.000Z</v>
      </c>
      <c r="AC659">
        <f>IF(Lessons[[#This Row],[Double Booked Key]]="","",COUNTIF(Lessons[Double Booked Key],Lessons[[#This Row],[Double Booked Key]]))</f>
        <v>1</v>
      </c>
      <c r="AD659" s="6" t="str">
        <f>_xlfn.XLOOKUP(Lessons[[#This Row],[Location_External_Id__c]], Locations[Location Id], Locations[Location Name])</f>
        <v>Toms River</v>
      </c>
      <c r="AE659" s="6" t="str">
        <f>TEXT(Lessons[[#This Row],[Lesson_Date__c]], "yyyy-mm")</f>
        <v>2026-02</v>
      </c>
      <c r="AF659" s="6" t="str">
        <f>IF(Lessons[[#This Row],[Lesson_Date__c]]&lt;=Data_Audit!$F$1, "Yes", "No")</f>
        <v>Yes</v>
      </c>
    </row>
    <row r="660" spans="1:32">
      <c r="A660" t="s">
        <v>52</v>
      </c>
      <c r="B660" t="s">
        <v>53</v>
      </c>
      <c r="C660">
        <v>30</v>
      </c>
      <c r="D660" t="s">
        <v>2416</v>
      </c>
      <c r="E660" t="s">
        <v>401</v>
      </c>
      <c r="F660" t="s">
        <v>402</v>
      </c>
      <c r="G660" t="s">
        <v>164</v>
      </c>
      <c r="H660" t="s">
        <v>263</v>
      </c>
      <c r="I660" t="b">
        <v>0</v>
      </c>
      <c r="K660" t="s">
        <v>52</v>
      </c>
      <c r="L660" t="s">
        <v>2174</v>
      </c>
      <c r="O660" s="1">
        <v>46066</v>
      </c>
      <c r="P660" t="s">
        <v>2417</v>
      </c>
      <c r="Q660" t="s">
        <v>2418</v>
      </c>
      <c r="R660" t="s">
        <v>150</v>
      </c>
      <c r="S660" t="b">
        <v>0</v>
      </c>
      <c r="T660" t="b">
        <v>0</v>
      </c>
      <c r="U660" t="s">
        <v>2418</v>
      </c>
      <c r="V660" t="s">
        <v>120</v>
      </c>
      <c r="W660" t="s">
        <v>65</v>
      </c>
      <c r="X660" t="s">
        <v>2414</v>
      </c>
      <c r="Y660" t="s">
        <v>2415</v>
      </c>
      <c r="Z660" t="s">
        <v>2174</v>
      </c>
      <c r="AA660" t="b">
        <f>ISNUMBER(SEARCH(";"&amp;Lessons[[#This Row],[Instrument__c]]&amp;";",";"&amp;_xlfn.XLOOKUP(Lessons[[#This Row],[Instructor_External_Id__c]], Instructors[Id], Instructors[Instruments_Taught__c])&amp;";"))</f>
        <v>1</v>
      </c>
      <c r="AB660" t="str">
        <f>IF(LEFT(Lessons[[#This Row],[Status__c]],9)="Cancelled","",Lessons[[#This Row],[Instructor_External_Id__c]]&amp;"|"&amp;TEXT(Lessons[[#This Row],[Lesson_Date__c]],"yyyy-mm-dd")&amp;"|"&amp;Lessons[[#This Row],[Start_Time__c]])</f>
        <v>a06ak00000amzBfAAI|2026-02-13|18:00:00.000Z</v>
      </c>
      <c r="AC660">
        <f>IF(Lessons[[#This Row],[Double Booked Key]]="","",COUNTIF(Lessons[Double Booked Key],Lessons[[#This Row],[Double Booked Key]]))</f>
        <v>1</v>
      </c>
      <c r="AD660" s="6" t="str">
        <f>_xlfn.XLOOKUP(Lessons[[#This Row],[Location_External_Id__c]], Locations[Location Id], Locations[Location Name])</f>
        <v>Toms River</v>
      </c>
      <c r="AE660" s="6" t="str">
        <f>TEXT(Lessons[[#This Row],[Lesson_Date__c]], "yyyy-mm")</f>
        <v>2026-02</v>
      </c>
      <c r="AF660" s="6" t="str">
        <f>IF(Lessons[[#This Row],[Lesson_Date__c]]&lt;=Data_Audit!$F$1, "Yes", "No")</f>
        <v>Yes</v>
      </c>
    </row>
    <row r="661" spans="1:32">
      <c r="A661" t="s">
        <v>52</v>
      </c>
      <c r="B661" t="s">
        <v>53</v>
      </c>
      <c r="C661">
        <v>45</v>
      </c>
      <c r="D661" t="s">
        <v>2419</v>
      </c>
      <c r="E661" t="s">
        <v>777</v>
      </c>
      <c r="F661" t="s">
        <v>778</v>
      </c>
      <c r="G661" t="s">
        <v>106</v>
      </c>
      <c r="H661" t="s">
        <v>527</v>
      </c>
      <c r="I661" t="b">
        <v>0</v>
      </c>
      <c r="K661" t="s">
        <v>52</v>
      </c>
      <c r="L661" t="s">
        <v>2174</v>
      </c>
      <c r="O661" s="1">
        <v>46272</v>
      </c>
      <c r="P661" t="s">
        <v>2420</v>
      </c>
      <c r="Q661" t="s">
        <v>2421</v>
      </c>
      <c r="R661" t="s">
        <v>150</v>
      </c>
      <c r="S661" t="b">
        <v>0</v>
      </c>
      <c r="T661" t="b">
        <v>0</v>
      </c>
      <c r="U661" t="s">
        <v>2421</v>
      </c>
      <c r="V661" t="s">
        <v>110</v>
      </c>
      <c r="W661" t="s">
        <v>65</v>
      </c>
      <c r="X661" t="s">
        <v>2422</v>
      </c>
      <c r="Y661" t="s">
        <v>2423</v>
      </c>
      <c r="Z661" t="s">
        <v>2174</v>
      </c>
      <c r="AA661" t="b">
        <f>ISNUMBER(SEARCH(";"&amp;Lessons[[#This Row],[Instrument__c]]&amp;";",";"&amp;_xlfn.XLOOKUP(Lessons[[#This Row],[Instructor_External_Id__c]], Instructors[Id], Instructors[Instruments_Taught__c])&amp;";"))</f>
        <v>1</v>
      </c>
      <c r="AB661" t="str">
        <f>IF(LEFT(Lessons[[#This Row],[Status__c]],9)="Cancelled","",Lessons[[#This Row],[Instructor_External_Id__c]]&amp;"|"&amp;TEXT(Lessons[[#This Row],[Lesson_Date__c]],"yyyy-mm-dd")&amp;"|"&amp;Lessons[[#This Row],[Start_Time__c]])</f>
        <v>a06ak00000amzByAAI|2026-09-07|10:00:00.000Z</v>
      </c>
      <c r="AC661">
        <f>IF(Lessons[[#This Row],[Double Booked Key]]="","",COUNTIF(Lessons[Double Booked Key],Lessons[[#This Row],[Double Booked Key]]))</f>
        <v>1</v>
      </c>
      <c r="AD661" s="6" t="str">
        <f>_xlfn.XLOOKUP(Lessons[[#This Row],[Location_External_Id__c]], Locations[Location Id], Locations[Location Name])</f>
        <v>Toms River</v>
      </c>
      <c r="AE661" s="6" t="str">
        <f>TEXT(Lessons[[#This Row],[Lesson_Date__c]], "yyyy-mm")</f>
        <v>2026-09</v>
      </c>
      <c r="AF661" s="6" t="str">
        <f>IF(Lessons[[#This Row],[Lesson_Date__c]]&lt;=Data_Audit!$F$1, "Yes", "No")</f>
        <v>Yes</v>
      </c>
    </row>
    <row r="662" spans="1:32">
      <c r="A662" t="s">
        <v>52</v>
      </c>
      <c r="B662" t="s">
        <v>53</v>
      </c>
      <c r="C662">
        <v>60</v>
      </c>
      <c r="D662" t="s">
        <v>2424</v>
      </c>
      <c r="E662" t="s">
        <v>777</v>
      </c>
      <c r="F662" t="s">
        <v>778</v>
      </c>
      <c r="G662" t="s">
        <v>106</v>
      </c>
      <c r="H662" t="s">
        <v>527</v>
      </c>
      <c r="I662" t="b">
        <v>0</v>
      </c>
      <c r="K662" t="s">
        <v>52</v>
      </c>
      <c r="L662" t="s">
        <v>2174</v>
      </c>
      <c r="O662" s="1">
        <v>46153</v>
      </c>
      <c r="P662" t="s">
        <v>2425</v>
      </c>
      <c r="Q662" t="s">
        <v>2426</v>
      </c>
      <c r="R662" t="s">
        <v>150</v>
      </c>
      <c r="S662" t="b">
        <v>0</v>
      </c>
      <c r="T662" t="b">
        <v>0</v>
      </c>
      <c r="U662" t="s">
        <v>2426</v>
      </c>
      <c r="V662" t="s">
        <v>84</v>
      </c>
      <c r="W662" t="s">
        <v>65</v>
      </c>
      <c r="X662" t="s">
        <v>2422</v>
      </c>
      <c r="Y662" t="s">
        <v>2423</v>
      </c>
      <c r="Z662" t="s">
        <v>2174</v>
      </c>
      <c r="AA662" t="b">
        <f>ISNUMBER(SEARCH(";"&amp;Lessons[[#This Row],[Instrument__c]]&amp;";",";"&amp;_xlfn.XLOOKUP(Lessons[[#This Row],[Instructor_External_Id__c]], Instructors[Id], Instructors[Instruments_Taught__c])&amp;";"))</f>
        <v>1</v>
      </c>
      <c r="AB662" t="str">
        <f>IF(LEFT(Lessons[[#This Row],[Status__c]],9)="Cancelled","",Lessons[[#This Row],[Instructor_External_Id__c]]&amp;"|"&amp;TEXT(Lessons[[#This Row],[Lesson_Date__c]],"yyyy-mm-dd")&amp;"|"&amp;Lessons[[#This Row],[Start_Time__c]])</f>
        <v>a06ak00000amzByAAI|2026-05-11|17:00:00.000Z</v>
      </c>
      <c r="AC662">
        <f>IF(Lessons[[#This Row],[Double Booked Key]]="","",COUNTIF(Lessons[Double Booked Key],Lessons[[#This Row],[Double Booked Key]]))</f>
        <v>1</v>
      </c>
      <c r="AD662" s="6" t="str">
        <f>_xlfn.XLOOKUP(Lessons[[#This Row],[Location_External_Id__c]], Locations[Location Id], Locations[Location Name])</f>
        <v>Toms River</v>
      </c>
      <c r="AE662" s="6" t="str">
        <f>TEXT(Lessons[[#This Row],[Lesson_Date__c]], "yyyy-mm")</f>
        <v>2026-05</v>
      </c>
      <c r="AF662" s="6" t="str">
        <f>IF(Lessons[[#This Row],[Lesson_Date__c]]&lt;=Data_Audit!$F$1, "Yes", "No")</f>
        <v>Yes</v>
      </c>
    </row>
    <row r="663" spans="1:32">
      <c r="A663" t="s">
        <v>52</v>
      </c>
      <c r="B663" t="s">
        <v>53</v>
      </c>
      <c r="C663">
        <v>30</v>
      </c>
      <c r="D663" t="s">
        <v>2427</v>
      </c>
      <c r="E663" t="s">
        <v>104</v>
      </c>
      <c r="F663" t="s">
        <v>105</v>
      </c>
      <c r="H663" t="s">
        <v>107</v>
      </c>
      <c r="I663" t="b">
        <v>0</v>
      </c>
      <c r="K663" t="s">
        <v>52</v>
      </c>
      <c r="L663" t="s">
        <v>171</v>
      </c>
      <c r="O663" s="1">
        <v>46186</v>
      </c>
      <c r="P663" t="s">
        <v>2428</v>
      </c>
      <c r="Q663" t="s">
        <v>2429</v>
      </c>
      <c r="R663" t="s">
        <v>83</v>
      </c>
      <c r="S663" t="b">
        <v>1</v>
      </c>
      <c r="T663" t="b">
        <v>1</v>
      </c>
      <c r="U663" t="s">
        <v>2429</v>
      </c>
      <c r="V663" t="s">
        <v>64</v>
      </c>
      <c r="W663" t="s">
        <v>136</v>
      </c>
      <c r="X663" t="s">
        <v>2430</v>
      </c>
      <c r="Y663" t="s">
        <v>2431</v>
      </c>
      <c r="Z663" t="s">
        <v>171</v>
      </c>
      <c r="AA663" t="b">
        <f>ISNUMBER(SEARCH(";"&amp;Lessons[[#This Row],[Instrument__c]]&amp;";",";"&amp;_xlfn.XLOOKUP(Lessons[[#This Row],[Instructor_External_Id__c]], Instructors[Id], Instructors[Instruments_Taught__c])&amp;";"))</f>
        <v>1</v>
      </c>
      <c r="AB663" t="str">
        <f>IF(LEFT(Lessons[[#This Row],[Status__c]],9)="Cancelled","",Lessons[[#This Row],[Instructor_External_Id__c]]&amp;"|"&amp;TEXT(Lessons[[#This Row],[Lesson_Date__c]],"yyyy-mm-dd")&amp;"|"&amp;Lessons[[#This Row],[Start_Time__c]])</f>
        <v/>
      </c>
      <c r="AC663" t="str">
        <f>IF(Lessons[[#This Row],[Double Booked Key]]="","",COUNTIF(Lessons[Double Booked Key],Lessons[[#This Row],[Double Booked Key]]))</f>
        <v/>
      </c>
      <c r="AD663" s="6" t="str">
        <f>_xlfn.XLOOKUP(Lessons[[#This Row],[Location_External_Id__c]], Locations[Location Id], Locations[Location Name])</f>
        <v>Brick</v>
      </c>
      <c r="AE663" s="6" t="str">
        <f>TEXT(Lessons[[#This Row],[Lesson_Date__c]], "yyyy-mm")</f>
        <v>2026-06</v>
      </c>
      <c r="AF663" s="6" t="str">
        <f>IF(Lessons[[#This Row],[Lesson_Date__c]]&lt;=Data_Audit!$F$1, "Yes", "No")</f>
        <v>Yes</v>
      </c>
    </row>
    <row r="664" spans="1:32">
      <c r="A664" t="s">
        <v>52</v>
      </c>
      <c r="B664" t="s">
        <v>53</v>
      </c>
      <c r="C664">
        <v>30</v>
      </c>
      <c r="D664" t="s">
        <v>2432</v>
      </c>
      <c r="E664" t="s">
        <v>104</v>
      </c>
      <c r="F664" t="s">
        <v>105</v>
      </c>
      <c r="G664" t="s">
        <v>99</v>
      </c>
      <c r="H664" t="s">
        <v>107</v>
      </c>
      <c r="I664" t="b">
        <v>0</v>
      </c>
      <c r="K664" t="s">
        <v>52</v>
      </c>
      <c r="L664" t="s">
        <v>2174</v>
      </c>
      <c r="O664" s="1">
        <v>46090</v>
      </c>
      <c r="P664" t="s">
        <v>2433</v>
      </c>
      <c r="Q664" t="s">
        <v>2434</v>
      </c>
      <c r="R664" t="s">
        <v>83</v>
      </c>
      <c r="S664" t="b">
        <v>0</v>
      </c>
      <c r="T664" t="b">
        <v>0</v>
      </c>
      <c r="U664" t="s">
        <v>2434</v>
      </c>
      <c r="V664" t="s">
        <v>110</v>
      </c>
      <c r="W664" t="s">
        <v>65</v>
      </c>
      <c r="X664" t="s">
        <v>2430</v>
      </c>
      <c r="Y664" t="s">
        <v>2431</v>
      </c>
      <c r="Z664" t="s">
        <v>2174</v>
      </c>
      <c r="AA664" t="b">
        <f>ISNUMBER(SEARCH(";"&amp;Lessons[[#This Row],[Instrument__c]]&amp;";",";"&amp;_xlfn.XLOOKUP(Lessons[[#This Row],[Instructor_External_Id__c]], Instructors[Id], Instructors[Instruments_Taught__c])&amp;";"))</f>
        <v>1</v>
      </c>
      <c r="AB664" t="str">
        <f>IF(LEFT(Lessons[[#This Row],[Status__c]],9)="Cancelled","",Lessons[[#This Row],[Instructor_External_Id__c]]&amp;"|"&amp;TEXT(Lessons[[#This Row],[Lesson_Date__c]],"yyyy-mm-dd")&amp;"|"&amp;Lessons[[#This Row],[Start_Time__c]])</f>
        <v>a06ak00000amzBeAAI|2026-03-09|10:00:00.000Z</v>
      </c>
      <c r="AC664">
        <f>IF(Lessons[[#This Row],[Double Booked Key]]="","",COUNTIF(Lessons[Double Booked Key],Lessons[[#This Row],[Double Booked Key]]))</f>
        <v>1</v>
      </c>
      <c r="AD664" s="6" t="str">
        <f>_xlfn.XLOOKUP(Lessons[[#This Row],[Location_External_Id__c]], Locations[Location Id], Locations[Location Name])</f>
        <v>Brick</v>
      </c>
      <c r="AE664" s="6" t="str">
        <f>TEXT(Lessons[[#This Row],[Lesson_Date__c]], "yyyy-mm")</f>
        <v>2026-03</v>
      </c>
      <c r="AF664" s="6" t="str">
        <f>IF(Lessons[[#This Row],[Lesson_Date__c]]&lt;=Data_Audit!$F$1, "Yes", "No")</f>
        <v>Yes</v>
      </c>
    </row>
    <row r="665" spans="1:32">
      <c r="A665" t="s">
        <v>52</v>
      </c>
      <c r="B665" t="s">
        <v>53</v>
      </c>
      <c r="C665">
        <v>30</v>
      </c>
      <c r="D665" t="s">
        <v>2435</v>
      </c>
      <c r="E665" t="s">
        <v>104</v>
      </c>
      <c r="F665" t="s">
        <v>105</v>
      </c>
      <c r="G665" t="s">
        <v>69</v>
      </c>
      <c r="H665" t="s">
        <v>107</v>
      </c>
      <c r="I665" t="b">
        <v>0</v>
      </c>
      <c r="K665" t="s">
        <v>52</v>
      </c>
      <c r="L665" t="s">
        <v>2174</v>
      </c>
      <c r="O665" s="1">
        <v>46081</v>
      </c>
      <c r="P665" t="s">
        <v>2436</v>
      </c>
      <c r="Q665" t="s">
        <v>2437</v>
      </c>
      <c r="R665" t="s">
        <v>83</v>
      </c>
      <c r="S665" t="b">
        <v>0</v>
      </c>
      <c r="T665" t="b">
        <v>0</v>
      </c>
      <c r="U665" t="s">
        <v>2437</v>
      </c>
      <c r="V665" t="s">
        <v>102</v>
      </c>
      <c r="W665" t="s">
        <v>65</v>
      </c>
      <c r="X665" t="s">
        <v>2430</v>
      </c>
      <c r="Y665" t="s">
        <v>2431</v>
      </c>
      <c r="Z665" t="s">
        <v>2174</v>
      </c>
      <c r="AA665" t="b">
        <f>ISNUMBER(SEARCH(";"&amp;Lessons[[#This Row],[Instrument__c]]&amp;";",";"&amp;_xlfn.XLOOKUP(Lessons[[#This Row],[Instructor_External_Id__c]], Instructors[Id], Instructors[Instruments_Taught__c])&amp;";"))</f>
        <v>1</v>
      </c>
      <c r="AB665" t="str">
        <f>IF(LEFT(Lessons[[#This Row],[Status__c]],9)="Cancelled","",Lessons[[#This Row],[Instructor_External_Id__c]]&amp;"|"&amp;TEXT(Lessons[[#This Row],[Lesson_Date__c]],"yyyy-mm-dd")&amp;"|"&amp;Lessons[[#This Row],[Start_Time__c]])</f>
        <v>a06ak00000amzBeAAI|2026-02-28|16:00:00.000Z</v>
      </c>
      <c r="AC665">
        <f>IF(Lessons[[#This Row],[Double Booked Key]]="","",COUNTIF(Lessons[Double Booked Key],Lessons[[#This Row],[Double Booked Key]]))</f>
        <v>1</v>
      </c>
      <c r="AD665" s="6" t="str">
        <f>_xlfn.XLOOKUP(Lessons[[#This Row],[Location_External_Id__c]], Locations[Location Id], Locations[Location Name])</f>
        <v>Brick</v>
      </c>
      <c r="AE665" s="6" t="str">
        <f>TEXT(Lessons[[#This Row],[Lesson_Date__c]], "yyyy-mm")</f>
        <v>2026-02</v>
      </c>
      <c r="AF665" s="6" t="str">
        <f>IF(Lessons[[#This Row],[Lesson_Date__c]]&lt;=Data_Audit!$F$1, "Yes", "No")</f>
        <v>Yes</v>
      </c>
    </row>
    <row r="666" spans="1:32">
      <c r="A666" t="s">
        <v>52</v>
      </c>
      <c r="B666" t="s">
        <v>53</v>
      </c>
      <c r="C666">
        <v>60</v>
      </c>
      <c r="D666" t="s">
        <v>2438</v>
      </c>
      <c r="E666" t="s">
        <v>104</v>
      </c>
      <c r="F666" t="s">
        <v>105</v>
      </c>
      <c r="G666" t="s">
        <v>69</v>
      </c>
      <c r="H666" t="s">
        <v>107</v>
      </c>
      <c r="I666" t="b">
        <v>0</v>
      </c>
      <c r="K666" t="s">
        <v>52</v>
      </c>
      <c r="L666" t="s">
        <v>2174</v>
      </c>
      <c r="O666" s="1">
        <v>46219</v>
      </c>
      <c r="P666" t="s">
        <v>2439</v>
      </c>
      <c r="Q666" t="s">
        <v>2440</v>
      </c>
      <c r="R666" t="s">
        <v>83</v>
      </c>
      <c r="S666" t="b">
        <v>0</v>
      </c>
      <c r="T666" t="b">
        <v>0</v>
      </c>
      <c r="U666" t="s">
        <v>2440</v>
      </c>
      <c r="V666" t="s">
        <v>135</v>
      </c>
      <c r="W666" t="s">
        <v>65</v>
      </c>
      <c r="X666" t="s">
        <v>2430</v>
      </c>
      <c r="Y666" t="s">
        <v>2431</v>
      </c>
      <c r="Z666" t="s">
        <v>2174</v>
      </c>
      <c r="AA666" t="b">
        <f>ISNUMBER(SEARCH(";"&amp;Lessons[[#This Row],[Instrument__c]]&amp;";",";"&amp;_xlfn.XLOOKUP(Lessons[[#This Row],[Instructor_External_Id__c]], Instructors[Id], Instructors[Instruments_Taught__c])&amp;";"))</f>
        <v>1</v>
      </c>
      <c r="AB666" t="str">
        <f>IF(LEFT(Lessons[[#This Row],[Status__c]],9)="Cancelled","",Lessons[[#This Row],[Instructor_External_Id__c]]&amp;"|"&amp;TEXT(Lessons[[#This Row],[Lesson_Date__c]],"yyyy-mm-dd")&amp;"|"&amp;Lessons[[#This Row],[Start_Time__c]])</f>
        <v>a06ak00000amzBeAAI|2026-07-16|15:30:00.000Z</v>
      </c>
      <c r="AC666">
        <f>IF(Lessons[[#This Row],[Double Booked Key]]="","",COUNTIF(Lessons[Double Booked Key],Lessons[[#This Row],[Double Booked Key]]))</f>
        <v>1</v>
      </c>
      <c r="AD666" s="6" t="str">
        <f>_xlfn.XLOOKUP(Lessons[[#This Row],[Location_External_Id__c]], Locations[Location Id], Locations[Location Name])</f>
        <v>Brick</v>
      </c>
      <c r="AE666" s="6" t="str">
        <f>TEXT(Lessons[[#This Row],[Lesson_Date__c]], "yyyy-mm")</f>
        <v>2026-07</v>
      </c>
      <c r="AF666" s="6" t="str">
        <f>IF(Lessons[[#This Row],[Lesson_Date__c]]&lt;=Data_Audit!$F$1, "Yes", "No")</f>
        <v>Yes</v>
      </c>
    </row>
    <row r="667" spans="1:32">
      <c r="A667" t="s">
        <v>52</v>
      </c>
      <c r="B667" t="s">
        <v>53</v>
      </c>
      <c r="C667">
        <v>45</v>
      </c>
      <c r="D667" t="s">
        <v>2441</v>
      </c>
      <c r="E667" t="s">
        <v>104</v>
      </c>
      <c r="F667" t="s">
        <v>105</v>
      </c>
      <c r="G667" t="s">
        <v>57</v>
      </c>
      <c r="H667" t="s">
        <v>107</v>
      </c>
      <c r="I667" t="b">
        <v>0</v>
      </c>
      <c r="K667" t="s">
        <v>52</v>
      </c>
      <c r="L667" t="s">
        <v>2174</v>
      </c>
      <c r="O667" s="1">
        <v>46095</v>
      </c>
      <c r="P667" t="s">
        <v>2442</v>
      </c>
      <c r="Q667" t="s">
        <v>2443</v>
      </c>
      <c r="R667" t="s">
        <v>83</v>
      </c>
      <c r="S667" t="b">
        <v>0</v>
      </c>
      <c r="T667" t="b">
        <v>0</v>
      </c>
      <c r="U667" t="s">
        <v>2443</v>
      </c>
      <c r="V667" t="s">
        <v>116</v>
      </c>
      <c r="W667" t="s">
        <v>65</v>
      </c>
      <c r="X667" t="s">
        <v>2430</v>
      </c>
      <c r="Y667" t="s">
        <v>2431</v>
      </c>
      <c r="Z667" t="s">
        <v>2174</v>
      </c>
      <c r="AA667" t="b">
        <f>ISNUMBER(SEARCH(";"&amp;Lessons[[#This Row],[Instrument__c]]&amp;";",";"&amp;_xlfn.XLOOKUP(Lessons[[#This Row],[Instructor_External_Id__c]], Instructors[Id], Instructors[Instruments_Taught__c])&amp;";"))</f>
        <v>1</v>
      </c>
      <c r="AB667" t="str">
        <f>IF(LEFT(Lessons[[#This Row],[Status__c]],9)="Cancelled","",Lessons[[#This Row],[Instructor_External_Id__c]]&amp;"|"&amp;TEXT(Lessons[[#This Row],[Lesson_Date__c]],"yyyy-mm-dd")&amp;"|"&amp;Lessons[[#This Row],[Start_Time__c]])</f>
        <v>a06ak00000amzBeAAI|2026-03-14|17:30:00.000Z</v>
      </c>
      <c r="AC667">
        <f>IF(Lessons[[#This Row],[Double Booked Key]]="","",COUNTIF(Lessons[Double Booked Key],Lessons[[#This Row],[Double Booked Key]]))</f>
        <v>1</v>
      </c>
      <c r="AD667" s="6" t="str">
        <f>_xlfn.XLOOKUP(Lessons[[#This Row],[Location_External_Id__c]], Locations[Location Id], Locations[Location Name])</f>
        <v>Brick</v>
      </c>
      <c r="AE667" s="6" t="str">
        <f>TEXT(Lessons[[#This Row],[Lesson_Date__c]], "yyyy-mm")</f>
        <v>2026-03</v>
      </c>
      <c r="AF667" s="6" t="str">
        <f>IF(Lessons[[#This Row],[Lesson_Date__c]]&lt;=Data_Audit!$F$1, "Yes", "No")</f>
        <v>Yes</v>
      </c>
    </row>
    <row r="668" spans="1:32">
      <c r="A668" t="s">
        <v>52</v>
      </c>
      <c r="B668" t="s">
        <v>53</v>
      </c>
      <c r="C668">
        <v>45</v>
      </c>
      <c r="D668" t="s">
        <v>2444</v>
      </c>
      <c r="E668" t="s">
        <v>104</v>
      </c>
      <c r="F668" t="s">
        <v>105</v>
      </c>
      <c r="G668" t="s">
        <v>69</v>
      </c>
      <c r="H668" t="s">
        <v>107</v>
      </c>
      <c r="I668" t="b">
        <v>0</v>
      </c>
      <c r="K668" t="s">
        <v>52</v>
      </c>
      <c r="L668" t="s">
        <v>2174</v>
      </c>
      <c r="O668" s="1">
        <v>46161</v>
      </c>
      <c r="P668" t="s">
        <v>2445</v>
      </c>
      <c r="Q668" t="s">
        <v>2446</v>
      </c>
      <c r="R668" t="s">
        <v>83</v>
      </c>
      <c r="S668" t="b">
        <v>0</v>
      </c>
      <c r="T668" t="b">
        <v>0</v>
      </c>
      <c r="U668" t="s">
        <v>2446</v>
      </c>
      <c r="V668" t="s">
        <v>94</v>
      </c>
      <c r="W668" t="s">
        <v>65</v>
      </c>
      <c r="X668" t="s">
        <v>2430</v>
      </c>
      <c r="Y668" t="s">
        <v>2431</v>
      </c>
      <c r="Z668" t="s">
        <v>2174</v>
      </c>
      <c r="AA668" t="b">
        <f>ISNUMBER(SEARCH(";"&amp;Lessons[[#This Row],[Instrument__c]]&amp;";",";"&amp;_xlfn.XLOOKUP(Lessons[[#This Row],[Instructor_External_Id__c]], Instructors[Id], Instructors[Instruments_Taught__c])&amp;";"))</f>
        <v>1</v>
      </c>
      <c r="AB668" t="str">
        <f>IF(LEFT(Lessons[[#This Row],[Status__c]],9)="Cancelled","",Lessons[[#This Row],[Instructor_External_Id__c]]&amp;"|"&amp;TEXT(Lessons[[#This Row],[Lesson_Date__c]],"yyyy-mm-dd")&amp;"|"&amp;Lessons[[#This Row],[Start_Time__c]])</f>
        <v>a06ak00000amzBeAAI|2026-05-19|19:00:00.000Z</v>
      </c>
      <c r="AC668">
        <f>IF(Lessons[[#This Row],[Double Booked Key]]="","",COUNTIF(Lessons[Double Booked Key],Lessons[[#This Row],[Double Booked Key]]))</f>
        <v>1</v>
      </c>
      <c r="AD668" s="6" t="str">
        <f>_xlfn.XLOOKUP(Lessons[[#This Row],[Location_External_Id__c]], Locations[Location Id], Locations[Location Name])</f>
        <v>Brick</v>
      </c>
      <c r="AE668" s="6" t="str">
        <f>TEXT(Lessons[[#This Row],[Lesson_Date__c]], "yyyy-mm")</f>
        <v>2026-05</v>
      </c>
      <c r="AF668" s="6" t="str">
        <f>IF(Lessons[[#This Row],[Lesson_Date__c]]&lt;=Data_Audit!$F$1, "Yes", "No")</f>
        <v>Yes</v>
      </c>
    </row>
    <row r="669" spans="1:32">
      <c r="A669" t="s">
        <v>52</v>
      </c>
      <c r="B669" t="s">
        <v>53</v>
      </c>
      <c r="C669">
        <v>30</v>
      </c>
      <c r="D669" t="s">
        <v>2447</v>
      </c>
      <c r="E669" t="s">
        <v>104</v>
      </c>
      <c r="F669" t="s">
        <v>105</v>
      </c>
      <c r="G669" t="s">
        <v>57</v>
      </c>
      <c r="H669" t="s">
        <v>107</v>
      </c>
      <c r="I669" t="b">
        <v>0</v>
      </c>
      <c r="K669" t="s">
        <v>52</v>
      </c>
      <c r="L669" t="s">
        <v>2174</v>
      </c>
      <c r="O669" s="1">
        <v>46066</v>
      </c>
      <c r="P669" t="s">
        <v>2448</v>
      </c>
      <c r="Q669" t="s">
        <v>2449</v>
      </c>
      <c r="R669" t="s">
        <v>83</v>
      </c>
      <c r="S669" t="b">
        <v>0</v>
      </c>
      <c r="T669" t="b">
        <v>0</v>
      </c>
      <c r="U669" t="s">
        <v>2449</v>
      </c>
      <c r="V669" t="s">
        <v>140</v>
      </c>
      <c r="W669" t="s">
        <v>65</v>
      </c>
      <c r="X669" t="s">
        <v>2430</v>
      </c>
      <c r="Y669" t="s">
        <v>2431</v>
      </c>
      <c r="Z669" t="s">
        <v>2174</v>
      </c>
      <c r="AA669" t="b">
        <f>ISNUMBER(SEARCH(";"&amp;Lessons[[#This Row],[Instrument__c]]&amp;";",";"&amp;_xlfn.XLOOKUP(Lessons[[#This Row],[Instructor_External_Id__c]], Instructors[Id], Instructors[Instruments_Taught__c])&amp;";"))</f>
        <v>1</v>
      </c>
      <c r="AB669" t="str">
        <f>IF(LEFT(Lessons[[#This Row],[Status__c]],9)="Cancelled","",Lessons[[#This Row],[Instructor_External_Id__c]]&amp;"|"&amp;TEXT(Lessons[[#This Row],[Lesson_Date__c]],"yyyy-mm-dd")&amp;"|"&amp;Lessons[[#This Row],[Start_Time__c]])</f>
        <v>a06ak00000amzBeAAI|2026-02-13|15:00:00.000Z</v>
      </c>
      <c r="AC669">
        <f>IF(Lessons[[#This Row],[Double Booked Key]]="","",COUNTIF(Lessons[Double Booked Key],Lessons[[#This Row],[Double Booked Key]]))</f>
        <v>1</v>
      </c>
      <c r="AD669" s="6" t="str">
        <f>_xlfn.XLOOKUP(Lessons[[#This Row],[Location_External_Id__c]], Locations[Location Id], Locations[Location Name])</f>
        <v>Brick</v>
      </c>
      <c r="AE669" s="6" t="str">
        <f>TEXT(Lessons[[#This Row],[Lesson_Date__c]], "yyyy-mm")</f>
        <v>2026-02</v>
      </c>
      <c r="AF669" s="6" t="str">
        <f>IF(Lessons[[#This Row],[Lesson_Date__c]]&lt;=Data_Audit!$F$1, "Yes", "No")</f>
        <v>Yes</v>
      </c>
    </row>
    <row r="670" spans="1:32">
      <c r="A670" t="s">
        <v>52</v>
      </c>
      <c r="B670" t="s">
        <v>53</v>
      </c>
      <c r="C670">
        <v>30</v>
      </c>
      <c r="D670" t="s">
        <v>2450</v>
      </c>
      <c r="E670" t="s">
        <v>104</v>
      </c>
      <c r="F670" t="s">
        <v>105</v>
      </c>
      <c r="H670" t="s">
        <v>107</v>
      </c>
      <c r="I670" t="b">
        <v>0</v>
      </c>
      <c r="K670" t="s">
        <v>52</v>
      </c>
      <c r="L670" t="s">
        <v>2174</v>
      </c>
      <c r="O670" s="1">
        <v>46141</v>
      </c>
      <c r="P670" t="s">
        <v>2451</v>
      </c>
      <c r="Q670" t="s">
        <v>2452</v>
      </c>
      <c r="R670" t="s">
        <v>83</v>
      </c>
      <c r="S670" t="b">
        <v>0</v>
      </c>
      <c r="T670" t="b">
        <v>0</v>
      </c>
      <c r="U670" t="s">
        <v>2452</v>
      </c>
      <c r="V670" t="s">
        <v>128</v>
      </c>
      <c r="W670" t="s">
        <v>65</v>
      </c>
      <c r="X670" t="s">
        <v>2430</v>
      </c>
      <c r="Y670" t="s">
        <v>2431</v>
      </c>
      <c r="Z670" t="s">
        <v>2174</v>
      </c>
      <c r="AA670" t="b">
        <f>ISNUMBER(SEARCH(";"&amp;Lessons[[#This Row],[Instrument__c]]&amp;";",";"&amp;_xlfn.XLOOKUP(Lessons[[#This Row],[Instructor_External_Id__c]], Instructors[Id], Instructors[Instruments_Taught__c])&amp;";"))</f>
        <v>1</v>
      </c>
      <c r="AB670" t="str">
        <f>IF(LEFT(Lessons[[#This Row],[Status__c]],9)="Cancelled","",Lessons[[#This Row],[Instructor_External_Id__c]]&amp;"|"&amp;TEXT(Lessons[[#This Row],[Lesson_Date__c]],"yyyy-mm-dd")&amp;"|"&amp;Lessons[[#This Row],[Start_Time__c]])</f>
        <v>a06ak00000amzBeAAI|2026-04-29|18:30:00.000Z</v>
      </c>
      <c r="AC670">
        <f>IF(Lessons[[#This Row],[Double Booked Key]]="","",COUNTIF(Lessons[Double Booked Key],Lessons[[#This Row],[Double Booked Key]]))</f>
        <v>1</v>
      </c>
      <c r="AD670" s="6" t="str">
        <f>_xlfn.XLOOKUP(Lessons[[#This Row],[Location_External_Id__c]], Locations[Location Id], Locations[Location Name])</f>
        <v>Brick</v>
      </c>
      <c r="AE670" s="6" t="str">
        <f>TEXT(Lessons[[#This Row],[Lesson_Date__c]], "yyyy-mm")</f>
        <v>2026-04</v>
      </c>
      <c r="AF670" s="6" t="str">
        <f>IF(Lessons[[#This Row],[Lesson_Date__c]]&lt;=Data_Audit!$F$1, "Yes", "No")</f>
        <v>Yes</v>
      </c>
    </row>
    <row r="671" spans="1:32">
      <c r="A671" t="s">
        <v>52</v>
      </c>
      <c r="B671" t="s">
        <v>53</v>
      </c>
      <c r="C671">
        <v>30</v>
      </c>
      <c r="D671" t="s">
        <v>2453</v>
      </c>
      <c r="E671" t="s">
        <v>548</v>
      </c>
      <c r="F671" t="s">
        <v>549</v>
      </c>
      <c r="H671" t="s">
        <v>203</v>
      </c>
      <c r="I671" t="b">
        <v>0</v>
      </c>
      <c r="K671" t="s">
        <v>52</v>
      </c>
      <c r="L671" t="s">
        <v>2174</v>
      </c>
      <c r="O671" s="1">
        <v>46256</v>
      </c>
      <c r="P671" t="s">
        <v>2454</v>
      </c>
      <c r="Q671" t="s">
        <v>2455</v>
      </c>
      <c r="R671" t="s">
        <v>63</v>
      </c>
      <c r="S671" t="b">
        <v>0</v>
      </c>
      <c r="T671" t="b">
        <v>0</v>
      </c>
      <c r="U671" t="s">
        <v>2455</v>
      </c>
      <c r="V671" t="s">
        <v>84</v>
      </c>
      <c r="W671" t="s">
        <v>121</v>
      </c>
      <c r="X671" t="s">
        <v>2456</v>
      </c>
      <c r="Y671" t="s">
        <v>2457</v>
      </c>
      <c r="Z671" t="s">
        <v>2174</v>
      </c>
      <c r="AA671" t="b">
        <f>ISNUMBER(SEARCH(";"&amp;Lessons[[#This Row],[Instrument__c]]&amp;";",";"&amp;_xlfn.XLOOKUP(Lessons[[#This Row],[Instructor_External_Id__c]], Instructors[Id], Instructors[Instruments_Taught__c])&amp;";"))</f>
        <v>1</v>
      </c>
      <c r="AB671" t="str">
        <f>IF(LEFT(Lessons[[#This Row],[Status__c]],9)="Cancelled","",Lessons[[#This Row],[Instructor_External_Id__c]]&amp;"|"&amp;TEXT(Lessons[[#This Row],[Lesson_Date__c]],"yyyy-mm-dd")&amp;"|"&amp;Lessons[[#This Row],[Start_Time__c]])</f>
        <v>a06ak00000amzCHAAY|2026-08-22|17:00:00.000Z</v>
      </c>
      <c r="AC671">
        <f>IF(Lessons[[#This Row],[Double Booked Key]]="","",COUNTIF(Lessons[Double Booked Key],Lessons[[#This Row],[Double Booked Key]]))</f>
        <v>1</v>
      </c>
      <c r="AD671" s="6" t="str">
        <f>_xlfn.XLOOKUP(Lessons[[#This Row],[Location_External_Id__c]], Locations[Location Id], Locations[Location Name])</f>
        <v>Red Bank</v>
      </c>
      <c r="AE671" s="6" t="str">
        <f>TEXT(Lessons[[#This Row],[Lesson_Date__c]], "yyyy-mm")</f>
        <v>2026-08</v>
      </c>
      <c r="AF671" s="6" t="str">
        <f>IF(Lessons[[#This Row],[Lesson_Date__c]]&lt;=Data_Audit!$F$1, "Yes", "No")</f>
        <v>Yes</v>
      </c>
    </row>
    <row r="672" spans="1:32">
      <c r="A672" t="s">
        <v>52</v>
      </c>
      <c r="B672" t="s">
        <v>53</v>
      </c>
      <c r="C672">
        <v>45</v>
      </c>
      <c r="D672" t="s">
        <v>2458</v>
      </c>
      <c r="E672" t="s">
        <v>548</v>
      </c>
      <c r="F672" t="s">
        <v>549</v>
      </c>
      <c r="G672" t="s">
        <v>99</v>
      </c>
      <c r="H672" t="s">
        <v>203</v>
      </c>
      <c r="I672" t="b">
        <v>0</v>
      </c>
      <c r="K672" t="s">
        <v>52</v>
      </c>
      <c r="L672" t="s">
        <v>2174</v>
      </c>
      <c r="O672" s="1">
        <v>46090</v>
      </c>
      <c r="P672" t="s">
        <v>2459</v>
      </c>
      <c r="Q672" t="s">
        <v>2460</v>
      </c>
      <c r="R672" t="s">
        <v>63</v>
      </c>
      <c r="S672" t="b">
        <v>0</v>
      </c>
      <c r="T672" t="b">
        <v>0</v>
      </c>
      <c r="U672" t="s">
        <v>2460</v>
      </c>
      <c r="V672" t="s">
        <v>128</v>
      </c>
      <c r="W672" t="s">
        <v>65</v>
      </c>
      <c r="X672" t="s">
        <v>2456</v>
      </c>
      <c r="Y672" t="s">
        <v>2457</v>
      </c>
      <c r="Z672" t="s">
        <v>2174</v>
      </c>
      <c r="AA672" t="b">
        <f>ISNUMBER(SEARCH(";"&amp;Lessons[[#This Row],[Instrument__c]]&amp;";",";"&amp;_xlfn.XLOOKUP(Lessons[[#This Row],[Instructor_External_Id__c]], Instructors[Id], Instructors[Instruments_Taught__c])&amp;";"))</f>
        <v>1</v>
      </c>
      <c r="AB672" t="str">
        <f>IF(LEFT(Lessons[[#This Row],[Status__c]],9)="Cancelled","",Lessons[[#This Row],[Instructor_External_Id__c]]&amp;"|"&amp;TEXT(Lessons[[#This Row],[Lesson_Date__c]],"yyyy-mm-dd")&amp;"|"&amp;Lessons[[#This Row],[Start_Time__c]])</f>
        <v>a06ak00000amzCHAAY|2026-03-09|18:30:00.000Z</v>
      </c>
      <c r="AC672">
        <f>IF(Lessons[[#This Row],[Double Booked Key]]="","",COUNTIF(Lessons[Double Booked Key],Lessons[[#This Row],[Double Booked Key]]))</f>
        <v>1</v>
      </c>
      <c r="AD672" s="6" t="str">
        <f>_xlfn.XLOOKUP(Lessons[[#This Row],[Location_External_Id__c]], Locations[Location Id], Locations[Location Name])</f>
        <v>Red Bank</v>
      </c>
      <c r="AE672" s="6" t="str">
        <f>TEXT(Lessons[[#This Row],[Lesson_Date__c]], "yyyy-mm")</f>
        <v>2026-03</v>
      </c>
      <c r="AF672" s="6" t="str">
        <f>IF(Lessons[[#This Row],[Lesson_Date__c]]&lt;=Data_Audit!$F$1, "Yes", "No")</f>
        <v>Yes</v>
      </c>
    </row>
    <row r="673" spans="1:32">
      <c r="A673" t="s">
        <v>52</v>
      </c>
      <c r="B673" t="s">
        <v>53</v>
      </c>
      <c r="C673">
        <v>30</v>
      </c>
      <c r="D673" t="s">
        <v>2461</v>
      </c>
      <c r="E673" t="s">
        <v>548</v>
      </c>
      <c r="F673" t="s">
        <v>549</v>
      </c>
      <c r="H673" t="s">
        <v>203</v>
      </c>
      <c r="I673" t="b">
        <v>0</v>
      </c>
      <c r="K673" t="s">
        <v>52</v>
      </c>
      <c r="L673" t="s">
        <v>171</v>
      </c>
      <c r="O673" s="1">
        <v>46217</v>
      </c>
      <c r="P673" t="s">
        <v>2462</v>
      </c>
      <c r="Q673" t="s">
        <v>2463</v>
      </c>
      <c r="R673" t="s">
        <v>63</v>
      </c>
      <c r="S673" t="b">
        <v>1</v>
      </c>
      <c r="T673" t="b">
        <v>1</v>
      </c>
      <c r="U673" t="s">
        <v>2463</v>
      </c>
      <c r="V673" t="s">
        <v>140</v>
      </c>
      <c r="W673" t="s">
        <v>136</v>
      </c>
      <c r="X673" t="s">
        <v>2456</v>
      </c>
      <c r="Y673" t="s">
        <v>2457</v>
      </c>
      <c r="Z673" t="s">
        <v>171</v>
      </c>
      <c r="AA673" t="b">
        <f>ISNUMBER(SEARCH(";"&amp;Lessons[[#This Row],[Instrument__c]]&amp;";",";"&amp;_xlfn.XLOOKUP(Lessons[[#This Row],[Instructor_External_Id__c]], Instructors[Id], Instructors[Instruments_Taught__c])&amp;";"))</f>
        <v>1</v>
      </c>
      <c r="AB673" t="str">
        <f>IF(LEFT(Lessons[[#This Row],[Status__c]],9)="Cancelled","",Lessons[[#This Row],[Instructor_External_Id__c]]&amp;"|"&amp;TEXT(Lessons[[#This Row],[Lesson_Date__c]],"yyyy-mm-dd")&amp;"|"&amp;Lessons[[#This Row],[Start_Time__c]])</f>
        <v/>
      </c>
      <c r="AC673" t="str">
        <f>IF(Lessons[[#This Row],[Double Booked Key]]="","",COUNTIF(Lessons[Double Booked Key],Lessons[[#This Row],[Double Booked Key]]))</f>
        <v/>
      </c>
      <c r="AD673" s="6" t="str">
        <f>_xlfn.XLOOKUP(Lessons[[#This Row],[Location_External_Id__c]], Locations[Location Id], Locations[Location Name])</f>
        <v>Red Bank</v>
      </c>
      <c r="AE673" s="6" t="str">
        <f>TEXT(Lessons[[#This Row],[Lesson_Date__c]], "yyyy-mm")</f>
        <v>2026-07</v>
      </c>
      <c r="AF673" s="6" t="str">
        <f>IF(Lessons[[#This Row],[Lesson_Date__c]]&lt;=Data_Audit!$F$1, "Yes", "No")</f>
        <v>Yes</v>
      </c>
    </row>
    <row r="674" spans="1:32">
      <c r="A674" t="s">
        <v>52</v>
      </c>
      <c r="B674" t="s">
        <v>53</v>
      </c>
      <c r="C674">
        <v>45</v>
      </c>
      <c r="D674" t="s">
        <v>2464</v>
      </c>
      <c r="E674" t="s">
        <v>548</v>
      </c>
      <c r="F674" t="s">
        <v>549</v>
      </c>
      <c r="G674" t="s">
        <v>57</v>
      </c>
      <c r="H674" t="s">
        <v>203</v>
      </c>
      <c r="I674" t="b">
        <v>0</v>
      </c>
      <c r="K674" t="s">
        <v>52</v>
      </c>
      <c r="L674" t="s">
        <v>2174</v>
      </c>
      <c r="O674" s="1">
        <v>46193</v>
      </c>
      <c r="P674" t="s">
        <v>2465</v>
      </c>
      <c r="Q674" t="s">
        <v>2466</v>
      </c>
      <c r="R674" t="s">
        <v>63</v>
      </c>
      <c r="S674" t="b">
        <v>0</v>
      </c>
      <c r="T674" t="b">
        <v>0</v>
      </c>
      <c r="U674" t="s">
        <v>2466</v>
      </c>
      <c r="V674" t="s">
        <v>84</v>
      </c>
      <c r="W674" t="s">
        <v>65</v>
      </c>
      <c r="X674" t="s">
        <v>2456</v>
      </c>
      <c r="Y674" t="s">
        <v>2457</v>
      </c>
      <c r="Z674" t="s">
        <v>2174</v>
      </c>
      <c r="AA674" t="b">
        <f>ISNUMBER(SEARCH(";"&amp;Lessons[[#This Row],[Instrument__c]]&amp;";",";"&amp;_xlfn.XLOOKUP(Lessons[[#This Row],[Instructor_External_Id__c]], Instructors[Id], Instructors[Instruments_Taught__c])&amp;";"))</f>
        <v>1</v>
      </c>
      <c r="AB674" t="str">
        <f>IF(LEFT(Lessons[[#This Row],[Status__c]],9)="Cancelled","",Lessons[[#This Row],[Instructor_External_Id__c]]&amp;"|"&amp;TEXT(Lessons[[#This Row],[Lesson_Date__c]],"yyyy-mm-dd")&amp;"|"&amp;Lessons[[#This Row],[Start_Time__c]])</f>
        <v>a06ak00000amzCHAAY|2026-06-20|17:00:00.000Z</v>
      </c>
      <c r="AC674">
        <f>IF(Lessons[[#This Row],[Double Booked Key]]="","",COUNTIF(Lessons[Double Booked Key],Lessons[[#This Row],[Double Booked Key]]))</f>
        <v>1</v>
      </c>
      <c r="AD674" s="6" t="str">
        <f>_xlfn.XLOOKUP(Lessons[[#This Row],[Location_External_Id__c]], Locations[Location Id], Locations[Location Name])</f>
        <v>Red Bank</v>
      </c>
      <c r="AE674" s="6" t="str">
        <f>TEXT(Lessons[[#This Row],[Lesson_Date__c]], "yyyy-mm")</f>
        <v>2026-06</v>
      </c>
      <c r="AF674" s="6" t="str">
        <f>IF(Lessons[[#This Row],[Lesson_Date__c]]&lt;=Data_Audit!$F$1, "Yes", "No")</f>
        <v>Yes</v>
      </c>
    </row>
    <row r="675" spans="1:32">
      <c r="A675" t="s">
        <v>52</v>
      </c>
      <c r="B675" t="s">
        <v>53</v>
      </c>
      <c r="C675">
        <v>30</v>
      </c>
      <c r="D675" t="s">
        <v>2467</v>
      </c>
      <c r="E675" t="s">
        <v>548</v>
      </c>
      <c r="F675" t="s">
        <v>549</v>
      </c>
      <c r="H675" t="s">
        <v>203</v>
      </c>
      <c r="I675" t="b">
        <v>0</v>
      </c>
      <c r="K675" t="s">
        <v>52</v>
      </c>
      <c r="L675" t="s">
        <v>2174</v>
      </c>
      <c r="O675" s="1">
        <v>46076</v>
      </c>
      <c r="P675" t="s">
        <v>2468</v>
      </c>
      <c r="Q675" t="s">
        <v>2469</v>
      </c>
      <c r="R675" t="s">
        <v>63</v>
      </c>
      <c r="S675" t="b">
        <v>0</v>
      </c>
      <c r="T675" t="b">
        <v>0</v>
      </c>
      <c r="U675" t="s">
        <v>2469</v>
      </c>
      <c r="V675" t="s">
        <v>94</v>
      </c>
      <c r="W675" t="s">
        <v>65</v>
      </c>
      <c r="X675" t="s">
        <v>2456</v>
      </c>
      <c r="Y675" t="s">
        <v>2457</v>
      </c>
      <c r="Z675" t="s">
        <v>2174</v>
      </c>
      <c r="AA675" t="b">
        <f>ISNUMBER(SEARCH(";"&amp;Lessons[[#This Row],[Instrument__c]]&amp;";",";"&amp;_xlfn.XLOOKUP(Lessons[[#This Row],[Instructor_External_Id__c]], Instructors[Id], Instructors[Instruments_Taught__c])&amp;";"))</f>
        <v>1</v>
      </c>
      <c r="AB675" t="str">
        <f>IF(LEFT(Lessons[[#This Row],[Status__c]],9)="Cancelled","",Lessons[[#This Row],[Instructor_External_Id__c]]&amp;"|"&amp;TEXT(Lessons[[#This Row],[Lesson_Date__c]],"yyyy-mm-dd")&amp;"|"&amp;Lessons[[#This Row],[Start_Time__c]])</f>
        <v>a06ak00000amzCHAAY|2026-02-23|19:00:00.000Z</v>
      </c>
      <c r="AC675">
        <f>IF(Lessons[[#This Row],[Double Booked Key]]="","",COUNTIF(Lessons[Double Booked Key],Lessons[[#This Row],[Double Booked Key]]))</f>
        <v>1</v>
      </c>
      <c r="AD675" s="6" t="str">
        <f>_xlfn.XLOOKUP(Lessons[[#This Row],[Location_External_Id__c]], Locations[Location Id], Locations[Location Name])</f>
        <v>Red Bank</v>
      </c>
      <c r="AE675" s="6" t="str">
        <f>TEXT(Lessons[[#This Row],[Lesson_Date__c]], "yyyy-mm")</f>
        <v>2026-02</v>
      </c>
      <c r="AF675" s="6" t="str">
        <f>IF(Lessons[[#This Row],[Lesson_Date__c]]&lt;=Data_Audit!$F$1, "Yes", "No")</f>
        <v>Yes</v>
      </c>
    </row>
    <row r="676" spans="1:32">
      <c r="A676" t="s">
        <v>52</v>
      </c>
      <c r="B676" t="s">
        <v>53</v>
      </c>
      <c r="C676">
        <v>30</v>
      </c>
      <c r="D676" t="s">
        <v>2470</v>
      </c>
      <c r="E676" t="s">
        <v>548</v>
      </c>
      <c r="F676" t="s">
        <v>549</v>
      </c>
      <c r="H676" t="s">
        <v>203</v>
      </c>
      <c r="I676" t="b">
        <v>0</v>
      </c>
      <c r="K676" t="s">
        <v>52</v>
      </c>
      <c r="L676" t="s">
        <v>171</v>
      </c>
      <c r="O676" s="1">
        <v>46193</v>
      </c>
      <c r="P676" t="s">
        <v>2471</v>
      </c>
      <c r="Q676" t="s">
        <v>2472</v>
      </c>
      <c r="R676" t="s">
        <v>63</v>
      </c>
      <c r="S676" t="b">
        <v>1</v>
      </c>
      <c r="T676" t="b">
        <v>1</v>
      </c>
      <c r="U676" t="s">
        <v>2472</v>
      </c>
      <c r="V676" t="s">
        <v>140</v>
      </c>
      <c r="W676" t="s">
        <v>136</v>
      </c>
      <c r="X676" t="s">
        <v>2456</v>
      </c>
      <c r="Y676" t="s">
        <v>2457</v>
      </c>
      <c r="Z676" t="s">
        <v>171</v>
      </c>
      <c r="AA676" t="b">
        <f>ISNUMBER(SEARCH(";"&amp;Lessons[[#This Row],[Instrument__c]]&amp;";",";"&amp;_xlfn.XLOOKUP(Lessons[[#This Row],[Instructor_External_Id__c]], Instructors[Id], Instructors[Instruments_Taught__c])&amp;";"))</f>
        <v>1</v>
      </c>
      <c r="AB676" t="str">
        <f>IF(LEFT(Lessons[[#This Row],[Status__c]],9)="Cancelled","",Lessons[[#This Row],[Instructor_External_Id__c]]&amp;"|"&amp;TEXT(Lessons[[#This Row],[Lesson_Date__c]],"yyyy-mm-dd")&amp;"|"&amp;Lessons[[#This Row],[Start_Time__c]])</f>
        <v/>
      </c>
      <c r="AC676" t="str">
        <f>IF(Lessons[[#This Row],[Double Booked Key]]="","",COUNTIF(Lessons[Double Booked Key],Lessons[[#This Row],[Double Booked Key]]))</f>
        <v/>
      </c>
      <c r="AD676" s="6" t="str">
        <f>_xlfn.XLOOKUP(Lessons[[#This Row],[Location_External_Id__c]], Locations[Location Id], Locations[Location Name])</f>
        <v>Red Bank</v>
      </c>
      <c r="AE676" s="6" t="str">
        <f>TEXT(Lessons[[#This Row],[Lesson_Date__c]], "yyyy-mm")</f>
        <v>2026-06</v>
      </c>
      <c r="AF676" s="6" t="str">
        <f>IF(Lessons[[#This Row],[Lesson_Date__c]]&lt;=Data_Audit!$F$1, "Yes", "No")</f>
        <v>Yes</v>
      </c>
    </row>
    <row r="677" spans="1:32">
      <c r="A677" t="s">
        <v>52</v>
      </c>
      <c r="B677" t="s">
        <v>53</v>
      </c>
      <c r="C677">
        <v>30</v>
      </c>
      <c r="D677" t="s">
        <v>2473</v>
      </c>
      <c r="E677" t="s">
        <v>548</v>
      </c>
      <c r="F677" t="s">
        <v>549</v>
      </c>
      <c r="G677" t="s">
        <v>106</v>
      </c>
      <c r="H677" t="s">
        <v>203</v>
      </c>
      <c r="I677" t="b">
        <v>0</v>
      </c>
      <c r="K677" t="s">
        <v>52</v>
      </c>
      <c r="L677" t="s">
        <v>2174</v>
      </c>
      <c r="O677" s="1">
        <v>46283</v>
      </c>
      <c r="P677" t="s">
        <v>2474</v>
      </c>
      <c r="Q677" t="s">
        <v>2475</v>
      </c>
      <c r="R677" t="s">
        <v>63</v>
      </c>
      <c r="S677" t="b">
        <v>0</v>
      </c>
      <c r="T677" t="b">
        <v>0</v>
      </c>
      <c r="U677" t="s">
        <v>2475</v>
      </c>
      <c r="V677" t="s">
        <v>120</v>
      </c>
      <c r="W677" t="s">
        <v>65</v>
      </c>
      <c r="X677" t="s">
        <v>2456</v>
      </c>
      <c r="Y677" t="s">
        <v>2457</v>
      </c>
      <c r="Z677" t="s">
        <v>2174</v>
      </c>
      <c r="AA677" t="b">
        <f>ISNUMBER(SEARCH(";"&amp;Lessons[[#This Row],[Instrument__c]]&amp;";",";"&amp;_xlfn.XLOOKUP(Lessons[[#This Row],[Instructor_External_Id__c]], Instructors[Id], Instructors[Instruments_Taught__c])&amp;";"))</f>
        <v>1</v>
      </c>
      <c r="AB677" t="str">
        <f>IF(LEFT(Lessons[[#This Row],[Status__c]],9)="Cancelled","",Lessons[[#This Row],[Instructor_External_Id__c]]&amp;"|"&amp;TEXT(Lessons[[#This Row],[Lesson_Date__c]],"yyyy-mm-dd")&amp;"|"&amp;Lessons[[#This Row],[Start_Time__c]])</f>
        <v>a06ak00000amzCHAAY|2026-09-18|18:00:00.000Z</v>
      </c>
      <c r="AC677">
        <f>IF(Lessons[[#This Row],[Double Booked Key]]="","",COUNTIF(Lessons[Double Booked Key],Lessons[[#This Row],[Double Booked Key]]))</f>
        <v>1</v>
      </c>
      <c r="AD677" s="6" t="str">
        <f>_xlfn.XLOOKUP(Lessons[[#This Row],[Location_External_Id__c]], Locations[Location Id], Locations[Location Name])</f>
        <v>Red Bank</v>
      </c>
      <c r="AE677" s="6" t="str">
        <f>TEXT(Lessons[[#This Row],[Lesson_Date__c]], "yyyy-mm")</f>
        <v>2026-09</v>
      </c>
      <c r="AF677" s="6" t="str">
        <f>IF(Lessons[[#This Row],[Lesson_Date__c]]&lt;=Data_Audit!$F$1, "Yes", "No")</f>
        <v>Yes</v>
      </c>
    </row>
    <row r="678" spans="1:32">
      <c r="A678" t="s">
        <v>52</v>
      </c>
      <c r="B678" t="s">
        <v>53</v>
      </c>
      <c r="C678">
        <v>60</v>
      </c>
      <c r="D678" t="s">
        <v>2476</v>
      </c>
      <c r="E678" t="s">
        <v>548</v>
      </c>
      <c r="F678" t="s">
        <v>549</v>
      </c>
      <c r="G678" t="s">
        <v>69</v>
      </c>
      <c r="H678" t="s">
        <v>203</v>
      </c>
      <c r="I678" t="b">
        <v>0</v>
      </c>
      <c r="K678" t="s">
        <v>52</v>
      </c>
      <c r="L678" t="s">
        <v>2174</v>
      </c>
      <c r="O678" s="1">
        <v>46287</v>
      </c>
      <c r="P678" t="s">
        <v>2477</v>
      </c>
      <c r="Q678" t="s">
        <v>2478</v>
      </c>
      <c r="R678" t="s">
        <v>63</v>
      </c>
      <c r="S678" t="b">
        <v>0</v>
      </c>
      <c r="T678" t="b">
        <v>0</v>
      </c>
      <c r="U678" t="s">
        <v>2478</v>
      </c>
      <c r="V678" t="s">
        <v>84</v>
      </c>
      <c r="W678" t="s">
        <v>65</v>
      </c>
      <c r="X678" t="s">
        <v>2456</v>
      </c>
      <c r="Y678" t="s">
        <v>2457</v>
      </c>
      <c r="Z678" t="s">
        <v>2174</v>
      </c>
      <c r="AA678" t="b">
        <f>ISNUMBER(SEARCH(";"&amp;Lessons[[#This Row],[Instrument__c]]&amp;";",";"&amp;_xlfn.XLOOKUP(Lessons[[#This Row],[Instructor_External_Id__c]], Instructors[Id], Instructors[Instruments_Taught__c])&amp;";"))</f>
        <v>1</v>
      </c>
      <c r="AB678" t="str">
        <f>IF(LEFT(Lessons[[#This Row],[Status__c]],9)="Cancelled","",Lessons[[#This Row],[Instructor_External_Id__c]]&amp;"|"&amp;TEXT(Lessons[[#This Row],[Lesson_Date__c]],"yyyy-mm-dd")&amp;"|"&amp;Lessons[[#This Row],[Start_Time__c]])</f>
        <v>a06ak00000amzCHAAY|2026-09-22|17:00:00.000Z</v>
      </c>
      <c r="AC678">
        <f>IF(Lessons[[#This Row],[Double Booked Key]]="","",COUNTIF(Lessons[Double Booked Key],Lessons[[#This Row],[Double Booked Key]]))</f>
        <v>1</v>
      </c>
      <c r="AD678" s="6" t="str">
        <f>_xlfn.XLOOKUP(Lessons[[#This Row],[Location_External_Id__c]], Locations[Location Id], Locations[Location Name])</f>
        <v>Red Bank</v>
      </c>
      <c r="AE678" s="6" t="str">
        <f>TEXT(Lessons[[#This Row],[Lesson_Date__c]], "yyyy-mm")</f>
        <v>2026-09</v>
      </c>
      <c r="AF678" s="6" t="str">
        <f>IF(Lessons[[#This Row],[Lesson_Date__c]]&lt;=Data_Audit!$F$1, "Yes", "No")</f>
        <v>Yes</v>
      </c>
    </row>
    <row r="679" spans="1:32">
      <c r="A679" t="s">
        <v>52</v>
      </c>
      <c r="B679" t="s">
        <v>53</v>
      </c>
      <c r="C679">
        <v>45</v>
      </c>
      <c r="D679" t="s">
        <v>2479</v>
      </c>
      <c r="E679" t="s">
        <v>944</v>
      </c>
      <c r="F679" t="s">
        <v>945</v>
      </c>
      <c r="G679" t="s">
        <v>69</v>
      </c>
      <c r="H679" t="s">
        <v>392</v>
      </c>
      <c r="I679" t="b">
        <v>0</v>
      </c>
      <c r="K679" t="s">
        <v>52</v>
      </c>
      <c r="L679" t="s">
        <v>2174</v>
      </c>
      <c r="O679" s="1">
        <v>46289</v>
      </c>
      <c r="P679" t="s">
        <v>2480</v>
      </c>
      <c r="Q679" t="s">
        <v>2481</v>
      </c>
      <c r="R679" t="s">
        <v>150</v>
      </c>
      <c r="S679" t="b">
        <v>0</v>
      </c>
      <c r="T679" t="b">
        <v>0</v>
      </c>
      <c r="U679" t="s">
        <v>2481</v>
      </c>
      <c r="V679" t="s">
        <v>64</v>
      </c>
      <c r="W679" t="s">
        <v>65</v>
      </c>
      <c r="X679" t="s">
        <v>2482</v>
      </c>
      <c r="Y679" t="s">
        <v>2483</v>
      </c>
      <c r="Z679" t="s">
        <v>2174</v>
      </c>
      <c r="AA679" t="b">
        <f>ISNUMBER(SEARCH(";"&amp;Lessons[[#This Row],[Instrument__c]]&amp;";",";"&amp;_xlfn.XLOOKUP(Lessons[[#This Row],[Instructor_External_Id__c]], Instructors[Id], Instructors[Instruments_Taught__c])&amp;";"))</f>
        <v>1</v>
      </c>
      <c r="AB679" t="str">
        <f>IF(LEFT(Lessons[[#This Row],[Status__c]],9)="Cancelled","",Lessons[[#This Row],[Instructor_External_Id__c]]&amp;"|"&amp;TEXT(Lessons[[#This Row],[Lesson_Date__c]],"yyyy-mm-dd")&amp;"|"&amp;Lessons[[#This Row],[Start_Time__c]])</f>
        <v>a06ak00000amzBtAAI|2026-09-24|11:00:00.000Z</v>
      </c>
      <c r="AC679">
        <f>IF(Lessons[[#This Row],[Double Booked Key]]="","",COUNTIF(Lessons[Double Booked Key],Lessons[[#This Row],[Double Booked Key]]))</f>
        <v>1</v>
      </c>
      <c r="AD679" s="6" t="str">
        <f>_xlfn.XLOOKUP(Lessons[[#This Row],[Location_External_Id__c]], Locations[Location Id], Locations[Location Name])</f>
        <v>Toms River</v>
      </c>
      <c r="AE679" s="6" t="str">
        <f>TEXT(Lessons[[#This Row],[Lesson_Date__c]], "yyyy-mm")</f>
        <v>2026-09</v>
      </c>
      <c r="AF679" s="6" t="str">
        <f>IF(Lessons[[#This Row],[Lesson_Date__c]]&lt;=Data_Audit!$F$1, "Yes", "No")</f>
        <v>Yes</v>
      </c>
    </row>
    <row r="680" spans="1:32">
      <c r="A680" t="s">
        <v>52</v>
      </c>
      <c r="B680" t="s">
        <v>53</v>
      </c>
      <c r="C680">
        <v>30</v>
      </c>
      <c r="D680" t="s">
        <v>2484</v>
      </c>
      <c r="E680" t="s">
        <v>944</v>
      </c>
      <c r="F680" t="s">
        <v>945</v>
      </c>
      <c r="G680" t="s">
        <v>57</v>
      </c>
      <c r="H680" t="s">
        <v>392</v>
      </c>
      <c r="I680" t="b">
        <v>0</v>
      </c>
      <c r="K680" t="s">
        <v>52</v>
      </c>
      <c r="L680" t="s">
        <v>2174</v>
      </c>
      <c r="O680" s="1">
        <v>46109</v>
      </c>
      <c r="P680" t="s">
        <v>2485</v>
      </c>
      <c r="Q680" t="s">
        <v>2486</v>
      </c>
      <c r="R680" t="s">
        <v>150</v>
      </c>
      <c r="S680" t="b">
        <v>0</v>
      </c>
      <c r="T680" t="b">
        <v>0</v>
      </c>
      <c r="U680" t="s">
        <v>2486</v>
      </c>
      <c r="V680" t="s">
        <v>84</v>
      </c>
      <c r="W680" t="s">
        <v>65</v>
      </c>
      <c r="X680" t="s">
        <v>2482</v>
      </c>
      <c r="Y680" t="s">
        <v>2483</v>
      </c>
      <c r="Z680" t="s">
        <v>2174</v>
      </c>
      <c r="AA680" t="b">
        <f>ISNUMBER(SEARCH(";"&amp;Lessons[[#This Row],[Instrument__c]]&amp;";",";"&amp;_xlfn.XLOOKUP(Lessons[[#This Row],[Instructor_External_Id__c]], Instructors[Id], Instructors[Instruments_Taught__c])&amp;";"))</f>
        <v>1</v>
      </c>
      <c r="AB680" t="str">
        <f>IF(LEFT(Lessons[[#This Row],[Status__c]],9)="Cancelled","",Lessons[[#This Row],[Instructor_External_Id__c]]&amp;"|"&amp;TEXT(Lessons[[#This Row],[Lesson_Date__c]],"yyyy-mm-dd")&amp;"|"&amp;Lessons[[#This Row],[Start_Time__c]])</f>
        <v>a06ak00000amzBtAAI|2026-03-28|17:00:00.000Z</v>
      </c>
      <c r="AC680">
        <f>IF(Lessons[[#This Row],[Double Booked Key]]="","",COUNTIF(Lessons[Double Booked Key],Lessons[[#This Row],[Double Booked Key]]))</f>
        <v>1</v>
      </c>
      <c r="AD680" s="6" t="str">
        <f>_xlfn.XLOOKUP(Lessons[[#This Row],[Location_External_Id__c]], Locations[Location Id], Locations[Location Name])</f>
        <v>Toms River</v>
      </c>
      <c r="AE680" s="6" t="str">
        <f>TEXT(Lessons[[#This Row],[Lesson_Date__c]], "yyyy-mm")</f>
        <v>2026-03</v>
      </c>
      <c r="AF680" s="6" t="str">
        <f>IF(Lessons[[#This Row],[Lesson_Date__c]]&lt;=Data_Audit!$F$1, "Yes", "No")</f>
        <v>Yes</v>
      </c>
    </row>
    <row r="681" spans="1:32">
      <c r="A681" t="s">
        <v>52</v>
      </c>
      <c r="B681" t="s">
        <v>53</v>
      </c>
      <c r="C681">
        <v>30</v>
      </c>
      <c r="D681" t="s">
        <v>2487</v>
      </c>
      <c r="E681" t="s">
        <v>944</v>
      </c>
      <c r="F681" t="s">
        <v>945</v>
      </c>
      <c r="G681" t="s">
        <v>57</v>
      </c>
      <c r="H681" t="s">
        <v>392</v>
      </c>
      <c r="I681" t="b">
        <v>0</v>
      </c>
      <c r="K681" t="s">
        <v>52</v>
      </c>
      <c r="L681" t="s">
        <v>2174</v>
      </c>
      <c r="O681" s="1">
        <v>46150</v>
      </c>
      <c r="P681" t="s">
        <v>2488</v>
      </c>
      <c r="Q681" t="s">
        <v>2489</v>
      </c>
      <c r="R681" t="s">
        <v>150</v>
      </c>
      <c r="S681" t="b">
        <v>0</v>
      </c>
      <c r="T681" t="b">
        <v>0</v>
      </c>
      <c r="U681" t="s">
        <v>2489</v>
      </c>
      <c r="V681" t="s">
        <v>116</v>
      </c>
      <c r="W681" t="s">
        <v>65</v>
      </c>
      <c r="X681" t="s">
        <v>2482</v>
      </c>
      <c r="Y681" t="s">
        <v>2483</v>
      </c>
      <c r="Z681" t="s">
        <v>2174</v>
      </c>
      <c r="AA681" t="b">
        <f>ISNUMBER(SEARCH(";"&amp;Lessons[[#This Row],[Instrument__c]]&amp;";",";"&amp;_xlfn.XLOOKUP(Lessons[[#This Row],[Instructor_External_Id__c]], Instructors[Id], Instructors[Instruments_Taught__c])&amp;";"))</f>
        <v>1</v>
      </c>
      <c r="AB681" t="str">
        <f>IF(LEFT(Lessons[[#This Row],[Status__c]],9)="Cancelled","",Lessons[[#This Row],[Instructor_External_Id__c]]&amp;"|"&amp;TEXT(Lessons[[#This Row],[Lesson_Date__c]],"yyyy-mm-dd")&amp;"|"&amp;Lessons[[#This Row],[Start_Time__c]])</f>
        <v>a06ak00000amzBtAAI|2026-05-08|17:30:00.000Z</v>
      </c>
      <c r="AC681">
        <f>IF(Lessons[[#This Row],[Double Booked Key]]="","",COUNTIF(Lessons[Double Booked Key],Lessons[[#This Row],[Double Booked Key]]))</f>
        <v>1</v>
      </c>
      <c r="AD681" s="6" t="str">
        <f>_xlfn.XLOOKUP(Lessons[[#This Row],[Location_External_Id__c]], Locations[Location Id], Locations[Location Name])</f>
        <v>Toms River</v>
      </c>
      <c r="AE681" s="6" t="str">
        <f>TEXT(Lessons[[#This Row],[Lesson_Date__c]], "yyyy-mm")</f>
        <v>2026-05</v>
      </c>
      <c r="AF681" s="6" t="str">
        <f>IF(Lessons[[#This Row],[Lesson_Date__c]]&lt;=Data_Audit!$F$1, "Yes", "No")</f>
        <v>Yes</v>
      </c>
    </row>
    <row r="682" spans="1:32">
      <c r="A682" t="s">
        <v>52</v>
      </c>
      <c r="B682" t="s">
        <v>53</v>
      </c>
      <c r="C682">
        <v>60</v>
      </c>
      <c r="D682" t="s">
        <v>2490</v>
      </c>
      <c r="E682" t="s">
        <v>944</v>
      </c>
      <c r="F682" t="s">
        <v>945</v>
      </c>
      <c r="G682" t="s">
        <v>57</v>
      </c>
      <c r="H682" t="s">
        <v>392</v>
      </c>
      <c r="I682" t="b">
        <v>0</v>
      </c>
      <c r="K682" t="s">
        <v>52</v>
      </c>
      <c r="L682" t="s">
        <v>2174</v>
      </c>
      <c r="O682" s="1">
        <v>46082</v>
      </c>
      <c r="P682" t="s">
        <v>2491</v>
      </c>
      <c r="Q682" t="s">
        <v>2492</v>
      </c>
      <c r="R682" t="s">
        <v>150</v>
      </c>
      <c r="S682" t="b">
        <v>0</v>
      </c>
      <c r="T682" t="b">
        <v>0</v>
      </c>
      <c r="U682" t="s">
        <v>2492</v>
      </c>
      <c r="V682" t="s">
        <v>120</v>
      </c>
      <c r="W682" t="s">
        <v>65</v>
      </c>
      <c r="X682" t="s">
        <v>2482</v>
      </c>
      <c r="Y682" t="s">
        <v>2483</v>
      </c>
      <c r="Z682" t="s">
        <v>2174</v>
      </c>
      <c r="AA682" t="b">
        <f>ISNUMBER(SEARCH(";"&amp;Lessons[[#This Row],[Instrument__c]]&amp;";",";"&amp;_xlfn.XLOOKUP(Lessons[[#This Row],[Instructor_External_Id__c]], Instructors[Id], Instructors[Instruments_Taught__c])&amp;";"))</f>
        <v>1</v>
      </c>
      <c r="AB682" t="str">
        <f>IF(LEFT(Lessons[[#This Row],[Status__c]],9)="Cancelled","",Lessons[[#This Row],[Instructor_External_Id__c]]&amp;"|"&amp;TEXT(Lessons[[#This Row],[Lesson_Date__c]],"yyyy-mm-dd")&amp;"|"&amp;Lessons[[#This Row],[Start_Time__c]])</f>
        <v>a06ak00000amzBtAAI|2026-03-01|18:00:00.000Z</v>
      </c>
      <c r="AC682">
        <f>IF(Lessons[[#This Row],[Double Booked Key]]="","",COUNTIF(Lessons[Double Booked Key],Lessons[[#This Row],[Double Booked Key]]))</f>
        <v>1</v>
      </c>
      <c r="AD682" s="6" t="str">
        <f>_xlfn.XLOOKUP(Lessons[[#This Row],[Location_External_Id__c]], Locations[Location Id], Locations[Location Name])</f>
        <v>Toms River</v>
      </c>
      <c r="AE682" s="6" t="str">
        <f>TEXT(Lessons[[#This Row],[Lesson_Date__c]], "yyyy-mm")</f>
        <v>2026-03</v>
      </c>
      <c r="AF682" s="6" t="str">
        <f>IF(Lessons[[#This Row],[Lesson_Date__c]]&lt;=Data_Audit!$F$1, "Yes", "No")</f>
        <v>Yes</v>
      </c>
    </row>
    <row r="683" spans="1:32">
      <c r="A683" t="s">
        <v>52</v>
      </c>
      <c r="B683" t="s">
        <v>53</v>
      </c>
      <c r="C683">
        <v>45</v>
      </c>
      <c r="D683" t="s">
        <v>2493</v>
      </c>
      <c r="E683" t="s">
        <v>944</v>
      </c>
      <c r="F683" t="s">
        <v>945</v>
      </c>
      <c r="H683" t="s">
        <v>392</v>
      </c>
      <c r="I683" t="b">
        <v>0</v>
      </c>
      <c r="K683" t="s">
        <v>52</v>
      </c>
      <c r="L683" t="s">
        <v>2174</v>
      </c>
      <c r="O683" s="1">
        <v>46164</v>
      </c>
      <c r="P683" t="s">
        <v>2494</v>
      </c>
      <c r="Q683" t="s">
        <v>2495</v>
      </c>
      <c r="R683" t="s">
        <v>150</v>
      </c>
      <c r="S683" t="b">
        <v>0</v>
      </c>
      <c r="T683" t="b">
        <v>0</v>
      </c>
      <c r="U683" t="s">
        <v>2495</v>
      </c>
      <c r="V683" t="s">
        <v>116</v>
      </c>
      <c r="W683" t="s">
        <v>121</v>
      </c>
      <c r="X683" t="s">
        <v>2482</v>
      </c>
      <c r="Y683" t="s">
        <v>2483</v>
      </c>
      <c r="Z683" t="s">
        <v>2174</v>
      </c>
      <c r="AA683" t="b">
        <f>ISNUMBER(SEARCH(";"&amp;Lessons[[#This Row],[Instrument__c]]&amp;";",";"&amp;_xlfn.XLOOKUP(Lessons[[#This Row],[Instructor_External_Id__c]], Instructors[Id], Instructors[Instruments_Taught__c])&amp;";"))</f>
        <v>1</v>
      </c>
      <c r="AB683" t="str">
        <f>IF(LEFT(Lessons[[#This Row],[Status__c]],9)="Cancelled","",Lessons[[#This Row],[Instructor_External_Id__c]]&amp;"|"&amp;TEXT(Lessons[[#This Row],[Lesson_Date__c]],"yyyy-mm-dd")&amp;"|"&amp;Lessons[[#This Row],[Start_Time__c]])</f>
        <v>a06ak00000amzBtAAI|2026-05-22|17:30:00.000Z</v>
      </c>
      <c r="AC683">
        <f>IF(Lessons[[#This Row],[Double Booked Key]]="","",COUNTIF(Lessons[Double Booked Key],Lessons[[#This Row],[Double Booked Key]]))</f>
        <v>1</v>
      </c>
      <c r="AD683" s="6" t="str">
        <f>_xlfn.XLOOKUP(Lessons[[#This Row],[Location_External_Id__c]], Locations[Location Id], Locations[Location Name])</f>
        <v>Toms River</v>
      </c>
      <c r="AE683" s="6" t="str">
        <f>TEXT(Lessons[[#This Row],[Lesson_Date__c]], "yyyy-mm")</f>
        <v>2026-05</v>
      </c>
      <c r="AF683" s="6" t="str">
        <f>IF(Lessons[[#This Row],[Lesson_Date__c]]&lt;=Data_Audit!$F$1, "Yes", "No")</f>
        <v>Yes</v>
      </c>
    </row>
    <row r="684" spans="1:32">
      <c r="A684" t="s">
        <v>52</v>
      </c>
      <c r="B684" t="s">
        <v>53</v>
      </c>
      <c r="C684">
        <v>45</v>
      </c>
      <c r="D684" t="s">
        <v>2496</v>
      </c>
      <c r="E684" t="s">
        <v>944</v>
      </c>
      <c r="F684" t="s">
        <v>945</v>
      </c>
      <c r="G684" t="s">
        <v>106</v>
      </c>
      <c r="H684" t="s">
        <v>392</v>
      </c>
      <c r="I684" t="b">
        <v>0</v>
      </c>
      <c r="K684" t="s">
        <v>52</v>
      </c>
      <c r="L684" t="s">
        <v>2174</v>
      </c>
      <c r="O684" s="1">
        <v>46128</v>
      </c>
      <c r="P684" t="s">
        <v>2497</v>
      </c>
      <c r="Q684" t="s">
        <v>2498</v>
      </c>
      <c r="R684" t="s">
        <v>150</v>
      </c>
      <c r="S684" t="b">
        <v>0</v>
      </c>
      <c r="T684" t="b">
        <v>0</v>
      </c>
      <c r="U684" t="s">
        <v>2498</v>
      </c>
      <c r="V684" t="s">
        <v>110</v>
      </c>
      <c r="W684" t="s">
        <v>65</v>
      </c>
      <c r="X684" t="s">
        <v>2482</v>
      </c>
      <c r="Y684" t="s">
        <v>2483</v>
      </c>
      <c r="Z684" t="s">
        <v>2174</v>
      </c>
      <c r="AA684" t="b">
        <f>ISNUMBER(SEARCH(";"&amp;Lessons[[#This Row],[Instrument__c]]&amp;";",";"&amp;_xlfn.XLOOKUP(Lessons[[#This Row],[Instructor_External_Id__c]], Instructors[Id], Instructors[Instruments_Taught__c])&amp;";"))</f>
        <v>1</v>
      </c>
      <c r="AB684" t="str">
        <f>IF(LEFT(Lessons[[#This Row],[Status__c]],9)="Cancelled","",Lessons[[#This Row],[Instructor_External_Id__c]]&amp;"|"&amp;TEXT(Lessons[[#This Row],[Lesson_Date__c]],"yyyy-mm-dd")&amp;"|"&amp;Lessons[[#This Row],[Start_Time__c]])</f>
        <v>a06ak00000amzBtAAI|2026-04-16|10:00:00.000Z</v>
      </c>
      <c r="AC684">
        <f>IF(Lessons[[#This Row],[Double Booked Key]]="","",COUNTIF(Lessons[Double Booked Key],Lessons[[#This Row],[Double Booked Key]]))</f>
        <v>1</v>
      </c>
      <c r="AD684" s="6" t="str">
        <f>_xlfn.XLOOKUP(Lessons[[#This Row],[Location_External_Id__c]], Locations[Location Id], Locations[Location Name])</f>
        <v>Toms River</v>
      </c>
      <c r="AE684" s="6" t="str">
        <f>TEXT(Lessons[[#This Row],[Lesson_Date__c]], "yyyy-mm")</f>
        <v>2026-04</v>
      </c>
      <c r="AF684" s="6" t="str">
        <f>IF(Lessons[[#This Row],[Lesson_Date__c]]&lt;=Data_Audit!$F$1, "Yes", "No")</f>
        <v>Yes</v>
      </c>
    </row>
    <row r="685" spans="1:32">
      <c r="A685" t="s">
        <v>52</v>
      </c>
      <c r="B685" t="s">
        <v>53</v>
      </c>
      <c r="C685">
        <v>30</v>
      </c>
      <c r="D685" t="s">
        <v>2499</v>
      </c>
      <c r="E685" t="s">
        <v>804</v>
      </c>
      <c r="F685" t="s">
        <v>805</v>
      </c>
      <c r="G685" t="s">
        <v>106</v>
      </c>
      <c r="H685" t="s">
        <v>147</v>
      </c>
      <c r="I685" t="b">
        <v>0</v>
      </c>
      <c r="K685" t="s">
        <v>52</v>
      </c>
      <c r="L685" t="s">
        <v>2174</v>
      </c>
      <c r="O685" s="1">
        <v>46228</v>
      </c>
      <c r="P685" t="s">
        <v>2500</v>
      </c>
      <c r="Q685" t="s">
        <v>2501</v>
      </c>
      <c r="R685" t="s">
        <v>63</v>
      </c>
      <c r="S685" t="b">
        <v>0</v>
      </c>
      <c r="T685" t="b">
        <v>0</v>
      </c>
      <c r="U685" t="s">
        <v>2501</v>
      </c>
      <c r="V685" t="s">
        <v>84</v>
      </c>
      <c r="W685" t="s">
        <v>65</v>
      </c>
      <c r="X685" t="s">
        <v>2502</v>
      </c>
      <c r="Y685" t="s">
        <v>2503</v>
      </c>
      <c r="Z685" t="s">
        <v>2174</v>
      </c>
      <c r="AA685" t="b">
        <f>ISNUMBER(SEARCH(";"&amp;Lessons[[#This Row],[Instrument__c]]&amp;";",";"&amp;_xlfn.XLOOKUP(Lessons[[#This Row],[Instructor_External_Id__c]], Instructors[Id], Instructors[Instruments_Taught__c])&amp;";"))</f>
        <v>1</v>
      </c>
      <c r="AB685" t="str">
        <f>IF(LEFT(Lessons[[#This Row],[Status__c]],9)="Cancelled","",Lessons[[#This Row],[Instructor_External_Id__c]]&amp;"|"&amp;TEXT(Lessons[[#This Row],[Lesson_Date__c]],"yyyy-mm-dd")&amp;"|"&amp;Lessons[[#This Row],[Start_Time__c]])</f>
        <v>a06ak00000amzCBAAY|2026-07-25|17:00:00.000Z</v>
      </c>
      <c r="AC685">
        <f>IF(Lessons[[#This Row],[Double Booked Key]]="","",COUNTIF(Lessons[Double Booked Key],Lessons[[#This Row],[Double Booked Key]]))</f>
        <v>1</v>
      </c>
      <c r="AD685" s="6" t="str">
        <f>_xlfn.XLOOKUP(Lessons[[#This Row],[Location_External_Id__c]], Locations[Location Id], Locations[Location Name])</f>
        <v>Red Bank</v>
      </c>
      <c r="AE685" s="6" t="str">
        <f>TEXT(Lessons[[#This Row],[Lesson_Date__c]], "yyyy-mm")</f>
        <v>2026-07</v>
      </c>
      <c r="AF685" s="6" t="str">
        <f>IF(Lessons[[#This Row],[Lesson_Date__c]]&lt;=Data_Audit!$F$1, "Yes", "No")</f>
        <v>Yes</v>
      </c>
    </row>
    <row r="686" spans="1:32">
      <c r="A686" t="s">
        <v>52</v>
      </c>
      <c r="B686" t="s">
        <v>53</v>
      </c>
      <c r="C686">
        <v>30</v>
      </c>
      <c r="D686" t="s">
        <v>2504</v>
      </c>
      <c r="E686" t="s">
        <v>804</v>
      </c>
      <c r="F686" t="s">
        <v>805</v>
      </c>
      <c r="G686" t="s">
        <v>57</v>
      </c>
      <c r="H686" t="s">
        <v>147</v>
      </c>
      <c r="I686" t="b">
        <v>0</v>
      </c>
      <c r="K686" t="s">
        <v>52</v>
      </c>
      <c r="L686" t="s">
        <v>2174</v>
      </c>
      <c r="O686" s="1">
        <v>46081</v>
      </c>
      <c r="P686" t="s">
        <v>2505</v>
      </c>
      <c r="Q686" t="s">
        <v>2506</v>
      </c>
      <c r="R686" t="s">
        <v>63</v>
      </c>
      <c r="S686" t="b">
        <v>0</v>
      </c>
      <c r="T686" t="b">
        <v>0</v>
      </c>
      <c r="U686" t="s">
        <v>2506</v>
      </c>
      <c r="V686" t="s">
        <v>94</v>
      </c>
      <c r="W686" t="s">
        <v>65</v>
      </c>
      <c r="X686" t="s">
        <v>2502</v>
      </c>
      <c r="Y686" t="s">
        <v>2503</v>
      </c>
      <c r="Z686" t="s">
        <v>2174</v>
      </c>
      <c r="AA686" t="b">
        <f>ISNUMBER(SEARCH(";"&amp;Lessons[[#This Row],[Instrument__c]]&amp;";",";"&amp;_xlfn.XLOOKUP(Lessons[[#This Row],[Instructor_External_Id__c]], Instructors[Id], Instructors[Instruments_Taught__c])&amp;";"))</f>
        <v>1</v>
      </c>
      <c r="AB686" t="str">
        <f>IF(LEFT(Lessons[[#This Row],[Status__c]],9)="Cancelled","",Lessons[[#This Row],[Instructor_External_Id__c]]&amp;"|"&amp;TEXT(Lessons[[#This Row],[Lesson_Date__c]],"yyyy-mm-dd")&amp;"|"&amp;Lessons[[#This Row],[Start_Time__c]])</f>
        <v>a06ak00000amzCBAAY|2026-02-28|19:00:00.000Z</v>
      </c>
      <c r="AC686">
        <f>IF(Lessons[[#This Row],[Double Booked Key]]="","",COUNTIF(Lessons[Double Booked Key],Lessons[[#This Row],[Double Booked Key]]))</f>
        <v>1</v>
      </c>
      <c r="AD686" s="6" t="str">
        <f>_xlfn.XLOOKUP(Lessons[[#This Row],[Location_External_Id__c]], Locations[Location Id], Locations[Location Name])</f>
        <v>Red Bank</v>
      </c>
      <c r="AE686" s="6" t="str">
        <f>TEXT(Lessons[[#This Row],[Lesson_Date__c]], "yyyy-mm")</f>
        <v>2026-02</v>
      </c>
      <c r="AF686" s="6" t="str">
        <f>IF(Lessons[[#This Row],[Lesson_Date__c]]&lt;=Data_Audit!$F$1, "Yes", "No")</f>
        <v>Yes</v>
      </c>
    </row>
    <row r="687" spans="1:32">
      <c r="A687" t="s">
        <v>52</v>
      </c>
      <c r="B687" t="s">
        <v>53</v>
      </c>
      <c r="C687">
        <v>60</v>
      </c>
      <c r="D687" t="s">
        <v>2507</v>
      </c>
      <c r="E687" t="s">
        <v>548</v>
      </c>
      <c r="F687" t="s">
        <v>549</v>
      </c>
      <c r="G687" t="s">
        <v>69</v>
      </c>
      <c r="H687" t="s">
        <v>203</v>
      </c>
      <c r="I687" t="b">
        <v>0</v>
      </c>
      <c r="K687" t="s">
        <v>52</v>
      </c>
      <c r="L687" t="s">
        <v>79</v>
      </c>
      <c r="O687" s="1">
        <v>46294</v>
      </c>
      <c r="P687" t="s">
        <v>2508</v>
      </c>
      <c r="Q687" t="s">
        <v>2509</v>
      </c>
      <c r="R687" t="s">
        <v>83</v>
      </c>
      <c r="S687" t="b">
        <v>0</v>
      </c>
      <c r="T687" t="b">
        <v>0</v>
      </c>
      <c r="U687" t="s">
        <v>2509</v>
      </c>
      <c r="V687" t="s">
        <v>135</v>
      </c>
      <c r="W687" t="s">
        <v>65</v>
      </c>
      <c r="X687" t="s">
        <v>2510</v>
      </c>
      <c r="Y687" t="s">
        <v>2511</v>
      </c>
      <c r="Z687" t="s">
        <v>79</v>
      </c>
      <c r="AA687" t="b">
        <f>ISNUMBER(SEARCH(";"&amp;Lessons[[#This Row],[Instrument__c]]&amp;";",";"&amp;_xlfn.XLOOKUP(Lessons[[#This Row],[Instructor_External_Id__c]], Instructors[Id], Instructors[Instruments_Taught__c])&amp;";"))</f>
        <v>1</v>
      </c>
      <c r="AB687" t="str">
        <f>IF(LEFT(Lessons[[#This Row],[Status__c]],9)="Cancelled","",Lessons[[#This Row],[Instructor_External_Id__c]]&amp;"|"&amp;TEXT(Lessons[[#This Row],[Lesson_Date__c]],"yyyy-mm-dd")&amp;"|"&amp;Lessons[[#This Row],[Start_Time__c]])</f>
        <v>a06ak00000amzCHAAY|2026-09-29|15:30:00.000Z</v>
      </c>
      <c r="AC687">
        <f>IF(Lessons[[#This Row],[Double Booked Key]]="","",COUNTIF(Lessons[Double Booked Key],Lessons[[#This Row],[Double Booked Key]]))</f>
        <v>1</v>
      </c>
      <c r="AD687" s="6" t="str">
        <f>_xlfn.XLOOKUP(Lessons[[#This Row],[Location_External_Id__c]], Locations[Location Id], Locations[Location Name])</f>
        <v>Brick</v>
      </c>
      <c r="AE687" s="6" t="str">
        <f>TEXT(Lessons[[#This Row],[Lesson_Date__c]], "yyyy-mm")</f>
        <v>2026-09</v>
      </c>
      <c r="AF687" s="6" t="str">
        <f>IF(Lessons[[#This Row],[Lesson_Date__c]]&lt;=Data_Audit!$F$1, "Yes", "No")</f>
        <v>Yes</v>
      </c>
    </row>
    <row r="688" spans="1:32">
      <c r="A688" t="s">
        <v>52</v>
      </c>
      <c r="B688" t="s">
        <v>53</v>
      </c>
      <c r="C688">
        <v>60</v>
      </c>
      <c r="D688" t="s">
        <v>2512</v>
      </c>
      <c r="E688" t="s">
        <v>201</v>
      </c>
      <c r="F688" t="s">
        <v>202</v>
      </c>
      <c r="H688" t="s">
        <v>203</v>
      </c>
      <c r="I688" t="b">
        <v>0</v>
      </c>
      <c r="K688" t="s">
        <v>52</v>
      </c>
      <c r="L688" t="s">
        <v>2174</v>
      </c>
      <c r="O688" s="1">
        <v>46282</v>
      </c>
      <c r="P688" t="s">
        <v>2513</v>
      </c>
      <c r="Q688" t="s">
        <v>2514</v>
      </c>
      <c r="R688" t="s">
        <v>83</v>
      </c>
      <c r="S688" t="b">
        <v>1</v>
      </c>
      <c r="T688" t="b">
        <v>1</v>
      </c>
      <c r="U688" t="s">
        <v>2514</v>
      </c>
      <c r="V688" t="s">
        <v>116</v>
      </c>
      <c r="W688" t="s">
        <v>136</v>
      </c>
      <c r="X688" t="s">
        <v>2510</v>
      </c>
      <c r="Y688" t="s">
        <v>2511</v>
      </c>
      <c r="Z688" t="s">
        <v>2174</v>
      </c>
      <c r="AA688" t="b">
        <f>ISNUMBER(SEARCH(";"&amp;Lessons[[#This Row],[Instrument__c]]&amp;";",";"&amp;_xlfn.XLOOKUP(Lessons[[#This Row],[Instructor_External_Id__c]], Instructors[Id], Instructors[Instruments_Taught__c])&amp;";"))</f>
        <v>1</v>
      </c>
      <c r="AB688" t="str">
        <f>IF(LEFT(Lessons[[#This Row],[Status__c]],9)="Cancelled","",Lessons[[#This Row],[Instructor_External_Id__c]]&amp;"|"&amp;TEXT(Lessons[[#This Row],[Lesson_Date__c]],"yyyy-mm-dd")&amp;"|"&amp;Lessons[[#This Row],[Start_Time__c]])</f>
        <v/>
      </c>
      <c r="AC688" t="str">
        <f>IF(Lessons[[#This Row],[Double Booked Key]]="","",COUNTIF(Lessons[Double Booked Key],Lessons[[#This Row],[Double Booked Key]]))</f>
        <v/>
      </c>
      <c r="AD688" s="6" t="str">
        <f>_xlfn.XLOOKUP(Lessons[[#This Row],[Location_External_Id__c]], Locations[Location Id], Locations[Location Name])</f>
        <v>Brick</v>
      </c>
      <c r="AE688" s="6" t="str">
        <f>TEXT(Lessons[[#This Row],[Lesson_Date__c]], "yyyy-mm")</f>
        <v>2026-09</v>
      </c>
      <c r="AF688" s="6" t="str">
        <f>IF(Lessons[[#This Row],[Lesson_Date__c]]&lt;=Data_Audit!$F$1, "Yes", "No")</f>
        <v>Yes</v>
      </c>
    </row>
    <row r="689" spans="1:32">
      <c r="A689" t="s">
        <v>52</v>
      </c>
      <c r="B689" t="s">
        <v>53</v>
      </c>
      <c r="C689">
        <v>30</v>
      </c>
      <c r="D689" t="s">
        <v>2515</v>
      </c>
      <c r="E689" t="s">
        <v>201</v>
      </c>
      <c r="F689" t="s">
        <v>202</v>
      </c>
      <c r="H689" t="s">
        <v>203</v>
      </c>
      <c r="I689" t="b">
        <v>0</v>
      </c>
      <c r="K689" t="s">
        <v>52</v>
      </c>
      <c r="L689" t="s">
        <v>2174</v>
      </c>
      <c r="O689" s="1">
        <v>46167</v>
      </c>
      <c r="P689" t="s">
        <v>2516</v>
      </c>
      <c r="Q689" t="s">
        <v>2517</v>
      </c>
      <c r="R689" t="s">
        <v>83</v>
      </c>
      <c r="S689" t="b">
        <v>0</v>
      </c>
      <c r="T689" t="b">
        <v>0</v>
      </c>
      <c r="U689" t="s">
        <v>2517</v>
      </c>
      <c r="V689" t="s">
        <v>135</v>
      </c>
      <c r="W689" t="s">
        <v>65</v>
      </c>
      <c r="X689" t="s">
        <v>2510</v>
      </c>
      <c r="Y689" t="s">
        <v>2511</v>
      </c>
      <c r="Z689" t="s">
        <v>2174</v>
      </c>
      <c r="AA689" t="b">
        <f>ISNUMBER(SEARCH(";"&amp;Lessons[[#This Row],[Instrument__c]]&amp;";",";"&amp;_xlfn.XLOOKUP(Lessons[[#This Row],[Instructor_External_Id__c]], Instructors[Id], Instructors[Instruments_Taught__c])&amp;";"))</f>
        <v>1</v>
      </c>
      <c r="AB689" t="str">
        <f>IF(LEFT(Lessons[[#This Row],[Status__c]],9)="Cancelled","",Lessons[[#This Row],[Instructor_External_Id__c]]&amp;"|"&amp;TEXT(Lessons[[#This Row],[Lesson_Date__c]],"yyyy-mm-dd")&amp;"|"&amp;Lessons[[#This Row],[Start_Time__c]])</f>
        <v>a06ak00000amzCJAAY|2026-05-25|15:30:00.000Z</v>
      </c>
      <c r="AC689">
        <f>IF(Lessons[[#This Row],[Double Booked Key]]="","",COUNTIF(Lessons[Double Booked Key],Lessons[[#This Row],[Double Booked Key]]))</f>
        <v>1</v>
      </c>
      <c r="AD689" s="6" t="str">
        <f>_xlfn.XLOOKUP(Lessons[[#This Row],[Location_External_Id__c]], Locations[Location Id], Locations[Location Name])</f>
        <v>Brick</v>
      </c>
      <c r="AE689" s="6" t="str">
        <f>TEXT(Lessons[[#This Row],[Lesson_Date__c]], "yyyy-mm")</f>
        <v>2026-05</v>
      </c>
      <c r="AF689" s="6" t="str">
        <f>IF(Lessons[[#This Row],[Lesson_Date__c]]&lt;=Data_Audit!$F$1, "Yes", "No")</f>
        <v>Yes</v>
      </c>
    </row>
    <row r="690" spans="1:32">
      <c r="A690" t="s">
        <v>52</v>
      </c>
      <c r="B690" t="s">
        <v>53</v>
      </c>
      <c r="C690">
        <v>45</v>
      </c>
      <c r="D690" t="s">
        <v>2518</v>
      </c>
      <c r="E690" t="s">
        <v>89</v>
      </c>
      <c r="F690" t="s">
        <v>90</v>
      </c>
      <c r="H690" t="s">
        <v>650</v>
      </c>
      <c r="I690" t="b">
        <v>0</v>
      </c>
      <c r="K690" t="s">
        <v>52</v>
      </c>
      <c r="L690" t="s">
        <v>2174</v>
      </c>
      <c r="O690" s="1">
        <v>46037</v>
      </c>
      <c r="P690" t="s">
        <v>2519</v>
      </c>
      <c r="Q690" t="s">
        <v>2520</v>
      </c>
      <c r="R690" t="s">
        <v>83</v>
      </c>
      <c r="S690" t="b">
        <v>0</v>
      </c>
      <c r="T690" t="b">
        <v>0</v>
      </c>
      <c r="U690" t="s">
        <v>2520</v>
      </c>
      <c r="V690" t="s">
        <v>102</v>
      </c>
      <c r="W690" t="s">
        <v>121</v>
      </c>
      <c r="X690" t="s">
        <v>2521</v>
      </c>
      <c r="Y690" t="s">
        <v>2522</v>
      </c>
      <c r="Z690" t="s">
        <v>2174</v>
      </c>
      <c r="AA690" t="b">
        <f>ISNUMBER(SEARCH(";"&amp;Lessons[[#This Row],[Instrument__c]]&amp;";",";"&amp;_xlfn.XLOOKUP(Lessons[[#This Row],[Instructor_External_Id__c]], Instructors[Id], Instructors[Instruments_Taught__c])&amp;";"))</f>
        <v>1</v>
      </c>
      <c r="AB690" t="str">
        <f>IF(LEFT(Lessons[[#This Row],[Status__c]],9)="Cancelled","",Lessons[[#This Row],[Instructor_External_Id__c]]&amp;"|"&amp;TEXT(Lessons[[#This Row],[Lesson_Date__c]],"yyyy-mm-dd")&amp;"|"&amp;Lessons[[#This Row],[Start_Time__c]])</f>
        <v>a06ak00000amzCFAAY|2026-01-15|16:00:00.000Z</v>
      </c>
      <c r="AC690">
        <f>IF(Lessons[[#This Row],[Double Booked Key]]="","",COUNTIF(Lessons[Double Booked Key],Lessons[[#This Row],[Double Booked Key]]))</f>
        <v>1</v>
      </c>
      <c r="AD690" s="6" t="str">
        <f>_xlfn.XLOOKUP(Lessons[[#This Row],[Location_External_Id__c]], Locations[Location Id], Locations[Location Name])</f>
        <v>Brick</v>
      </c>
      <c r="AE690" s="6" t="str">
        <f>TEXT(Lessons[[#This Row],[Lesson_Date__c]], "yyyy-mm")</f>
        <v>2026-01</v>
      </c>
      <c r="AF690" s="6" t="str">
        <f>IF(Lessons[[#This Row],[Lesson_Date__c]]&lt;=Data_Audit!$F$1, "Yes", "No")</f>
        <v>Yes</v>
      </c>
    </row>
    <row r="691" spans="1:32">
      <c r="A691" t="s">
        <v>52</v>
      </c>
      <c r="B691" t="s">
        <v>53</v>
      </c>
      <c r="C691">
        <v>30</v>
      </c>
      <c r="D691" t="s">
        <v>2523</v>
      </c>
      <c r="E691" t="s">
        <v>89</v>
      </c>
      <c r="F691" t="s">
        <v>90</v>
      </c>
      <c r="G691" t="s">
        <v>106</v>
      </c>
      <c r="H691" t="s">
        <v>650</v>
      </c>
      <c r="I691" t="b">
        <v>0</v>
      </c>
      <c r="K691" t="s">
        <v>52</v>
      </c>
      <c r="L691" t="s">
        <v>2174</v>
      </c>
      <c r="O691" s="1">
        <v>46033</v>
      </c>
      <c r="P691" t="s">
        <v>2524</v>
      </c>
      <c r="Q691" t="s">
        <v>2525</v>
      </c>
      <c r="R691" t="s">
        <v>83</v>
      </c>
      <c r="S691" t="b">
        <v>0</v>
      </c>
      <c r="T691" t="b">
        <v>0</v>
      </c>
      <c r="U691" t="s">
        <v>2525</v>
      </c>
      <c r="V691" t="s">
        <v>135</v>
      </c>
      <c r="W691" t="s">
        <v>65</v>
      </c>
      <c r="X691" t="s">
        <v>2521</v>
      </c>
      <c r="Y691" t="s">
        <v>2522</v>
      </c>
      <c r="Z691" t="s">
        <v>2174</v>
      </c>
      <c r="AA691" t="b">
        <f>ISNUMBER(SEARCH(";"&amp;Lessons[[#This Row],[Instrument__c]]&amp;";",";"&amp;_xlfn.XLOOKUP(Lessons[[#This Row],[Instructor_External_Id__c]], Instructors[Id], Instructors[Instruments_Taught__c])&amp;";"))</f>
        <v>1</v>
      </c>
      <c r="AB691" t="str">
        <f>IF(LEFT(Lessons[[#This Row],[Status__c]],9)="Cancelled","",Lessons[[#This Row],[Instructor_External_Id__c]]&amp;"|"&amp;TEXT(Lessons[[#This Row],[Lesson_Date__c]],"yyyy-mm-dd")&amp;"|"&amp;Lessons[[#This Row],[Start_Time__c]])</f>
        <v>a06ak00000amzCFAAY|2026-01-11|15:30:00.000Z</v>
      </c>
      <c r="AC691">
        <f>IF(Lessons[[#This Row],[Double Booked Key]]="","",COUNTIF(Lessons[Double Booked Key],Lessons[[#This Row],[Double Booked Key]]))</f>
        <v>1</v>
      </c>
      <c r="AD691" s="6" t="str">
        <f>_xlfn.XLOOKUP(Lessons[[#This Row],[Location_External_Id__c]], Locations[Location Id], Locations[Location Name])</f>
        <v>Brick</v>
      </c>
      <c r="AE691" s="6" t="str">
        <f>TEXT(Lessons[[#This Row],[Lesson_Date__c]], "yyyy-mm")</f>
        <v>2026-01</v>
      </c>
      <c r="AF691" s="6" t="str">
        <f>IF(Lessons[[#This Row],[Lesson_Date__c]]&lt;=Data_Audit!$F$1, "Yes", "No")</f>
        <v>Yes</v>
      </c>
    </row>
    <row r="692" spans="1:32">
      <c r="A692" t="s">
        <v>52</v>
      </c>
      <c r="B692" t="s">
        <v>53</v>
      </c>
      <c r="C692">
        <v>30</v>
      </c>
      <c r="D692" t="s">
        <v>2526</v>
      </c>
      <c r="E692" t="s">
        <v>89</v>
      </c>
      <c r="F692" t="s">
        <v>90</v>
      </c>
      <c r="H692" t="s">
        <v>650</v>
      </c>
      <c r="I692" t="b">
        <v>0</v>
      </c>
      <c r="K692" t="s">
        <v>52</v>
      </c>
      <c r="L692" t="s">
        <v>2174</v>
      </c>
      <c r="O692" s="1">
        <v>46242</v>
      </c>
      <c r="P692" t="s">
        <v>2527</v>
      </c>
      <c r="Q692" t="s">
        <v>2528</v>
      </c>
      <c r="R692" t="s">
        <v>83</v>
      </c>
      <c r="S692" t="b">
        <v>0</v>
      </c>
      <c r="T692" t="b">
        <v>0</v>
      </c>
      <c r="U692" t="s">
        <v>2528</v>
      </c>
      <c r="V692" t="s">
        <v>84</v>
      </c>
      <c r="W692" t="s">
        <v>65</v>
      </c>
      <c r="X692" t="s">
        <v>2521</v>
      </c>
      <c r="Y692" t="s">
        <v>2522</v>
      </c>
      <c r="Z692" t="s">
        <v>2174</v>
      </c>
      <c r="AA692" t="b">
        <f>ISNUMBER(SEARCH(";"&amp;Lessons[[#This Row],[Instrument__c]]&amp;";",";"&amp;_xlfn.XLOOKUP(Lessons[[#This Row],[Instructor_External_Id__c]], Instructors[Id], Instructors[Instruments_Taught__c])&amp;";"))</f>
        <v>1</v>
      </c>
      <c r="AB692" t="str">
        <f>IF(LEFT(Lessons[[#This Row],[Status__c]],9)="Cancelled","",Lessons[[#This Row],[Instructor_External_Id__c]]&amp;"|"&amp;TEXT(Lessons[[#This Row],[Lesson_Date__c]],"yyyy-mm-dd")&amp;"|"&amp;Lessons[[#This Row],[Start_Time__c]])</f>
        <v>a06ak00000amzCFAAY|2026-08-08|17:00:00.000Z</v>
      </c>
      <c r="AC692">
        <f>IF(Lessons[[#This Row],[Double Booked Key]]="","",COUNTIF(Lessons[Double Booked Key],Lessons[[#This Row],[Double Booked Key]]))</f>
        <v>1</v>
      </c>
      <c r="AD692" s="6" t="str">
        <f>_xlfn.XLOOKUP(Lessons[[#This Row],[Location_External_Id__c]], Locations[Location Id], Locations[Location Name])</f>
        <v>Brick</v>
      </c>
      <c r="AE692" s="6" t="str">
        <f>TEXT(Lessons[[#This Row],[Lesson_Date__c]], "yyyy-mm")</f>
        <v>2026-08</v>
      </c>
      <c r="AF692" s="6" t="str">
        <f>IF(Lessons[[#This Row],[Lesson_Date__c]]&lt;=Data_Audit!$F$1, "Yes", "No")</f>
        <v>Yes</v>
      </c>
    </row>
    <row r="693" spans="1:32">
      <c r="A693" t="s">
        <v>52</v>
      </c>
      <c r="B693" t="s">
        <v>53</v>
      </c>
      <c r="C693">
        <v>60</v>
      </c>
      <c r="D693" t="s">
        <v>2529</v>
      </c>
      <c r="E693" t="s">
        <v>89</v>
      </c>
      <c r="F693" t="s">
        <v>90</v>
      </c>
      <c r="H693" t="s">
        <v>650</v>
      </c>
      <c r="I693" t="b">
        <v>0</v>
      </c>
      <c r="K693" t="s">
        <v>52</v>
      </c>
      <c r="L693" t="s">
        <v>2174</v>
      </c>
      <c r="O693" s="1">
        <v>46056</v>
      </c>
      <c r="P693" t="s">
        <v>2530</v>
      </c>
      <c r="Q693" t="s">
        <v>2531</v>
      </c>
      <c r="R693" t="s">
        <v>83</v>
      </c>
      <c r="S693" t="b">
        <v>0</v>
      </c>
      <c r="T693" t="b">
        <v>0</v>
      </c>
      <c r="U693" t="s">
        <v>2531</v>
      </c>
      <c r="V693" t="s">
        <v>110</v>
      </c>
      <c r="W693" t="s">
        <v>85</v>
      </c>
      <c r="X693" t="s">
        <v>2521</v>
      </c>
      <c r="Y693" t="s">
        <v>2522</v>
      </c>
      <c r="Z693" t="s">
        <v>2174</v>
      </c>
      <c r="AA693" t="b">
        <f>ISNUMBER(SEARCH(";"&amp;Lessons[[#This Row],[Instrument__c]]&amp;";",";"&amp;_xlfn.XLOOKUP(Lessons[[#This Row],[Instructor_External_Id__c]], Instructors[Id], Instructors[Instruments_Taught__c])&amp;";"))</f>
        <v>1</v>
      </c>
      <c r="AB693" t="str">
        <f>IF(LEFT(Lessons[[#This Row],[Status__c]],9)="Cancelled","",Lessons[[#This Row],[Instructor_External_Id__c]]&amp;"|"&amp;TEXT(Lessons[[#This Row],[Lesson_Date__c]],"yyyy-mm-dd")&amp;"|"&amp;Lessons[[#This Row],[Start_Time__c]])</f>
        <v/>
      </c>
      <c r="AC693" t="str">
        <f>IF(Lessons[[#This Row],[Double Booked Key]]="","",COUNTIF(Lessons[Double Booked Key],Lessons[[#This Row],[Double Booked Key]]))</f>
        <v/>
      </c>
      <c r="AD693" s="6" t="str">
        <f>_xlfn.XLOOKUP(Lessons[[#This Row],[Location_External_Id__c]], Locations[Location Id], Locations[Location Name])</f>
        <v>Brick</v>
      </c>
      <c r="AE693" s="6" t="str">
        <f>TEXT(Lessons[[#This Row],[Lesson_Date__c]], "yyyy-mm")</f>
        <v>2026-02</v>
      </c>
      <c r="AF693" s="6" t="str">
        <f>IF(Lessons[[#This Row],[Lesson_Date__c]]&lt;=Data_Audit!$F$1, "Yes", "No")</f>
        <v>Yes</v>
      </c>
    </row>
    <row r="694" spans="1:32">
      <c r="A694" t="s">
        <v>52</v>
      </c>
      <c r="B694" t="s">
        <v>53</v>
      </c>
      <c r="C694">
        <v>30</v>
      </c>
      <c r="D694" t="s">
        <v>2532</v>
      </c>
      <c r="E694" t="s">
        <v>89</v>
      </c>
      <c r="F694" t="s">
        <v>90</v>
      </c>
      <c r="H694" t="s">
        <v>650</v>
      </c>
      <c r="I694" t="b">
        <v>0</v>
      </c>
      <c r="K694" t="s">
        <v>52</v>
      </c>
      <c r="L694" t="s">
        <v>2174</v>
      </c>
      <c r="O694" s="1">
        <v>46223</v>
      </c>
      <c r="P694" t="s">
        <v>2533</v>
      </c>
      <c r="Q694" t="s">
        <v>2534</v>
      </c>
      <c r="R694" t="s">
        <v>83</v>
      </c>
      <c r="S694" t="b">
        <v>0</v>
      </c>
      <c r="T694" t="b">
        <v>0</v>
      </c>
      <c r="U694" t="s">
        <v>2534</v>
      </c>
      <c r="V694" t="s">
        <v>64</v>
      </c>
      <c r="W694" t="s">
        <v>85</v>
      </c>
      <c r="X694" t="s">
        <v>2521</v>
      </c>
      <c r="Y694" t="s">
        <v>2522</v>
      </c>
      <c r="Z694" t="s">
        <v>2174</v>
      </c>
      <c r="AA694" t="b">
        <f>ISNUMBER(SEARCH(";"&amp;Lessons[[#This Row],[Instrument__c]]&amp;";",";"&amp;_xlfn.XLOOKUP(Lessons[[#This Row],[Instructor_External_Id__c]], Instructors[Id], Instructors[Instruments_Taught__c])&amp;";"))</f>
        <v>1</v>
      </c>
      <c r="AB694" t="str">
        <f>IF(LEFT(Lessons[[#This Row],[Status__c]],9)="Cancelled","",Lessons[[#This Row],[Instructor_External_Id__c]]&amp;"|"&amp;TEXT(Lessons[[#This Row],[Lesson_Date__c]],"yyyy-mm-dd")&amp;"|"&amp;Lessons[[#This Row],[Start_Time__c]])</f>
        <v/>
      </c>
      <c r="AC694" t="str">
        <f>IF(Lessons[[#This Row],[Double Booked Key]]="","",COUNTIF(Lessons[Double Booked Key],Lessons[[#This Row],[Double Booked Key]]))</f>
        <v/>
      </c>
      <c r="AD694" s="6" t="str">
        <f>_xlfn.XLOOKUP(Lessons[[#This Row],[Location_External_Id__c]], Locations[Location Id], Locations[Location Name])</f>
        <v>Brick</v>
      </c>
      <c r="AE694" s="6" t="str">
        <f>TEXT(Lessons[[#This Row],[Lesson_Date__c]], "yyyy-mm")</f>
        <v>2026-07</v>
      </c>
      <c r="AF694" s="6" t="str">
        <f>IF(Lessons[[#This Row],[Lesson_Date__c]]&lt;=Data_Audit!$F$1, "Yes", "No")</f>
        <v>Yes</v>
      </c>
    </row>
    <row r="695" spans="1:32">
      <c r="A695" t="s">
        <v>52</v>
      </c>
      <c r="B695" t="s">
        <v>53</v>
      </c>
      <c r="C695">
        <v>30</v>
      </c>
      <c r="D695" t="s">
        <v>2535</v>
      </c>
      <c r="E695" t="s">
        <v>89</v>
      </c>
      <c r="F695" t="s">
        <v>90</v>
      </c>
      <c r="G695" t="s">
        <v>106</v>
      </c>
      <c r="H695" t="s">
        <v>650</v>
      </c>
      <c r="I695" t="b">
        <v>0</v>
      </c>
      <c r="K695" t="s">
        <v>52</v>
      </c>
      <c r="L695" t="s">
        <v>2174</v>
      </c>
      <c r="O695" s="1">
        <v>46139</v>
      </c>
      <c r="P695" t="s">
        <v>2536</v>
      </c>
      <c r="Q695" t="s">
        <v>2537</v>
      </c>
      <c r="R695" t="s">
        <v>83</v>
      </c>
      <c r="S695" t="b">
        <v>0</v>
      </c>
      <c r="T695" t="b">
        <v>0</v>
      </c>
      <c r="U695" t="s">
        <v>2537</v>
      </c>
      <c r="V695" t="s">
        <v>94</v>
      </c>
      <c r="W695" t="s">
        <v>65</v>
      </c>
      <c r="X695" t="s">
        <v>2521</v>
      </c>
      <c r="Y695" t="s">
        <v>2522</v>
      </c>
      <c r="Z695" t="s">
        <v>2174</v>
      </c>
      <c r="AA695" t="b">
        <f>ISNUMBER(SEARCH(";"&amp;Lessons[[#This Row],[Instrument__c]]&amp;";",";"&amp;_xlfn.XLOOKUP(Lessons[[#This Row],[Instructor_External_Id__c]], Instructors[Id], Instructors[Instruments_Taught__c])&amp;";"))</f>
        <v>1</v>
      </c>
      <c r="AB695" t="str">
        <f>IF(LEFT(Lessons[[#This Row],[Status__c]],9)="Cancelled","",Lessons[[#This Row],[Instructor_External_Id__c]]&amp;"|"&amp;TEXT(Lessons[[#This Row],[Lesson_Date__c]],"yyyy-mm-dd")&amp;"|"&amp;Lessons[[#This Row],[Start_Time__c]])</f>
        <v>a06ak00000amzCFAAY|2026-04-27|19:00:00.000Z</v>
      </c>
      <c r="AC695">
        <f>IF(Lessons[[#This Row],[Double Booked Key]]="","",COUNTIF(Lessons[Double Booked Key],Lessons[[#This Row],[Double Booked Key]]))</f>
        <v>1</v>
      </c>
      <c r="AD695" s="6" t="str">
        <f>_xlfn.XLOOKUP(Lessons[[#This Row],[Location_External_Id__c]], Locations[Location Id], Locations[Location Name])</f>
        <v>Brick</v>
      </c>
      <c r="AE695" s="6" t="str">
        <f>TEXT(Lessons[[#This Row],[Lesson_Date__c]], "yyyy-mm")</f>
        <v>2026-04</v>
      </c>
      <c r="AF695" s="6" t="str">
        <f>IF(Lessons[[#This Row],[Lesson_Date__c]]&lt;=Data_Audit!$F$1, "Yes", "No")</f>
        <v>Yes</v>
      </c>
    </row>
    <row r="696" spans="1:32">
      <c r="A696" t="s">
        <v>52</v>
      </c>
      <c r="B696" t="s">
        <v>53</v>
      </c>
      <c r="C696">
        <v>30</v>
      </c>
      <c r="D696" t="s">
        <v>2538</v>
      </c>
      <c r="E696" t="s">
        <v>459</v>
      </c>
      <c r="F696" t="s">
        <v>460</v>
      </c>
      <c r="G696" t="s">
        <v>69</v>
      </c>
      <c r="H696" t="s">
        <v>461</v>
      </c>
      <c r="I696" t="b">
        <v>0</v>
      </c>
      <c r="K696" t="s">
        <v>52</v>
      </c>
      <c r="L696" t="s">
        <v>2174</v>
      </c>
      <c r="O696" s="1">
        <v>46220</v>
      </c>
      <c r="P696" t="s">
        <v>2539</v>
      </c>
      <c r="Q696" t="s">
        <v>2540</v>
      </c>
      <c r="R696" t="s">
        <v>83</v>
      </c>
      <c r="S696" t="b">
        <v>0</v>
      </c>
      <c r="T696" t="b">
        <v>0</v>
      </c>
      <c r="U696" t="s">
        <v>2540</v>
      </c>
      <c r="V696" t="s">
        <v>74</v>
      </c>
      <c r="W696" t="s">
        <v>65</v>
      </c>
      <c r="X696" t="s">
        <v>2541</v>
      </c>
      <c r="Y696" t="s">
        <v>2542</v>
      </c>
      <c r="Z696" t="s">
        <v>2174</v>
      </c>
      <c r="AA696" t="b">
        <f>ISNUMBER(SEARCH(";"&amp;Lessons[[#This Row],[Instrument__c]]&amp;";",";"&amp;_xlfn.XLOOKUP(Lessons[[#This Row],[Instructor_External_Id__c]], Instructors[Id], Instructors[Instruments_Taught__c])&amp;";"))</f>
        <v>1</v>
      </c>
      <c r="AB696" t="str">
        <f>IF(LEFT(Lessons[[#This Row],[Status__c]],9)="Cancelled","",Lessons[[#This Row],[Instructor_External_Id__c]]&amp;"|"&amp;TEXT(Lessons[[#This Row],[Lesson_Date__c]],"yyyy-mm-dd")&amp;"|"&amp;Lessons[[#This Row],[Start_Time__c]])</f>
        <v>a06ak00000amzC8AAI|2026-07-17|16:30:00.000Z</v>
      </c>
      <c r="AC696">
        <f>IF(Lessons[[#This Row],[Double Booked Key]]="","",COUNTIF(Lessons[Double Booked Key],Lessons[[#This Row],[Double Booked Key]]))</f>
        <v>1</v>
      </c>
      <c r="AD696" s="6" t="str">
        <f>_xlfn.XLOOKUP(Lessons[[#This Row],[Location_External_Id__c]], Locations[Location Id], Locations[Location Name])</f>
        <v>Brick</v>
      </c>
      <c r="AE696" s="6" t="str">
        <f>TEXT(Lessons[[#This Row],[Lesson_Date__c]], "yyyy-mm")</f>
        <v>2026-07</v>
      </c>
      <c r="AF696" s="6" t="str">
        <f>IF(Lessons[[#This Row],[Lesson_Date__c]]&lt;=Data_Audit!$F$1, "Yes", "No")</f>
        <v>Yes</v>
      </c>
    </row>
    <row r="697" spans="1:32">
      <c r="A697" t="s">
        <v>52</v>
      </c>
      <c r="B697" t="s">
        <v>53</v>
      </c>
      <c r="C697">
        <v>45</v>
      </c>
      <c r="D697" t="s">
        <v>2543</v>
      </c>
      <c r="E697" t="s">
        <v>459</v>
      </c>
      <c r="F697" t="s">
        <v>460</v>
      </c>
      <c r="H697" t="s">
        <v>461</v>
      </c>
      <c r="I697" t="b">
        <v>0</v>
      </c>
      <c r="K697" t="s">
        <v>52</v>
      </c>
      <c r="L697" t="s">
        <v>2174</v>
      </c>
      <c r="O697" s="1">
        <v>46293</v>
      </c>
      <c r="P697" t="s">
        <v>2544</v>
      </c>
      <c r="Q697" t="s">
        <v>2545</v>
      </c>
      <c r="R697" t="s">
        <v>83</v>
      </c>
      <c r="S697" t="b">
        <v>1</v>
      </c>
      <c r="T697" t="b">
        <v>1</v>
      </c>
      <c r="U697" t="s">
        <v>2545</v>
      </c>
      <c r="V697" t="s">
        <v>94</v>
      </c>
      <c r="W697" t="s">
        <v>136</v>
      </c>
      <c r="X697" t="s">
        <v>2541</v>
      </c>
      <c r="Y697" t="s">
        <v>2542</v>
      </c>
      <c r="Z697" t="s">
        <v>2174</v>
      </c>
      <c r="AA697" t="b">
        <f>ISNUMBER(SEARCH(";"&amp;Lessons[[#This Row],[Instrument__c]]&amp;";",";"&amp;_xlfn.XLOOKUP(Lessons[[#This Row],[Instructor_External_Id__c]], Instructors[Id], Instructors[Instruments_Taught__c])&amp;";"))</f>
        <v>1</v>
      </c>
      <c r="AB697" t="str">
        <f>IF(LEFT(Lessons[[#This Row],[Status__c]],9)="Cancelled","",Lessons[[#This Row],[Instructor_External_Id__c]]&amp;"|"&amp;TEXT(Lessons[[#This Row],[Lesson_Date__c]],"yyyy-mm-dd")&amp;"|"&amp;Lessons[[#This Row],[Start_Time__c]])</f>
        <v/>
      </c>
      <c r="AC697" t="str">
        <f>IF(Lessons[[#This Row],[Double Booked Key]]="","",COUNTIF(Lessons[Double Booked Key],Lessons[[#This Row],[Double Booked Key]]))</f>
        <v/>
      </c>
      <c r="AD697" s="6" t="str">
        <f>_xlfn.XLOOKUP(Lessons[[#This Row],[Location_External_Id__c]], Locations[Location Id], Locations[Location Name])</f>
        <v>Brick</v>
      </c>
      <c r="AE697" s="6" t="str">
        <f>TEXT(Lessons[[#This Row],[Lesson_Date__c]], "yyyy-mm")</f>
        <v>2026-09</v>
      </c>
      <c r="AF697" s="6" t="str">
        <f>IF(Lessons[[#This Row],[Lesson_Date__c]]&lt;=Data_Audit!$F$1, "Yes", "No")</f>
        <v>Yes</v>
      </c>
    </row>
    <row r="698" spans="1:32">
      <c r="A698" t="s">
        <v>52</v>
      </c>
      <c r="B698" t="s">
        <v>53</v>
      </c>
      <c r="C698">
        <v>30</v>
      </c>
      <c r="D698" t="s">
        <v>2546</v>
      </c>
      <c r="E698" t="s">
        <v>459</v>
      </c>
      <c r="F698" t="s">
        <v>460</v>
      </c>
      <c r="G698" t="s">
        <v>57</v>
      </c>
      <c r="H698" t="s">
        <v>461</v>
      </c>
      <c r="I698" t="b">
        <v>0</v>
      </c>
      <c r="K698" t="s">
        <v>52</v>
      </c>
      <c r="L698" t="s">
        <v>2174</v>
      </c>
      <c r="O698" s="1">
        <v>46057</v>
      </c>
      <c r="P698" t="s">
        <v>2547</v>
      </c>
      <c r="Q698" t="s">
        <v>2548</v>
      </c>
      <c r="R698" t="s">
        <v>83</v>
      </c>
      <c r="S698" t="b">
        <v>0</v>
      </c>
      <c r="T698" t="b">
        <v>0</v>
      </c>
      <c r="U698" t="s">
        <v>2548</v>
      </c>
      <c r="V698" t="s">
        <v>128</v>
      </c>
      <c r="W698" t="s">
        <v>65</v>
      </c>
      <c r="X698" t="s">
        <v>2541</v>
      </c>
      <c r="Y698" t="s">
        <v>2542</v>
      </c>
      <c r="Z698" t="s">
        <v>2174</v>
      </c>
      <c r="AA698" t="b">
        <f>ISNUMBER(SEARCH(";"&amp;Lessons[[#This Row],[Instrument__c]]&amp;";",";"&amp;_xlfn.XLOOKUP(Lessons[[#This Row],[Instructor_External_Id__c]], Instructors[Id], Instructors[Instruments_Taught__c])&amp;";"))</f>
        <v>1</v>
      </c>
      <c r="AB698" t="str">
        <f>IF(LEFT(Lessons[[#This Row],[Status__c]],9)="Cancelled","",Lessons[[#This Row],[Instructor_External_Id__c]]&amp;"|"&amp;TEXT(Lessons[[#This Row],[Lesson_Date__c]],"yyyy-mm-dd")&amp;"|"&amp;Lessons[[#This Row],[Start_Time__c]])</f>
        <v>a06ak00000amzC8AAI|2026-02-04|18:30:00.000Z</v>
      </c>
      <c r="AC698">
        <f>IF(Lessons[[#This Row],[Double Booked Key]]="","",COUNTIF(Lessons[Double Booked Key],Lessons[[#This Row],[Double Booked Key]]))</f>
        <v>1</v>
      </c>
      <c r="AD698" s="6" t="str">
        <f>_xlfn.XLOOKUP(Lessons[[#This Row],[Location_External_Id__c]], Locations[Location Id], Locations[Location Name])</f>
        <v>Brick</v>
      </c>
      <c r="AE698" s="6" t="str">
        <f>TEXT(Lessons[[#This Row],[Lesson_Date__c]], "yyyy-mm")</f>
        <v>2026-02</v>
      </c>
      <c r="AF698" s="6" t="str">
        <f>IF(Lessons[[#This Row],[Lesson_Date__c]]&lt;=Data_Audit!$F$1, "Yes", "No")</f>
        <v>Yes</v>
      </c>
    </row>
    <row r="699" spans="1:32">
      <c r="A699" t="s">
        <v>52</v>
      </c>
      <c r="B699" t="s">
        <v>53</v>
      </c>
      <c r="C699">
        <v>60</v>
      </c>
      <c r="D699" t="s">
        <v>2549</v>
      </c>
      <c r="E699" t="s">
        <v>459</v>
      </c>
      <c r="F699" t="s">
        <v>460</v>
      </c>
      <c r="G699" t="s">
        <v>99</v>
      </c>
      <c r="H699" t="s">
        <v>461</v>
      </c>
      <c r="I699" t="b">
        <v>0</v>
      </c>
      <c r="K699" t="s">
        <v>52</v>
      </c>
      <c r="L699" t="s">
        <v>2174</v>
      </c>
      <c r="O699" s="1">
        <v>46158</v>
      </c>
      <c r="P699" t="s">
        <v>2550</v>
      </c>
      <c r="Q699" t="s">
        <v>2551</v>
      </c>
      <c r="R699" t="s">
        <v>83</v>
      </c>
      <c r="S699" t="b">
        <v>0</v>
      </c>
      <c r="T699" t="b">
        <v>0</v>
      </c>
      <c r="U699" t="s">
        <v>2551</v>
      </c>
      <c r="V699" t="s">
        <v>128</v>
      </c>
      <c r="W699" t="s">
        <v>65</v>
      </c>
      <c r="X699" t="s">
        <v>2541</v>
      </c>
      <c r="Y699" t="s">
        <v>2542</v>
      </c>
      <c r="Z699" t="s">
        <v>2174</v>
      </c>
      <c r="AA699" t="b">
        <f>ISNUMBER(SEARCH(";"&amp;Lessons[[#This Row],[Instrument__c]]&amp;";",";"&amp;_xlfn.XLOOKUP(Lessons[[#This Row],[Instructor_External_Id__c]], Instructors[Id], Instructors[Instruments_Taught__c])&amp;";"))</f>
        <v>1</v>
      </c>
      <c r="AB699" t="str">
        <f>IF(LEFT(Lessons[[#This Row],[Status__c]],9)="Cancelled","",Lessons[[#This Row],[Instructor_External_Id__c]]&amp;"|"&amp;TEXT(Lessons[[#This Row],[Lesson_Date__c]],"yyyy-mm-dd")&amp;"|"&amp;Lessons[[#This Row],[Start_Time__c]])</f>
        <v>a06ak00000amzC8AAI|2026-05-16|18:30:00.000Z</v>
      </c>
      <c r="AC699">
        <f>IF(Lessons[[#This Row],[Double Booked Key]]="","",COUNTIF(Lessons[Double Booked Key],Lessons[[#This Row],[Double Booked Key]]))</f>
        <v>1</v>
      </c>
      <c r="AD699" s="6" t="str">
        <f>_xlfn.XLOOKUP(Lessons[[#This Row],[Location_External_Id__c]], Locations[Location Id], Locations[Location Name])</f>
        <v>Brick</v>
      </c>
      <c r="AE699" s="6" t="str">
        <f>TEXT(Lessons[[#This Row],[Lesson_Date__c]], "yyyy-mm")</f>
        <v>2026-05</v>
      </c>
      <c r="AF699" s="6" t="str">
        <f>IF(Lessons[[#This Row],[Lesson_Date__c]]&lt;=Data_Audit!$F$1, "Yes", "No")</f>
        <v>Yes</v>
      </c>
    </row>
    <row r="700" spans="1:32">
      <c r="A700" t="s">
        <v>52</v>
      </c>
      <c r="B700" t="s">
        <v>53</v>
      </c>
      <c r="C700">
        <v>60</v>
      </c>
      <c r="D700" t="s">
        <v>2552</v>
      </c>
      <c r="E700" t="s">
        <v>459</v>
      </c>
      <c r="F700" t="s">
        <v>460</v>
      </c>
      <c r="G700" t="s">
        <v>99</v>
      </c>
      <c r="H700" t="s">
        <v>461</v>
      </c>
      <c r="I700" t="b">
        <v>0</v>
      </c>
      <c r="K700" t="s">
        <v>52</v>
      </c>
      <c r="L700" t="s">
        <v>2174</v>
      </c>
      <c r="O700" s="1">
        <v>46079</v>
      </c>
      <c r="P700" t="s">
        <v>2553</v>
      </c>
      <c r="Q700" t="s">
        <v>2554</v>
      </c>
      <c r="R700" t="s">
        <v>83</v>
      </c>
      <c r="S700" t="b">
        <v>0</v>
      </c>
      <c r="T700" t="b">
        <v>0</v>
      </c>
      <c r="U700" t="s">
        <v>2554</v>
      </c>
      <c r="V700" t="s">
        <v>84</v>
      </c>
      <c r="W700" t="s">
        <v>65</v>
      </c>
      <c r="X700" t="s">
        <v>2541</v>
      </c>
      <c r="Y700" t="s">
        <v>2542</v>
      </c>
      <c r="Z700" t="s">
        <v>2174</v>
      </c>
      <c r="AA700" t="b">
        <f>ISNUMBER(SEARCH(";"&amp;Lessons[[#This Row],[Instrument__c]]&amp;";",";"&amp;_xlfn.XLOOKUP(Lessons[[#This Row],[Instructor_External_Id__c]], Instructors[Id], Instructors[Instruments_Taught__c])&amp;";"))</f>
        <v>1</v>
      </c>
      <c r="AB700" t="str">
        <f>IF(LEFT(Lessons[[#This Row],[Status__c]],9)="Cancelled","",Lessons[[#This Row],[Instructor_External_Id__c]]&amp;"|"&amp;TEXT(Lessons[[#This Row],[Lesson_Date__c]],"yyyy-mm-dd")&amp;"|"&amp;Lessons[[#This Row],[Start_Time__c]])</f>
        <v>a06ak00000amzC8AAI|2026-02-26|17:00:00.000Z</v>
      </c>
      <c r="AC700">
        <f>IF(Lessons[[#This Row],[Double Booked Key]]="","",COUNTIF(Lessons[Double Booked Key],Lessons[[#This Row],[Double Booked Key]]))</f>
        <v>1</v>
      </c>
      <c r="AD700" s="6" t="str">
        <f>_xlfn.XLOOKUP(Lessons[[#This Row],[Location_External_Id__c]], Locations[Location Id], Locations[Location Name])</f>
        <v>Brick</v>
      </c>
      <c r="AE700" s="6" t="str">
        <f>TEXT(Lessons[[#This Row],[Lesson_Date__c]], "yyyy-mm")</f>
        <v>2026-02</v>
      </c>
      <c r="AF700" s="6" t="str">
        <f>IF(Lessons[[#This Row],[Lesson_Date__c]]&lt;=Data_Audit!$F$1, "Yes", "No")</f>
        <v>Yes</v>
      </c>
    </row>
    <row r="701" spans="1:32">
      <c r="A701" t="s">
        <v>52</v>
      </c>
      <c r="B701" t="s">
        <v>53</v>
      </c>
      <c r="C701">
        <v>30</v>
      </c>
      <c r="D701" t="s">
        <v>2555</v>
      </c>
      <c r="E701" t="s">
        <v>459</v>
      </c>
      <c r="F701" t="s">
        <v>460</v>
      </c>
      <c r="G701" t="s">
        <v>164</v>
      </c>
      <c r="H701" t="s">
        <v>461</v>
      </c>
      <c r="I701" t="b">
        <v>0</v>
      </c>
      <c r="K701" t="s">
        <v>52</v>
      </c>
      <c r="L701" t="s">
        <v>2174</v>
      </c>
      <c r="O701" s="1">
        <v>46059</v>
      </c>
      <c r="P701" t="s">
        <v>2556</v>
      </c>
      <c r="Q701" t="s">
        <v>2557</v>
      </c>
      <c r="R701" t="s">
        <v>83</v>
      </c>
      <c r="S701" t="b">
        <v>0</v>
      </c>
      <c r="T701" t="b">
        <v>0</v>
      </c>
      <c r="U701" t="s">
        <v>2557</v>
      </c>
      <c r="V701" t="s">
        <v>102</v>
      </c>
      <c r="W701" t="s">
        <v>65</v>
      </c>
      <c r="X701" t="s">
        <v>2541</v>
      </c>
      <c r="Y701" t="s">
        <v>2542</v>
      </c>
      <c r="Z701" t="s">
        <v>2174</v>
      </c>
      <c r="AA701" t="b">
        <f>ISNUMBER(SEARCH(";"&amp;Lessons[[#This Row],[Instrument__c]]&amp;";",";"&amp;_xlfn.XLOOKUP(Lessons[[#This Row],[Instructor_External_Id__c]], Instructors[Id], Instructors[Instruments_Taught__c])&amp;";"))</f>
        <v>1</v>
      </c>
      <c r="AB701" t="str">
        <f>IF(LEFT(Lessons[[#This Row],[Status__c]],9)="Cancelled","",Lessons[[#This Row],[Instructor_External_Id__c]]&amp;"|"&amp;TEXT(Lessons[[#This Row],[Lesson_Date__c]],"yyyy-mm-dd")&amp;"|"&amp;Lessons[[#This Row],[Start_Time__c]])</f>
        <v>a06ak00000amzC8AAI|2026-02-06|16:00:00.000Z</v>
      </c>
      <c r="AC701">
        <f>IF(Lessons[[#This Row],[Double Booked Key]]="","",COUNTIF(Lessons[Double Booked Key],Lessons[[#This Row],[Double Booked Key]]))</f>
        <v>1</v>
      </c>
      <c r="AD701" s="6" t="str">
        <f>_xlfn.XLOOKUP(Lessons[[#This Row],[Location_External_Id__c]], Locations[Location Id], Locations[Location Name])</f>
        <v>Brick</v>
      </c>
      <c r="AE701" s="6" t="str">
        <f>TEXT(Lessons[[#This Row],[Lesson_Date__c]], "yyyy-mm")</f>
        <v>2026-02</v>
      </c>
      <c r="AF701" s="6" t="str">
        <f>IF(Lessons[[#This Row],[Lesson_Date__c]]&lt;=Data_Audit!$F$1, "Yes", "No")</f>
        <v>Yes</v>
      </c>
    </row>
    <row r="702" spans="1:32">
      <c r="A702" t="s">
        <v>52</v>
      </c>
      <c r="B702" t="s">
        <v>53</v>
      </c>
      <c r="C702">
        <v>45</v>
      </c>
      <c r="D702" t="s">
        <v>2558</v>
      </c>
      <c r="E702" t="s">
        <v>459</v>
      </c>
      <c r="F702" t="s">
        <v>460</v>
      </c>
      <c r="H702" t="s">
        <v>461</v>
      </c>
      <c r="I702" t="b">
        <v>0</v>
      </c>
      <c r="K702" t="s">
        <v>52</v>
      </c>
      <c r="L702" t="s">
        <v>2174</v>
      </c>
      <c r="O702" s="1">
        <v>46285</v>
      </c>
      <c r="P702" t="s">
        <v>2559</v>
      </c>
      <c r="Q702" t="s">
        <v>2560</v>
      </c>
      <c r="R702" t="s">
        <v>83</v>
      </c>
      <c r="S702" t="b">
        <v>0</v>
      </c>
      <c r="T702" t="b">
        <v>0</v>
      </c>
      <c r="U702" t="s">
        <v>2560</v>
      </c>
      <c r="V702" t="s">
        <v>84</v>
      </c>
      <c r="W702" t="s">
        <v>65</v>
      </c>
      <c r="X702" t="s">
        <v>2541</v>
      </c>
      <c r="Y702" t="s">
        <v>2542</v>
      </c>
      <c r="Z702" t="s">
        <v>2174</v>
      </c>
      <c r="AA702" t="b">
        <f>ISNUMBER(SEARCH(";"&amp;Lessons[[#This Row],[Instrument__c]]&amp;";",";"&amp;_xlfn.XLOOKUP(Lessons[[#This Row],[Instructor_External_Id__c]], Instructors[Id], Instructors[Instruments_Taught__c])&amp;";"))</f>
        <v>1</v>
      </c>
      <c r="AB702" t="str">
        <f>IF(LEFT(Lessons[[#This Row],[Status__c]],9)="Cancelled","",Lessons[[#This Row],[Instructor_External_Id__c]]&amp;"|"&amp;TEXT(Lessons[[#This Row],[Lesson_Date__c]],"yyyy-mm-dd")&amp;"|"&amp;Lessons[[#This Row],[Start_Time__c]])</f>
        <v>a06ak00000amzC8AAI|2026-09-20|17:00:00.000Z</v>
      </c>
      <c r="AC702">
        <f>IF(Lessons[[#This Row],[Double Booked Key]]="","",COUNTIF(Lessons[Double Booked Key],Lessons[[#This Row],[Double Booked Key]]))</f>
        <v>1</v>
      </c>
      <c r="AD702" s="6" t="str">
        <f>_xlfn.XLOOKUP(Lessons[[#This Row],[Location_External_Id__c]], Locations[Location Id], Locations[Location Name])</f>
        <v>Brick</v>
      </c>
      <c r="AE702" s="6" t="str">
        <f>TEXT(Lessons[[#This Row],[Lesson_Date__c]], "yyyy-mm")</f>
        <v>2026-09</v>
      </c>
      <c r="AF702" s="6" t="str">
        <f>IF(Lessons[[#This Row],[Lesson_Date__c]]&lt;=Data_Audit!$F$1, "Yes", "No")</f>
        <v>Yes</v>
      </c>
    </row>
    <row r="703" spans="1:32">
      <c r="A703" t="s">
        <v>52</v>
      </c>
      <c r="B703" t="s">
        <v>53</v>
      </c>
      <c r="C703">
        <v>60</v>
      </c>
      <c r="D703" t="s">
        <v>2561</v>
      </c>
      <c r="E703" t="s">
        <v>459</v>
      </c>
      <c r="F703" t="s">
        <v>460</v>
      </c>
      <c r="H703" t="s">
        <v>461</v>
      </c>
      <c r="I703" t="b">
        <v>0</v>
      </c>
      <c r="K703" t="s">
        <v>52</v>
      </c>
      <c r="L703" t="s">
        <v>2174</v>
      </c>
      <c r="O703" s="1">
        <v>46277</v>
      </c>
      <c r="P703" t="s">
        <v>2562</v>
      </c>
      <c r="Q703" t="s">
        <v>2563</v>
      </c>
      <c r="R703" t="s">
        <v>83</v>
      </c>
      <c r="S703" t="b">
        <v>0</v>
      </c>
      <c r="T703" t="b">
        <v>0</v>
      </c>
      <c r="U703" t="s">
        <v>2563</v>
      </c>
      <c r="V703" t="s">
        <v>94</v>
      </c>
      <c r="W703" t="s">
        <v>85</v>
      </c>
      <c r="X703" t="s">
        <v>2541</v>
      </c>
      <c r="Y703" t="s">
        <v>2542</v>
      </c>
      <c r="Z703" t="s">
        <v>2174</v>
      </c>
      <c r="AA703" t="b">
        <f>ISNUMBER(SEARCH(";"&amp;Lessons[[#This Row],[Instrument__c]]&amp;";",";"&amp;_xlfn.XLOOKUP(Lessons[[#This Row],[Instructor_External_Id__c]], Instructors[Id], Instructors[Instruments_Taught__c])&amp;";"))</f>
        <v>1</v>
      </c>
      <c r="AB703" t="str">
        <f>IF(LEFT(Lessons[[#This Row],[Status__c]],9)="Cancelled","",Lessons[[#This Row],[Instructor_External_Id__c]]&amp;"|"&amp;TEXT(Lessons[[#This Row],[Lesson_Date__c]],"yyyy-mm-dd")&amp;"|"&amp;Lessons[[#This Row],[Start_Time__c]])</f>
        <v/>
      </c>
      <c r="AC703" t="str">
        <f>IF(Lessons[[#This Row],[Double Booked Key]]="","",COUNTIF(Lessons[Double Booked Key],Lessons[[#This Row],[Double Booked Key]]))</f>
        <v/>
      </c>
      <c r="AD703" s="6" t="str">
        <f>_xlfn.XLOOKUP(Lessons[[#This Row],[Location_External_Id__c]], Locations[Location Id], Locations[Location Name])</f>
        <v>Brick</v>
      </c>
      <c r="AE703" s="6" t="str">
        <f>TEXT(Lessons[[#This Row],[Lesson_Date__c]], "yyyy-mm")</f>
        <v>2026-09</v>
      </c>
      <c r="AF703" s="6" t="str">
        <f>IF(Lessons[[#This Row],[Lesson_Date__c]]&lt;=Data_Audit!$F$1, "Yes", "No")</f>
        <v>Yes</v>
      </c>
    </row>
    <row r="704" spans="1:32">
      <c r="A704" t="s">
        <v>52</v>
      </c>
      <c r="B704" t="s">
        <v>53</v>
      </c>
      <c r="C704">
        <v>30</v>
      </c>
      <c r="D704" t="s">
        <v>2564</v>
      </c>
      <c r="E704" t="s">
        <v>573</v>
      </c>
      <c r="F704" t="s">
        <v>574</v>
      </c>
      <c r="H704" t="s">
        <v>461</v>
      </c>
      <c r="I704" t="b">
        <v>0</v>
      </c>
      <c r="K704" t="s">
        <v>52</v>
      </c>
      <c r="L704" t="s">
        <v>2174</v>
      </c>
      <c r="O704" s="1">
        <v>46088</v>
      </c>
      <c r="P704" t="s">
        <v>2565</v>
      </c>
      <c r="Q704" t="s">
        <v>2566</v>
      </c>
      <c r="R704" t="s">
        <v>150</v>
      </c>
      <c r="S704" t="b">
        <v>0</v>
      </c>
      <c r="T704" t="b">
        <v>0</v>
      </c>
      <c r="U704" t="s">
        <v>2566</v>
      </c>
      <c r="V704" t="s">
        <v>110</v>
      </c>
      <c r="W704" t="s">
        <v>85</v>
      </c>
      <c r="X704" t="s">
        <v>2567</v>
      </c>
      <c r="Y704" t="s">
        <v>2568</v>
      </c>
      <c r="Z704" t="s">
        <v>2174</v>
      </c>
      <c r="AA704" t="b">
        <f>ISNUMBER(SEARCH(";"&amp;Lessons[[#This Row],[Instrument__c]]&amp;";",";"&amp;_xlfn.XLOOKUP(Lessons[[#This Row],[Instructor_External_Id__c]], Instructors[Id], Instructors[Instruments_Taught__c])&amp;";"))</f>
        <v>1</v>
      </c>
      <c r="AB704" t="str">
        <f>IF(LEFT(Lessons[[#This Row],[Status__c]],9)="Cancelled","",Lessons[[#This Row],[Instructor_External_Id__c]]&amp;"|"&amp;TEXT(Lessons[[#This Row],[Lesson_Date__c]],"yyyy-mm-dd")&amp;"|"&amp;Lessons[[#This Row],[Start_Time__c]])</f>
        <v/>
      </c>
      <c r="AC704" t="str">
        <f>IF(Lessons[[#This Row],[Double Booked Key]]="","",COUNTIF(Lessons[Double Booked Key],Lessons[[#This Row],[Double Booked Key]]))</f>
        <v/>
      </c>
      <c r="AD704" s="6" t="str">
        <f>_xlfn.XLOOKUP(Lessons[[#This Row],[Location_External_Id__c]], Locations[Location Id], Locations[Location Name])</f>
        <v>Toms River</v>
      </c>
      <c r="AE704" s="6" t="str">
        <f>TEXT(Lessons[[#This Row],[Lesson_Date__c]], "yyyy-mm")</f>
        <v>2026-03</v>
      </c>
      <c r="AF704" s="6" t="str">
        <f>IF(Lessons[[#This Row],[Lesson_Date__c]]&lt;=Data_Audit!$F$1, "Yes", "No")</f>
        <v>Yes</v>
      </c>
    </row>
    <row r="705" spans="1:32">
      <c r="A705" t="s">
        <v>52</v>
      </c>
      <c r="B705" t="s">
        <v>53</v>
      </c>
      <c r="C705">
        <v>30</v>
      </c>
      <c r="D705" t="s">
        <v>2569</v>
      </c>
      <c r="E705" t="s">
        <v>573</v>
      </c>
      <c r="F705" t="s">
        <v>574</v>
      </c>
      <c r="H705" t="s">
        <v>461</v>
      </c>
      <c r="I705" t="b">
        <v>0</v>
      </c>
      <c r="K705" t="s">
        <v>52</v>
      </c>
      <c r="L705" t="s">
        <v>2174</v>
      </c>
      <c r="O705" s="1">
        <v>46179</v>
      </c>
      <c r="P705" t="s">
        <v>2570</v>
      </c>
      <c r="Q705" t="s">
        <v>2571</v>
      </c>
      <c r="R705" t="s">
        <v>150</v>
      </c>
      <c r="S705" t="b">
        <v>0</v>
      </c>
      <c r="T705" t="b">
        <v>0</v>
      </c>
      <c r="U705" t="s">
        <v>2571</v>
      </c>
      <c r="V705" t="s">
        <v>64</v>
      </c>
      <c r="W705" t="s">
        <v>65</v>
      </c>
      <c r="X705" t="s">
        <v>2567</v>
      </c>
      <c r="Y705" t="s">
        <v>2568</v>
      </c>
      <c r="Z705" t="s">
        <v>2174</v>
      </c>
      <c r="AA705" t="b">
        <f>ISNUMBER(SEARCH(";"&amp;Lessons[[#This Row],[Instrument__c]]&amp;";",";"&amp;_xlfn.XLOOKUP(Lessons[[#This Row],[Instructor_External_Id__c]], Instructors[Id], Instructors[Instruments_Taught__c])&amp;";"))</f>
        <v>1</v>
      </c>
      <c r="AB705" t="str">
        <f>IF(LEFT(Lessons[[#This Row],[Status__c]],9)="Cancelled","",Lessons[[#This Row],[Instructor_External_Id__c]]&amp;"|"&amp;TEXT(Lessons[[#This Row],[Lesson_Date__c]],"yyyy-mm-dd")&amp;"|"&amp;Lessons[[#This Row],[Start_Time__c]])</f>
        <v>a06ak00000amzCCAAY|2026-06-06|11:00:00.000Z</v>
      </c>
      <c r="AC705">
        <f>IF(Lessons[[#This Row],[Double Booked Key]]="","",COUNTIF(Lessons[Double Booked Key],Lessons[[#This Row],[Double Booked Key]]))</f>
        <v>1</v>
      </c>
      <c r="AD705" s="6" t="str">
        <f>_xlfn.XLOOKUP(Lessons[[#This Row],[Location_External_Id__c]], Locations[Location Id], Locations[Location Name])</f>
        <v>Toms River</v>
      </c>
      <c r="AE705" s="6" t="str">
        <f>TEXT(Lessons[[#This Row],[Lesson_Date__c]], "yyyy-mm")</f>
        <v>2026-06</v>
      </c>
      <c r="AF705" s="6" t="str">
        <f>IF(Lessons[[#This Row],[Lesson_Date__c]]&lt;=Data_Audit!$F$1, "Yes", "No")</f>
        <v>Yes</v>
      </c>
    </row>
    <row r="706" spans="1:32">
      <c r="A706" t="s">
        <v>52</v>
      </c>
      <c r="B706" t="s">
        <v>53</v>
      </c>
      <c r="C706">
        <v>45</v>
      </c>
      <c r="D706" t="s">
        <v>2572</v>
      </c>
      <c r="E706" t="s">
        <v>573</v>
      </c>
      <c r="F706" t="s">
        <v>574</v>
      </c>
      <c r="H706" t="s">
        <v>461</v>
      </c>
      <c r="I706" t="b">
        <v>0</v>
      </c>
      <c r="K706" t="s">
        <v>52</v>
      </c>
      <c r="L706" t="s">
        <v>2174</v>
      </c>
      <c r="O706" s="1">
        <v>46167</v>
      </c>
      <c r="P706" t="s">
        <v>2573</v>
      </c>
      <c r="Q706" t="s">
        <v>2574</v>
      </c>
      <c r="R706" t="s">
        <v>150</v>
      </c>
      <c r="S706" t="b">
        <v>0</v>
      </c>
      <c r="T706" t="b">
        <v>0</v>
      </c>
      <c r="U706" t="s">
        <v>2574</v>
      </c>
      <c r="V706" t="s">
        <v>110</v>
      </c>
      <c r="W706" t="s">
        <v>85</v>
      </c>
      <c r="X706" t="s">
        <v>2567</v>
      </c>
      <c r="Y706" t="s">
        <v>2568</v>
      </c>
      <c r="Z706" t="s">
        <v>2174</v>
      </c>
      <c r="AA706" t="b">
        <f>ISNUMBER(SEARCH(";"&amp;Lessons[[#This Row],[Instrument__c]]&amp;";",";"&amp;_xlfn.XLOOKUP(Lessons[[#This Row],[Instructor_External_Id__c]], Instructors[Id], Instructors[Instruments_Taught__c])&amp;";"))</f>
        <v>1</v>
      </c>
      <c r="AB706" t="str">
        <f>IF(LEFT(Lessons[[#This Row],[Status__c]],9)="Cancelled","",Lessons[[#This Row],[Instructor_External_Id__c]]&amp;"|"&amp;TEXT(Lessons[[#This Row],[Lesson_Date__c]],"yyyy-mm-dd")&amp;"|"&amp;Lessons[[#This Row],[Start_Time__c]])</f>
        <v/>
      </c>
      <c r="AC706" t="str">
        <f>IF(Lessons[[#This Row],[Double Booked Key]]="","",COUNTIF(Lessons[Double Booked Key],Lessons[[#This Row],[Double Booked Key]]))</f>
        <v/>
      </c>
      <c r="AD706" s="6" t="str">
        <f>_xlfn.XLOOKUP(Lessons[[#This Row],[Location_External_Id__c]], Locations[Location Id], Locations[Location Name])</f>
        <v>Toms River</v>
      </c>
      <c r="AE706" s="6" t="str">
        <f>TEXT(Lessons[[#This Row],[Lesson_Date__c]], "yyyy-mm")</f>
        <v>2026-05</v>
      </c>
      <c r="AF706" s="6" t="str">
        <f>IF(Lessons[[#This Row],[Lesson_Date__c]]&lt;=Data_Audit!$F$1, "Yes", "No")</f>
        <v>Yes</v>
      </c>
    </row>
    <row r="707" spans="1:32">
      <c r="A707" t="s">
        <v>52</v>
      </c>
      <c r="B707" t="s">
        <v>53</v>
      </c>
      <c r="C707">
        <v>30</v>
      </c>
      <c r="D707" t="s">
        <v>2575</v>
      </c>
      <c r="E707" t="s">
        <v>436</v>
      </c>
      <c r="F707" t="s">
        <v>437</v>
      </c>
      <c r="H707" t="s">
        <v>527</v>
      </c>
      <c r="I707" t="b">
        <v>0</v>
      </c>
      <c r="K707" t="s">
        <v>52</v>
      </c>
      <c r="L707" t="s">
        <v>2174</v>
      </c>
      <c r="O707" s="1">
        <v>46117</v>
      </c>
      <c r="P707" t="s">
        <v>2576</v>
      </c>
      <c r="Q707" t="s">
        <v>2577</v>
      </c>
      <c r="R707" t="s">
        <v>63</v>
      </c>
      <c r="S707" t="b">
        <v>0</v>
      </c>
      <c r="T707" t="b">
        <v>0</v>
      </c>
      <c r="U707" t="s">
        <v>2577</v>
      </c>
      <c r="V707" t="s">
        <v>84</v>
      </c>
      <c r="W707" t="s">
        <v>65</v>
      </c>
      <c r="X707" t="s">
        <v>2578</v>
      </c>
      <c r="Y707" t="s">
        <v>2579</v>
      </c>
      <c r="Z707" t="s">
        <v>2174</v>
      </c>
      <c r="AA707" t="b">
        <f>ISNUMBER(SEARCH(";"&amp;Lessons[[#This Row],[Instrument__c]]&amp;";",";"&amp;_xlfn.XLOOKUP(Lessons[[#This Row],[Instructor_External_Id__c]], Instructors[Id], Instructors[Instruments_Taught__c])&amp;";"))</f>
        <v>1</v>
      </c>
      <c r="AB707" t="str">
        <f>IF(LEFT(Lessons[[#This Row],[Status__c]],9)="Cancelled","",Lessons[[#This Row],[Instructor_External_Id__c]]&amp;"|"&amp;TEXT(Lessons[[#This Row],[Lesson_Date__c]],"yyyy-mm-dd")&amp;"|"&amp;Lessons[[#This Row],[Start_Time__c]])</f>
        <v>a06ak00000amzC0AAI|2026-04-05|17:00:00.000Z</v>
      </c>
      <c r="AC707">
        <f>IF(Lessons[[#This Row],[Double Booked Key]]="","",COUNTIF(Lessons[Double Booked Key],Lessons[[#This Row],[Double Booked Key]]))</f>
        <v>1</v>
      </c>
      <c r="AD707" s="6" t="str">
        <f>_xlfn.XLOOKUP(Lessons[[#This Row],[Location_External_Id__c]], Locations[Location Id], Locations[Location Name])</f>
        <v>Red Bank</v>
      </c>
      <c r="AE707" s="6" t="str">
        <f>TEXT(Lessons[[#This Row],[Lesson_Date__c]], "yyyy-mm")</f>
        <v>2026-04</v>
      </c>
      <c r="AF707" s="6" t="str">
        <f>IF(Lessons[[#This Row],[Lesson_Date__c]]&lt;=Data_Audit!$F$1, "Yes", "No")</f>
        <v>Yes</v>
      </c>
    </row>
    <row r="708" spans="1:32">
      <c r="A708" t="s">
        <v>52</v>
      </c>
      <c r="B708" t="s">
        <v>53</v>
      </c>
      <c r="C708">
        <v>60</v>
      </c>
      <c r="D708" t="s">
        <v>2580</v>
      </c>
      <c r="E708" t="s">
        <v>436</v>
      </c>
      <c r="F708" t="s">
        <v>437</v>
      </c>
      <c r="H708" t="s">
        <v>527</v>
      </c>
      <c r="I708" t="b">
        <v>0</v>
      </c>
      <c r="K708" t="s">
        <v>52</v>
      </c>
      <c r="L708" t="s">
        <v>2174</v>
      </c>
      <c r="O708" s="1">
        <v>46237</v>
      </c>
      <c r="P708" t="s">
        <v>2581</v>
      </c>
      <c r="Q708" t="s">
        <v>2582</v>
      </c>
      <c r="R708" t="s">
        <v>63</v>
      </c>
      <c r="S708" t="b">
        <v>0</v>
      </c>
      <c r="T708" t="b">
        <v>0</v>
      </c>
      <c r="U708" t="s">
        <v>2582</v>
      </c>
      <c r="V708" t="s">
        <v>116</v>
      </c>
      <c r="W708" t="s">
        <v>121</v>
      </c>
      <c r="X708" t="s">
        <v>2578</v>
      </c>
      <c r="Y708" t="s">
        <v>2579</v>
      </c>
      <c r="Z708" t="s">
        <v>2174</v>
      </c>
      <c r="AA708" t="b">
        <f>ISNUMBER(SEARCH(";"&amp;Lessons[[#This Row],[Instrument__c]]&amp;";",";"&amp;_xlfn.XLOOKUP(Lessons[[#This Row],[Instructor_External_Id__c]], Instructors[Id], Instructors[Instruments_Taught__c])&amp;";"))</f>
        <v>1</v>
      </c>
      <c r="AB708" t="str">
        <f>IF(LEFT(Lessons[[#This Row],[Status__c]],9)="Cancelled","",Lessons[[#This Row],[Instructor_External_Id__c]]&amp;"|"&amp;TEXT(Lessons[[#This Row],[Lesson_Date__c]],"yyyy-mm-dd")&amp;"|"&amp;Lessons[[#This Row],[Start_Time__c]])</f>
        <v>a06ak00000amzC0AAI|2026-08-03|17:30:00.000Z</v>
      </c>
      <c r="AC708">
        <f>IF(Lessons[[#This Row],[Double Booked Key]]="","",COUNTIF(Lessons[Double Booked Key],Lessons[[#This Row],[Double Booked Key]]))</f>
        <v>1</v>
      </c>
      <c r="AD708" s="6" t="str">
        <f>_xlfn.XLOOKUP(Lessons[[#This Row],[Location_External_Id__c]], Locations[Location Id], Locations[Location Name])</f>
        <v>Red Bank</v>
      </c>
      <c r="AE708" s="6" t="str">
        <f>TEXT(Lessons[[#This Row],[Lesson_Date__c]], "yyyy-mm")</f>
        <v>2026-08</v>
      </c>
      <c r="AF708" s="6" t="str">
        <f>IF(Lessons[[#This Row],[Lesson_Date__c]]&lt;=Data_Audit!$F$1, "Yes", "No")</f>
        <v>Yes</v>
      </c>
    </row>
    <row r="709" spans="1:32">
      <c r="A709" t="s">
        <v>52</v>
      </c>
      <c r="B709" t="s">
        <v>53</v>
      </c>
      <c r="C709">
        <v>45</v>
      </c>
      <c r="D709" t="s">
        <v>2583</v>
      </c>
      <c r="E709" t="s">
        <v>436</v>
      </c>
      <c r="F709" t="s">
        <v>437</v>
      </c>
      <c r="G709" t="s">
        <v>106</v>
      </c>
      <c r="H709" t="s">
        <v>527</v>
      </c>
      <c r="I709" t="b">
        <v>0</v>
      </c>
      <c r="K709" t="s">
        <v>52</v>
      </c>
      <c r="L709" t="s">
        <v>2174</v>
      </c>
      <c r="O709" s="1">
        <v>46128</v>
      </c>
      <c r="P709" t="s">
        <v>2584</v>
      </c>
      <c r="Q709" t="s">
        <v>2585</v>
      </c>
      <c r="R709" t="s">
        <v>63</v>
      </c>
      <c r="S709" t="b">
        <v>0</v>
      </c>
      <c r="T709" t="b">
        <v>0</v>
      </c>
      <c r="U709" t="s">
        <v>2585</v>
      </c>
      <c r="V709" t="s">
        <v>74</v>
      </c>
      <c r="W709" t="s">
        <v>65</v>
      </c>
      <c r="X709" t="s">
        <v>2578</v>
      </c>
      <c r="Y709" t="s">
        <v>2579</v>
      </c>
      <c r="Z709" t="s">
        <v>2174</v>
      </c>
      <c r="AA709" t="b">
        <f>ISNUMBER(SEARCH(";"&amp;Lessons[[#This Row],[Instrument__c]]&amp;";",";"&amp;_xlfn.XLOOKUP(Lessons[[#This Row],[Instructor_External_Id__c]], Instructors[Id], Instructors[Instruments_Taught__c])&amp;";"))</f>
        <v>1</v>
      </c>
      <c r="AB709" t="str">
        <f>IF(LEFT(Lessons[[#This Row],[Status__c]],9)="Cancelled","",Lessons[[#This Row],[Instructor_External_Id__c]]&amp;"|"&amp;TEXT(Lessons[[#This Row],[Lesson_Date__c]],"yyyy-mm-dd")&amp;"|"&amp;Lessons[[#This Row],[Start_Time__c]])</f>
        <v>a06ak00000amzC0AAI|2026-04-16|16:30:00.000Z</v>
      </c>
      <c r="AC709">
        <f>IF(Lessons[[#This Row],[Double Booked Key]]="","",COUNTIF(Lessons[Double Booked Key],Lessons[[#This Row],[Double Booked Key]]))</f>
        <v>1</v>
      </c>
      <c r="AD709" s="6" t="str">
        <f>_xlfn.XLOOKUP(Lessons[[#This Row],[Location_External_Id__c]], Locations[Location Id], Locations[Location Name])</f>
        <v>Red Bank</v>
      </c>
      <c r="AE709" s="6" t="str">
        <f>TEXT(Lessons[[#This Row],[Lesson_Date__c]], "yyyy-mm")</f>
        <v>2026-04</v>
      </c>
      <c r="AF709" s="6" t="str">
        <f>IF(Lessons[[#This Row],[Lesson_Date__c]]&lt;=Data_Audit!$F$1, "Yes", "No")</f>
        <v>Yes</v>
      </c>
    </row>
    <row r="710" spans="1:32">
      <c r="A710" t="s">
        <v>52</v>
      </c>
      <c r="B710" t="s">
        <v>53</v>
      </c>
      <c r="C710">
        <v>30</v>
      </c>
      <c r="D710" t="s">
        <v>2586</v>
      </c>
      <c r="E710" t="s">
        <v>436</v>
      </c>
      <c r="F710" t="s">
        <v>437</v>
      </c>
      <c r="G710" t="s">
        <v>164</v>
      </c>
      <c r="H710" t="s">
        <v>527</v>
      </c>
      <c r="I710" t="b">
        <v>0</v>
      </c>
      <c r="K710" t="s">
        <v>52</v>
      </c>
      <c r="L710" t="s">
        <v>2174</v>
      </c>
      <c r="O710" s="1">
        <v>46285</v>
      </c>
      <c r="P710" t="s">
        <v>2587</v>
      </c>
      <c r="Q710" t="s">
        <v>2588</v>
      </c>
      <c r="R710" t="s">
        <v>63</v>
      </c>
      <c r="S710" t="b">
        <v>0</v>
      </c>
      <c r="T710" t="b">
        <v>0</v>
      </c>
      <c r="U710" t="s">
        <v>2588</v>
      </c>
      <c r="V710" t="s">
        <v>94</v>
      </c>
      <c r="W710" t="s">
        <v>65</v>
      </c>
      <c r="X710" t="s">
        <v>2578</v>
      </c>
      <c r="Y710" t="s">
        <v>2579</v>
      </c>
      <c r="Z710" t="s">
        <v>2174</v>
      </c>
      <c r="AA710" t="b">
        <f>ISNUMBER(SEARCH(";"&amp;Lessons[[#This Row],[Instrument__c]]&amp;";",";"&amp;_xlfn.XLOOKUP(Lessons[[#This Row],[Instructor_External_Id__c]], Instructors[Id], Instructors[Instruments_Taught__c])&amp;";"))</f>
        <v>1</v>
      </c>
      <c r="AB710" t="str">
        <f>IF(LEFT(Lessons[[#This Row],[Status__c]],9)="Cancelled","",Lessons[[#This Row],[Instructor_External_Id__c]]&amp;"|"&amp;TEXT(Lessons[[#This Row],[Lesson_Date__c]],"yyyy-mm-dd")&amp;"|"&amp;Lessons[[#This Row],[Start_Time__c]])</f>
        <v>a06ak00000amzC0AAI|2026-09-20|19:00:00.000Z</v>
      </c>
      <c r="AC710">
        <f>IF(Lessons[[#This Row],[Double Booked Key]]="","",COUNTIF(Lessons[Double Booked Key],Lessons[[#This Row],[Double Booked Key]]))</f>
        <v>1</v>
      </c>
      <c r="AD710" s="6" t="str">
        <f>_xlfn.XLOOKUP(Lessons[[#This Row],[Location_External_Id__c]], Locations[Location Id], Locations[Location Name])</f>
        <v>Red Bank</v>
      </c>
      <c r="AE710" s="6" t="str">
        <f>TEXT(Lessons[[#This Row],[Lesson_Date__c]], "yyyy-mm")</f>
        <v>2026-09</v>
      </c>
      <c r="AF710" s="6" t="str">
        <f>IF(Lessons[[#This Row],[Lesson_Date__c]]&lt;=Data_Audit!$F$1, "Yes", "No")</f>
        <v>Yes</v>
      </c>
    </row>
    <row r="711" spans="1:32">
      <c r="A711" t="s">
        <v>52</v>
      </c>
      <c r="B711" t="s">
        <v>53</v>
      </c>
      <c r="C711">
        <v>30</v>
      </c>
      <c r="D711" t="s">
        <v>2589</v>
      </c>
      <c r="E711" t="s">
        <v>459</v>
      </c>
      <c r="F711" t="s">
        <v>460</v>
      </c>
      <c r="G711" t="s">
        <v>99</v>
      </c>
      <c r="H711" t="s">
        <v>461</v>
      </c>
      <c r="I711" t="b">
        <v>0</v>
      </c>
      <c r="K711" t="s">
        <v>52</v>
      </c>
      <c r="L711" t="s">
        <v>2174</v>
      </c>
      <c r="O711" s="1">
        <v>46239</v>
      </c>
      <c r="P711" t="s">
        <v>2590</v>
      </c>
      <c r="Q711" t="s">
        <v>2591</v>
      </c>
      <c r="R711" t="s">
        <v>83</v>
      </c>
      <c r="S711" t="b">
        <v>0</v>
      </c>
      <c r="T711" t="b">
        <v>0</v>
      </c>
      <c r="U711" t="s">
        <v>2591</v>
      </c>
      <c r="V711" t="s">
        <v>84</v>
      </c>
      <c r="W711" t="s">
        <v>65</v>
      </c>
      <c r="X711" t="s">
        <v>2592</v>
      </c>
      <c r="Y711" t="s">
        <v>2593</v>
      </c>
      <c r="Z711" t="s">
        <v>2174</v>
      </c>
      <c r="AA711" t="b">
        <f>ISNUMBER(SEARCH(";"&amp;Lessons[[#This Row],[Instrument__c]]&amp;";",";"&amp;_xlfn.XLOOKUP(Lessons[[#This Row],[Instructor_External_Id__c]], Instructors[Id], Instructors[Instruments_Taught__c])&amp;";"))</f>
        <v>1</v>
      </c>
      <c r="AB711" t="str">
        <f>IF(LEFT(Lessons[[#This Row],[Status__c]],9)="Cancelled","",Lessons[[#This Row],[Instructor_External_Id__c]]&amp;"|"&amp;TEXT(Lessons[[#This Row],[Lesson_Date__c]],"yyyy-mm-dd")&amp;"|"&amp;Lessons[[#This Row],[Start_Time__c]])</f>
        <v>a06ak00000amzC8AAI|2026-08-05|17:00:00.000Z</v>
      </c>
      <c r="AC711">
        <f>IF(Lessons[[#This Row],[Double Booked Key]]="","",COUNTIF(Lessons[Double Booked Key],Lessons[[#This Row],[Double Booked Key]]))</f>
        <v>1</v>
      </c>
      <c r="AD711" s="6" t="str">
        <f>_xlfn.XLOOKUP(Lessons[[#This Row],[Location_External_Id__c]], Locations[Location Id], Locations[Location Name])</f>
        <v>Brick</v>
      </c>
      <c r="AE711" s="6" t="str">
        <f>TEXT(Lessons[[#This Row],[Lesson_Date__c]], "yyyy-mm")</f>
        <v>2026-08</v>
      </c>
      <c r="AF711" s="6" t="str">
        <f>IF(Lessons[[#This Row],[Lesson_Date__c]]&lt;=Data_Audit!$F$1, "Yes", "No")</f>
        <v>Yes</v>
      </c>
    </row>
    <row r="712" spans="1:32">
      <c r="A712" t="s">
        <v>52</v>
      </c>
      <c r="B712" t="s">
        <v>53</v>
      </c>
      <c r="C712">
        <v>30</v>
      </c>
      <c r="D712" t="s">
        <v>2594</v>
      </c>
      <c r="E712" t="s">
        <v>459</v>
      </c>
      <c r="F712" t="s">
        <v>460</v>
      </c>
      <c r="G712" t="s">
        <v>57</v>
      </c>
      <c r="H712" t="s">
        <v>461</v>
      </c>
      <c r="I712" t="b">
        <v>0</v>
      </c>
      <c r="K712" t="s">
        <v>52</v>
      </c>
      <c r="L712" t="s">
        <v>2174</v>
      </c>
      <c r="O712" s="1">
        <v>46249</v>
      </c>
      <c r="P712" t="s">
        <v>2595</v>
      </c>
      <c r="Q712" t="s">
        <v>2596</v>
      </c>
      <c r="R712" t="s">
        <v>83</v>
      </c>
      <c r="S712" t="b">
        <v>0</v>
      </c>
      <c r="T712" t="b">
        <v>0</v>
      </c>
      <c r="U712" t="s">
        <v>2596</v>
      </c>
      <c r="V712" t="s">
        <v>110</v>
      </c>
      <c r="W712" t="s">
        <v>65</v>
      </c>
      <c r="X712" t="s">
        <v>2592</v>
      </c>
      <c r="Y712" t="s">
        <v>2593</v>
      </c>
      <c r="Z712" t="s">
        <v>2174</v>
      </c>
      <c r="AA712" t="b">
        <f>ISNUMBER(SEARCH(";"&amp;Lessons[[#This Row],[Instrument__c]]&amp;";",";"&amp;_xlfn.XLOOKUP(Lessons[[#This Row],[Instructor_External_Id__c]], Instructors[Id], Instructors[Instruments_Taught__c])&amp;";"))</f>
        <v>1</v>
      </c>
      <c r="AB712" t="str">
        <f>IF(LEFT(Lessons[[#This Row],[Status__c]],9)="Cancelled","",Lessons[[#This Row],[Instructor_External_Id__c]]&amp;"|"&amp;TEXT(Lessons[[#This Row],[Lesson_Date__c]],"yyyy-mm-dd")&amp;"|"&amp;Lessons[[#This Row],[Start_Time__c]])</f>
        <v>a06ak00000amzC8AAI|2026-08-15|10:00:00.000Z</v>
      </c>
      <c r="AC712">
        <f>IF(Lessons[[#This Row],[Double Booked Key]]="","",COUNTIF(Lessons[Double Booked Key],Lessons[[#This Row],[Double Booked Key]]))</f>
        <v>1</v>
      </c>
      <c r="AD712" s="6" t="str">
        <f>_xlfn.XLOOKUP(Lessons[[#This Row],[Location_External_Id__c]], Locations[Location Id], Locations[Location Name])</f>
        <v>Brick</v>
      </c>
      <c r="AE712" s="6" t="str">
        <f>TEXT(Lessons[[#This Row],[Lesson_Date__c]], "yyyy-mm")</f>
        <v>2026-08</v>
      </c>
      <c r="AF712" s="6" t="str">
        <f>IF(Lessons[[#This Row],[Lesson_Date__c]]&lt;=Data_Audit!$F$1, "Yes", "No")</f>
        <v>Yes</v>
      </c>
    </row>
    <row r="713" spans="1:32">
      <c r="A713" t="s">
        <v>52</v>
      </c>
      <c r="B713" t="s">
        <v>53</v>
      </c>
      <c r="C713">
        <v>60</v>
      </c>
      <c r="D713" t="s">
        <v>2597</v>
      </c>
      <c r="E713" t="s">
        <v>459</v>
      </c>
      <c r="F713" t="s">
        <v>460</v>
      </c>
      <c r="H713" t="s">
        <v>461</v>
      </c>
      <c r="I713" t="b">
        <v>0</v>
      </c>
      <c r="K713" t="s">
        <v>52</v>
      </c>
      <c r="L713" t="s">
        <v>2174</v>
      </c>
      <c r="O713" s="1">
        <v>46138</v>
      </c>
      <c r="P713" t="s">
        <v>2598</v>
      </c>
      <c r="Q713" t="s">
        <v>2599</v>
      </c>
      <c r="R713" t="s">
        <v>83</v>
      </c>
      <c r="S713" t="b">
        <v>0</v>
      </c>
      <c r="T713" t="b">
        <v>0</v>
      </c>
      <c r="U713" t="s">
        <v>2599</v>
      </c>
      <c r="V713" t="s">
        <v>84</v>
      </c>
      <c r="W713" t="s">
        <v>85</v>
      </c>
      <c r="X713" t="s">
        <v>2592</v>
      </c>
      <c r="Y713" t="s">
        <v>2593</v>
      </c>
      <c r="Z713" t="s">
        <v>2174</v>
      </c>
      <c r="AA713" t="b">
        <f>ISNUMBER(SEARCH(";"&amp;Lessons[[#This Row],[Instrument__c]]&amp;";",";"&amp;_xlfn.XLOOKUP(Lessons[[#This Row],[Instructor_External_Id__c]], Instructors[Id], Instructors[Instruments_Taught__c])&amp;";"))</f>
        <v>1</v>
      </c>
      <c r="AB713" t="str">
        <f>IF(LEFT(Lessons[[#This Row],[Status__c]],9)="Cancelled","",Lessons[[#This Row],[Instructor_External_Id__c]]&amp;"|"&amp;TEXT(Lessons[[#This Row],[Lesson_Date__c]],"yyyy-mm-dd")&amp;"|"&amp;Lessons[[#This Row],[Start_Time__c]])</f>
        <v/>
      </c>
      <c r="AC713" t="str">
        <f>IF(Lessons[[#This Row],[Double Booked Key]]="","",COUNTIF(Lessons[Double Booked Key],Lessons[[#This Row],[Double Booked Key]]))</f>
        <v/>
      </c>
      <c r="AD713" s="6" t="str">
        <f>_xlfn.XLOOKUP(Lessons[[#This Row],[Location_External_Id__c]], Locations[Location Id], Locations[Location Name])</f>
        <v>Brick</v>
      </c>
      <c r="AE713" s="6" t="str">
        <f>TEXT(Lessons[[#This Row],[Lesson_Date__c]], "yyyy-mm")</f>
        <v>2026-04</v>
      </c>
      <c r="AF713" s="6" t="str">
        <f>IF(Lessons[[#This Row],[Lesson_Date__c]]&lt;=Data_Audit!$F$1, "Yes", "No")</f>
        <v>Yes</v>
      </c>
    </row>
    <row r="714" spans="1:32">
      <c r="A714" t="s">
        <v>52</v>
      </c>
      <c r="B714" t="s">
        <v>53</v>
      </c>
      <c r="C714">
        <v>30</v>
      </c>
      <c r="D714" t="s">
        <v>2600</v>
      </c>
      <c r="E714" t="s">
        <v>459</v>
      </c>
      <c r="F714" t="s">
        <v>460</v>
      </c>
      <c r="G714" t="s">
        <v>106</v>
      </c>
      <c r="H714" t="s">
        <v>461</v>
      </c>
      <c r="I714" t="b">
        <v>0</v>
      </c>
      <c r="K714" t="s">
        <v>52</v>
      </c>
      <c r="L714" t="s">
        <v>2174</v>
      </c>
      <c r="O714" s="1">
        <v>46262</v>
      </c>
      <c r="P714" t="s">
        <v>2601</v>
      </c>
      <c r="Q714" t="s">
        <v>2602</v>
      </c>
      <c r="R714" t="s">
        <v>83</v>
      </c>
      <c r="S714" t="b">
        <v>0</v>
      </c>
      <c r="T714" t="b">
        <v>0</v>
      </c>
      <c r="U714" t="s">
        <v>2602</v>
      </c>
      <c r="V714" t="s">
        <v>116</v>
      </c>
      <c r="W714" t="s">
        <v>65</v>
      </c>
      <c r="X714" t="s">
        <v>2592</v>
      </c>
      <c r="Y714" t="s">
        <v>2593</v>
      </c>
      <c r="Z714" t="s">
        <v>2174</v>
      </c>
      <c r="AA714" t="b">
        <f>ISNUMBER(SEARCH(";"&amp;Lessons[[#This Row],[Instrument__c]]&amp;";",";"&amp;_xlfn.XLOOKUP(Lessons[[#This Row],[Instructor_External_Id__c]], Instructors[Id], Instructors[Instruments_Taught__c])&amp;";"))</f>
        <v>1</v>
      </c>
      <c r="AB714" t="str">
        <f>IF(LEFT(Lessons[[#This Row],[Status__c]],9)="Cancelled","",Lessons[[#This Row],[Instructor_External_Id__c]]&amp;"|"&amp;TEXT(Lessons[[#This Row],[Lesson_Date__c]],"yyyy-mm-dd")&amp;"|"&amp;Lessons[[#This Row],[Start_Time__c]])</f>
        <v>a06ak00000amzC8AAI|2026-08-28|17:30:00.000Z</v>
      </c>
      <c r="AC714">
        <f>IF(Lessons[[#This Row],[Double Booked Key]]="","",COUNTIF(Lessons[Double Booked Key],Lessons[[#This Row],[Double Booked Key]]))</f>
        <v>1</v>
      </c>
      <c r="AD714" s="6" t="str">
        <f>_xlfn.XLOOKUP(Lessons[[#This Row],[Location_External_Id__c]], Locations[Location Id], Locations[Location Name])</f>
        <v>Brick</v>
      </c>
      <c r="AE714" s="6" t="str">
        <f>TEXT(Lessons[[#This Row],[Lesson_Date__c]], "yyyy-mm")</f>
        <v>2026-08</v>
      </c>
      <c r="AF714" s="6" t="str">
        <f>IF(Lessons[[#This Row],[Lesson_Date__c]]&lt;=Data_Audit!$F$1, "Yes", "No")</f>
        <v>Yes</v>
      </c>
    </row>
    <row r="715" spans="1:32">
      <c r="A715" t="s">
        <v>52</v>
      </c>
      <c r="B715" t="s">
        <v>53</v>
      </c>
      <c r="C715">
        <v>30</v>
      </c>
      <c r="D715" t="s">
        <v>2603</v>
      </c>
      <c r="E715" t="s">
        <v>459</v>
      </c>
      <c r="F715" t="s">
        <v>460</v>
      </c>
      <c r="H715" t="s">
        <v>461</v>
      </c>
      <c r="I715" t="b">
        <v>0</v>
      </c>
      <c r="K715" t="s">
        <v>52</v>
      </c>
      <c r="L715" t="s">
        <v>2174</v>
      </c>
      <c r="O715" s="1">
        <v>46043</v>
      </c>
      <c r="P715" t="s">
        <v>2604</v>
      </c>
      <c r="Q715" t="s">
        <v>2605</v>
      </c>
      <c r="R715" t="s">
        <v>83</v>
      </c>
      <c r="S715" t="b">
        <v>0</v>
      </c>
      <c r="T715" t="b">
        <v>0</v>
      </c>
      <c r="U715" t="s">
        <v>2605</v>
      </c>
      <c r="V715" t="s">
        <v>116</v>
      </c>
      <c r="W715" t="s">
        <v>121</v>
      </c>
      <c r="X715" t="s">
        <v>2592</v>
      </c>
      <c r="Y715" t="s">
        <v>2593</v>
      </c>
      <c r="Z715" t="s">
        <v>2174</v>
      </c>
      <c r="AA715" t="b">
        <f>ISNUMBER(SEARCH(";"&amp;Lessons[[#This Row],[Instrument__c]]&amp;";",";"&amp;_xlfn.XLOOKUP(Lessons[[#This Row],[Instructor_External_Id__c]], Instructors[Id], Instructors[Instruments_Taught__c])&amp;";"))</f>
        <v>1</v>
      </c>
      <c r="AB715" t="str">
        <f>IF(LEFT(Lessons[[#This Row],[Status__c]],9)="Cancelled","",Lessons[[#This Row],[Instructor_External_Id__c]]&amp;"|"&amp;TEXT(Lessons[[#This Row],[Lesson_Date__c]],"yyyy-mm-dd")&amp;"|"&amp;Lessons[[#This Row],[Start_Time__c]])</f>
        <v>a06ak00000amzC8AAI|2026-01-21|17:30:00.000Z</v>
      </c>
      <c r="AC715">
        <f>IF(Lessons[[#This Row],[Double Booked Key]]="","",COUNTIF(Lessons[Double Booked Key],Lessons[[#This Row],[Double Booked Key]]))</f>
        <v>1</v>
      </c>
      <c r="AD715" s="6" t="str">
        <f>_xlfn.XLOOKUP(Lessons[[#This Row],[Location_External_Id__c]], Locations[Location Id], Locations[Location Name])</f>
        <v>Brick</v>
      </c>
      <c r="AE715" s="6" t="str">
        <f>TEXT(Lessons[[#This Row],[Lesson_Date__c]], "yyyy-mm")</f>
        <v>2026-01</v>
      </c>
      <c r="AF715" s="6" t="str">
        <f>IF(Lessons[[#This Row],[Lesson_Date__c]]&lt;=Data_Audit!$F$1, "Yes", "No")</f>
        <v>Yes</v>
      </c>
    </row>
    <row r="716" spans="1:32">
      <c r="A716" t="s">
        <v>52</v>
      </c>
      <c r="B716" t="s">
        <v>53</v>
      </c>
      <c r="C716">
        <v>45</v>
      </c>
      <c r="D716" t="s">
        <v>2606</v>
      </c>
      <c r="E716" t="s">
        <v>944</v>
      </c>
      <c r="F716" t="s">
        <v>945</v>
      </c>
      <c r="G716" t="s">
        <v>106</v>
      </c>
      <c r="H716" t="s">
        <v>392</v>
      </c>
      <c r="I716" t="b">
        <v>0</v>
      </c>
      <c r="K716" t="s">
        <v>52</v>
      </c>
      <c r="L716" t="s">
        <v>2174</v>
      </c>
      <c r="O716" s="1">
        <v>46262</v>
      </c>
      <c r="P716" t="s">
        <v>2607</v>
      </c>
      <c r="Q716" t="s">
        <v>2608</v>
      </c>
      <c r="R716" t="s">
        <v>150</v>
      </c>
      <c r="S716" t="b">
        <v>0</v>
      </c>
      <c r="T716" t="b">
        <v>0</v>
      </c>
      <c r="U716" t="s">
        <v>2608</v>
      </c>
      <c r="V716" t="s">
        <v>135</v>
      </c>
      <c r="W716" t="s">
        <v>65</v>
      </c>
      <c r="X716" t="s">
        <v>2609</v>
      </c>
      <c r="Y716" t="s">
        <v>2610</v>
      </c>
      <c r="Z716" t="s">
        <v>2174</v>
      </c>
      <c r="AA716" t="b">
        <f>ISNUMBER(SEARCH(";"&amp;Lessons[[#This Row],[Instrument__c]]&amp;";",";"&amp;_xlfn.XLOOKUP(Lessons[[#This Row],[Instructor_External_Id__c]], Instructors[Id], Instructors[Instruments_Taught__c])&amp;";"))</f>
        <v>1</v>
      </c>
      <c r="AB716" t="str">
        <f>IF(LEFT(Lessons[[#This Row],[Status__c]],9)="Cancelled","",Lessons[[#This Row],[Instructor_External_Id__c]]&amp;"|"&amp;TEXT(Lessons[[#This Row],[Lesson_Date__c]],"yyyy-mm-dd")&amp;"|"&amp;Lessons[[#This Row],[Start_Time__c]])</f>
        <v>a06ak00000amzBtAAI|2026-08-28|15:30:00.000Z</v>
      </c>
      <c r="AC716">
        <f>IF(Lessons[[#This Row],[Double Booked Key]]="","",COUNTIF(Lessons[Double Booked Key],Lessons[[#This Row],[Double Booked Key]]))</f>
        <v>1</v>
      </c>
      <c r="AD716" s="6" t="str">
        <f>_xlfn.XLOOKUP(Lessons[[#This Row],[Location_External_Id__c]], Locations[Location Id], Locations[Location Name])</f>
        <v>Toms River</v>
      </c>
      <c r="AE716" s="6" t="str">
        <f>TEXT(Lessons[[#This Row],[Lesson_Date__c]], "yyyy-mm")</f>
        <v>2026-08</v>
      </c>
      <c r="AF716" s="6" t="str">
        <f>IF(Lessons[[#This Row],[Lesson_Date__c]]&lt;=Data_Audit!$F$1, "Yes", "No")</f>
        <v>Yes</v>
      </c>
    </row>
    <row r="717" spans="1:32">
      <c r="A717" t="s">
        <v>52</v>
      </c>
      <c r="B717" t="s">
        <v>53</v>
      </c>
      <c r="C717">
        <v>45</v>
      </c>
      <c r="D717" t="s">
        <v>2611</v>
      </c>
      <c r="E717" t="s">
        <v>944</v>
      </c>
      <c r="F717" t="s">
        <v>945</v>
      </c>
      <c r="H717" t="s">
        <v>392</v>
      </c>
      <c r="I717" t="b">
        <v>0</v>
      </c>
      <c r="K717" t="s">
        <v>52</v>
      </c>
      <c r="L717" t="s">
        <v>171</v>
      </c>
      <c r="O717" s="1">
        <v>46249</v>
      </c>
      <c r="P717" t="s">
        <v>2612</v>
      </c>
      <c r="Q717" t="s">
        <v>2613</v>
      </c>
      <c r="R717" t="s">
        <v>150</v>
      </c>
      <c r="S717" t="b">
        <v>1</v>
      </c>
      <c r="T717" t="b">
        <v>0</v>
      </c>
      <c r="U717" t="s">
        <v>2613</v>
      </c>
      <c r="V717" t="s">
        <v>64</v>
      </c>
      <c r="W717" t="s">
        <v>136</v>
      </c>
      <c r="X717" t="s">
        <v>2609</v>
      </c>
      <c r="Y717" t="s">
        <v>2610</v>
      </c>
      <c r="Z717" t="s">
        <v>171</v>
      </c>
      <c r="AA717" t="b">
        <f>ISNUMBER(SEARCH(";"&amp;Lessons[[#This Row],[Instrument__c]]&amp;";",";"&amp;_xlfn.XLOOKUP(Lessons[[#This Row],[Instructor_External_Id__c]], Instructors[Id], Instructors[Instruments_Taught__c])&amp;";"))</f>
        <v>1</v>
      </c>
      <c r="AB717" t="str">
        <f>IF(LEFT(Lessons[[#This Row],[Status__c]],9)="Cancelled","",Lessons[[#This Row],[Instructor_External_Id__c]]&amp;"|"&amp;TEXT(Lessons[[#This Row],[Lesson_Date__c]],"yyyy-mm-dd")&amp;"|"&amp;Lessons[[#This Row],[Start_Time__c]])</f>
        <v/>
      </c>
      <c r="AC717" t="str">
        <f>IF(Lessons[[#This Row],[Double Booked Key]]="","",COUNTIF(Lessons[Double Booked Key],Lessons[[#This Row],[Double Booked Key]]))</f>
        <v/>
      </c>
      <c r="AD717" s="6" t="str">
        <f>_xlfn.XLOOKUP(Lessons[[#This Row],[Location_External_Id__c]], Locations[Location Id], Locations[Location Name])</f>
        <v>Toms River</v>
      </c>
      <c r="AE717" s="6" t="str">
        <f>TEXT(Lessons[[#This Row],[Lesson_Date__c]], "yyyy-mm")</f>
        <v>2026-08</v>
      </c>
      <c r="AF717" s="6" t="str">
        <f>IF(Lessons[[#This Row],[Lesson_Date__c]]&lt;=Data_Audit!$F$1, "Yes", "No")</f>
        <v>Yes</v>
      </c>
    </row>
    <row r="718" spans="1:32">
      <c r="A718" t="s">
        <v>52</v>
      </c>
      <c r="B718" t="s">
        <v>53</v>
      </c>
      <c r="C718">
        <v>60</v>
      </c>
      <c r="D718" t="s">
        <v>2614</v>
      </c>
      <c r="E718" t="s">
        <v>944</v>
      </c>
      <c r="F718" t="s">
        <v>945</v>
      </c>
      <c r="G718" t="s">
        <v>99</v>
      </c>
      <c r="H718" t="s">
        <v>392</v>
      </c>
      <c r="I718" t="b">
        <v>0</v>
      </c>
      <c r="K718" t="s">
        <v>52</v>
      </c>
      <c r="L718" t="s">
        <v>2174</v>
      </c>
      <c r="O718" s="1">
        <v>46226</v>
      </c>
      <c r="P718" t="s">
        <v>2615</v>
      </c>
      <c r="Q718" t="s">
        <v>2616</v>
      </c>
      <c r="R718" t="s">
        <v>150</v>
      </c>
      <c r="S718" t="b">
        <v>0</v>
      </c>
      <c r="T718" t="b">
        <v>0</v>
      </c>
      <c r="U718" t="s">
        <v>2616</v>
      </c>
      <c r="V718" t="s">
        <v>102</v>
      </c>
      <c r="W718" t="s">
        <v>65</v>
      </c>
      <c r="X718" t="s">
        <v>2609</v>
      </c>
      <c r="Y718" t="s">
        <v>2610</v>
      </c>
      <c r="Z718" t="s">
        <v>2174</v>
      </c>
      <c r="AA718" t="b">
        <f>ISNUMBER(SEARCH(";"&amp;Lessons[[#This Row],[Instrument__c]]&amp;";",";"&amp;_xlfn.XLOOKUP(Lessons[[#This Row],[Instructor_External_Id__c]], Instructors[Id], Instructors[Instruments_Taught__c])&amp;";"))</f>
        <v>1</v>
      </c>
      <c r="AB718" t="str">
        <f>IF(LEFT(Lessons[[#This Row],[Status__c]],9)="Cancelled","",Lessons[[#This Row],[Instructor_External_Id__c]]&amp;"|"&amp;TEXT(Lessons[[#This Row],[Lesson_Date__c]],"yyyy-mm-dd")&amp;"|"&amp;Lessons[[#This Row],[Start_Time__c]])</f>
        <v>a06ak00000amzBtAAI|2026-07-23|16:00:00.000Z</v>
      </c>
      <c r="AC718">
        <f>IF(Lessons[[#This Row],[Double Booked Key]]="","",COUNTIF(Lessons[Double Booked Key],Lessons[[#This Row],[Double Booked Key]]))</f>
        <v>1</v>
      </c>
      <c r="AD718" s="6" t="str">
        <f>_xlfn.XLOOKUP(Lessons[[#This Row],[Location_External_Id__c]], Locations[Location Id], Locations[Location Name])</f>
        <v>Toms River</v>
      </c>
      <c r="AE718" s="6" t="str">
        <f>TEXT(Lessons[[#This Row],[Lesson_Date__c]], "yyyy-mm")</f>
        <v>2026-07</v>
      </c>
      <c r="AF718" s="6" t="str">
        <f>IF(Lessons[[#This Row],[Lesson_Date__c]]&lt;=Data_Audit!$F$1, "Yes", "No")</f>
        <v>Yes</v>
      </c>
    </row>
    <row r="719" spans="1:32">
      <c r="A719" t="s">
        <v>52</v>
      </c>
      <c r="B719" t="s">
        <v>53</v>
      </c>
      <c r="C719">
        <v>30</v>
      </c>
      <c r="D719" t="s">
        <v>2617</v>
      </c>
      <c r="E719" t="s">
        <v>573</v>
      </c>
      <c r="F719" t="s">
        <v>574</v>
      </c>
      <c r="G719" t="s">
        <v>57</v>
      </c>
      <c r="H719" t="s">
        <v>461</v>
      </c>
      <c r="I719" t="b">
        <v>0</v>
      </c>
      <c r="K719" t="s">
        <v>52</v>
      </c>
      <c r="L719" t="s">
        <v>2174</v>
      </c>
      <c r="O719" s="1">
        <v>46173</v>
      </c>
      <c r="P719" t="s">
        <v>2618</v>
      </c>
      <c r="Q719" t="s">
        <v>2619</v>
      </c>
      <c r="R719" t="s">
        <v>150</v>
      </c>
      <c r="S719" t="b">
        <v>0</v>
      </c>
      <c r="T719" t="b">
        <v>0</v>
      </c>
      <c r="U719" t="s">
        <v>2619</v>
      </c>
      <c r="V719" t="s">
        <v>140</v>
      </c>
      <c r="W719" t="s">
        <v>65</v>
      </c>
      <c r="X719" t="s">
        <v>2620</v>
      </c>
      <c r="Y719" t="s">
        <v>2621</v>
      </c>
      <c r="Z719" t="s">
        <v>2174</v>
      </c>
      <c r="AA719" t="b">
        <f>ISNUMBER(SEARCH(";"&amp;Lessons[[#This Row],[Instrument__c]]&amp;";",";"&amp;_xlfn.XLOOKUP(Lessons[[#This Row],[Instructor_External_Id__c]], Instructors[Id], Instructors[Instruments_Taught__c])&amp;";"))</f>
        <v>1</v>
      </c>
      <c r="AB719" t="str">
        <f>IF(LEFT(Lessons[[#This Row],[Status__c]],9)="Cancelled","",Lessons[[#This Row],[Instructor_External_Id__c]]&amp;"|"&amp;TEXT(Lessons[[#This Row],[Lesson_Date__c]],"yyyy-mm-dd")&amp;"|"&amp;Lessons[[#This Row],[Start_Time__c]])</f>
        <v>a06ak00000amzCCAAY|2026-05-31|15:00:00.000Z</v>
      </c>
      <c r="AC719">
        <f>IF(Lessons[[#This Row],[Double Booked Key]]="","",COUNTIF(Lessons[Double Booked Key],Lessons[[#This Row],[Double Booked Key]]))</f>
        <v>1</v>
      </c>
      <c r="AD719" s="6" t="str">
        <f>_xlfn.XLOOKUP(Lessons[[#This Row],[Location_External_Id__c]], Locations[Location Id], Locations[Location Name])</f>
        <v>Toms River</v>
      </c>
      <c r="AE719" s="6" t="str">
        <f>TEXT(Lessons[[#This Row],[Lesson_Date__c]], "yyyy-mm")</f>
        <v>2026-05</v>
      </c>
      <c r="AF719" s="6" t="str">
        <f>IF(Lessons[[#This Row],[Lesson_Date__c]]&lt;=Data_Audit!$F$1, "Yes", "No")</f>
        <v>Yes</v>
      </c>
    </row>
    <row r="720" spans="1:32">
      <c r="A720" t="s">
        <v>52</v>
      </c>
      <c r="B720" t="s">
        <v>53</v>
      </c>
      <c r="C720">
        <v>45</v>
      </c>
      <c r="D720" t="s">
        <v>2622</v>
      </c>
      <c r="E720" t="s">
        <v>573</v>
      </c>
      <c r="F720" t="s">
        <v>574</v>
      </c>
      <c r="H720" t="s">
        <v>461</v>
      </c>
      <c r="I720" t="b">
        <v>0</v>
      </c>
      <c r="K720" t="s">
        <v>52</v>
      </c>
      <c r="L720" t="s">
        <v>2174</v>
      </c>
      <c r="O720" s="1">
        <v>46203</v>
      </c>
      <c r="P720" t="s">
        <v>2623</v>
      </c>
      <c r="Q720" t="s">
        <v>2624</v>
      </c>
      <c r="R720" t="s">
        <v>150</v>
      </c>
      <c r="S720" t="b">
        <v>0</v>
      </c>
      <c r="T720" t="b">
        <v>0</v>
      </c>
      <c r="U720" t="s">
        <v>2624</v>
      </c>
      <c r="V720" t="s">
        <v>140</v>
      </c>
      <c r="W720" t="s">
        <v>85</v>
      </c>
      <c r="X720" t="s">
        <v>2620</v>
      </c>
      <c r="Y720" t="s">
        <v>2621</v>
      </c>
      <c r="Z720" t="s">
        <v>2174</v>
      </c>
      <c r="AA720" t="b">
        <f>ISNUMBER(SEARCH(";"&amp;Lessons[[#This Row],[Instrument__c]]&amp;";",";"&amp;_xlfn.XLOOKUP(Lessons[[#This Row],[Instructor_External_Id__c]], Instructors[Id], Instructors[Instruments_Taught__c])&amp;";"))</f>
        <v>1</v>
      </c>
      <c r="AB720" t="str">
        <f>IF(LEFT(Lessons[[#This Row],[Status__c]],9)="Cancelled","",Lessons[[#This Row],[Instructor_External_Id__c]]&amp;"|"&amp;TEXT(Lessons[[#This Row],[Lesson_Date__c]],"yyyy-mm-dd")&amp;"|"&amp;Lessons[[#This Row],[Start_Time__c]])</f>
        <v/>
      </c>
      <c r="AC720" t="str">
        <f>IF(Lessons[[#This Row],[Double Booked Key]]="","",COUNTIF(Lessons[Double Booked Key],Lessons[[#This Row],[Double Booked Key]]))</f>
        <v/>
      </c>
      <c r="AD720" s="6" t="str">
        <f>_xlfn.XLOOKUP(Lessons[[#This Row],[Location_External_Id__c]], Locations[Location Id], Locations[Location Name])</f>
        <v>Toms River</v>
      </c>
      <c r="AE720" s="6" t="str">
        <f>TEXT(Lessons[[#This Row],[Lesson_Date__c]], "yyyy-mm")</f>
        <v>2026-06</v>
      </c>
      <c r="AF720" s="6" t="str">
        <f>IF(Lessons[[#This Row],[Lesson_Date__c]]&lt;=Data_Audit!$F$1, "Yes", "No")</f>
        <v>Yes</v>
      </c>
    </row>
    <row r="721" spans="1:32">
      <c r="A721" t="s">
        <v>52</v>
      </c>
      <c r="B721" t="s">
        <v>53</v>
      </c>
      <c r="C721">
        <v>45</v>
      </c>
      <c r="D721" t="s">
        <v>2625</v>
      </c>
      <c r="E721" t="s">
        <v>804</v>
      </c>
      <c r="F721" t="s">
        <v>805</v>
      </c>
      <c r="G721" t="s">
        <v>99</v>
      </c>
      <c r="H721" t="s">
        <v>147</v>
      </c>
      <c r="I721" t="b">
        <v>0</v>
      </c>
      <c r="K721" t="s">
        <v>52</v>
      </c>
      <c r="L721" t="s">
        <v>2174</v>
      </c>
      <c r="O721" s="1">
        <v>46104</v>
      </c>
      <c r="P721" t="s">
        <v>2626</v>
      </c>
      <c r="Q721" t="s">
        <v>2627</v>
      </c>
      <c r="R721" t="s">
        <v>63</v>
      </c>
      <c r="S721" t="b">
        <v>0</v>
      </c>
      <c r="T721" t="b">
        <v>0</v>
      </c>
      <c r="U721" t="s">
        <v>2627</v>
      </c>
      <c r="V721" t="s">
        <v>74</v>
      </c>
      <c r="W721" t="s">
        <v>65</v>
      </c>
      <c r="X721" t="s">
        <v>2628</v>
      </c>
      <c r="Y721" t="s">
        <v>2629</v>
      </c>
      <c r="Z721" t="s">
        <v>2174</v>
      </c>
      <c r="AA721" t="b">
        <f>ISNUMBER(SEARCH(";"&amp;Lessons[[#This Row],[Instrument__c]]&amp;";",";"&amp;_xlfn.XLOOKUP(Lessons[[#This Row],[Instructor_External_Id__c]], Instructors[Id], Instructors[Instruments_Taught__c])&amp;";"))</f>
        <v>1</v>
      </c>
      <c r="AB721" t="str">
        <f>IF(LEFT(Lessons[[#This Row],[Status__c]],9)="Cancelled","",Lessons[[#This Row],[Instructor_External_Id__c]]&amp;"|"&amp;TEXT(Lessons[[#This Row],[Lesson_Date__c]],"yyyy-mm-dd")&amp;"|"&amp;Lessons[[#This Row],[Start_Time__c]])</f>
        <v>a06ak00000amzCBAAY|2026-03-23|16:30:00.000Z</v>
      </c>
      <c r="AC721">
        <f>IF(Lessons[[#This Row],[Double Booked Key]]="","",COUNTIF(Lessons[Double Booked Key],Lessons[[#This Row],[Double Booked Key]]))</f>
        <v>1</v>
      </c>
      <c r="AD721" s="6" t="str">
        <f>_xlfn.XLOOKUP(Lessons[[#This Row],[Location_External_Id__c]], Locations[Location Id], Locations[Location Name])</f>
        <v>Red Bank</v>
      </c>
      <c r="AE721" s="6" t="str">
        <f>TEXT(Lessons[[#This Row],[Lesson_Date__c]], "yyyy-mm")</f>
        <v>2026-03</v>
      </c>
      <c r="AF721" s="6" t="str">
        <f>IF(Lessons[[#This Row],[Lesson_Date__c]]&lt;=Data_Audit!$F$1, "Yes", "No")</f>
        <v>Yes</v>
      </c>
    </row>
    <row r="722" spans="1:32">
      <c r="A722" t="s">
        <v>52</v>
      </c>
      <c r="B722" t="s">
        <v>53</v>
      </c>
      <c r="C722">
        <v>30</v>
      </c>
      <c r="D722" t="s">
        <v>2630</v>
      </c>
      <c r="E722" t="s">
        <v>804</v>
      </c>
      <c r="F722" t="s">
        <v>805</v>
      </c>
      <c r="H722" t="s">
        <v>147</v>
      </c>
      <c r="I722" t="b">
        <v>0</v>
      </c>
      <c r="K722" t="s">
        <v>52</v>
      </c>
      <c r="L722" t="s">
        <v>2174</v>
      </c>
      <c r="O722" s="1">
        <v>46250</v>
      </c>
      <c r="P722" t="s">
        <v>2631</v>
      </c>
      <c r="Q722" t="s">
        <v>2632</v>
      </c>
      <c r="R722" t="s">
        <v>63</v>
      </c>
      <c r="S722" t="b">
        <v>0</v>
      </c>
      <c r="T722" t="b">
        <v>0</v>
      </c>
      <c r="U722" t="s">
        <v>2632</v>
      </c>
      <c r="V722" t="s">
        <v>110</v>
      </c>
      <c r="W722" t="s">
        <v>121</v>
      </c>
      <c r="X722" t="s">
        <v>2628</v>
      </c>
      <c r="Y722" t="s">
        <v>2629</v>
      </c>
      <c r="Z722" t="s">
        <v>2174</v>
      </c>
      <c r="AA722" t="b">
        <f>ISNUMBER(SEARCH(";"&amp;Lessons[[#This Row],[Instrument__c]]&amp;";",";"&amp;_xlfn.XLOOKUP(Lessons[[#This Row],[Instructor_External_Id__c]], Instructors[Id], Instructors[Instruments_Taught__c])&amp;";"))</f>
        <v>1</v>
      </c>
      <c r="AB722" t="str">
        <f>IF(LEFT(Lessons[[#This Row],[Status__c]],9)="Cancelled","",Lessons[[#This Row],[Instructor_External_Id__c]]&amp;"|"&amp;TEXT(Lessons[[#This Row],[Lesson_Date__c]],"yyyy-mm-dd")&amp;"|"&amp;Lessons[[#This Row],[Start_Time__c]])</f>
        <v>a06ak00000amzCBAAY|2026-08-16|10:00:00.000Z</v>
      </c>
      <c r="AC722">
        <f>IF(Lessons[[#This Row],[Double Booked Key]]="","",COUNTIF(Lessons[Double Booked Key],Lessons[[#This Row],[Double Booked Key]]))</f>
        <v>1</v>
      </c>
      <c r="AD722" s="6" t="str">
        <f>_xlfn.XLOOKUP(Lessons[[#This Row],[Location_External_Id__c]], Locations[Location Id], Locations[Location Name])</f>
        <v>Red Bank</v>
      </c>
      <c r="AE722" s="6" t="str">
        <f>TEXT(Lessons[[#This Row],[Lesson_Date__c]], "yyyy-mm")</f>
        <v>2026-08</v>
      </c>
      <c r="AF722" s="6" t="str">
        <f>IF(Lessons[[#This Row],[Lesson_Date__c]]&lt;=Data_Audit!$F$1, "Yes", "No")</f>
        <v>Yes</v>
      </c>
    </row>
    <row r="723" spans="1:32">
      <c r="A723" t="s">
        <v>52</v>
      </c>
      <c r="B723" t="s">
        <v>53</v>
      </c>
      <c r="C723">
        <v>60</v>
      </c>
      <c r="D723" t="s">
        <v>2633</v>
      </c>
      <c r="E723" t="s">
        <v>804</v>
      </c>
      <c r="F723" t="s">
        <v>805</v>
      </c>
      <c r="G723" t="s">
        <v>99</v>
      </c>
      <c r="H723" t="s">
        <v>147</v>
      </c>
      <c r="I723" t="b">
        <v>0</v>
      </c>
      <c r="K723" t="s">
        <v>52</v>
      </c>
      <c r="L723" t="s">
        <v>2174</v>
      </c>
      <c r="O723" s="1">
        <v>46060</v>
      </c>
      <c r="P723" t="s">
        <v>2634</v>
      </c>
      <c r="Q723" t="s">
        <v>2635</v>
      </c>
      <c r="R723" t="s">
        <v>63</v>
      </c>
      <c r="S723" t="b">
        <v>0</v>
      </c>
      <c r="T723" t="b">
        <v>0</v>
      </c>
      <c r="U723" t="s">
        <v>2635</v>
      </c>
      <c r="V723" t="s">
        <v>116</v>
      </c>
      <c r="W723" t="s">
        <v>65</v>
      </c>
      <c r="X723" t="s">
        <v>2628</v>
      </c>
      <c r="Y723" t="s">
        <v>2629</v>
      </c>
      <c r="Z723" t="s">
        <v>2174</v>
      </c>
      <c r="AA723" t="b">
        <f>ISNUMBER(SEARCH(";"&amp;Lessons[[#This Row],[Instrument__c]]&amp;";",";"&amp;_xlfn.XLOOKUP(Lessons[[#This Row],[Instructor_External_Id__c]], Instructors[Id], Instructors[Instruments_Taught__c])&amp;";"))</f>
        <v>1</v>
      </c>
      <c r="AB723" t="str">
        <f>IF(LEFT(Lessons[[#This Row],[Status__c]],9)="Cancelled","",Lessons[[#This Row],[Instructor_External_Id__c]]&amp;"|"&amp;TEXT(Lessons[[#This Row],[Lesson_Date__c]],"yyyy-mm-dd")&amp;"|"&amp;Lessons[[#This Row],[Start_Time__c]])</f>
        <v>a06ak00000amzCBAAY|2026-02-07|17:30:00.000Z</v>
      </c>
      <c r="AC723">
        <f>IF(Lessons[[#This Row],[Double Booked Key]]="","",COUNTIF(Lessons[Double Booked Key],Lessons[[#This Row],[Double Booked Key]]))</f>
        <v>1</v>
      </c>
      <c r="AD723" s="6" t="str">
        <f>_xlfn.XLOOKUP(Lessons[[#This Row],[Location_External_Id__c]], Locations[Location Id], Locations[Location Name])</f>
        <v>Red Bank</v>
      </c>
      <c r="AE723" s="6" t="str">
        <f>TEXT(Lessons[[#This Row],[Lesson_Date__c]], "yyyy-mm")</f>
        <v>2026-02</v>
      </c>
      <c r="AF723" s="6" t="str">
        <f>IF(Lessons[[#This Row],[Lesson_Date__c]]&lt;=Data_Audit!$F$1, "Yes", "No")</f>
        <v>Yes</v>
      </c>
    </row>
    <row r="724" spans="1:32">
      <c r="A724" t="s">
        <v>52</v>
      </c>
      <c r="B724" t="s">
        <v>53</v>
      </c>
      <c r="C724">
        <v>30</v>
      </c>
      <c r="D724" t="s">
        <v>2636</v>
      </c>
      <c r="E724" t="s">
        <v>804</v>
      </c>
      <c r="F724" t="s">
        <v>805</v>
      </c>
      <c r="G724" t="s">
        <v>69</v>
      </c>
      <c r="H724" t="s">
        <v>147</v>
      </c>
      <c r="I724" t="b">
        <v>0</v>
      </c>
      <c r="K724" t="s">
        <v>52</v>
      </c>
      <c r="L724" t="s">
        <v>2174</v>
      </c>
      <c r="O724" s="1">
        <v>46119</v>
      </c>
      <c r="P724" t="s">
        <v>2637</v>
      </c>
      <c r="Q724" t="s">
        <v>2638</v>
      </c>
      <c r="R724" t="s">
        <v>63</v>
      </c>
      <c r="S724" t="b">
        <v>0</v>
      </c>
      <c r="T724" t="b">
        <v>0</v>
      </c>
      <c r="U724" t="s">
        <v>2638</v>
      </c>
      <c r="V724" t="s">
        <v>64</v>
      </c>
      <c r="W724" t="s">
        <v>65</v>
      </c>
      <c r="X724" t="s">
        <v>2628</v>
      </c>
      <c r="Y724" t="s">
        <v>2629</v>
      </c>
      <c r="Z724" t="s">
        <v>2174</v>
      </c>
      <c r="AA724" t="b">
        <f>ISNUMBER(SEARCH(";"&amp;Lessons[[#This Row],[Instrument__c]]&amp;";",";"&amp;_xlfn.XLOOKUP(Lessons[[#This Row],[Instructor_External_Id__c]], Instructors[Id], Instructors[Instruments_Taught__c])&amp;";"))</f>
        <v>1</v>
      </c>
      <c r="AB724" t="str">
        <f>IF(LEFT(Lessons[[#This Row],[Status__c]],9)="Cancelled","",Lessons[[#This Row],[Instructor_External_Id__c]]&amp;"|"&amp;TEXT(Lessons[[#This Row],[Lesson_Date__c]],"yyyy-mm-dd")&amp;"|"&amp;Lessons[[#This Row],[Start_Time__c]])</f>
        <v>a06ak00000amzCBAAY|2026-04-07|11:00:00.000Z</v>
      </c>
      <c r="AC724">
        <f>IF(Lessons[[#This Row],[Double Booked Key]]="","",COUNTIF(Lessons[Double Booked Key],Lessons[[#This Row],[Double Booked Key]]))</f>
        <v>1</v>
      </c>
      <c r="AD724" s="6" t="str">
        <f>_xlfn.XLOOKUP(Lessons[[#This Row],[Location_External_Id__c]], Locations[Location Id], Locations[Location Name])</f>
        <v>Red Bank</v>
      </c>
      <c r="AE724" s="6" t="str">
        <f>TEXT(Lessons[[#This Row],[Lesson_Date__c]], "yyyy-mm")</f>
        <v>2026-04</v>
      </c>
      <c r="AF724" s="6" t="str">
        <f>IF(Lessons[[#This Row],[Lesson_Date__c]]&lt;=Data_Audit!$F$1, "Yes", "No")</f>
        <v>Yes</v>
      </c>
    </row>
    <row r="725" spans="1:32">
      <c r="A725" t="s">
        <v>52</v>
      </c>
      <c r="B725" t="s">
        <v>53</v>
      </c>
      <c r="C725">
        <v>45</v>
      </c>
      <c r="D725" t="s">
        <v>2639</v>
      </c>
      <c r="E725" t="s">
        <v>282</v>
      </c>
      <c r="F725" t="s">
        <v>283</v>
      </c>
      <c r="H725" t="s">
        <v>284</v>
      </c>
      <c r="I725" t="b">
        <v>0</v>
      </c>
      <c r="K725" t="s">
        <v>52</v>
      </c>
      <c r="L725" t="s">
        <v>2174</v>
      </c>
      <c r="O725" s="1">
        <v>46077</v>
      </c>
      <c r="P725" t="s">
        <v>2640</v>
      </c>
      <c r="Q725" t="s">
        <v>2641</v>
      </c>
      <c r="R725" t="s">
        <v>83</v>
      </c>
      <c r="S725" t="b">
        <v>0</v>
      </c>
      <c r="T725" t="b">
        <v>0</v>
      </c>
      <c r="U725" t="s">
        <v>2641</v>
      </c>
      <c r="V725" t="s">
        <v>84</v>
      </c>
      <c r="W725" t="s">
        <v>65</v>
      </c>
      <c r="X725" t="s">
        <v>2642</v>
      </c>
      <c r="Y725" t="s">
        <v>2643</v>
      </c>
      <c r="Z725" t="s">
        <v>2174</v>
      </c>
      <c r="AA725" t="b">
        <f>ISNUMBER(SEARCH(";"&amp;Lessons[[#This Row],[Instrument__c]]&amp;";",";"&amp;_xlfn.XLOOKUP(Lessons[[#This Row],[Instructor_External_Id__c]], Instructors[Id], Instructors[Instruments_Taught__c])&amp;";"))</f>
        <v>1</v>
      </c>
      <c r="AB725" t="str">
        <f>IF(LEFT(Lessons[[#This Row],[Status__c]],9)="Cancelled","",Lessons[[#This Row],[Instructor_External_Id__c]]&amp;"|"&amp;TEXT(Lessons[[#This Row],[Lesson_Date__c]],"yyyy-mm-dd")&amp;"|"&amp;Lessons[[#This Row],[Start_Time__c]])</f>
        <v>a06ak00000amzBxAAI|2026-02-24|17:00:00.000Z</v>
      </c>
      <c r="AC725">
        <f>IF(Lessons[[#This Row],[Double Booked Key]]="","",COUNTIF(Lessons[Double Booked Key],Lessons[[#This Row],[Double Booked Key]]))</f>
        <v>1</v>
      </c>
      <c r="AD725" s="6" t="str">
        <f>_xlfn.XLOOKUP(Lessons[[#This Row],[Location_External_Id__c]], Locations[Location Id], Locations[Location Name])</f>
        <v>Brick</v>
      </c>
      <c r="AE725" s="6" t="str">
        <f>TEXT(Lessons[[#This Row],[Lesson_Date__c]], "yyyy-mm")</f>
        <v>2026-02</v>
      </c>
      <c r="AF725" s="6" t="str">
        <f>IF(Lessons[[#This Row],[Lesson_Date__c]]&lt;=Data_Audit!$F$1, "Yes", "No")</f>
        <v>Yes</v>
      </c>
    </row>
    <row r="726" spans="1:32">
      <c r="A726" t="s">
        <v>52</v>
      </c>
      <c r="B726" t="s">
        <v>53</v>
      </c>
      <c r="C726">
        <v>60</v>
      </c>
      <c r="D726" t="s">
        <v>2644</v>
      </c>
      <c r="E726" t="s">
        <v>282</v>
      </c>
      <c r="F726" t="s">
        <v>283</v>
      </c>
      <c r="G726" t="s">
        <v>106</v>
      </c>
      <c r="H726" t="s">
        <v>284</v>
      </c>
      <c r="I726" t="b">
        <v>0</v>
      </c>
      <c r="K726" t="s">
        <v>52</v>
      </c>
      <c r="L726" t="s">
        <v>2174</v>
      </c>
      <c r="O726" s="1">
        <v>46179</v>
      </c>
      <c r="P726" t="s">
        <v>2645</v>
      </c>
      <c r="Q726" t="s">
        <v>2646</v>
      </c>
      <c r="R726" t="s">
        <v>83</v>
      </c>
      <c r="S726" t="b">
        <v>0</v>
      </c>
      <c r="T726" t="b">
        <v>0</v>
      </c>
      <c r="U726" t="s">
        <v>2646</v>
      </c>
      <c r="V726" t="s">
        <v>128</v>
      </c>
      <c r="W726" t="s">
        <v>65</v>
      </c>
      <c r="X726" t="s">
        <v>2642</v>
      </c>
      <c r="Y726" t="s">
        <v>2643</v>
      </c>
      <c r="Z726" t="s">
        <v>2174</v>
      </c>
      <c r="AA726" t="b">
        <f>ISNUMBER(SEARCH(";"&amp;Lessons[[#This Row],[Instrument__c]]&amp;";",";"&amp;_xlfn.XLOOKUP(Lessons[[#This Row],[Instructor_External_Id__c]], Instructors[Id], Instructors[Instruments_Taught__c])&amp;";"))</f>
        <v>1</v>
      </c>
      <c r="AB726" t="str">
        <f>IF(LEFT(Lessons[[#This Row],[Status__c]],9)="Cancelled","",Lessons[[#This Row],[Instructor_External_Id__c]]&amp;"|"&amp;TEXT(Lessons[[#This Row],[Lesson_Date__c]],"yyyy-mm-dd")&amp;"|"&amp;Lessons[[#This Row],[Start_Time__c]])</f>
        <v>a06ak00000amzBxAAI|2026-06-06|18:30:00.000Z</v>
      </c>
      <c r="AC726">
        <f>IF(Lessons[[#This Row],[Double Booked Key]]="","",COUNTIF(Lessons[Double Booked Key],Lessons[[#This Row],[Double Booked Key]]))</f>
        <v>1</v>
      </c>
      <c r="AD726" s="6" t="str">
        <f>_xlfn.XLOOKUP(Lessons[[#This Row],[Location_External_Id__c]], Locations[Location Id], Locations[Location Name])</f>
        <v>Brick</v>
      </c>
      <c r="AE726" s="6" t="str">
        <f>TEXT(Lessons[[#This Row],[Lesson_Date__c]], "yyyy-mm")</f>
        <v>2026-06</v>
      </c>
      <c r="AF726" s="6" t="str">
        <f>IF(Lessons[[#This Row],[Lesson_Date__c]]&lt;=Data_Audit!$F$1, "Yes", "No")</f>
        <v>Yes</v>
      </c>
    </row>
    <row r="727" spans="1:32">
      <c r="A727" t="s">
        <v>52</v>
      </c>
      <c r="B727" t="s">
        <v>53</v>
      </c>
      <c r="C727">
        <v>45</v>
      </c>
      <c r="D727" t="s">
        <v>2647</v>
      </c>
      <c r="E727" t="s">
        <v>282</v>
      </c>
      <c r="F727" t="s">
        <v>283</v>
      </c>
      <c r="G727" t="s">
        <v>164</v>
      </c>
      <c r="H727" t="s">
        <v>284</v>
      </c>
      <c r="I727" t="b">
        <v>0</v>
      </c>
      <c r="K727" t="s">
        <v>52</v>
      </c>
      <c r="L727" t="s">
        <v>2174</v>
      </c>
      <c r="O727" s="1">
        <v>46175</v>
      </c>
      <c r="P727" t="s">
        <v>2648</v>
      </c>
      <c r="Q727" t="s">
        <v>2649</v>
      </c>
      <c r="R727" t="s">
        <v>83</v>
      </c>
      <c r="S727" t="b">
        <v>0</v>
      </c>
      <c r="T727" t="b">
        <v>0</v>
      </c>
      <c r="U727" t="s">
        <v>2649</v>
      </c>
      <c r="V727" t="s">
        <v>102</v>
      </c>
      <c r="W727" t="s">
        <v>65</v>
      </c>
      <c r="X727" t="s">
        <v>2642</v>
      </c>
      <c r="Y727" t="s">
        <v>2643</v>
      </c>
      <c r="Z727" t="s">
        <v>2174</v>
      </c>
      <c r="AA727" t="b">
        <f>ISNUMBER(SEARCH(";"&amp;Lessons[[#This Row],[Instrument__c]]&amp;";",";"&amp;_xlfn.XLOOKUP(Lessons[[#This Row],[Instructor_External_Id__c]], Instructors[Id], Instructors[Instruments_Taught__c])&amp;";"))</f>
        <v>1</v>
      </c>
      <c r="AB727" t="str">
        <f>IF(LEFT(Lessons[[#This Row],[Status__c]],9)="Cancelled","",Lessons[[#This Row],[Instructor_External_Id__c]]&amp;"|"&amp;TEXT(Lessons[[#This Row],[Lesson_Date__c]],"yyyy-mm-dd")&amp;"|"&amp;Lessons[[#This Row],[Start_Time__c]])</f>
        <v>a06ak00000amzBxAAI|2026-06-02|16:00:00.000Z</v>
      </c>
      <c r="AC727">
        <f>IF(Lessons[[#This Row],[Double Booked Key]]="","",COUNTIF(Lessons[Double Booked Key],Lessons[[#This Row],[Double Booked Key]]))</f>
        <v>1</v>
      </c>
      <c r="AD727" s="6" t="str">
        <f>_xlfn.XLOOKUP(Lessons[[#This Row],[Location_External_Id__c]], Locations[Location Id], Locations[Location Name])</f>
        <v>Brick</v>
      </c>
      <c r="AE727" s="6" t="str">
        <f>TEXT(Lessons[[#This Row],[Lesson_Date__c]], "yyyy-mm")</f>
        <v>2026-06</v>
      </c>
      <c r="AF727" s="6" t="str">
        <f>IF(Lessons[[#This Row],[Lesson_Date__c]]&lt;=Data_Audit!$F$1, "Yes", "No")</f>
        <v>Yes</v>
      </c>
    </row>
    <row r="728" spans="1:32">
      <c r="A728" t="s">
        <v>52</v>
      </c>
      <c r="B728" t="s">
        <v>53</v>
      </c>
      <c r="C728">
        <v>60</v>
      </c>
      <c r="D728" t="s">
        <v>2650</v>
      </c>
      <c r="E728" t="s">
        <v>282</v>
      </c>
      <c r="F728" t="s">
        <v>283</v>
      </c>
      <c r="G728" t="s">
        <v>106</v>
      </c>
      <c r="H728" t="s">
        <v>284</v>
      </c>
      <c r="I728" t="b">
        <v>0</v>
      </c>
      <c r="K728" t="s">
        <v>52</v>
      </c>
      <c r="L728" t="s">
        <v>2174</v>
      </c>
      <c r="O728" s="1">
        <v>46210</v>
      </c>
      <c r="P728" t="s">
        <v>2651</v>
      </c>
      <c r="Q728" t="s">
        <v>2652</v>
      </c>
      <c r="R728" t="s">
        <v>83</v>
      </c>
      <c r="S728" t="b">
        <v>0</v>
      </c>
      <c r="T728" t="b">
        <v>0</v>
      </c>
      <c r="U728" t="s">
        <v>2652</v>
      </c>
      <c r="V728" t="s">
        <v>84</v>
      </c>
      <c r="W728" t="s">
        <v>65</v>
      </c>
      <c r="X728" t="s">
        <v>2642</v>
      </c>
      <c r="Y728" t="s">
        <v>2643</v>
      </c>
      <c r="Z728" t="s">
        <v>2174</v>
      </c>
      <c r="AA728" t="b">
        <f>ISNUMBER(SEARCH(";"&amp;Lessons[[#This Row],[Instrument__c]]&amp;";",";"&amp;_xlfn.XLOOKUP(Lessons[[#This Row],[Instructor_External_Id__c]], Instructors[Id], Instructors[Instruments_Taught__c])&amp;";"))</f>
        <v>1</v>
      </c>
      <c r="AB728" t="str">
        <f>IF(LEFT(Lessons[[#This Row],[Status__c]],9)="Cancelled","",Lessons[[#This Row],[Instructor_External_Id__c]]&amp;"|"&amp;TEXT(Lessons[[#This Row],[Lesson_Date__c]],"yyyy-mm-dd")&amp;"|"&amp;Lessons[[#This Row],[Start_Time__c]])</f>
        <v>a06ak00000amzBxAAI|2026-07-07|17:00:00.000Z</v>
      </c>
      <c r="AC728">
        <f>IF(Lessons[[#This Row],[Double Booked Key]]="","",COUNTIF(Lessons[Double Booked Key],Lessons[[#This Row],[Double Booked Key]]))</f>
        <v>1</v>
      </c>
      <c r="AD728" s="6" t="str">
        <f>_xlfn.XLOOKUP(Lessons[[#This Row],[Location_External_Id__c]], Locations[Location Id], Locations[Location Name])</f>
        <v>Brick</v>
      </c>
      <c r="AE728" s="6" t="str">
        <f>TEXT(Lessons[[#This Row],[Lesson_Date__c]], "yyyy-mm")</f>
        <v>2026-07</v>
      </c>
      <c r="AF728" s="6" t="str">
        <f>IF(Lessons[[#This Row],[Lesson_Date__c]]&lt;=Data_Audit!$F$1, "Yes", "No")</f>
        <v>Yes</v>
      </c>
    </row>
    <row r="729" spans="1:32">
      <c r="A729" t="s">
        <v>52</v>
      </c>
      <c r="B729" t="s">
        <v>53</v>
      </c>
      <c r="C729">
        <v>30</v>
      </c>
      <c r="D729" t="s">
        <v>2653</v>
      </c>
      <c r="E729" t="s">
        <v>282</v>
      </c>
      <c r="F729" t="s">
        <v>283</v>
      </c>
      <c r="G729" t="s">
        <v>164</v>
      </c>
      <c r="H729" t="s">
        <v>284</v>
      </c>
      <c r="I729" t="b">
        <v>0</v>
      </c>
      <c r="K729" t="s">
        <v>52</v>
      </c>
      <c r="L729" t="s">
        <v>2174</v>
      </c>
      <c r="O729" s="1">
        <v>46196</v>
      </c>
      <c r="P729" t="s">
        <v>2654</v>
      </c>
      <c r="Q729" t="s">
        <v>2655</v>
      </c>
      <c r="R729" t="s">
        <v>83</v>
      </c>
      <c r="S729" t="b">
        <v>0</v>
      </c>
      <c r="T729" t="b">
        <v>0</v>
      </c>
      <c r="U729" t="s">
        <v>2655</v>
      </c>
      <c r="V729" t="s">
        <v>84</v>
      </c>
      <c r="W729" t="s">
        <v>65</v>
      </c>
      <c r="X729" t="s">
        <v>2642</v>
      </c>
      <c r="Y729" t="s">
        <v>2643</v>
      </c>
      <c r="Z729" t="s">
        <v>2174</v>
      </c>
      <c r="AA729" t="b">
        <f>ISNUMBER(SEARCH(";"&amp;Lessons[[#This Row],[Instrument__c]]&amp;";",";"&amp;_xlfn.XLOOKUP(Lessons[[#This Row],[Instructor_External_Id__c]], Instructors[Id], Instructors[Instruments_Taught__c])&amp;";"))</f>
        <v>1</v>
      </c>
      <c r="AB729" t="str">
        <f>IF(LEFT(Lessons[[#This Row],[Status__c]],9)="Cancelled","",Lessons[[#This Row],[Instructor_External_Id__c]]&amp;"|"&amp;TEXT(Lessons[[#This Row],[Lesson_Date__c]],"yyyy-mm-dd")&amp;"|"&amp;Lessons[[#This Row],[Start_Time__c]])</f>
        <v>a06ak00000amzBxAAI|2026-06-23|17:00:00.000Z</v>
      </c>
      <c r="AC729">
        <f>IF(Lessons[[#This Row],[Double Booked Key]]="","",COUNTIF(Lessons[Double Booked Key],Lessons[[#This Row],[Double Booked Key]]))</f>
        <v>1</v>
      </c>
      <c r="AD729" s="6" t="str">
        <f>_xlfn.XLOOKUP(Lessons[[#This Row],[Location_External_Id__c]], Locations[Location Id], Locations[Location Name])</f>
        <v>Brick</v>
      </c>
      <c r="AE729" s="6" t="str">
        <f>TEXT(Lessons[[#This Row],[Lesson_Date__c]], "yyyy-mm")</f>
        <v>2026-06</v>
      </c>
      <c r="AF729" s="6" t="str">
        <f>IF(Lessons[[#This Row],[Lesson_Date__c]]&lt;=Data_Audit!$F$1, "Yes", "No")</f>
        <v>Yes</v>
      </c>
    </row>
    <row r="730" spans="1:32">
      <c r="A730" t="s">
        <v>52</v>
      </c>
      <c r="B730" t="s">
        <v>53</v>
      </c>
      <c r="C730">
        <v>60</v>
      </c>
      <c r="D730" t="s">
        <v>2656</v>
      </c>
      <c r="E730" t="s">
        <v>282</v>
      </c>
      <c r="F730" t="s">
        <v>283</v>
      </c>
      <c r="H730" t="s">
        <v>284</v>
      </c>
      <c r="I730" t="b">
        <v>0</v>
      </c>
      <c r="K730" t="s">
        <v>52</v>
      </c>
      <c r="L730" t="s">
        <v>2174</v>
      </c>
      <c r="O730" s="1">
        <v>46188</v>
      </c>
      <c r="P730" t="s">
        <v>2657</v>
      </c>
      <c r="Q730" t="s">
        <v>2658</v>
      </c>
      <c r="R730" t="s">
        <v>83</v>
      </c>
      <c r="S730" t="b">
        <v>0</v>
      </c>
      <c r="T730" t="b">
        <v>0</v>
      </c>
      <c r="U730" t="s">
        <v>2658</v>
      </c>
      <c r="V730" t="s">
        <v>135</v>
      </c>
      <c r="W730" t="s">
        <v>65</v>
      </c>
      <c r="X730" t="s">
        <v>2642</v>
      </c>
      <c r="Y730" t="s">
        <v>2643</v>
      </c>
      <c r="Z730" t="s">
        <v>2174</v>
      </c>
      <c r="AA730" t="b">
        <f>ISNUMBER(SEARCH(";"&amp;Lessons[[#This Row],[Instrument__c]]&amp;";",";"&amp;_xlfn.XLOOKUP(Lessons[[#This Row],[Instructor_External_Id__c]], Instructors[Id], Instructors[Instruments_Taught__c])&amp;";"))</f>
        <v>1</v>
      </c>
      <c r="AB730" t="str">
        <f>IF(LEFT(Lessons[[#This Row],[Status__c]],9)="Cancelled","",Lessons[[#This Row],[Instructor_External_Id__c]]&amp;"|"&amp;TEXT(Lessons[[#This Row],[Lesson_Date__c]],"yyyy-mm-dd")&amp;"|"&amp;Lessons[[#This Row],[Start_Time__c]])</f>
        <v>a06ak00000amzBxAAI|2026-06-15|15:30:00.000Z</v>
      </c>
      <c r="AC730">
        <f>IF(Lessons[[#This Row],[Double Booked Key]]="","",COUNTIF(Lessons[Double Booked Key],Lessons[[#This Row],[Double Booked Key]]))</f>
        <v>1</v>
      </c>
      <c r="AD730" s="6" t="str">
        <f>_xlfn.XLOOKUP(Lessons[[#This Row],[Location_External_Id__c]], Locations[Location Id], Locations[Location Name])</f>
        <v>Brick</v>
      </c>
      <c r="AE730" s="6" t="str">
        <f>TEXT(Lessons[[#This Row],[Lesson_Date__c]], "yyyy-mm")</f>
        <v>2026-06</v>
      </c>
      <c r="AF730" s="6" t="str">
        <f>IF(Lessons[[#This Row],[Lesson_Date__c]]&lt;=Data_Audit!$F$1, "Yes", "No")</f>
        <v>Yes</v>
      </c>
    </row>
    <row r="731" spans="1:32">
      <c r="A731" t="s">
        <v>52</v>
      </c>
      <c r="B731" t="s">
        <v>53</v>
      </c>
      <c r="C731">
        <v>60</v>
      </c>
      <c r="D731" t="s">
        <v>2659</v>
      </c>
      <c r="E731" t="s">
        <v>282</v>
      </c>
      <c r="F731" t="s">
        <v>283</v>
      </c>
      <c r="H731" t="s">
        <v>284</v>
      </c>
      <c r="I731" t="b">
        <v>0</v>
      </c>
      <c r="K731" t="s">
        <v>52</v>
      </c>
      <c r="L731" t="s">
        <v>2174</v>
      </c>
      <c r="O731" s="1">
        <v>46192</v>
      </c>
      <c r="P731" t="s">
        <v>2660</v>
      </c>
      <c r="Q731" t="s">
        <v>2661</v>
      </c>
      <c r="R731" t="s">
        <v>83</v>
      </c>
      <c r="S731" t="b">
        <v>0</v>
      </c>
      <c r="T731" t="b">
        <v>0</v>
      </c>
      <c r="U731" t="s">
        <v>2661</v>
      </c>
      <c r="V731" t="s">
        <v>84</v>
      </c>
      <c r="W731" t="s">
        <v>121</v>
      </c>
      <c r="X731" t="s">
        <v>2642</v>
      </c>
      <c r="Y731" t="s">
        <v>2643</v>
      </c>
      <c r="Z731" t="s">
        <v>2174</v>
      </c>
      <c r="AA731" t="b">
        <f>ISNUMBER(SEARCH(";"&amp;Lessons[[#This Row],[Instrument__c]]&amp;";",";"&amp;_xlfn.XLOOKUP(Lessons[[#This Row],[Instructor_External_Id__c]], Instructors[Id], Instructors[Instruments_Taught__c])&amp;";"))</f>
        <v>1</v>
      </c>
      <c r="AB731" t="str">
        <f>IF(LEFT(Lessons[[#This Row],[Status__c]],9)="Cancelled","",Lessons[[#This Row],[Instructor_External_Id__c]]&amp;"|"&amp;TEXT(Lessons[[#This Row],[Lesson_Date__c]],"yyyy-mm-dd")&amp;"|"&amp;Lessons[[#This Row],[Start_Time__c]])</f>
        <v>a06ak00000amzBxAAI|2026-06-19|17:00:00.000Z</v>
      </c>
      <c r="AC731">
        <f>IF(Lessons[[#This Row],[Double Booked Key]]="","",COUNTIF(Lessons[Double Booked Key],Lessons[[#This Row],[Double Booked Key]]))</f>
        <v>1</v>
      </c>
      <c r="AD731" s="6" t="str">
        <f>_xlfn.XLOOKUP(Lessons[[#This Row],[Location_External_Id__c]], Locations[Location Id], Locations[Location Name])</f>
        <v>Brick</v>
      </c>
      <c r="AE731" s="6" t="str">
        <f>TEXT(Lessons[[#This Row],[Lesson_Date__c]], "yyyy-mm")</f>
        <v>2026-06</v>
      </c>
      <c r="AF731" s="6" t="str">
        <f>IF(Lessons[[#This Row],[Lesson_Date__c]]&lt;=Data_Audit!$F$1, "Yes", "No")</f>
        <v>Yes</v>
      </c>
    </row>
    <row r="732" spans="1:32">
      <c r="A732" t="s">
        <v>52</v>
      </c>
      <c r="B732" t="s">
        <v>53</v>
      </c>
      <c r="C732">
        <v>30</v>
      </c>
      <c r="D732" t="s">
        <v>2662</v>
      </c>
      <c r="E732" t="s">
        <v>282</v>
      </c>
      <c r="F732" t="s">
        <v>283</v>
      </c>
      <c r="G732" t="s">
        <v>106</v>
      </c>
      <c r="H732" t="s">
        <v>284</v>
      </c>
      <c r="I732" t="b">
        <v>0</v>
      </c>
      <c r="K732" t="s">
        <v>52</v>
      </c>
      <c r="L732" t="s">
        <v>2174</v>
      </c>
      <c r="O732" s="1">
        <v>46134</v>
      </c>
      <c r="P732" t="s">
        <v>2663</v>
      </c>
      <c r="Q732" t="s">
        <v>2664</v>
      </c>
      <c r="R732" t="s">
        <v>83</v>
      </c>
      <c r="S732" t="b">
        <v>0</v>
      </c>
      <c r="T732" t="b">
        <v>0</v>
      </c>
      <c r="U732" t="s">
        <v>2664</v>
      </c>
      <c r="V732" t="s">
        <v>110</v>
      </c>
      <c r="W732" t="s">
        <v>65</v>
      </c>
      <c r="X732" t="s">
        <v>2642</v>
      </c>
      <c r="Y732" t="s">
        <v>2643</v>
      </c>
      <c r="Z732" t="s">
        <v>2174</v>
      </c>
      <c r="AA732" t="b">
        <f>ISNUMBER(SEARCH(";"&amp;Lessons[[#This Row],[Instrument__c]]&amp;";",";"&amp;_xlfn.XLOOKUP(Lessons[[#This Row],[Instructor_External_Id__c]], Instructors[Id], Instructors[Instruments_Taught__c])&amp;";"))</f>
        <v>1</v>
      </c>
      <c r="AB732" t="str">
        <f>IF(LEFT(Lessons[[#This Row],[Status__c]],9)="Cancelled","",Lessons[[#This Row],[Instructor_External_Id__c]]&amp;"|"&amp;TEXT(Lessons[[#This Row],[Lesson_Date__c]],"yyyy-mm-dd")&amp;"|"&amp;Lessons[[#This Row],[Start_Time__c]])</f>
        <v>a06ak00000amzBxAAI|2026-04-22|10:00:00.000Z</v>
      </c>
      <c r="AC732">
        <f>IF(Lessons[[#This Row],[Double Booked Key]]="","",COUNTIF(Lessons[Double Booked Key],Lessons[[#This Row],[Double Booked Key]]))</f>
        <v>1</v>
      </c>
      <c r="AD732" s="6" t="str">
        <f>_xlfn.XLOOKUP(Lessons[[#This Row],[Location_External_Id__c]], Locations[Location Id], Locations[Location Name])</f>
        <v>Brick</v>
      </c>
      <c r="AE732" s="6" t="str">
        <f>TEXT(Lessons[[#This Row],[Lesson_Date__c]], "yyyy-mm")</f>
        <v>2026-04</v>
      </c>
      <c r="AF732" s="6" t="str">
        <f>IF(Lessons[[#This Row],[Lesson_Date__c]]&lt;=Data_Audit!$F$1, "Yes", "No")</f>
        <v>Yes</v>
      </c>
    </row>
    <row r="733" spans="1:32">
      <c r="A733" t="s">
        <v>52</v>
      </c>
      <c r="B733" t="s">
        <v>53</v>
      </c>
      <c r="C733">
        <v>60</v>
      </c>
      <c r="D733" t="s">
        <v>2665</v>
      </c>
      <c r="E733" t="s">
        <v>282</v>
      </c>
      <c r="F733" t="s">
        <v>283</v>
      </c>
      <c r="H733" t="s">
        <v>284</v>
      </c>
      <c r="I733" t="b">
        <v>0</v>
      </c>
      <c r="K733" t="s">
        <v>52</v>
      </c>
      <c r="L733" t="s">
        <v>2174</v>
      </c>
      <c r="O733" s="1">
        <v>46279</v>
      </c>
      <c r="P733" t="s">
        <v>2666</v>
      </c>
      <c r="Q733" t="s">
        <v>2667</v>
      </c>
      <c r="R733" t="s">
        <v>83</v>
      </c>
      <c r="S733" t="b">
        <v>0</v>
      </c>
      <c r="T733" t="b">
        <v>0</v>
      </c>
      <c r="U733" t="s">
        <v>2667</v>
      </c>
      <c r="V733" t="s">
        <v>110</v>
      </c>
      <c r="W733" t="s">
        <v>85</v>
      </c>
      <c r="X733" t="s">
        <v>2668</v>
      </c>
      <c r="Y733" t="s">
        <v>2669</v>
      </c>
      <c r="Z733" t="s">
        <v>2174</v>
      </c>
      <c r="AA733" t="b">
        <f>ISNUMBER(SEARCH(";"&amp;Lessons[[#This Row],[Instrument__c]]&amp;";",";"&amp;_xlfn.XLOOKUP(Lessons[[#This Row],[Instructor_External_Id__c]], Instructors[Id], Instructors[Instruments_Taught__c])&amp;";"))</f>
        <v>1</v>
      </c>
      <c r="AB733" t="str">
        <f>IF(LEFT(Lessons[[#This Row],[Status__c]],9)="Cancelled","",Lessons[[#This Row],[Instructor_External_Id__c]]&amp;"|"&amp;TEXT(Lessons[[#This Row],[Lesson_Date__c]],"yyyy-mm-dd")&amp;"|"&amp;Lessons[[#This Row],[Start_Time__c]])</f>
        <v/>
      </c>
      <c r="AC733" t="str">
        <f>IF(Lessons[[#This Row],[Double Booked Key]]="","",COUNTIF(Lessons[Double Booked Key],Lessons[[#This Row],[Double Booked Key]]))</f>
        <v/>
      </c>
      <c r="AD733" s="6" t="str">
        <f>_xlfn.XLOOKUP(Lessons[[#This Row],[Location_External_Id__c]], Locations[Location Id], Locations[Location Name])</f>
        <v>Brick</v>
      </c>
      <c r="AE733" s="6" t="str">
        <f>TEXT(Lessons[[#This Row],[Lesson_Date__c]], "yyyy-mm")</f>
        <v>2026-09</v>
      </c>
      <c r="AF733" s="6" t="str">
        <f>IF(Lessons[[#This Row],[Lesson_Date__c]]&lt;=Data_Audit!$F$1, "Yes", "No")</f>
        <v>Yes</v>
      </c>
    </row>
    <row r="734" spans="1:32">
      <c r="A734" t="s">
        <v>52</v>
      </c>
      <c r="B734" t="s">
        <v>53</v>
      </c>
      <c r="C734">
        <v>30</v>
      </c>
      <c r="D734" t="s">
        <v>2670</v>
      </c>
      <c r="E734" t="s">
        <v>282</v>
      </c>
      <c r="F734" t="s">
        <v>283</v>
      </c>
      <c r="G734" t="s">
        <v>57</v>
      </c>
      <c r="H734" t="s">
        <v>284</v>
      </c>
      <c r="I734" t="b">
        <v>0</v>
      </c>
      <c r="K734" t="s">
        <v>52</v>
      </c>
      <c r="L734" t="s">
        <v>2174</v>
      </c>
      <c r="O734" s="1">
        <v>46134</v>
      </c>
      <c r="P734" t="s">
        <v>2671</v>
      </c>
      <c r="Q734" t="s">
        <v>2672</v>
      </c>
      <c r="R734" t="s">
        <v>83</v>
      </c>
      <c r="S734" t="b">
        <v>0</v>
      </c>
      <c r="T734" t="b">
        <v>0</v>
      </c>
      <c r="U734" t="s">
        <v>2672</v>
      </c>
      <c r="V734" t="s">
        <v>84</v>
      </c>
      <c r="W734" t="s">
        <v>65</v>
      </c>
      <c r="X734" t="s">
        <v>2668</v>
      </c>
      <c r="Y734" t="s">
        <v>2669</v>
      </c>
      <c r="Z734" t="s">
        <v>2174</v>
      </c>
      <c r="AA734" t="b">
        <f>ISNUMBER(SEARCH(";"&amp;Lessons[[#This Row],[Instrument__c]]&amp;";",";"&amp;_xlfn.XLOOKUP(Lessons[[#This Row],[Instructor_External_Id__c]], Instructors[Id], Instructors[Instruments_Taught__c])&amp;";"))</f>
        <v>1</v>
      </c>
      <c r="AB734" t="str">
        <f>IF(LEFT(Lessons[[#This Row],[Status__c]],9)="Cancelled","",Lessons[[#This Row],[Instructor_External_Id__c]]&amp;"|"&amp;TEXT(Lessons[[#This Row],[Lesson_Date__c]],"yyyy-mm-dd")&amp;"|"&amp;Lessons[[#This Row],[Start_Time__c]])</f>
        <v>a06ak00000amzBxAAI|2026-04-22|17:00:00.000Z</v>
      </c>
      <c r="AC734">
        <f>IF(Lessons[[#This Row],[Double Booked Key]]="","",COUNTIF(Lessons[Double Booked Key],Lessons[[#This Row],[Double Booked Key]]))</f>
        <v>1</v>
      </c>
      <c r="AD734" s="6" t="str">
        <f>_xlfn.XLOOKUP(Lessons[[#This Row],[Location_External_Id__c]], Locations[Location Id], Locations[Location Name])</f>
        <v>Brick</v>
      </c>
      <c r="AE734" s="6" t="str">
        <f>TEXT(Lessons[[#This Row],[Lesson_Date__c]], "yyyy-mm")</f>
        <v>2026-04</v>
      </c>
      <c r="AF734" s="6" t="str">
        <f>IF(Lessons[[#This Row],[Lesson_Date__c]]&lt;=Data_Audit!$F$1, "Yes", "No")</f>
        <v>Yes</v>
      </c>
    </row>
    <row r="735" spans="1:32">
      <c r="A735" t="s">
        <v>52</v>
      </c>
      <c r="B735" t="s">
        <v>53</v>
      </c>
      <c r="C735">
        <v>30</v>
      </c>
      <c r="D735" t="s">
        <v>2673</v>
      </c>
      <c r="E735" t="s">
        <v>282</v>
      </c>
      <c r="F735" t="s">
        <v>283</v>
      </c>
      <c r="H735" t="s">
        <v>284</v>
      </c>
      <c r="I735" t="b">
        <v>0</v>
      </c>
      <c r="K735" t="s">
        <v>52</v>
      </c>
      <c r="L735" t="s">
        <v>2174</v>
      </c>
      <c r="O735" s="1">
        <v>46278</v>
      </c>
      <c r="P735" t="s">
        <v>2674</v>
      </c>
      <c r="Q735" t="s">
        <v>2675</v>
      </c>
      <c r="R735" t="s">
        <v>83</v>
      </c>
      <c r="S735" t="b">
        <v>0</v>
      </c>
      <c r="T735" t="b">
        <v>0</v>
      </c>
      <c r="U735" t="s">
        <v>2675</v>
      </c>
      <c r="V735" t="s">
        <v>135</v>
      </c>
      <c r="W735" t="s">
        <v>85</v>
      </c>
      <c r="X735" t="s">
        <v>2668</v>
      </c>
      <c r="Y735" t="s">
        <v>2669</v>
      </c>
      <c r="Z735" t="s">
        <v>2174</v>
      </c>
      <c r="AA735" t="b">
        <f>ISNUMBER(SEARCH(";"&amp;Lessons[[#This Row],[Instrument__c]]&amp;";",";"&amp;_xlfn.XLOOKUP(Lessons[[#This Row],[Instructor_External_Id__c]], Instructors[Id], Instructors[Instruments_Taught__c])&amp;";"))</f>
        <v>1</v>
      </c>
      <c r="AB735" t="str">
        <f>IF(LEFT(Lessons[[#This Row],[Status__c]],9)="Cancelled","",Lessons[[#This Row],[Instructor_External_Id__c]]&amp;"|"&amp;TEXT(Lessons[[#This Row],[Lesson_Date__c]],"yyyy-mm-dd")&amp;"|"&amp;Lessons[[#This Row],[Start_Time__c]])</f>
        <v/>
      </c>
      <c r="AC735" t="str">
        <f>IF(Lessons[[#This Row],[Double Booked Key]]="","",COUNTIF(Lessons[Double Booked Key],Lessons[[#This Row],[Double Booked Key]]))</f>
        <v/>
      </c>
      <c r="AD735" s="6" t="str">
        <f>_xlfn.XLOOKUP(Lessons[[#This Row],[Location_External_Id__c]], Locations[Location Id], Locations[Location Name])</f>
        <v>Brick</v>
      </c>
      <c r="AE735" s="6" t="str">
        <f>TEXT(Lessons[[#This Row],[Lesson_Date__c]], "yyyy-mm")</f>
        <v>2026-09</v>
      </c>
      <c r="AF735" s="6" t="str">
        <f>IF(Lessons[[#This Row],[Lesson_Date__c]]&lt;=Data_Audit!$F$1, "Yes", "No")</f>
        <v>Yes</v>
      </c>
    </row>
    <row r="736" spans="1:32">
      <c r="A736" t="s">
        <v>52</v>
      </c>
      <c r="B736" t="s">
        <v>53</v>
      </c>
      <c r="C736">
        <v>45</v>
      </c>
      <c r="D736" t="s">
        <v>2676</v>
      </c>
      <c r="E736" t="s">
        <v>282</v>
      </c>
      <c r="F736" t="s">
        <v>283</v>
      </c>
      <c r="G736" t="s">
        <v>99</v>
      </c>
      <c r="H736" t="s">
        <v>284</v>
      </c>
      <c r="I736" t="b">
        <v>0</v>
      </c>
      <c r="K736" t="s">
        <v>52</v>
      </c>
      <c r="L736" t="s">
        <v>2174</v>
      </c>
      <c r="O736" s="1">
        <v>46197</v>
      </c>
      <c r="P736" t="s">
        <v>2677</v>
      </c>
      <c r="Q736" t="s">
        <v>2678</v>
      </c>
      <c r="R736" t="s">
        <v>83</v>
      </c>
      <c r="S736" t="b">
        <v>0</v>
      </c>
      <c r="T736" t="b">
        <v>0</v>
      </c>
      <c r="U736" t="s">
        <v>2678</v>
      </c>
      <c r="V736" t="s">
        <v>110</v>
      </c>
      <c r="W736" t="s">
        <v>65</v>
      </c>
      <c r="X736" t="s">
        <v>2668</v>
      </c>
      <c r="Y736" t="s">
        <v>2669</v>
      </c>
      <c r="Z736" t="s">
        <v>2174</v>
      </c>
      <c r="AA736" t="b">
        <f>ISNUMBER(SEARCH(";"&amp;Lessons[[#This Row],[Instrument__c]]&amp;";",";"&amp;_xlfn.XLOOKUP(Lessons[[#This Row],[Instructor_External_Id__c]], Instructors[Id], Instructors[Instruments_Taught__c])&amp;";"))</f>
        <v>1</v>
      </c>
      <c r="AB736" t="str">
        <f>IF(LEFT(Lessons[[#This Row],[Status__c]],9)="Cancelled","",Lessons[[#This Row],[Instructor_External_Id__c]]&amp;"|"&amp;TEXT(Lessons[[#This Row],[Lesson_Date__c]],"yyyy-mm-dd")&amp;"|"&amp;Lessons[[#This Row],[Start_Time__c]])</f>
        <v>a06ak00000amzBxAAI|2026-06-24|10:00:00.000Z</v>
      </c>
      <c r="AC736">
        <f>IF(Lessons[[#This Row],[Double Booked Key]]="","",COUNTIF(Lessons[Double Booked Key],Lessons[[#This Row],[Double Booked Key]]))</f>
        <v>1</v>
      </c>
      <c r="AD736" s="6" t="str">
        <f>_xlfn.XLOOKUP(Lessons[[#This Row],[Location_External_Id__c]], Locations[Location Id], Locations[Location Name])</f>
        <v>Brick</v>
      </c>
      <c r="AE736" s="6" t="str">
        <f>TEXT(Lessons[[#This Row],[Lesson_Date__c]], "yyyy-mm")</f>
        <v>2026-06</v>
      </c>
      <c r="AF736" s="6" t="str">
        <f>IF(Lessons[[#This Row],[Lesson_Date__c]]&lt;=Data_Audit!$F$1, "Yes", "No")</f>
        <v>Yes</v>
      </c>
    </row>
    <row r="737" spans="1:32">
      <c r="A737" t="s">
        <v>52</v>
      </c>
      <c r="B737" t="s">
        <v>53</v>
      </c>
      <c r="C737">
        <v>60</v>
      </c>
      <c r="D737" t="s">
        <v>2679</v>
      </c>
      <c r="E737" t="s">
        <v>282</v>
      </c>
      <c r="F737" t="s">
        <v>283</v>
      </c>
      <c r="H737" t="s">
        <v>284</v>
      </c>
      <c r="I737" t="b">
        <v>0</v>
      </c>
      <c r="K737" t="s">
        <v>52</v>
      </c>
      <c r="L737" t="s">
        <v>2174</v>
      </c>
      <c r="O737" s="1">
        <v>46097</v>
      </c>
      <c r="P737" t="s">
        <v>2680</v>
      </c>
      <c r="Q737" t="s">
        <v>2681</v>
      </c>
      <c r="R737" t="s">
        <v>83</v>
      </c>
      <c r="S737" t="b">
        <v>0</v>
      </c>
      <c r="T737" t="b">
        <v>0</v>
      </c>
      <c r="U737" t="s">
        <v>2681</v>
      </c>
      <c r="V737" t="s">
        <v>84</v>
      </c>
      <c r="W737" t="s">
        <v>65</v>
      </c>
      <c r="X737" t="s">
        <v>2668</v>
      </c>
      <c r="Y737" t="s">
        <v>2669</v>
      </c>
      <c r="Z737" t="s">
        <v>2174</v>
      </c>
      <c r="AA737" t="b">
        <f>ISNUMBER(SEARCH(";"&amp;Lessons[[#This Row],[Instrument__c]]&amp;";",";"&amp;_xlfn.XLOOKUP(Lessons[[#This Row],[Instructor_External_Id__c]], Instructors[Id], Instructors[Instruments_Taught__c])&amp;";"))</f>
        <v>1</v>
      </c>
      <c r="AB737" t="str">
        <f>IF(LEFT(Lessons[[#This Row],[Status__c]],9)="Cancelled","",Lessons[[#This Row],[Instructor_External_Id__c]]&amp;"|"&amp;TEXT(Lessons[[#This Row],[Lesson_Date__c]],"yyyy-mm-dd")&amp;"|"&amp;Lessons[[#This Row],[Start_Time__c]])</f>
        <v>a06ak00000amzBxAAI|2026-03-16|17:00:00.000Z</v>
      </c>
      <c r="AC737">
        <f>IF(Lessons[[#This Row],[Double Booked Key]]="","",COUNTIF(Lessons[Double Booked Key],Lessons[[#This Row],[Double Booked Key]]))</f>
        <v>1</v>
      </c>
      <c r="AD737" s="6" t="str">
        <f>_xlfn.XLOOKUP(Lessons[[#This Row],[Location_External_Id__c]], Locations[Location Id], Locations[Location Name])</f>
        <v>Brick</v>
      </c>
      <c r="AE737" s="6" t="str">
        <f>TEXT(Lessons[[#This Row],[Lesson_Date__c]], "yyyy-mm")</f>
        <v>2026-03</v>
      </c>
      <c r="AF737" s="6" t="str">
        <f>IF(Lessons[[#This Row],[Lesson_Date__c]]&lt;=Data_Audit!$F$1, "Yes", "No")</f>
        <v>Yes</v>
      </c>
    </row>
    <row r="738" spans="1:32">
      <c r="A738" t="s">
        <v>52</v>
      </c>
      <c r="B738" t="s">
        <v>53</v>
      </c>
      <c r="C738">
        <v>30</v>
      </c>
      <c r="D738" t="s">
        <v>2682</v>
      </c>
      <c r="E738" t="s">
        <v>282</v>
      </c>
      <c r="F738" t="s">
        <v>283</v>
      </c>
      <c r="G738" t="s">
        <v>164</v>
      </c>
      <c r="H738" t="s">
        <v>284</v>
      </c>
      <c r="I738" t="b">
        <v>0</v>
      </c>
      <c r="K738" t="s">
        <v>52</v>
      </c>
      <c r="L738" t="s">
        <v>2174</v>
      </c>
      <c r="O738" s="1">
        <v>46295</v>
      </c>
      <c r="P738" t="s">
        <v>2683</v>
      </c>
      <c r="Q738" t="s">
        <v>2684</v>
      </c>
      <c r="R738" t="s">
        <v>83</v>
      </c>
      <c r="S738" t="b">
        <v>0</v>
      </c>
      <c r="T738" t="b">
        <v>0</v>
      </c>
      <c r="U738" t="s">
        <v>2684</v>
      </c>
      <c r="V738" t="s">
        <v>110</v>
      </c>
      <c r="W738" t="s">
        <v>65</v>
      </c>
      <c r="X738" t="s">
        <v>2668</v>
      </c>
      <c r="Y738" t="s">
        <v>2669</v>
      </c>
      <c r="Z738" t="s">
        <v>2174</v>
      </c>
      <c r="AA738" t="b">
        <f>ISNUMBER(SEARCH(";"&amp;Lessons[[#This Row],[Instrument__c]]&amp;";",";"&amp;_xlfn.XLOOKUP(Lessons[[#This Row],[Instructor_External_Id__c]], Instructors[Id], Instructors[Instruments_Taught__c])&amp;";"))</f>
        <v>1</v>
      </c>
      <c r="AB738" t="str">
        <f>IF(LEFT(Lessons[[#This Row],[Status__c]],9)="Cancelled","",Lessons[[#This Row],[Instructor_External_Id__c]]&amp;"|"&amp;TEXT(Lessons[[#This Row],[Lesson_Date__c]],"yyyy-mm-dd")&amp;"|"&amp;Lessons[[#This Row],[Start_Time__c]])</f>
        <v>a06ak00000amzBxAAI|2026-09-30|10:00:00.000Z</v>
      </c>
      <c r="AC738">
        <f>IF(Lessons[[#This Row],[Double Booked Key]]="","",COUNTIF(Lessons[Double Booked Key],Lessons[[#This Row],[Double Booked Key]]))</f>
        <v>1</v>
      </c>
      <c r="AD738" s="6" t="str">
        <f>_xlfn.XLOOKUP(Lessons[[#This Row],[Location_External_Id__c]], Locations[Location Id], Locations[Location Name])</f>
        <v>Brick</v>
      </c>
      <c r="AE738" s="6" t="str">
        <f>TEXT(Lessons[[#This Row],[Lesson_Date__c]], "yyyy-mm")</f>
        <v>2026-09</v>
      </c>
      <c r="AF738" s="6" t="str">
        <f>IF(Lessons[[#This Row],[Lesson_Date__c]]&lt;=Data_Audit!$F$1, "Yes", "No")</f>
        <v>Yes</v>
      </c>
    </row>
    <row r="739" spans="1:32">
      <c r="A739" t="s">
        <v>52</v>
      </c>
      <c r="B739" t="s">
        <v>53</v>
      </c>
      <c r="C739">
        <v>45</v>
      </c>
      <c r="D739" t="s">
        <v>2685</v>
      </c>
      <c r="E739" t="s">
        <v>804</v>
      </c>
      <c r="F739" t="s">
        <v>805</v>
      </c>
      <c r="G739" t="s">
        <v>106</v>
      </c>
      <c r="H739" t="s">
        <v>147</v>
      </c>
      <c r="I739" t="b">
        <v>0</v>
      </c>
      <c r="K739" t="s">
        <v>52</v>
      </c>
      <c r="L739" t="s">
        <v>2174</v>
      </c>
      <c r="O739" s="1">
        <v>46216</v>
      </c>
      <c r="P739" t="s">
        <v>2686</v>
      </c>
      <c r="Q739" t="s">
        <v>2687</v>
      </c>
      <c r="R739" t="s">
        <v>63</v>
      </c>
      <c r="S739" t="b">
        <v>0</v>
      </c>
      <c r="T739" t="b">
        <v>0</v>
      </c>
      <c r="U739" t="s">
        <v>2687</v>
      </c>
      <c r="V739" t="s">
        <v>94</v>
      </c>
      <c r="W739" t="s">
        <v>65</v>
      </c>
      <c r="X739" t="s">
        <v>2688</v>
      </c>
      <c r="Y739" t="s">
        <v>2689</v>
      </c>
      <c r="Z739" t="s">
        <v>2174</v>
      </c>
      <c r="AA739" t="b">
        <f>ISNUMBER(SEARCH(";"&amp;Lessons[[#This Row],[Instrument__c]]&amp;";",";"&amp;_xlfn.XLOOKUP(Lessons[[#This Row],[Instructor_External_Id__c]], Instructors[Id], Instructors[Instruments_Taught__c])&amp;";"))</f>
        <v>1</v>
      </c>
      <c r="AB739" t="str">
        <f>IF(LEFT(Lessons[[#This Row],[Status__c]],9)="Cancelled","",Lessons[[#This Row],[Instructor_External_Id__c]]&amp;"|"&amp;TEXT(Lessons[[#This Row],[Lesson_Date__c]],"yyyy-mm-dd")&amp;"|"&amp;Lessons[[#This Row],[Start_Time__c]])</f>
        <v>a06ak00000amzCBAAY|2026-07-13|19:00:00.000Z</v>
      </c>
      <c r="AC739">
        <f>IF(Lessons[[#This Row],[Double Booked Key]]="","",COUNTIF(Lessons[Double Booked Key],Lessons[[#This Row],[Double Booked Key]]))</f>
        <v>1</v>
      </c>
      <c r="AD739" s="6" t="str">
        <f>_xlfn.XLOOKUP(Lessons[[#This Row],[Location_External_Id__c]], Locations[Location Id], Locations[Location Name])</f>
        <v>Red Bank</v>
      </c>
      <c r="AE739" s="6" t="str">
        <f>TEXT(Lessons[[#This Row],[Lesson_Date__c]], "yyyy-mm")</f>
        <v>2026-07</v>
      </c>
      <c r="AF739" s="6" t="str">
        <f>IF(Lessons[[#This Row],[Lesson_Date__c]]&lt;=Data_Audit!$F$1, "Yes", "No")</f>
        <v>Yes</v>
      </c>
    </row>
    <row r="740" spans="1:32">
      <c r="A740" t="s">
        <v>52</v>
      </c>
      <c r="B740" t="s">
        <v>53</v>
      </c>
      <c r="C740">
        <v>45</v>
      </c>
      <c r="D740" t="s">
        <v>2690</v>
      </c>
      <c r="E740" t="s">
        <v>804</v>
      </c>
      <c r="F740" t="s">
        <v>805</v>
      </c>
      <c r="H740" t="s">
        <v>147</v>
      </c>
      <c r="I740" t="b">
        <v>0</v>
      </c>
      <c r="K740" t="s">
        <v>52</v>
      </c>
      <c r="L740" t="s">
        <v>2174</v>
      </c>
      <c r="O740" s="1">
        <v>46210</v>
      </c>
      <c r="P740" t="s">
        <v>2691</v>
      </c>
      <c r="Q740" t="s">
        <v>2692</v>
      </c>
      <c r="R740" t="s">
        <v>63</v>
      </c>
      <c r="S740" t="b">
        <v>0</v>
      </c>
      <c r="T740" t="b">
        <v>0</v>
      </c>
      <c r="U740" t="s">
        <v>2692</v>
      </c>
      <c r="V740" t="s">
        <v>120</v>
      </c>
      <c r="W740" t="s">
        <v>65</v>
      </c>
      <c r="X740" t="s">
        <v>2688</v>
      </c>
      <c r="Y740" t="s">
        <v>2689</v>
      </c>
      <c r="Z740" t="s">
        <v>2174</v>
      </c>
      <c r="AA740" t="b">
        <f>ISNUMBER(SEARCH(";"&amp;Lessons[[#This Row],[Instrument__c]]&amp;";",";"&amp;_xlfn.XLOOKUP(Lessons[[#This Row],[Instructor_External_Id__c]], Instructors[Id], Instructors[Instruments_Taught__c])&amp;";"))</f>
        <v>1</v>
      </c>
      <c r="AB740" t="str">
        <f>IF(LEFT(Lessons[[#This Row],[Status__c]],9)="Cancelled","",Lessons[[#This Row],[Instructor_External_Id__c]]&amp;"|"&amp;TEXT(Lessons[[#This Row],[Lesson_Date__c]],"yyyy-mm-dd")&amp;"|"&amp;Lessons[[#This Row],[Start_Time__c]])</f>
        <v>a06ak00000amzCBAAY|2026-07-07|18:00:00.000Z</v>
      </c>
      <c r="AC740">
        <f>IF(Lessons[[#This Row],[Double Booked Key]]="","",COUNTIF(Lessons[Double Booked Key],Lessons[[#This Row],[Double Booked Key]]))</f>
        <v>1</v>
      </c>
      <c r="AD740" s="6" t="str">
        <f>_xlfn.XLOOKUP(Lessons[[#This Row],[Location_External_Id__c]], Locations[Location Id], Locations[Location Name])</f>
        <v>Red Bank</v>
      </c>
      <c r="AE740" s="6" t="str">
        <f>TEXT(Lessons[[#This Row],[Lesson_Date__c]], "yyyy-mm")</f>
        <v>2026-07</v>
      </c>
      <c r="AF740" s="6" t="str">
        <f>IF(Lessons[[#This Row],[Lesson_Date__c]]&lt;=Data_Audit!$F$1, "Yes", "No")</f>
        <v>Yes</v>
      </c>
    </row>
    <row r="741" spans="1:32">
      <c r="A741" t="s">
        <v>52</v>
      </c>
      <c r="B741" t="s">
        <v>53</v>
      </c>
      <c r="C741">
        <v>30</v>
      </c>
      <c r="D741" t="s">
        <v>2693</v>
      </c>
      <c r="E741" t="s">
        <v>804</v>
      </c>
      <c r="F741" t="s">
        <v>805</v>
      </c>
      <c r="G741" t="s">
        <v>99</v>
      </c>
      <c r="H741" t="s">
        <v>147</v>
      </c>
      <c r="I741" t="b">
        <v>0</v>
      </c>
      <c r="K741" t="s">
        <v>52</v>
      </c>
      <c r="L741" t="s">
        <v>2174</v>
      </c>
      <c r="O741" s="1">
        <v>46229</v>
      </c>
      <c r="P741" t="s">
        <v>2694</v>
      </c>
      <c r="Q741" t="s">
        <v>2695</v>
      </c>
      <c r="R741" t="s">
        <v>63</v>
      </c>
      <c r="S741" t="b">
        <v>0</v>
      </c>
      <c r="T741" t="b">
        <v>0</v>
      </c>
      <c r="U741" t="s">
        <v>2695</v>
      </c>
      <c r="V741" t="s">
        <v>135</v>
      </c>
      <c r="W741" t="s">
        <v>65</v>
      </c>
      <c r="X741" t="s">
        <v>2688</v>
      </c>
      <c r="Y741" t="s">
        <v>2689</v>
      </c>
      <c r="Z741" t="s">
        <v>2174</v>
      </c>
      <c r="AA741" t="b">
        <f>ISNUMBER(SEARCH(";"&amp;Lessons[[#This Row],[Instrument__c]]&amp;";",";"&amp;_xlfn.XLOOKUP(Lessons[[#This Row],[Instructor_External_Id__c]], Instructors[Id], Instructors[Instruments_Taught__c])&amp;";"))</f>
        <v>1</v>
      </c>
      <c r="AB741" t="str">
        <f>IF(LEFT(Lessons[[#This Row],[Status__c]],9)="Cancelled","",Lessons[[#This Row],[Instructor_External_Id__c]]&amp;"|"&amp;TEXT(Lessons[[#This Row],[Lesson_Date__c]],"yyyy-mm-dd")&amp;"|"&amp;Lessons[[#This Row],[Start_Time__c]])</f>
        <v>a06ak00000amzCBAAY|2026-07-26|15:30:00.000Z</v>
      </c>
      <c r="AC741">
        <f>IF(Lessons[[#This Row],[Double Booked Key]]="","",COUNTIF(Lessons[Double Booked Key],Lessons[[#This Row],[Double Booked Key]]))</f>
        <v>1</v>
      </c>
      <c r="AD741" s="6" t="str">
        <f>_xlfn.XLOOKUP(Lessons[[#This Row],[Location_External_Id__c]], Locations[Location Id], Locations[Location Name])</f>
        <v>Red Bank</v>
      </c>
      <c r="AE741" s="6" t="str">
        <f>TEXT(Lessons[[#This Row],[Lesson_Date__c]], "yyyy-mm")</f>
        <v>2026-07</v>
      </c>
      <c r="AF741" s="6" t="str">
        <f>IF(Lessons[[#This Row],[Lesson_Date__c]]&lt;=Data_Audit!$F$1, "Yes", "No")</f>
        <v>Yes</v>
      </c>
    </row>
    <row r="742" spans="1:32">
      <c r="A742" t="s">
        <v>52</v>
      </c>
      <c r="B742" t="s">
        <v>53</v>
      </c>
      <c r="C742">
        <v>30</v>
      </c>
      <c r="D742" t="s">
        <v>2696</v>
      </c>
      <c r="E742" t="s">
        <v>804</v>
      </c>
      <c r="F742" t="s">
        <v>805</v>
      </c>
      <c r="G742" t="s">
        <v>164</v>
      </c>
      <c r="H742" t="s">
        <v>147</v>
      </c>
      <c r="I742" t="b">
        <v>0</v>
      </c>
      <c r="K742" t="s">
        <v>52</v>
      </c>
      <c r="L742" t="s">
        <v>2174</v>
      </c>
      <c r="O742" s="1">
        <v>46183</v>
      </c>
      <c r="P742" t="s">
        <v>2697</v>
      </c>
      <c r="Q742" t="s">
        <v>2698</v>
      </c>
      <c r="R742" t="s">
        <v>63</v>
      </c>
      <c r="S742" t="b">
        <v>0</v>
      </c>
      <c r="T742" t="b">
        <v>0</v>
      </c>
      <c r="U742" t="s">
        <v>2698</v>
      </c>
      <c r="V742" t="s">
        <v>128</v>
      </c>
      <c r="W742" t="s">
        <v>65</v>
      </c>
      <c r="X742" t="s">
        <v>2688</v>
      </c>
      <c r="Y742" t="s">
        <v>2689</v>
      </c>
      <c r="Z742" t="s">
        <v>2174</v>
      </c>
      <c r="AA742" t="b">
        <f>ISNUMBER(SEARCH(";"&amp;Lessons[[#This Row],[Instrument__c]]&amp;";",";"&amp;_xlfn.XLOOKUP(Lessons[[#This Row],[Instructor_External_Id__c]], Instructors[Id], Instructors[Instruments_Taught__c])&amp;";"))</f>
        <v>1</v>
      </c>
      <c r="AB742" t="str">
        <f>IF(LEFT(Lessons[[#This Row],[Status__c]],9)="Cancelled","",Lessons[[#This Row],[Instructor_External_Id__c]]&amp;"|"&amp;TEXT(Lessons[[#This Row],[Lesson_Date__c]],"yyyy-mm-dd")&amp;"|"&amp;Lessons[[#This Row],[Start_Time__c]])</f>
        <v>a06ak00000amzCBAAY|2026-06-10|18:30:00.000Z</v>
      </c>
      <c r="AC742">
        <f>IF(Lessons[[#This Row],[Double Booked Key]]="","",COUNTIF(Lessons[Double Booked Key],Lessons[[#This Row],[Double Booked Key]]))</f>
        <v>1</v>
      </c>
      <c r="AD742" s="6" t="str">
        <f>_xlfn.XLOOKUP(Lessons[[#This Row],[Location_External_Id__c]], Locations[Location Id], Locations[Location Name])</f>
        <v>Red Bank</v>
      </c>
      <c r="AE742" s="6" t="str">
        <f>TEXT(Lessons[[#This Row],[Lesson_Date__c]], "yyyy-mm")</f>
        <v>2026-06</v>
      </c>
      <c r="AF742" s="6" t="str">
        <f>IF(Lessons[[#This Row],[Lesson_Date__c]]&lt;=Data_Audit!$F$1, "Yes", "No")</f>
        <v>Yes</v>
      </c>
    </row>
    <row r="743" spans="1:32">
      <c r="A743" t="s">
        <v>52</v>
      </c>
      <c r="B743" t="s">
        <v>53</v>
      </c>
      <c r="C743">
        <v>30</v>
      </c>
      <c r="D743" t="s">
        <v>2699</v>
      </c>
      <c r="E743" t="s">
        <v>804</v>
      </c>
      <c r="F743" t="s">
        <v>805</v>
      </c>
      <c r="G743" t="s">
        <v>106</v>
      </c>
      <c r="H743" t="s">
        <v>147</v>
      </c>
      <c r="I743" t="b">
        <v>0</v>
      </c>
      <c r="K743" t="s">
        <v>52</v>
      </c>
      <c r="L743" t="s">
        <v>2174</v>
      </c>
      <c r="O743" s="1">
        <v>46162</v>
      </c>
      <c r="P743" t="s">
        <v>2700</v>
      </c>
      <c r="Q743" t="s">
        <v>2701</v>
      </c>
      <c r="R743" t="s">
        <v>63</v>
      </c>
      <c r="S743" t="b">
        <v>0</v>
      </c>
      <c r="T743" t="b">
        <v>0</v>
      </c>
      <c r="U743" t="s">
        <v>2701</v>
      </c>
      <c r="V743" t="s">
        <v>102</v>
      </c>
      <c r="W743" t="s">
        <v>65</v>
      </c>
      <c r="X743" t="s">
        <v>2688</v>
      </c>
      <c r="Y743" t="s">
        <v>2689</v>
      </c>
      <c r="Z743" t="s">
        <v>2174</v>
      </c>
      <c r="AA743" t="b">
        <f>ISNUMBER(SEARCH(";"&amp;Lessons[[#This Row],[Instrument__c]]&amp;";",";"&amp;_xlfn.XLOOKUP(Lessons[[#This Row],[Instructor_External_Id__c]], Instructors[Id], Instructors[Instruments_Taught__c])&amp;";"))</f>
        <v>1</v>
      </c>
      <c r="AB743" t="str">
        <f>IF(LEFT(Lessons[[#This Row],[Status__c]],9)="Cancelled","",Lessons[[#This Row],[Instructor_External_Id__c]]&amp;"|"&amp;TEXT(Lessons[[#This Row],[Lesson_Date__c]],"yyyy-mm-dd")&amp;"|"&amp;Lessons[[#This Row],[Start_Time__c]])</f>
        <v>a06ak00000amzCBAAY|2026-05-20|16:00:00.000Z</v>
      </c>
      <c r="AC743">
        <f>IF(Lessons[[#This Row],[Double Booked Key]]="","",COUNTIF(Lessons[Double Booked Key],Lessons[[#This Row],[Double Booked Key]]))</f>
        <v>1</v>
      </c>
      <c r="AD743" s="6" t="str">
        <f>_xlfn.XLOOKUP(Lessons[[#This Row],[Location_External_Id__c]], Locations[Location Id], Locations[Location Name])</f>
        <v>Red Bank</v>
      </c>
      <c r="AE743" s="6" t="str">
        <f>TEXT(Lessons[[#This Row],[Lesson_Date__c]], "yyyy-mm")</f>
        <v>2026-05</v>
      </c>
      <c r="AF743" s="6" t="str">
        <f>IF(Lessons[[#This Row],[Lesson_Date__c]]&lt;=Data_Audit!$F$1, "Yes", "No")</f>
        <v>Yes</v>
      </c>
    </row>
    <row r="744" spans="1:32">
      <c r="A744" t="s">
        <v>52</v>
      </c>
      <c r="B744" t="s">
        <v>53</v>
      </c>
      <c r="C744">
        <v>30</v>
      </c>
      <c r="D744" t="s">
        <v>2702</v>
      </c>
      <c r="E744" t="s">
        <v>804</v>
      </c>
      <c r="F744" t="s">
        <v>805</v>
      </c>
      <c r="H744" t="s">
        <v>147</v>
      </c>
      <c r="I744" t="b">
        <v>0</v>
      </c>
      <c r="K744" t="s">
        <v>52</v>
      </c>
      <c r="L744" t="s">
        <v>2174</v>
      </c>
      <c r="O744" s="1">
        <v>46222</v>
      </c>
      <c r="P744" t="s">
        <v>2703</v>
      </c>
      <c r="Q744" t="s">
        <v>2704</v>
      </c>
      <c r="R744" t="s">
        <v>63</v>
      </c>
      <c r="S744" t="b">
        <v>0</v>
      </c>
      <c r="T744" t="b">
        <v>0</v>
      </c>
      <c r="U744" t="s">
        <v>2704</v>
      </c>
      <c r="V744" t="s">
        <v>74</v>
      </c>
      <c r="W744" t="s">
        <v>85</v>
      </c>
      <c r="X744" t="s">
        <v>2688</v>
      </c>
      <c r="Y744" t="s">
        <v>2689</v>
      </c>
      <c r="Z744" t="s">
        <v>2174</v>
      </c>
      <c r="AA744" t="b">
        <f>ISNUMBER(SEARCH(";"&amp;Lessons[[#This Row],[Instrument__c]]&amp;";",";"&amp;_xlfn.XLOOKUP(Lessons[[#This Row],[Instructor_External_Id__c]], Instructors[Id], Instructors[Instruments_Taught__c])&amp;";"))</f>
        <v>1</v>
      </c>
      <c r="AB744" t="str">
        <f>IF(LEFT(Lessons[[#This Row],[Status__c]],9)="Cancelled","",Lessons[[#This Row],[Instructor_External_Id__c]]&amp;"|"&amp;TEXT(Lessons[[#This Row],[Lesson_Date__c]],"yyyy-mm-dd")&amp;"|"&amp;Lessons[[#This Row],[Start_Time__c]])</f>
        <v/>
      </c>
      <c r="AC744" t="str">
        <f>IF(Lessons[[#This Row],[Double Booked Key]]="","",COUNTIF(Lessons[Double Booked Key],Lessons[[#This Row],[Double Booked Key]]))</f>
        <v/>
      </c>
      <c r="AD744" s="6" t="str">
        <f>_xlfn.XLOOKUP(Lessons[[#This Row],[Location_External_Id__c]], Locations[Location Id], Locations[Location Name])</f>
        <v>Red Bank</v>
      </c>
      <c r="AE744" s="6" t="str">
        <f>TEXT(Lessons[[#This Row],[Lesson_Date__c]], "yyyy-mm")</f>
        <v>2026-07</v>
      </c>
      <c r="AF744" s="6" t="str">
        <f>IF(Lessons[[#This Row],[Lesson_Date__c]]&lt;=Data_Audit!$F$1, "Yes", "No")</f>
        <v>Yes</v>
      </c>
    </row>
    <row r="745" spans="1:32">
      <c r="A745" t="s">
        <v>52</v>
      </c>
      <c r="B745" t="s">
        <v>53</v>
      </c>
      <c r="C745">
        <v>45</v>
      </c>
      <c r="D745" t="s">
        <v>2705</v>
      </c>
      <c r="E745" t="s">
        <v>804</v>
      </c>
      <c r="F745" t="s">
        <v>805</v>
      </c>
      <c r="H745" t="s">
        <v>147</v>
      </c>
      <c r="I745" t="b">
        <v>0</v>
      </c>
      <c r="K745" t="s">
        <v>52</v>
      </c>
      <c r="L745" t="s">
        <v>2174</v>
      </c>
      <c r="O745" s="1">
        <v>46140</v>
      </c>
      <c r="P745" t="s">
        <v>2706</v>
      </c>
      <c r="Q745" t="s">
        <v>2707</v>
      </c>
      <c r="R745" t="s">
        <v>63</v>
      </c>
      <c r="S745" t="b">
        <v>0</v>
      </c>
      <c r="T745" t="b">
        <v>0</v>
      </c>
      <c r="U745" t="s">
        <v>2707</v>
      </c>
      <c r="V745" t="s">
        <v>128</v>
      </c>
      <c r="W745" t="s">
        <v>121</v>
      </c>
      <c r="X745" t="s">
        <v>2688</v>
      </c>
      <c r="Y745" t="s">
        <v>2689</v>
      </c>
      <c r="Z745" t="s">
        <v>2174</v>
      </c>
      <c r="AA745" t="b">
        <f>ISNUMBER(SEARCH(";"&amp;Lessons[[#This Row],[Instrument__c]]&amp;";",";"&amp;_xlfn.XLOOKUP(Lessons[[#This Row],[Instructor_External_Id__c]], Instructors[Id], Instructors[Instruments_Taught__c])&amp;";"))</f>
        <v>1</v>
      </c>
      <c r="AB745" t="str">
        <f>IF(LEFT(Lessons[[#This Row],[Status__c]],9)="Cancelled","",Lessons[[#This Row],[Instructor_External_Id__c]]&amp;"|"&amp;TEXT(Lessons[[#This Row],[Lesson_Date__c]],"yyyy-mm-dd")&amp;"|"&amp;Lessons[[#This Row],[Start_Time__c]])</f>
        <v>a06ak00000amzCBAAY|2026-04-28|18:30:00.000Z</v>
      </c>
      <c r="AC745">
        <f>IF(Lessons[[#This Row],[Double Booked Key]]="","",COUNTIF(Lessons[Double Booked Key],Lessons[[#This Row],[Double Booked Key]]))</f>
        <v>1</v>
      </c>
      <c r="AD745" s="6" t="str">
        <f>_xlfn.XLOOKUP(Lessons[[#This Row],[Location_External_Id__c]], Locations[Location Id], Locations[Location Name])</f>
        <v>Red Bank</v>
      </c>
      <c r="AE745" s="6" t="str">
        <f>TEXT(Lessons[[#This Row],[Lesson_Date__c]], "yyyy-mm")</f>
        <v>2026-04</v>
      </c>
      <c r="AF745" s="6" t="str">
        <f>IF(Lessons[[#This Row],[Lesson_Date__c]]&lt;=Data_Audit!$F$1, "Yes", "No")</f>
        <v>Yes</v>
      </c>
    </row>
    <row r="746" spans="1:32">
      <c r="A746" t="s">
        <v>52</v>
      </c>
      <c r="B746" t="s">
        <v>53</v>
      </c>
      <c r="C746">
        <v>30</v>
      </c>
      <c r="D746" t="s">
        <v>2708</v>
      </c>
      <c r="E746" t="s">
        <v>804</v>
      </c>
      <c r="F746" t="s">
        <v>805</v>
      </c>
      <c r="G746" t="s">
        <v>164</v>
      </c>
      <c r="H746" t="s">
        <v>147</v>
      </c>
      <c r="I746" t="b">
        <v>0</v>
      </c>
      <c r="K746" t="s">
        <v>52</v>
      </c>
      <c r="L746" t="s">
        <v>2174</v>
      </c>
      <c r="O746" s="1">
        <v>46070</v>
      </c>
      <c r="P746" t="s">
        <v>2709</v>
      </c>
      <c r="Q746" t="s">
        <v>2710</v>
      </c>
      <c r="R746" t="s">
        <v>63</v>
      </c>
      <c r="S746" t="b">
        <v>0</v>
      </c>
      <c r="T746" t="b">
        <v>0</v>
      </c>
      <c r="U746" t="s">
        <v>2710</v>
      </c>
      <c r="V746" t="s">
        <v>102</v>
      </c>
      <c r="W746" t="s">
        <v>65</v>
      </c>
      <c r="X746" t="s">
        <v>2688</v>
      </c>
      <c r="Y746" t="s">
        <v>2689</v>
      </c>
      <c r="Z746" t="s">
        <v>2174</v>
      </c>
      <c r="AA746" t="b">
        <f>ISNUMBER(SEARCH(";"&amp;Lessons[[#This Row],[Instrument__c]]&amp;";",";"&amp;_xlfn.XLOOKUP(Lessons[[#This Row],[Instructor_External_Id__c]], Instructors[Id], Instructors[Instruments_Taught__c])&amp;";"))</f>
        <v>1</v>
      </c>
      <c r="AB746" t="str">
        <f>IF(LEFT(Lessons[[#This Row],[Status__c]],9)="Cancelled","",Lessons[[#This Row],[Instructor_External_Id__c]]&amp;"|"&amp;TEXT(Lessons[[#This Row],[Lesson_Date__c]],"yyyy-mm-dd")&amp;"|"&amp;Lessons[[#This Row],[Start_Time__c]])</f>
        <v>a06ak00000amzCBAAY|2026-02-17|16:00:00.000Z</v>
      </c>
      <c r="AC746">
        <f>IF(Lessons[[#This Row],[Double Booked Key]]="","",COUNTIF(Lessons[Double Booked Key],Lessons[[#This Row],[Double Booked Key]]))</f>
        <v>1</v>
      </c>
      <c r="AD746" s="6" t="str">
        <f>_xlfn.XLOOKUP(Lessons[[#This Row],[Location_External_Id__c]], Locations[Location Id], Locations[Location Name])</f>
        <v>Red Bank</v>
      </c>
      <c r="AE746" s="6" t="str">
        <f>TEXT(Lessons[[#This Row],[Lesson_Date__c]], "yyyy-mm")</f>
        <v>2026-02</v>
      </c>
      <c r="AF746" s="6" t="str">
        <f>IF(Lessons[[#This Row],[Lesson_Date__c]]&lt;=Data_Audit!$F$1, "Yes", "No")</f>
        <v>Yes</v>
      </c>
    </row>
    <row r="747" spans="1:32">
      <c r="A747" t="s">
        <v>52</v>
      </c>
      <c r="B747" t="s">
        <v>53</v>
      </c>
      <c r="C747">
        <v>30</v>
      </c>
      <c r="D747" t="s">
        <v>2711</v>
      </c>
      <c r="E747" t="s">
        <v>804</v>
      </c>
      <c r="F747" t="s">
        <v>805</v>
      </c>
      <c r="G747" t="s">
        <v>57</v>
      </c>
      <c r="H747" t="s">
        <v>147</v>
      </c>
      <c r="I747" t="b">
        <v>0</v>
      </c>
      <c r="K747" t="s">
        <v>52</v>
      </c>
      <c r="L747" t="s">
        <v>2174</v>
      </c>
      <c r="O747" s="1">
        <v>46041</v>
      </c>
      <c r="P747" t="s">
        <v>2712</v>
      </c>
      <c r="Q747" t="s">
        <v>2713</v>
      </c>
      <c r="R747" t="s">
        <v>63</v>
      </c>
      <c r="S747" t="b">
        <v>0</v>
      </c>
      <c r="T747" t="b">
        <v>0</v>
      </c>
      <c r="U747" t="s">
        <v>2713</v>
      </c>
      <c r="V747" t="s">
        <v>102</v>
      </c>
      <c r="W747" t="s">
        <v>65</v>
      </c>
      <c r="X747" t="s">
        <v>2688</v>
      </c>
      <c r="Y747" t="s">
        <v>2689</v>
      </c>
      <c r="Z747" t="s">
        <v>2174</v>
      </c>
      <c r="AA747" t="b">
        <f>ISNUMBER(SEARCH(";"&amp;Lessons[[#This Row],[Instrument__c]]&amp;";",";"&amp;_xlfn.XLOOKUP(Lessons[[#This Row],[Instructor_External_Id__c]], Instructors[Id], Instructors[Instruments_Taught__c])&amp;";"))</f>
        <v>1</v>
      </c>
      <c r="AB747" t="str">
        <f>IF(LEFT(Lessons[[#This Row],[Status__c]],9)="Cancelled","",Lessons[[#This Row],[Instructor_External_Id__c]]&amp;"|"&amp;TEXT(Lessons[[#This Row],[Lesson_Date__c]],"yyyy-mm-dd")&amp;"|"&amp;Lessons[[#This Row],[Start_Time__c]])</f>
        <v>a06ak00000amzCBAAY|2026-01-19|16:00:00.000Z</v>
      </c>
      <c r="AC747">
        <f>IF(Lessons[[#This Row],[Double Booked Key]]="","",COUNTIF(Lessons[Double Booked Key],Lessons[[#This Row],[Double Booked Key]]))</f>
        <v>1</v>
      </c>
      <c r="AD747" s="6" t="str">
        <f>_xlfn.XLOOKUP(Lessons[[#This Row],[Location_External_Id__c]], Locations[Location Id], Locations[Location Name])</f>
        <v>Red Bank</v>
      </c>
      <c r="AE747" s="6" t="str">
        <f>TEXT(Lessons[[#This Row],[Lesson_Date__c]], "yyyy-mm")</f>
        <v>2026-01</v>
      </c>
      <c r="AF747" s="6" t="str">
        <f>IF(Lessons[[#This Row],[Lesson_Date__c]]&lt;=Data_Audit!$F$1, "Yes", "No")</f>
        <v>Yes</v>
      </c>
    </row>
    <row r="748" spans="1:32">
      <c r="A748" t="s">
        <v>52</v>
      </c>
      <c r="B748" t="s">
        <v>53</v>
      </c>
      <c r="C748">
        <v>30</v>
      </c>
      <c r="D748" t="s">
        <v>2714</v>
      </c>
      <c r="E748" t="s">
        <v>713</v>
      </c>
      <c r="F748" t="s">
        <v>714</v>
      </c>
      <c r="H748" t="s">
        <v>107</v>
      </c>
      <c r="I748" t="b">
        <v>0</v>
      </c>
      <c r="K748" t="s">
        <v>52</v>
      </c>
      <c r="L748" t="s">
        <v>2174</v>
      </c>
      <c r="O748" s="1">
        <v>46255</v>
      </c>
      <c r="P748" t="s">
        <v>2715</v>
      </c>
      <c r="Q748" t="s">
        <v>2716</v>
      </c>
      <c r="R748" t="s">
        <v>63</v>
      </c>
      <c r="S748" t="b">
        <v>0</v>
      </c>
      <c r="T748" t="b">
        <v>0</v>
      </c>
      <c r="U748" t="s">
        <v>2716</v>
      </c>
      <c r="V748" t="s">
        <v>120</v>
      </c>
      <c r="W748" t="s">
        <v>65</v>
      </c>
      <c r="X748" t="s">
        <v>2717</v>
      </c>
      <c r="Y748" t="s">
        <v>2718</v>
      </c>
      <c r="Z748" t="s">
        <v>2174</v>
      </c>
      <c r="AA748" t="b">
        <f>ISNUMBER(SEARCH(";"&amp;Lessons[[#This Row],[Instrument__c]]&amp;";",";"&amp;_xlfn.XLOOKUP(Lessons[[#This Row],[Instructor_External_Id__c]], Instructors[Id], Instructors[Instruments_Taught__c])&amp;";"))</f>
        <v>1</v>
      </c>
      <c r="AB748" t="str">
        <f>IF(LEFT(Lessons[[#This Row],[Status__c]],9)="Cancelled","",Lessons[[#This Row],[Instructor_External_Id__c]]&amp;"|"&amp;TEXT(Lessons[[#This Row],[Lesson_Date__c]],"yyyy-mm-dd")&amp;"|"&amp;Lessons[[#This Row],[Start_Time__c]])</f>
        <v>a06ak00000amzC4AAI|2026-08-21|18:00:00.000Z</v>
      </c>
      <c r="AC748">
        <f>IF(Lessons[[#This Row],[Double Booked Key]]="","",COUNTIF(Lessons[Double Booked Key],Lessons[[#This Row],[Double Booked Key]]))</f>
        <v>1</v>
      </c>
      <c r="AD748" s="6" t="str">
        <f>_xlfn.XLOOKUP(Lessons[[#This Row],[Location_External_Id__c]], Locations[Location Id], Locations[Location Name])</f>
        <v>Red Bank</v>
      </c>
      <c r="AE748" s="6" t="str">
        <f>TEXT(Lessons[[#This Row],[Lesson_Date__c]], "yyyy-mm")</f>
        <v>2026-08</v>
      </c>
      <c r="AF748" s="6" t="str">
        <f>IF(Lessons[[#This Row],[Lesson_Date__c]]&lt;=Data_Audit!$F$1, "Yes", "No")</f>
        <v>Yes</v>
      </c>
    </row>
    <row r="749" spans="1:32">
      <c r="A749" t="s">
        <v>52</v>
      </c>
      <c r="B749" t="s">
        <v>53</v>
      </c>
      <c r="C749">
        <v>30</v>
      </c>
      <c r="D749" t="s">
        <v>2719</v>
      </c>
      <c r="E749" t="s">
        <v>713</v>
      </c>
      <c r="F749" t="s">
        <v>714</v>
      </c>
      <c r="G749" t="s">
        <v>106</v>
      </c>
      <c r="H749" t="s">
        <v>107</v>
      </c>
      <c r="I749" t="b">
        <v>0</v>
      </c>
      <c r="K749" t="s">
        <v>52</v>
      </c>
      <c r="L749" t="s">
        <v>2174</v>
      </c>
      <c r="O749" s="1">
        <v>46055</v>
      </c>
      <c r="P749" t="s">
        <v>2720</v>
      </c>
      <c r="Q749" t="s">
        <v>2721</v>
      </c>
      <c r="R749" t="s">
        <v>63</v>
      </c>
      <c r="S749" t="b">
        <v>0</v>
      </c>
      <c r="T749" t="b">
        <v>0</v>
      </c>
      <c r="U749" t="s">
        <v>2721</v>
      </c>
      <c r="V749" t="s">
        <v>128</v>
      </c>
      <c r="W749" t="s">
        <v>65</v>
      </c>
      <c r="X749" t="s">
        <v>2717</v>
      </c>
      <c r="Y749" t="s">
        <v>2718</v>
      </c>
      <c r="Z749" t="s">
        <v>2174</v>
      </c>
      <c r="AA749" t="b">
        <f>ISNUMBER(SEARCH(";"&amp;Lessons[[#This Row],[Instrument__c]]&amp;";",";"&amp;_xlfn.XLOOKUP(Lessons[[#This Row],[Instructor_External_Id__c]], Instructors[Id], Instructors[Instruments_Taught__c])&amp;";"))</f>
        <v>1</v>
      </c>
      <c r="AB749" t="str">
        <f>IF(LEFT(Lessons[[#This Row],[Status__c]],9)="Cancelled","",Lessons[[#This Row],[Instructor_External_Id__c]]&amp;"|"&amp;TEXT(Lessons[[#This Row],[Lesson_Date__c]],"yyyy-mm-dd")&amp;"|"&amp;Lessons[[#This Row],[Start_Time__c]])</f>
        <v>a06ak00000amzC4AAI|2026-02-02|18:30:00.000Z</v>
      </c>
      <c r="AC749">
        <f>IF(Lessons[[#This Row],[Double Booked Key]]="","",COUNTIF(Lessons[Double Booked Key],Lessons[[#This Row],[Double Booked Key]]))</f>
        <v>1</v>
      </c>
      <c r="AD749" s="6" t="str">
        <f>_xlfn.XLOOKUP(Lessons[[#This Row],[Location_External_Id__c]], Locations[Location Id], Locations[Location Name])</f>
        <v>Red Bank</v>
      </c>
      <c r="AE749" s="6" t="str">
        <f>TEXT(Lessons[[#This Row],[Lesson_Date__c]], "yyyy-mm")</f>
        <v>2026-02</v>
      </c>
      <c r="AF749" s="6" t="str">
        <f>IF(Lessons[[#This Row],[Lesson_Date__c]]&lt;=Data_Audit!$F$1, "Yes", "No")</f>
        <v>Yes</v>
      </c>
    </row>
    <row r="750" spans="1:32">
      <c r="A750" t="s">
        <v>52</v>
      </c>
      <c r="B750" t="s">
        <v>53</v>
      </c>
      <c r="C750">
        <v>45</v>
      </c>
      <c r="D750" t="s">
        <v>2722</v>
      </c>
      <c r="E750" t="s">
        <v>862</v>
      </c>
      <c r="F750" t="s">
        <v>863</v>
      </c>
      <c r="H750" t="s">
        <v>284</v>
      </c>
      <c r="I750" t="b">
        <v>0</v>
      </c>
      <c r="K750" t="s">
        <v>52</v>
      </c>
      <c r="L750" t="s">
        <v>2174</v>
      </c>
      <c r="O750" s="1">
        <v>46137</v>
      </c>
      <c r="P750" t="s">
        <v>2723</v>
      </c>
      <c r="Q750" t="s">
        <v>2724</v>
      </c>
      <c r="R750" t="s">
        <v>63</v>
      </c>
      <c r="S750" t="b">
        <v>0</v>
      </c>
      <c r="T750" t="b">
        <v>0</v>
      </c>
      <c r="U750" t="s">
        <v>2724</v>
      </c>
      <c r="V750" t="s">
        <v>102</v>
      </c>
      <c r="W750" t="s">
        <v>121</v>
      </c>
      <c r="X750" t="s">
        <v>2725</v>
      </c>
      <c r="Y750" t="s">
        <v>2726</v>
      </c>
      <c r="Z750" t="s">
        <v>2174</v>
      </c>
      <c r="AA750" t="b">
        <f>ISNUMBER(SEARCH(";"&amp;Lessons[[#This Row],[Instrument__c]]&amp;";",";"&amp;_xlfn.XLOOKUP(Lessons[[#This Row],[Instructor_External_Id__c]], Instructors[Id], Instructors[Instruments_Taught__c])&amp;";"))</f>
        <v>1</v>
      </c>
      <c r="AB750" t="str">
        <f>IF(LEFT(Lessons[[#This Row],[Status__c]],9)="Cancelled","",Lessons[[#This Row],[Instructor_External_Id__c]]&amp;"|"&amp;TEXT(Lessons[[#This Row],[Lesson_Date__c]],"yyyy-mm-dd")&amp;"|"&amp;Lessons[[#This Row],[Start_Time__c]])</f>
        <v>a06ak00000amzCLAAY|2026-04-25|16:00:00.000Z</v>
      </c>
      <c r="AC750">
        <f>IF(Lessons[[#This Row],[Double Booked Key]]="","",COUNTIF(Lessons[Double Booked Key],Lessons[[#This Row],[Double Booked Key]]))</f>
        <v>1</v>
      </c>
      <c r="AD750" s="6" t="str">
        <f>_xlfn.XLOOKUP(Lessons[[#This Row],[Location_External_Id__c]], Locations[Location Id], Locations[Location Name])</f>
        <v>Red Bank</v>
      </c>
      <c r="AE750" s="6" t="str">
        <f>TEXT(Lessons[[#This Row],[Lesson_Date__c]], "yyyy-mm")</f>
        <v>2026-04</v>
      </c>
      <c r="AF750" s="6" t="str">
        <f>IF(Lessons[[#This Row],[Lesson_Date__c]]&lt;=Data_Audit!$F$1, "Yes", "No")</f>
        <v>Yes</v>
      </c>
    </row>
    <row r="751" spans="1:32">
      <c r="A751" t="s">
        <v>52</v>
      </c>
      <c r="B751" t="s">
        <v>53</v>
      </c>
      <c r="C751">
        <v>30</v>
      </c>
      <c r="D751" t="s">
        <v>2727</v>
      </c>
      <c r="E751" t="s">
        <v>862</v>
      </c>
      <c r="F751" t="s">
        <v>863</v>
      </c>
      <c r="H751" t="s">
        <v>284</v>
      </c>
      <c r="I751" t="b">
        <v>0</v>
      </c>
      <c r="K751" t="s">
        <v>52</v>
      </c>
      <c r="L751" t="s">
        <v>2174</v>
      </c>
      <c r="O751" s="1">
        <v>46206</v>
      </c>
      <c r="P751" t="s">
        <v>2728</v>
      </c>
      <c r="Q751" t="s">
        <v>2729</v>
      </c>
      <c r="R751" t="s">
        <v>63</v>
      </c>
      <c r="S751" t="b">
        <v>0</v>
      </c>
      <c r="T751" t="b">
        <v>0</v>
      </c>
      <c r="U751" t="s">
        <v>2729</v>
      </c>
      <c r="V751" t="s">
        <v>128</v>
      </c>
      <c r="W751" t="s">
        <v>65</v>
      </c>
      <c r="X751" t="s">
        <v>2725</v>
      </c>
      <c r="Y751" t="s">
        <v>2726</v>
      </c>
      <c r="Z751" t="s">
        <v>2174</v>
      </c>
      <c r="AA751" t="b">
        <f>ISNUMBER(SEARCH(";"&amp;Lessons[[#This Row],[Instrument__c]]&amp;";",";"&amp;_xlfn.XLOOKUP(Lessons[[#This Row],[Instructor_External_Id__c]], Instructors[Id], Instructors[Instruments_Taught__c])&amp;";"))</f>
        <v>1</v>
      </c>
      <c r="AB751" t="str">
        <f>IF(LEFT(Lessons[[#This Row],[Status__c]],9)="Cancelled","",Lessons[[#This Row],[Instructor_External_Id__c]]&amp;"|"&amp;TEXT(Lessons[[#This Row],[Lesson_Date__c]],"yyyy-mm-dd")&amp;"|"&amp;Lessons[[#This Row],[Start_Time__c]])</f>
        <v>a06ak00000amzCLAAY|2026-07-03|18:30:00.000Z</v>
      </c>
      <c r="AC751">
        <f>IF(Lessons[[#This Row],[Double Booked Key]]="","",COUNTIF(Lessons[Double Booked Key],Lessons[[#This Row],[Double Booked Key]]))</f>
        <v>1</v>
      </c>
      <c r="AD751" s="6" t="str">
        <f>_xlfn.XLOOKUP(Lessons[[#This Row],[Location_External_Id__c]], Locations[Location Id], Locations[Location Name])</f>
        <v>Red Bank</v>
      </c>
      <c r="AE751" s="6" t="str">
        <f>TEXT(Lessons[[#This Row],[Lesson_Date__c]], "yyyy-mm")</f>
        <v>2026-07</v>
      </c>
      <c r="AF751" s="6" t="str">
        <f>IF(Lessons[[#This Row],[Lesson_Date__c]]&lt;=Data_Audit!$F$1, "Yes", "No")</f>
        <v>Yes</v>
      </c>
    </row>
    <row r="752" spans="1:32">
      <c r="A752" t="s">
        <v>52</v>
      </c>
      <c r="B752" t="s">
        <v>53</v>
      </c>
      <c r="C752">
        <v>30</v>
      </c>
      <c r="D752" t="s">
        <v>2730</v>
      </c>
      <c r="E752" t="s">
        <v>862</v>
      </c>
      <c r="F752" t="s">
        <v>863</v>
      </c>
      <c r="H752" t="s">
        <v>284</v>
      </c>
      <c r="I752" t="b">
        <v>0</v>
      </c>
      <c r="K752" t="s">
        <v>52</v>
      </c>
      <c r="L752" t="s">
        <v>171</v>
      </c>
      <c r="O752" s="1">
        <v>46104</v>
      </c>
      <c r="P752" t="s">
        <v>2731</v>
      </c>
      <c r="Q752" t="s">
        <v>2732</v>
      </c>
      <c r="R752" t="s">
        <v>63</v>
      </c>
      <c r="S752" t="b">
        <v>1</v>
      </c>
      <c r="T752" t="b">
        <v>1</v>
      </c>
      <c r="U752" t="s">
        <v>2732</v>
      </c>
      <c r="V752" t="s">
        <v>116</v>
      </c>
      <c r="W752" t="s">
        <v>136</v>
      </c>
      <c r="X752" t="s">
        <v>2725</v>
      </c>
      <c r="Y752" t="s">
        <v>2726</v>
      </c>
      <c r="Z752" t="s">
        <v>171</v>
      </c>
      <c r="AA752" t="b">
        <f>ISNUMBER(SEARCH(";"&amp;Lessons[[#This Row],[Instrument__c]]&amp;";",";"&amp;_xlfn.XLOOKUP(Lessons[[#This Row],[Instructor_External_Id__c]], Instructors[Id], Instructors[Instruments_Taught__c])&amp;";"))</f>
        <v>1</v>
      </c>
      <c r="AB752" t="str">
        <f>IF(LEFT(Lessons[[#This Row],[Status__c]],9)="Cancelled","",Lessons[[#This Row],[Instructor_External_Id__c]]&amp;"|"&amp;TEXT(Lessons[[#This Row],[Lesson_Date__c]],"yyyy-mm-dd")&amp;"|"&amp;Lessons[[#This Row],[Start_Time__c]])</f>
        <v/>
      </c>
      <c r="AC752" t="str">
        <f>IF(Lessons[[#This Row],[Double Booked Key]]="","",COUNTIF(Lessons[Double Booked Key],Lessons[[#This Row],[Double Booked Key]]))</f>
        <v/>
      </c>
      <c r="AD752" s="6" t="str">
        <f>_xlfn.XLOOKUP(Lessons[[#This Row],[Location_External_Id__c]], Locations[Location Id], Locations[Location Name])</f>
        <v>Red Bank</v>
      </c>
      <c r="AE752" s="6" t="str">
        <f>TEXT(Lessons[[#This Row],[Lesson_Date__c]], "yyyy-mm")</f>
        <v>2026-03</v>
      </c>
      <c r="AF752" s="6" t="str">
        <f>IF(Lessons[[#This Row],[Lesson_Date__c]]&lt;=Data_Audit!$F$1, "Yes", "No")</f>
        <v>Yes</v>
      </c>
    </row>
    <row r="753" spans="1:32">
      <c r="A753" t="s">
        <v>52</v>
      </c>
      <c r="B753" t="s">
        <v>53</v>
      </c>
      <c r="C753">
        <v>45</v>
      </c>
      <c r="D753" t="s">
        <v>2733</v>
      </c>
      <c r="E753" t="s">
        <v>862</v>
      </c>
      <c r="F753" t="s">
        <v>863</v>
      </c>
      <c r="G753" t="s">
        <v>57</v>
      </c>
      <c r="H753" t="s">
        <v>284</v>
      </c>
      <c r="I753" t="b">
        <v>0</v>
      </c>
      <c r="K753" t="s">
        <v>52</v>
      </c>
      <c r="L753" t="s">
        <v>2174</v>
      </c>
      <c r="O753" s="1">
        <v>46097</v>
      </c>
      <c r="P753" t="s">
        <v>2734</v>
      </c>
      <c r="Q753" t="s">
        <v>2735</v>
      </c>
      <c r="R753" t="s">
        <v>63</v>
      </c>
      <c r="S753" t="b">
        <v>0</v>
      </c>
      <c r="T753" t="b">
        <v>0</v>
      </c>
      <c r="U753" t="s">
        <v>2735</v>
      </c>
      <c r="V753" t="s">
        <v>74</v>
      </c>
      <c r="W753" t="s">
        <v>65</v>
      </c>
      <c r="X753" t="s">
        <v>2725</v>
      </c>
      <c r="Y753" t="s">
        <v>2726</v>
      </c>
      <c r="Z753" t="s">
        <v>2174</v>
      </c>
      <c r="AA753" t="b">
        <f>ISNUMBER(SEARCH(";"&amp;Lessons[[#This Row],[Instrument__c]]&amp;";",";"&amp;_xlfn.XLOOKUP(Lessons[[#This Row],[Instructor_External_Id__c]], Instructors[Id], Instructors[Instruments_Taught__c])&amp;";"))</f>
        <v>1</v>
      </c>
      <c r="AB753" t="str">
        <f>IF(LEFT(Lessons[[#This Row],[Status__c]],9)="Cancelled","",Lessons[[#This Row],[Instructor_External_Id__c]]&amp;"|"&amp;TEXT(Lessons[[#This Row],[Lesson_Date__c]],"yyyy-mm-dd")&amp;"|"&amp;Lessons[[#This Row],[Start_Time__c]])</f>
        <v>a06ak00000amzCLAAY|2026-03-16|16:30:00.000Z</v>
      </c>
      <c r="AC753">
        <f>IF(Lessons[[#This Row],[Double Booked Key]]="","",COUNTIF(Lessons[Double Booked Key],Lessons[[#This Row],[Double Booked Key]]))</f>
        <v>1</v>
      </c>
      <c r="AD753" s="6" t="str">
        <f>_xlfn.XLOOKUP(Lessons[[#This Row],[Location_External_Id__c]], Locations[Location Id], Locations[Location Name])</f>
        <v>Red Bank</v>
      </c>
      <c r="AE753" s="6" t="str">
        <f>TEXT(Lessons[[#This Row],[Lesson_Date__c]], "yyyy-mm")</f>
        <v>2026-03</v>
      </c>
      <c r="AF753" s="6" t="str">
        <f>IF(Lessons[[#This Row],[Lesson_Date__c]]&lt;=Data_Audit!$F$1, "Yes", "No")</f>
        <v>Yes</v>
      </c>
    </row>
    <row r="754" spans="1:32">
      <c r="A754" t="s">
        <v>52</v>
      </c>
      <c r="B754" t="s">
        <v>53</v>
      </c>
      <c r="C754">
        <v>30</v>
      </c>
      <c r="D754" t="s">
        <v>2736</v>
      </c>
      <c r="E754" t="s">
        <v>862</v>
      </c>
      <c r="F754" t="s">
        <v>863</v>
      </c>
      <c r="G754" t="s">
        <v>69</v>
      </c>
      <c r="H754" t="s">
        <v>284</v>
      </c>
      <c r="I754" t="b">
        <v>0</v>
      </c>
      <c r="K754" t="s">
        <v>52</v>
      </c>
      <c r="L754" t="s">
        <v>2174</v>
      </c>
      <c r="O754" s="1">
        <v>46199</v>
      </c>
      <c r="P754" t="s">
        <v>2737</v>
      </c>
      <c r="Q754" t="s">
        <v>2738</v>
      </c>
      <c r="R754" t="s">
        <v>63</v>
      </c>
      <c r="S754" t="b">
        <v>0</v>
      </c>
      <c r="T754" t="b">
        <v>0</v>
      </c>
      <c r="U754" t="s">
        <v>2738</v>
      </c>
      <c r="V754" t="s">
        <v>64</v>
      </c>
      <c r="W754" t="s">
        <v>65</v>
      </c>
      <c r="X754" t="s">
        <v>2725</v>
      </c>
      <c r="Y754" t="s">
        <v>2726</v>
      </c>
      <c r="Z754" t="s">
        <v>2174</v>
      </c>
      <c r="AA754" t="b">
        <f>ISNUMBER(SEARCH(";"&amp;Lessons[[#This Row],[Instrument__c]]&amp;";",";"&amp;_xlfn.XLOOKUP(Lessons[[#This Row],[Instructor_External_Id__c]], Instructors[Id], Instructors[Instruments_Taught__c])&amp;";"))</f>
        <v>1</v>
      </c>
      <c r="AB754" t="str">
        <f>IF(LEFT(Lessons[[#This Row],[Status__c]],9)="Cancelled","",Lessons[[#This Row],[Instructor_External_Id__c]]&amp;"|"&amp;TEXT(Lessons[[#This Row],[Lesson_Date__c]],"yyyy-mm-dd")&amp;"|"&amp;Lessons[[#This Row],[Start_Time__c]])</f>
        <v>a06ak00000amzCLAAY|2026-06-26|11:00:00.000Z</v>
      </c>
      <c r="AC754">
        <f>IF(Lessons[[#This Row],[Double Booked Key]]="","",COUNTIF(Lessons[Double Booked Key],Lessons[[#This Row],[Double Booked Key]]))</f>
        <v>1</v>
      </c>
      <c r="AD754" s="6" t="str">
        <f>_xlfn.XLOOKUP(Lessons[[#This Row],[Location_External_Id__c]], Locations[Location Id], Locations[Location Name])</f>
        <v>Red Bank</v>
      </c>
      <c r="AE754" s="6" t="str">
        <f>TEXT(Lessons[[#This Row],[Lesson_Date__c]], "yyyy-mm")</f>
        <v>2026-06</v>
      </c>
      <c r="AF754" s="6" t="str">
        <f>IF(Lessons[[#This Row],[Lesson_Date__c]]&lt;=Data_Audit!$F$1, "Yes", "No")</f>
        <v>Yes</v>
      </c>
    </row>
    <row r="755" spans="1:32">
      <c r="A755" t="s">
        <v>52</v>
      </c>
      <c r="B755" t="s">
        <v>53</v>
      </c>
      <c r="C755">
        <v>30</v>
      </c>
      <c r="D755" t="s">
        <v>2739</v>
      </c>
      <c r="E755" t="s">
        <v>862</v>
      </c>
      <c r="F755" t="s">
        <v>863</v>
      </c>
      <c r="G755" t="s">
        <v>106</v>
      </c>
      <c r="H755" t="s">
        <v>284</v>
      </c>
      <c r="I755" t="b">
        <v>0</v>
      </c>
      <c r="K755" t="s">
        <v>52</v>
      </c>
      <c r="L755" t="s">
        <v>2174</v>
      </c>
      <c r="O755" s="1">
        <v>46112</v>
      </c>
      <c r="P755" t="s">
        <v>2740</v>
      </c>
      <c r="Q755" t="s">
        <v>2741</v>
      </c>
      <c r="R755" t="s">
        <v>63</v>
      </c>
      <c r="S755" t="b">
        <v>0</v>
      </c>
      <c r="T755" t="b">
        <v>0</v>
      </c>
      <c r="U755" t="s">
        <v>2741</v>
      </c>
      <c r="V755" t="s">
        <v>135</v>
      </c>
      <c r="W755" t="s">
        <v>65</v>
      </c>
      <c r="X755" t="s">
        <v>2725</v>
      </c>
      <c r="Y755" t="s">
        <v>2726</v>
      </c>
      <c r="Z755" t="s">
        <v>2174</v>
      </c>
      <c r="AA755" t="b">
        <f>ISNUMBER(SEARCH(";"&amp;Lessons[[#This Row],[Instrument__c]]&amp;";",";"&amp;_xlfn.XLOOKUP(Lessons[[#This Row],[Instructor_External_Id__c]], Instructors[Id], Instructors[Instruments_Taught__c])&amp;";"))</f>
        <v>1</v>
      </c>
      <c r="AB755" t="str">
        <f>IF(LEFT(Lessons[[#This Row],[Status__c]],9)="Cancelled","",Lessons[[#This Row],[Instructor_External_Id__c]]&amp;"|"&amp;TEXT(Lessons[[#This Row],[Lesson_Date__c]],"yyyy-mm-dd")&amp;"|"&amp;Lessons[[#This Row],[Start_Time__c]])</f>
        <v>a06ak00000amzCLAAY|2026-03-31|15:30:00.000Z</v>
      </c>
      <c r="AC755">
        <f>IF(Lessons[[#This Row],[Double Booked Key]]="","",COUNTIF(Lessons[Double Booked Key],Lessons[[#This Row],[Double Booked Key]]))</f>
        <v>1</v>
      </c>
      <c r="AD755" s="6" t="str">
        <f>_xlfn.XLOOKUP(Lessons[[#This Row],[Location_External_Id__c]], Locations[Location Id], Locations[Location Name])</f>
        <v>Red Bank</v>
      </c>
      <c r="AE755" s="6" t="str">
        <f>TEXT(Lessons[[#This Row],[Lesson_Date__c]], "yyyy-mm")</f>
        <v>2026-03</v>
      </c>
      <c r="AF755" s="6" t="str">
        <f>IF(Lessons[[#This Row],[Lesson_Date__c]]&lt;=Data_Audit!$F$1, "Yes", "No")</f>
        <v>Yes</v>
      </c>
    </row>
    <row r="756" spans="1:32">
      <c r="A756" t="s">
        <v>52</v>
      </c>
      <c r="B756" t="s">
        <v>53</v>
      </c>
      <c r="C756">
        <v>30</v>
      </c>
      <c r="D756" t="s">
        <v>2742</v>
      </c>
      <c r="E756" t="s">
        <v>235</v>
      </c>
      <c r="F756" t="s">
        <v>236</v>
      </c>
      <c r="H756" t="s">
        <v>237</v>
      </c>
      <c r="I756" t="b">
        <v>0</v>
      </c>
      <c r="K756" t="s">
        <v>52</v>
      </c>
      <c r="L756" t="s">
        <v>2174</v>
      </c>
      <c r="O756" s="1">
        <v>46182</v>
      </c>
      <c r="P756" t="s">
        <v>2743</v>
      </c>
      <c r="Q756" t="s">
        <v>2744</v>
      </c>
      <c r="R756" t="s">
        <v>83</v>
      </c>
      <c r="S756" t="b">
        <v>0</v>
      </c>
      <c r="T756" t="b">
        <v>0</v>
      </c>
      <c r="U756" t="s">
        <v>2744</v>
      </c>
      <c r="V756" t="s">
        <v>120</v>
      </c>
      <c r="W756" t="s">
        <v>121</v>
      </c>
      <c r="X756" t="s">
        <v>2745</v>
      </c>
      <c r="Y756" t="s">
        <v>2746</v>
      </c>
      <c r="Z756" t="s">
        <v>2174</v>
      </c>
      <c r="AA756" t="b">
        <f>ISNUMBER(SEARCH(";"&amp;Lessons[[#This Row],[Instrument__c]]&amp;";",";"&amp;_xlfn.XLOOKUP(Lessons[[#This Row],[Instructor_External_Id__c]], Instructors[Id], Instructors[Instruments_Taught__c])&amp;";"))</f>
        <v>1</v>
      </c>
      <c r="AB756" t="str">
        <f>IF(LEFT(Lessons[[#This Row],[Status__c]],9)="Cancelled","",Lessons[[#This Row],[Instructor_External_Id__c]]&amp;"|"&amp;TEXT(Lessons[[#This Row],[Lesson_Date__c]],"yyyy-mm-dd")&amp;"|"&amp;Lessons[[#This Row],[Start_Time__c]])</f>
        <v>a06ak00000amzC5AAI|2026-06-09|18:00:00.000Z</v>
      </c>
      <c r="AC756">
        <f>IF(Lessons[[#This Row],[Double Booked Key]]="","",COUNTIF(Lessons[Double Booked Key],Lessons[[#This Row],[Double Booked Key]]))</f>
        <v>1</v>
      </c>
      <c r="AD756" s="6" t="str">
        <f>_xlfn.XLOOKUP(Lessons[[#This Row],[Location_External_Id__c]], Locations[Location Id], Locations[Location Name])</f>
        <v>Brick</v>
      </c>
      <c r="AE756" s="6" t="str">
        <f>TEXT(Lessons[[#This Row],[Lesson_Date__c]], "yyyy-mm")</f>
        <v>2026-06</v>
      </c>
      <c r="AF756" s="6" t="str">
        <f>IF(Lessons[[#This Row],[Lesson_Date__c]]&lt;=Data_Audit!$F$1, "Yes", "No")</f>
        <v>Yes</v>
      </c>
    </row>
    <row r="757" spans="1:32">
      <c r="A757" t="s">
        <v>52</v>
      </c>
      <c r="B757" t="s">
        <v>53</v>
      </c>
      <c r="C757">
        <v>45</v>
      </c>
      <c r="D757" t="s">
        <v>2747</v>
      </c>
      <c r="E757" t="s">
        <v>235</v>
      </c>
      <c r="F757" t="s">
        <v>236</v>
      </c>
      <c r="H757" t="s">
        <v>237</v>
      </c>
      <c r="I757" t="b">
        <v>0</v>
      </c>
      <c r="K757" t="s">
        <v>52</v>
      </c>
      <c r="L757" t="s">
        <v>2174</v>
      </c>
      <c r="O757" s="1">
        <v>46074</v>
      </c>
      <c r="P757" t="s">
        <v>2748</v>
      </c>
      <c r="Q757" t="s">
        <v>2749</v>
      </c>
      <c r="R757" t="s">
        <v>83</v>
      </c>
      <c r="S757" t="b">
        <v>0</v>
      </c>
      <c r="T757" t="b">
        <v>0</v>
      </c>
      <c r="U757" t="s">
        <v>2749</v>
      </c>
      <c r="V757" t="s">
        <v>84</v>
      </c>
      <c r="W757" t="s">
        <v>65</v>
      </c>
      <c r="X757" t="s">
        <v>2745</v>
      </c>
      <c r="Y757" t="s">
        <v>2746</v>
      </c>
      <c r="Z757" t="s">
        <v>2174</v>
      </c>
      <c r="AA757" t="b">
        <f>ISNUMBER(SEARCH(";"&amp;Lessons[[#This Row],[Instrument__c]]&amp;";",";"&amp;_xlfn.XLOOKUP(Lessons[[#This Row],[Instructor_External_Id__c]], Instructors[Id], Instructors[Instruments_Taught__c])&amp;";"))</f>
        <v>1</v>
      </c>
      <c r="AB757" t="str">
        <f>IF(LEFT(Lessons[[#This Row],[Status__c]],9)="Cancelled","",Lessons[[#This Row],[Instructor_External_Id__c]]&amp;"|"&amp;TEXT(Lessons[[#This Row],[Lesson_Date__c]],"yyyy-mm-dd")&amp;"|"&amp;Lessons[[#This Row],[Start_Time__c]])</f>
        <v>a06ak00000amzC5AAI|2026-02-21|17:00:00.000Z</v>
      </c>
      <c r="AC757">
        <f>IF(Lessons[[#This Row],[Double Booked Key]]="","",COUNTIF(Lessons[Double Booked Key],Lessons[[#This Row],[Double Booked Key]]))</f>
        <v>1</v>
      </c>
      <c r="AD757" s="6" t="str">
        <f>_xlfn.XLOOKUP(Lessons[[#This Row],[Location_External_Id__c]], Locations[Location Id], Locations[Location Name])</f>
        <v>Brick</v>
      </c>
      <c r="AE757" s="6" t="str">
        <f>TEXT(Lessons[[#This Row],[Lesson_Date__c]], "yyyy-mm")</f>
        <v>2026-02</v>
      </c>
      <c r="AF757" s="6" t="str">
        <f>IF(Lessons[[#This Row],[Lesson_Date__c]]&lt;=Data_Audit!$F$1, "Yes", "No")</f>
        <v>Yes</v>
      </c>
    </row>
    <row r="758" spans="1:32">
      <c r="A758" t="s">
        <v>52</v>
      </c>
      <c r="B758" t="s">
        <v>53</v>
      </c>
      <c r="C758">
        <v>30</v>
      </c>
      <c r="D758" t="s">
        <v>2750</v>
      </c>
      <c r="E758" t="s">
        <v>235</v>
      </c>
      <c r="F758" t="s">
        <v>236</v>
      </c>
      <c r="G758" t="s">
        <v>106</v>
      </c>
      <c r="H758" t="s">
        <v>237</v>
      </c>
      <c r="I758" t="b">
        <v>0</v>
      </c>
      <c r="K758" t="s">
        <v>52</v>
      </c>
      <c r="L758" t="s">
        <v>2174</v>
      </c>
      <c r="O758" s="1">
        <v>46040</v>
      </c>
      <c r="P758" t="s">
        <v>2751</v>
      </c>
      <c r="Q758" t="s">
        <v>2752</v>
      </c>
      <c r="R758" t="s">
        <v>83</v>
      </c>
      <c r="S758" t="b">
        <v>0</v>
      </c>
      <c r="T758" t="b">
        <v>0</v>
      </c>
      <c r="U758" t="s">
        <v>2752</v>
      </c>
      <c r="V758" t="s">
        <v>116</v>
      </c>
      <c r="W758" t="s">
        <v>65</v>
      </c>
      <c r="X758" t="s">
        <v>2745</v>
      </c>
      <c r="Y758" t="s">
        <v>2746</v>
      </c>
      <c r="Z758" t="s">
        <v>2174</v>
      </c>
      <c r="AA758" t="b">
        <f>ISNUMBER(SEARCH(";"&amp;Lessons[[#This Row],[Instrument__c]]&amp;";",";"&amp;_xlfn.XLOOKUP(Lessons[[#This Row],[Instructor_External_Id__c]], Instructors[Id], Instructors[Instruments_Taught__c])&amp;";"))</f>
        <v>1</v>
      </c>
      <c r="AB758" t="str">
        <f>IF(LEFT(Lessons[[#This Row],[Status__c]],9)="Cancelled","",Lessons[[#This Row],[Instructor_External_Id__c]]&amp;"|"&amp;TEXT(Lessons[[#This Row],[Lesson_Date__c]],"yyyy-mm-dd")&amp;"|"&amp;Lessons[[#This Row],[Start_Time__c]])</f>
        <v>a06ak00000amzC5AAI|2026-01-18|17:30:00.000Z</v>
      </c>
      <c r="AC758">
        <f>IF(Lessons[[#This Row],[Double Booked Key]]="","",COUNTIF(Lessons[Double Booked Key],Lessons[[#This Row],[Double Booked Key]]))</f>
        <v>1</v>
      </c>
      <c r="AD758" s="6" t="str">
        <f>_xlfn.XLOOKUP(Lessons[[#This Row],[Location_External_Id__c]], Locations[Location Id], Locations[Location Name])</f>
        <v>Brick</v>
      </c>
      <c r="AE758" s="6" t="str">
        <f>TEXT(Lessons[[#This Row],[Lesson_Date__c]], "yyyy-mm")</f>
        <v>2026-01</v>
      </c>
      <c r="AF758" s="6" t="str">
        <f>IF(Lessons[[#This Row],[Lesson_Date__c]]&lt;=Data_Audit!$F$1, "Yes", "No")</f>
        <v>Yes</v>
      </c>
    </row>
    <row r="759" spans="1:32">
      <c r="A759" t="s">
        <v>52</v>
      </c>
      <c r="B759" t="s">
        <v>53</v>
      </c>
      <c r="C759">
        <v>45</v>
      </c>
      <c r="D759" t="s">
        <v>2753</v>
      </c>
      <c r="E759" t="s">
        <v>235</v>
      </c>
      <c r="F759" t="s">
        <v>236</v>
      </c>
      <c r="H759" t="s">
        <v>237</v>
      </c>
      <c r="I759" t="b">
        <v>0</v>
      </c>
      <c r="K759" t="s">
        <v>52</v>
      </c>
      <c r="L759" t="s">
        <v>2174</v>
      </c>
      <c r="O759" s="1">
        <v>46145</v>
      </c>
      <c r="P759" t="s">
        <v>2754</v>
      </c>
      <c r="Q759" t="s">
        <v>2755</v>
      </c>
      <c r="R759" t="s">
        <v>83</v>
      </c>
      <c r="S759" t="b">
        <v>0</v>
      </c>
      <c r="T759" t="b">
        <v>0</v>
      </c>
      <c r="U759" t="s">
        <v>2755</v>
      </c>
      <c r="V759" t="s">
        <v>128</v>
      </c>
      <c r="W759" t="s">
        <v>85</v>
      </c>
      <c r="X759" t="s">
        <v>2745</v>
      </c>
      <c r="Y759" t="s">
        <v>2746</v>
      </c>
      <c r="Z759" t="s">
        <v>2174</v>
      </c>
      <c r="AA759" t="b">
        <f>ISNUMBER(SEARCH(";"&amp;Lessons[[#This Row],[Instrument__c]]&amp;";",";"&amp;_xlfn.XLOOKUP(Lessons[[#This Row],[Instructor_External_Id__c]], Instructors[Id], Instructors[Instruments_Taught__c])&amp;";"))</f>
        <v>1</v>
      </c>
      <c r="AB759" t="str">
        <f>IF(LEFT(Lessons[[#This Row],[Status__c]],9)="Cancelled","",Lessons[[#This Row],[Instructor_External_Id__c]]&amp;"|"&amp;TEXT(Lessons[[#This Row],[Lesson_Date__c]],"yyyy-mm-dd")&amp;"|"&amp;Lessons[[#This Row],[Start_Time__c]])</f>
        <v/>
      </c>
      <c r="AC759" t="str">
        <f>IF(Lessons[[#This Row],[Double Booked Key]]="","",COUNTIF(Lessons[Double Booked Key],Lessons[[#This Row],[Double Booked Key]]))</f>
        <v/>
      </c>
      <c r="AD759" s="6" t="str">
        <f>_xlfn.XLOOKUP(Lessons[[#This Row],[Location_External_Id__c]], Locations[Location Id], Locations[Location Name])</f>
        <v>Brick</v>
      </c>
      <c r="AE759" s="6" t="str">
        <f>TEXT(Lessons[[#This Row],[Lesson_Date__c]], "yyyy-mm")</f>
        <v>2026-05</v>
      </c>
      <c r="AF759" s="6" t="str">
        <f>IF(Lessons[[#This Row],[Lesson_Date__c]]&lt;=Data_Audit!$F$1, "Yes", "No")</f>
        <v>Yes</v>
      </c>
    </row>
    <row r="760" spans="1:32">
      <c r="A760" t="s">
        <v>52</v>
      </c>
      <c r="B760" t="s">
        <v>53</v>
      </c>
      <c r="C760">
        <v>45</v>
      </c>
      <c r="D760" t="s">
        <v>2756</v>
      </c>
      <c r="E760" t="s">
        <v>235</v>
      </c>
      <c r="F760" t="s">
        <v>236</v>
      </c>
      <c r="H760" t="s">
        <v>237</v>
      </c>
      <c r="I760" t="b">
        <v>0</v>
      </c>
      <c r="K760" t="s">
        <v>52</v>
      </c>
      <c r="L760" t="s">
        <v>171</v>
      </c>
      <c r="O760" s="1">
        <v>46255</v>
      </c>
      <c r="P760" t="s">
        <v>2757</v>
      </c>
      <c r="Q760" t="s">
        <v>2758</v>
      </c>
      <c r="R760" t="s">
        <v>83</v>
      </c>
      <c r="S760" t="b">
        <v>1</v>
      </c>
      <c r="T760" t="b">
        <v>0</v>
      </c>
      <c r="U760" t="s">
        <v>2758</v>
      </c>
      <c r="V760" t="s">
        <v>74</v>
      </c>
      <c r="W760" t="s">
        <v>136</v>
      </c>
      <c r="X760" t="s">
        <v>2745</v>
      </c>
      <c r="Y760" t="s">
        <v>2746</v>
      </c>
      <c r="Z760" t="s">
        <v>171</v>
      </c>
      <c r="AA760" t="b">
        <f>ISNUMBER(SEARCH(";"&amp;Lessons[[#This Row],[Instrument__c]]&amp;";",";"&amp;_xlfn.XLOOKUP(Lessons[[#This Row],[Instructor_External_Id__c]], Instructors[Id], Instructors[Instruments_Taught__c])&amp;";"))</f>
        <v>1</v>
      </c>
      <c r="AB760" t="str">
        <f>IF(LEFT(Lessons[[#This Row],[Status__c]],9)="Cancelled","",Lessons[[#This Row],[Instructor_External_Id__c]]&amp;"|"&amp;TEXT(Lessons[[#This Row],[Lesson_Date__c]],"yyyy-mm-dd")&amp;"|"&amp;Lessons[[#This Row],[Start_Time__c]])</f>
        <v/>
      </c>
      <c r="AC760" t="str">
        <f>IF(Lessons[[#This Row],[Double Booked Key]]="","",COUNTIF(Lessons[Double Booked Key],Lessons[[#This Row],[Double Booked Key]]))</f>
        <v/>
      </c>
      <c r="AD760" s="6" t="str">
        <f>_xlfn.XLOOKUP(Lessons[[#This Row],[Location_External_Id__c]], Locations[Location Id], Locations[Location Name])</f>
        <v>Brick</v>
      </c>
      <c r="AE760" s="6" t="str">
        <f>TEXT(Lessons[[#This Row],[Lesson_Date__c]], "yyyy-mm")</f>
        <v>2026-08</v>
      </c>
      <c r="AF760" s="6" t="str">
        <f>IF(Lessons[[#This Row],[Lesson_Date__c]]&lt;=Data_Audit!$F$1, "Yes", "No")</f>
        <v>Yes</v>
      </c>
    </row>
    <row r="761" spans="1:32">
      <c r="A761" t="s">
        <v>52</v>
      </c>
      <c r="B761" t="s">
        <v>53</v>
      </c>
      <c r="C761">
        <v>30</v>
      </c>
      <c r="D761" t="s">
        <v>2759</v>
      </c>
      <c r="E761" t="s">
        <v>235</v>
      </c>
      <c r="F761" t="s">
        <v>236</v>
      </c>
      <c r="H761" t="s">
        <v>237</v>
      </c>
      <c r="I761" t="b">
        <v>0</v>
      </c>
      <c r="K761" t="s">
        <v>52</v>
      </c>
      <c r="L761" t="s">
        <v>2174</v>
      </c>
      <c r="O761" s="1">
        <v>46195</v>
      </c>
      <c r="P761" t="s">
        <v>2760</v>
      </c>
      <c r="Q761" t="s">
        <v>2761</v>
      </c>
      <c r="R761" t="s">
        <v>83</v>
      </c>
      <c r="S761" t="b">
        <v>0</v>
      </c>
      <c r="T761" t="b">
        <v>0</v>
      </c>
      <c r="U761" t="s">
        <v>2761</v>
      </c>
      <c r="V761" t="s">
        <v>102</v>
      </c>
      <c r="W761" t="s">
        <v>121</v>
      </c>
      <c r="X761" t="s">
        <v>2745</v>
      </c>
      <c r="Y761" t="s">
        <v>2746</v>
      </c>
      <c r="Z761" t="s">
        <v>2174</v>
      </c>
      <c r="AA761" t="b">
        <f>ISNUMBER(SEARCH(";"&amp;Lessons[[#This Row],[Instrument__c]]&amp;";",";"&amp;_xlfn.XLOOKUP(Lessons[[#This Row],[Instructor_External_Id__c]], Instructors[Id], Instructors[Instruments_Taught__c])&amp;";"))</f>
        <v>1</v>
      </c>
      <c r="AB761" t="str">
        <f>IF(LEFT(Lessons[[#This Row],[Status__c]],9)="Cancelled","",Lessons[[#This Row],[Instructor_External_Id__c]]&amp;"|"&amp;TEXT(Lessons[[#This Row],[Lesson_Date__c]],"yyyy-mm-dd")&amp;"|"&amp;Lessons[[#This Row],[Start_Time__c]])</f>
        <v>a06ak00000amzC5AAI|2026-06-22|16:00:00.000Z</v>
      </c>
      <c r="AC761">
        <f>IF(Lessons[[#This Row],[Double Booked Key]]="","",COUNTIF(Lessons[Double Booked Key],Lessons[[#This Row],[Double Booked Key]]))</f>
        <v>1</v>
      </c>
      <c r="AD761" s="6" t="str">
        <f>_xlfn.XLOOKUP(Lessons[[#This Row],[Location_External_Id__c]], Locations[Location Id], Locations[Location Name])</f>
        <v>Brick</v>
      </c>
      <c r="AE761" s="6" t="str">
        <f>TEXT(Lessons[[#This Row],[Lesson_Date__c]], "yyyy-mm")</f>
        <v>2026-06</v>
      </c>
      <c r="AF761" s="6" t="str">
        <f>IF(Lessons[[#This Row],[Lesson_Date__c]]&lt;=Data_Audit!$F$1, "Yes", "No")</f>
        <v>Yes</v>
      </c>
    </row>
    <row r="762" spans="1:32">
      <c r="A762" t="s">
        <v>52</v>
      </c>
      <c r="B762" t="s">
        <v>53</v>
      </c>
      <c r="C762">
        <v>30</v>
      </c>
      <c r="D762" t="s">
        <v>2762</v>
      </c>
      <c r="E762" t="s">
        <v>76</v>
      </c>
      <c r="F762" t="s">
        <v>77</v>
      </c>
      <c r="G762" t="s">
        <v>69</v>
      </c>
      <c r="H762" t="s">
        <v>392</v>
      </c>
      <c r="I762" t="b">
        <v>0</v>
      </c>
      <c r="K762" t="s">
        <v>52</v>
      </c>
      <c r="L762" t="s">
        <v>2174</v>
      </c>
      <c r="O762" s="1">
        <v>46297</v>
      </c>
      <c r="P762" t="s">
        <v>2763</v>
      </c>
      <c r="Q762" t="s">
        <v>2764</v>
      </c>
      <c r="R762" t="s">
        <v>83</v>
      </c>
      <c r="S762" t="b">
        <v>0</v>
      </c>
      <c r="T762" t="b">
        <v>0</v>
      </c>
      <c r="U762" t="s">
        <v>2764</v>
      </c>
      <c r="V762" t="s">
        <v>102</v>
      </c>
      <c r="W762" t="s">
        <v>65</v>
      </c>
      <c r="X762" t="s">
        <v>2765</v>
      </c>
      <c r="Y762" t="s">
        <v>2766</v>
      </c>
      <c r="Z762" t="s">
        <v>2174</v>
      </c>
      <c r="AA762" t="b">
        <f>ISNUMBER(SEARCH(";"&amp;Lessons[[#This Row],[Instrument__c]]&amp;";",";"&amp;_xlfn.XLOOKUP(Lessons[[#This Row],[Instructor_External_Id__c]], Instructors[Id], Instructors[Instruments_Taught__c])&amp;";"))</f>
        <v>1</v>
      </c>
      <c r="AB762" t="str">
        <f>IF(LEFT(Lessons[[#This Row],[Status__c]],9)="Cancelled","",Lessons[[#This Row],[Instructor_External_Id__c]]&amp;"|"&amp;TEXT(Lessons[[#This Row],[Lesson_Date__c]],"yyyy-mm-dd")&amp;"|"&amp;Lessons[[#This Row],[Start_Time__c]])</f>
        <v>a06ak00000amzBgAAI|2026-10-02|16:00:00.000Z</v>
      </c>
      <c r="AC762">
        <f>IF(Lessons[[#This Row],[Double Booked Key]]="","",COUNTIF(Lessons[Double Booked Key],Lessons[[#This Row],[Double Booked Key]]))</f>
        <v>1</v>
      </c>
      <c r="AD762" s="6" t="str">
        <f>_xlfn.XLOOKUP(Lessons[[#This Row],[Location_External_Id__c]], Locations[Location Id], Locations[Location Name])</f>
        <v>Brick</v>
      </c>
      <c r="AE762" s="6" t="str">
        <f>TEXT(Lessons[[#This Row],[Lesson_Date__c]], "yyyy-mm")</f>
        <v>2026-10</v>
      </c>
      <c r="AF762" s="6" t="str">
        <f>IF(Lessons[[#This Row],[Lesson_Date__c]]&lt;=Data_Audit!$F$1, "Yes", "No")</f>
        <v>Yes</v>
      </c>
    </row>
    <row r="763" spans="1:32">
      <c r="A763" t="s">
        <v>52</v>
      </c>
      <c r="B763" t="s">
        <v>53</v>
      </c>
      <c r="C763">
        <v>45</v>
      </c>
      <c r="D763" t="s">
        <v>2767</v>
      </c>
      <c r="E763" t="s">
        <v>76</v>
      </c>
      <c r="F763" t="s">
        <v>77</v>
      </c>
      <c r="G763" t="s">
        <v>69</v>
      </c>
      <c r="H763" t="s">
        <v>392</v>
      </c>
      <c r="I763" t="b">
        <v>0</v>
      </c>
      <c r="K763" t="s">
        <v>52</v>
      </c>
      <c r="L763" t="s">
        <v>2174</v>
      </c>
      <c r="O763" s="1">
        <v>46038</v>
      </c>
      <c r="P763" t="s">
        <v>2768</v>
      </c>
      <c r="Q763" t="s">
        <v>2769</v>
      </c>
      <c r="R763" t="s">
        <v>83</v>
      </c>
      <c r="S763" t="b">
        <v>0</v>
      </c>
      <c r="T763" t="b">
        <v>0</v>
      </c>
      <c r="U763" t="s">
        <v>2769</v>
      </c>
      <c r="V763" t="s">
        <v>64</v>
      </c>
      <c r="W763" t="s">
        <v>65</v>
      </c>
      <c r="X763" t="s">
        <v>2765</v>
      </c>
      <c r="Y763" t="s">
        <v>2766</v>
      </c>
      <c r="Z763" t="s">
        <v>2174</v>
      </c>
      <c r="AA763" t="b">
        <f>ISNUMBER(SEARCH(";"&amp;Lessons[[#This Row],[Instrument__c]]&amp;";",";"&amp;_xlfn.XLOOKUP(Lessons[[#This Row],[Instructor_External_Id__c]], Instructors[Id], Instructors[Instruments_Taught__c])&amp;";"))</f>
        <v>1</v>
      </c>
      <c r="AB763" t="str">
        <f>IF(LEFT(Lessons[[#This Row],[Status__c]],9)="Cancelled","",Lessons[[#This Row],[Instructor_External_Id__c]]&amp;"|"&amp;TEXT(Lessons[[#This Row],[Lesson_Date__c]],"yyyy-mm-dd")&amp;"|"&amp;Lessons[[#This Row],[Start_Time__c]])</f>
        <v>a06ak00000amzBgAAI|2026-01-16|11:00:00.000Z</v>
      </c>
      <c r="AC763">
        <f>IF(Lessons[[#This Row],[Double Booked Key]]="","",COUNTIF(Lessons[Double Booked Key],Lessons[[#This Row],[Double Booked Key]]))</f>
        <v>1</v>
      </c>
      <c r="AD763" s="6" t="str">
        <f>_xlfn.XLOOKUP(Lessons[[#This Row],[Location_External_Id__c]], Locations[Location Id], Locations[Location Name])</f>
        <v>Brick</v>
      </c>
      <c r="AE763" s="6" t="str">
        <f>TEXT(Lessons[[#This Row],[Lesson_Date__c]], "yyyy-mm")</f>
        <v>2026-01</v>
      </c>
      <c r="AF763" s="6" t="str">
        <f>IF(Lessons[[#This Row],[Lesson_Date__c]]&lt;=Data_Audit!$F$1, "Yes", "No")</f>
        <v>Yes</v>
      </c>
    </row>
    <row r="764" spans="1:32">
      <c r="A764" t="s">
        <v>52</v>
      </c>
      <c r="B764" t="s">
        <v>53</v>
      </c>
      <c r="C764">
        <v>30</v>
      </c>
      <c r="D764" t="s">
        <v>2770</v>
      </c>
      <c r="E764" t="s">
        <v>76</v>
      </c>
      <c r="F764" t="s">
        <v>77</v>
      </c>
      <c r="G764" t="s">
        <v>57</v>
      </c>
      <c r="H764" t="s">
        <v>392</v>
      </c>
      <c r="I764" t="b">
        <v>0</v>
      </c>
      <c r="K764" t="s">
        <v>52</v>
      </c>
      <c r="L764" t="s">
        <v>2174</v>
      </c>
      <c r="O764" s="1">
        <v>46147</v>
      </c>
      <c r="P764" t="s">
        <v>2771</v>
      </c>
      <c r="Q764" t="s">
        <v>2772</v>
      </c>
      <c r="R764" t="s">
        <v>83</v>
      </c>
      <c r="S764" t="b">
        <v>0</v>
      </c>
      <c r="T764" t="b">
        <v>0</v>
      </c>
      <c r="U764" t="s">
        <v>2772</v>
      </c>
      <c r="V764" t="s">
        <v>102</v>
      </c>
      <c r="W764" t="s">
        <v>65</v>
      </c>
      <c r="X764" t="s">
        <v>2765</v>
      </c>
      <c r="Y764" t="s">
        <v>2766</v>
      </c>
      <c r="Z764" t="s">
        <v>2174</v>
      </c>
      <c r="AA764" t="b">
        <f>ISNUMBER(SEARCH(";"&amp;Lessons[[#This Row],[Instrument__c]]&amp;";",";"&amp;_xlfn.XLOOKUP(Lessons[[#This Row],[Instructor_External_Id__c]], Instructors[Id], Instructors[Instruments_Taught__c])&amp;";"))</f>
        <v>1</v>
      </c>
      <c r="AB764" t="str">
        <f>IF(LEFT(Lessons[[#This Row],[Status__c]],9)="Cancelled","",Lessons[[#This Row],[Instructor_External_Id__c]]&amp;"|"&amp;TEXT(Lessons[[#This Row],[Lesson_Date__c]],"yyyy-mm-dd")&amp;"|"&amp;Lessons[[#This Row],[Start_Time__c]])</f>
        <v>a06ak00000amzBgAAI|2026-05-05|16:00:00.000Z</v>
      </c>
      <c r="AC764">
        <f>IF(Lessons[[#This Row],[Double Booked Key]]="","",COUNTIF(Lessons[Double Booked Key],Lessons[[#This Row],[Double Booked Key]]))</f>
        <v>1</v>
      </c>
      <c r="AD764" s="6" t="str">
        <f>_xlfn.XLOOKUP(Lessons[[#This Row],[Location_External_Id__c]], Locations[Location Id], Locations[Location Name])</f>
        <v>Brick</v>
      </c>
      <c r="AE764" s="6" t="str">
        <f>TEXT(Lessons[[#This Row],[Lesson_Date__c]], "yyyy-mm")</f>
        <v>2026-05</v>
      </c>
      <c r="AF764" s="6" t="str">
        <f>IF(Lessons[[#This Row],[Lesson_Date__c]]&lt;=Data_Audit!$F$1, "Yes", "No")</f>
        <v>Yes</v>
      </c>
    </row>
    <row r="765" spans="1:32">
      <c r="A765" t="s">
        <v>52</v>
      </c>
      <c r="B765" t="s">
        <v>53</v>
      </c>
      <c r="C765">
        <v>60</v>
      </c>
      <c r="D765" t="s">
        <v>2773</v>
      </c>
      <c r="E765" t="s">
        <v>76</v>
      </c>
      <c r="F765" t="s">
        <v>77</v>
      </c>
      <c r="G765" t="s">
        <v>164</v>
      </c>
      <c r="H765" t="s">
        <v>392</v>
      </c>
      <c r="I765" t="b">
        <v>0</v>
      </c>
      <c r="K765" t="s">
        <v>52</v>
      </c>
      <c r="L765" t="s">
        <v>2174</v>
      </c>
      <c r="O765" s="1">
        <v>46078</v>
      </c>
      <c r="P765" t="s">
        <v>2774</v>
      </c>
      <c r="Q765" t="s">
        <v>2775</v>
      </c>
      <c r="R765" t="s">
        <v>83</v>
      </c>
      <c r="S765" t="b">
        <v>0</v>
      </c>
      <c r="T765" t="b">
        <v>0</v>
      </c>
      <c r="U765" t="s">
        <v>2775</v>
      </c>
      <c r="V765" t="s">
        <v>84</v>
      </c>
      <c r="W765" t="s">
        <v>65</v>
      </c>
      <c r="X765" t="s">
        <v>2765</v>
      </c>
      <c r="Y765" t="s">
        <v>2766</v>
      </c>
      <c r="Z765" t="s">
        <v>2174</v>
      </c>
      <c r="AA765" t="b">
        <f>ISNUMBER(SEARCH(";"&amp;Lessons[[#This Row],[Instrument__c]]&amp;";",";"&amp;_xlfn.XLOOKUP(Lessons[[#This Row],[Instructor_External_Id__c]], Instructors[Id], Instructors[Instruments_Taught__c])&amp;";"))</f>
        <v>1</v>
      </c>
      <c r="AB765" t="str">
        <f>IF(LEFT(Lessons[[#This Row],[Status__c]],9)="Cancelled","",Lessons[[#This Row],[Instructor_External_Id__c]]&amp;"|"&amp;TEXT(Lessons[[#This Row],[Lesson_Date__c]],"yyyy-mm-dd")&amp;"|"&amp;Lessons[[#This Row],[Start_Time__c]])</f>
        <v>a06ak00000amzBgAAI|2026-02-25|17:00:00.000Z</v>
      </c>
      <c r="AC765">
        <f>IF(Lessons[[#This Row],[Double Booked Key]]="","",COUNTIF(Lessons[Double Booked Key],Lessons[[#This Row],[Double Booked Key]]))</f>
        <v>1</v>
      </c>
      <c r="AD765" s="6" t="str">
        <f>_xlfn.XLOOKUP(Lessons[[#This Row],[Location_External_Id__c]], Locations[Location Id], Locations[Location Name])</f>
        <v>Brick</v>
      </c>
      <c r="AE765" s="6" t="str">
        <f>TEXT(Lessons[[#This Row],[Lesson_Date__c]], "yyyy-mm")</f>
        <v>2026-02</v>
      </c>
      <c r="AF765" s="6" t="str">
        <f>IF(Lessons[[#This Row],[Lesson_Date__c]]&lt;=Data_Audit!$F$1, "Yes", "No")</f>
        <v>Yes</v>
      </c>
    </row>
    <row r="766" spans="1:32">
      <c r="A766" t="s">
        <v>52</v>
      </c>
      <c r="B766" t="s">
        <v>53</v>
      </c>
      <c r="C766">
        <v>30</v>
      </c>
      <c r="D766" t="s">
        <v>2776</v>
      </c>
      <c r="E766" t="s">
        <v>76</v>
      </c>
      <c r="F766" t="s">
        <v>77</v>
      </c>
      <c r="G766" t="s">
        <v>106</v>
      </c>
      <c r="H766" t="s">
        <v>392</v>
      </c>
      <c r="I766" t="b">
        <v>0</v>
      </c>
      <c r="K766" t="s">
        <v>52</v>
      </c>
      <c r="L766" t="s">
        <v>2174</v>
      </c>
      <c r="O766" s="1">
        <v>46229</v>
      </c>
      <c r="P766" t="s">
        <v>2777</v>
      </c>
      <c r="Q766" t="s">
        <v>2778</v>
      </c>
      <c r="R766" t="s">
        <v>83</v>
      </c>
      <c r="S766" t="b">
        <v>0</v>
      </c>
      <c r="T766" t="b">
        <v>0</v>
      </c>
      <c r="U766" t="s">
        <v>2778</v>
      </c>
      <c r="V766" t="s">
        <v>128</v>
      </c>
      <c r="W766" t="s">
        <v>65</v>
      </c>
      <c r="X766" t="s">
        <v>2765</v>
      </c>
      <c r="Y766" t="s">
        <v>2766</v>
      </c>
      <c r="Z766" t="s">
        <v>2174</v>
      </c>
      <c r="AA766" t="b">
        <f>ISNUMBER(SEARCH(";"&amp;Lessons[[#This Row],[Instrument__c]]&amp;";",";"&amp;_xlfn.XLOOKUP(Lessons[[#This Row],[Instructor_External_Id__c]], Instructors[Id], Instructors[Instruments_Taught__c])&amp;";"))</f>
        <v>1</v>
      </c>
      <c r="AB766" t="str">
        <f>IF(LEFT(Lessons[[#This Row],[Status__c]],9)="Cancelled","",Lessons[[#This Row],[Instructor_External_Id__c]]&amp;"|"&amp;TEXT(Lessons[[#This Row],[Lesson_Date__c]],"yyyy-mm-dd")&amp;"|"&amp;Lessons[[#This Row],[Start_Time__c]])</f>
        <v>a06ak00000amzBgAAI|2026-07-26|18:30:00.000Z</v>
      </c>
      <c r="AC766">
        <f>IF(Lessons[[#This Row],[Double Booked Key]]="","",COUNTIF(Lessons[Double Booked Key],Lessons[[#This Row],[Double Booked Key]]))</f>
        <v>1</v>
      </c>
      <c r="AD766" s="6" t="str">
        <f>_xlfn.XLOOKUP(Lessons[[#This Row],[Location_External_Id__c]], Locations[Location Id], Locations[Location Name])</f>
        <v>Brick</v>
      </c>
      <c r="AE766" s="6" t="str">
        <f>TEXT(Lessons[[#This Row],[Lesson_Date__c]], "yyyy-mm")</f>
        <v>2026-07</v>
      </c>
      <c r="AF766" s="6" t="str">
        <f>IF(Lessons[[#This Row],[Lesson_Date__c]]&lt;=Data_Audit!$F$1, "Yes", "No")</f>
        <v>Yes</v>
      </c>
    </row>
    <row r="767" spans="1:32">
      <c r="A767" t="s">
        <v>52</v>
      </c>
      <c r="B767" t="s">
        <v>53</v>
      </c>
      <c r="C767">
        <v>30</v>
      </c>
      <c r="D767" t="s">
        <v>2779</v>
      </c>
      <c r="E767" t="s">
        <v>76</v>
      </c>
      <c r="F767" t="s">
        <v>77</v>
      </c>
      <c r="H767" t="s">
        <v>392</v>
      </c>
      <c r="I767" t="b">
        <v>0</v>
      </c>
      <c r="K767" t="s">
        <v>52</v>
      </c>
      <c r="L767" t="s">
        <v>2174</v>
      </c>
      <c r="O767" s="1">
        <v>46043</v>
      </c>
      <c r="P767" t="s">
        <v>2780</v>
      </c>
      <c r="Q767" t="s">
        <v>2781</v>
      </c>
      <c r="R767" t="s">
        <v>83</v>
      </c>
      <c r="S767" t="b">
        <v>0</v>
      </c>
      <c r="T767" t="b">
        <v>0</v>
      </c>
      <c r="U767" t="s">
        <v>2781</v>
      </c>
      <c r="V767" t="s">
        <v>135</v>
      </c>
      <c r="W767" t="s">
        <v>121</v>
      </c>
      <c r="X767" t="s">
        <v>2765</v>
      </c>
      <c r="Y767" t="s">
        <v>2766</v>
      </c>
      <c r="Z767" t="s">
        <v>2174</v>
      </c>
      <c r="AA767" t="b">
        <f>ISNUMBER(SEARCH(";"&amp;Lessons[[#This Row],[Instrument__c]]&amp;";",";"&amp;_xlfn.XLOOKUP(Lessons[[#This Row],[Instructor_External_Id__c]], Instructors[Id], Instructors[Instruments_Taught__c])&amp;";"))</f>
        <v>1</v>
      </c>
      <c r="AB767" t="str">
        <f>IF(LEFT(Lessons[[#This Row],[Status__c]],9)="Cancelled","",Lessons[[#This Row],[Instructor_External_Id__c]]&amp;"|"&amp;TEXT(Lessons[[#This Row],[Lesson_Date__c]],"yyyy-mm-dd")&amp;"|"&amp;Lessons[[#This Row],[Start_Time__c]])</f>
        <v>a06ak00000amzBgAAI|2026-01-21|15:30:00.000Z</v>
      </c>
      <c r="AC767">
        <f>IF(Lessons[[#This Row],[Double Booked Key]]="","",COUNTIF(Lessons[Double Booked Key],Lessons[[#This Row],[Double Booked Key]]))</f>
        <v>1</v>
      </c>
      <c r="AD767" s="6" t="str">
        <f>_xlfn.XLOOKUP(Lessons[[#This Row],[Location_External_Id__c]], Locations[Location Id], Locations[Location Name])</f>
        <v>Brick</v>
      </c>
      <c r="AE767" s="6" t="str">
        <f>TEXT(Lessons[[#This Row],[Lesson_Date__c]], "yyyy-mm")</f>
        <v>2026-01</v>
      </c>
      <c r="AF767" s="6" t="str">
        <f>IF(Lessons[[#This Row],[Lesson_Date__c]]&lt;=Data_Audit!$F$1, "Yes", "No")</f>
        <v>Yes</v>
      </c>
    </row>
    <row r="768" spans="1:32">
      <c r="A768" t="s">
        <v>52</v>
      </c>
      <c r="B768" t="s">
        <v>53</v>
      </c>
      <c r="C768">
        <v>45</v>
      </c>
      <c r="D768" t="s">
        <v>2782</v>
      </c>
      <c r="E768" t="s">
        <v>76</v>
      </c>
      <c r="F768" t="s">
        <v>77</v>
      </c>
      <c r="H768" t="s">
        <v>392</v>
      </c>
      <c r="I768" t="b">
        <v>0</v>
      </c>
      <c r="K768" t="s">
        <v>52</v>
      </c>
      <c r="L768" t="s">
        <v>2174</v>
      </c>
      <c r="O768" s="1">
        <v>46257</v>
      </c>
      <c r="P768" t="s">
        <v>2783</v>
      </c>
      <c r="Q768" t="s">
        <v>2784</v>
      </c>
      <c r="R768" t="s">
        <v>83</v>
      </c>
      <c r="S768" t="b">
        <v>0</v>
      </c>
      <c r="T768" t="b">
        <v>0</v>
      </c>
      <c r="U768" t="s">
        <v>2784</v>
      </c>
      <c r="V768" t="s">
        <v>84</v>
      </c>
      <c r="W768" t="s">
        <v>121</v>
      </c>
      <c r="X768" t="s">
        <v>2765</v>
      </c>
      <c r="Y768" t="s">
        <v>2766</v>
      </c>
      <c r="Z768" t="s">
        <v>2174</v>
      </c>
      <c r="AA768" t="b">
        <f>ISNUMBER(SEARCH(";"&amp;Lessons[[#This Row],[Instrument__c]]&amp;";",";"&amp;_xlfn.XLOOKUP(Lessons[[#This Row],[Instructor_External_Id__c]], Instructors[Id], Instructors[Instruments_Taught__c])&amp;";"))</f>
        <v>1</v>
      </c>
      <c r="AB768" t="str">
        <f>IF(LEFT(Lessons[[#This Row],[Status__c]],9)="Cancelled","",Lessons[[#This Row],[Instructor_External_Id__c]]&amp;"|"&amp;TEXT(Lessons[[#This Row],[Lesson_Date__c]],"yyyy-mm-dd")&amp;"|"&amp;Lessons[[#This Row],[Start_Time__c]])</f>
        <v>a06ak00000amzBgAAI|2026-08-23|17:00:00.000Z</v>
      </c>
      <c r="AC768">
        <f>IF(Lessons[[#This Row],[Double Booked Key]]="","",COUNTIF(Lessons[Double Booked Key],Lessons[[#This Row],[Double Booked Key]]))</f>
        <v>1</v>
      </c>
      <c r="AD768" s="6" t="str">
        <f>_xlfn.XLOOKUP(Lessons[[#This Row],[Location_External_Id__c]], Locations[Location Id], Locations[Location Name])</f>
        <v>Brick</v>
      </c>
      <c r="AE768" s="6" t="str">
        <f>TEXT(Lessons[[#This Row],[Lesson_Date__c]], "yyyy-mm")</f>
        <v>2026-08</v>
      </c>
      <c r="AF768" s="6" t="str">
        <f>IF(Lessons[[#This Row],[Lesson_Date__c]]&lt;=Data_Audit!$F$1, "Yes", "No")</f>
        <v>Yes</v>
      </c>
    </row>
    <row r="769" spans="1:32">
      <c r="A769" t="s">
        <v>52</v>
      </c>
      <c r="B769" t="s">
        <v>53</v>
      </c>
      <c r="C769">
        <v>30</v>
      </c>
      <c r="D769" t="s">
        <v>2785</v>
      </c>
      <c r="E769" t="s">
        <v>764</v>
      </c>
      <c r="F769" t="s">
        <v>765</v>
      </c>
      <c r="G769" t="s">
        <v>99</v>
      </c>
      <c r="H769" t="s">
        <v>284</v>
      </c>
      <c r="I769" t="b">
        <v>0</v>
      </c>
      <c r="K769" t="s">
        <v>52</v>
      </c>
      <c r="L769" t="s">
        <v>2174</v>
      </c>
      <c r="O769" s="1">
        <v>46042</v>
      </c>
      <c r="P769" t="s">
        <v>2786</v>
      </c>
      <c r="Q769" t="s">
        <v>2787</v>
      </c>
      <c r="R769" t="s">
        <v>63</v>
      </c>
      <c r="S769" t="b">
        <v>0</v>
      </c>
      <c r="T769" t="b">
        <v>0</v>
      </c>
      <c r="U769" t="s">
        <v>2787</v>
      </c>
      <c r="V769" t="s">
        <v>74</v>
      </c>
      <c r="W769" t="s">
        <v>65</v>
      </c>
      <c r="X769" t="s">
        <v>2788</v>
      </c>
      <c r="Y769" t="s">
        <v>2789</v>
      </c>
      <c r="Z769" t="s">
        <v>2174</v>
      </c>
      <c r="AA769" t="b">
        <f>ISNUMBER(SEARCH(";"&amp;Lessons[[#This Row],[Instrument__c]]&amp;";",";"&amp;_xlfn.XLOOKUP(Lessons[[#This Row],[Instructor_External_Id__c]], Instructors[Id], Instructors[Instruments_Taught__c])&amp;";"))</f>
        <v>1</v>
      </c>
      <c r="AB769" t="str">
        <f>IF(LEFT(Lessons[[#This Row],[Status__c]],9)="Cancelled","",Lessons[[#This Row],[Instructor_External_Id__c]]&amp;"|"&amp;TEXT(Lessons[[#This Row],[Lesson_Date__c]],"yyyy-mm-dd")&amp;"|"&amp;Lessons[[#This Row],[Start_Time__c]])</f>
        <v>a06ak00000amzBnAAI|2026-01-20|16:30:00.000Z</v>
      </c>
      <c r="AC769">
        <f>IF(Lessons[[#This Row],[Double Booked Key]]="","",COUNTIF(Lessons[Double Booked Key],Lessons[[#This Row],[Double Booked Key]]))</f>
        <v>1</v>
      </c>
      <c r="AD769" s="6" t="str">
        <f>_xlfn.XLOOKUP(Lessons[[#This Row],[Location_External_Id__c]], Locations[Location Id], Locations[Location Name])</f>
        <v>Red Bank</v>
      </c>
      <c r="AE769" s="6" t="str">
        <f>TEXT(Lessons[[#This Row],[Lesson_Date__c]], "yyyy-mm")</f>
        <v>2026-01</v>
      </c>
      <c r="AF769" s="6" t="str">
        <f>IF(Lessons[[#This Row],[Lesson_Date__c]]&lt;=Data_Audit!$F$1, "Yes", "No")</f>
        <v>Yes</v>
      </c>
    </row>
    <row r="770" spans="1:32">
      <c r="A770" t="s">
        <v>52</v>
      </c>
      <c r="B770" t="s">
        <v>53</v>
      </c>
      <c r="C770">
        <v>30</v>
      </c>
      <c r="D770" t="s">
        <v>2790</v>
      </c>
      <c r="E770" t="s">
        <v>764</v>
      </c>
      <c r="F770" t="s">
        <v>765</v>
      </c>
      <c r="H770" t="s">
        <v>284</v>
      </c>
      <c r="I770" t="b">
        <v>0</v>
      </c>
      <c r="K770" t="s">
        <v>52</v>
      </c>
      <c r="L770" t="s">
        <v>2174</v>
      </c>
      <c r="O770" s="1">
        <v>46116</v>
      </c>
      <c r="P770" t="s">
        <v>2791</v>
      </c>
      <c r="Q770" t="s">
        <v>2792</v>
      </c>
      <c r="R770" t="s">
        <v>63</v>
      </c>
      <c r="S770" t="b">
        <v>0</v>
      </c>
      <c r="T770" t="b">
        <v>0</v>
      </c>
      <c r="U770" t="s">
        <v>2792</v>
      </c>
      <c r="V770" t="s">
        <v>140</v>
      </c>
      <c r="W770" t="s">
        <v>121</v>
      </c>
      <c r="X770" t="s">
        <v>2788</v>
      </c>
      <c r="Y770" t="s">
        <v>2789</v>
      </c>
      <c r="Z770" t="s">
        <v>2174</v>
      </c>
      <c r="AA770" t="b">
        <f>ISNUMBER(SEARCH(";"&amp;Lessons[[#This Row],[Instrument__c]]&amp;";",";"&amp;_xlfn.XLOOKUP(Lessons[[#This Row],[Instructor_External_Id__c]], Instructors[Id], Instructors[Instruments_Taught__c])&amp;";"))</f>
        <v>1</v>
      </c>
      <c r="AB770" t="str">
        <f>IF(LEFT(Lessons[[#This Row],[Status__c]],9)="Cancelled","",Lessons[[#This Row],[Instructor_External_Id__c]]&amp;"|"&amp;TEXT(Lessons[[#This Row],[Lesson_Date__c]],"yyyy-mm-dd")&amp;"|"&amp;Lessons[[#This Row],[Start_Time__c]])</f>
        <v>a06ak00000amzBnAAI|2026-04-04|15:00:00.000Z</v>
      </c>
      <c r="AC770">
        <f>IF(Lessons[[#This Row],[Double Booked Key]]="","",COUNTIF(Lessons[Double Booked Key],Lessons[[#This Row],[Double Booked Key]]))</f>
        <v>1</v>
      </c>
      <c r="AD770" s="6" t="str">
        <f>_xlfn.XLOOKUP(Lessons[[#This Row],[Location_External_Id__c]], Locations[Location Id], Locations[Location Name])</f>
        <v>Red Bank</v>
      </c>
      <c r="AE770" s="6" t="str">
        <f>TEXT(Lessons[[#This Row],[Lesson_Date__c]], "yyyy-mm")</f>
        <v>2026-04</v>
      </c>
      <c r="AF770" s="6" t="str">
        <f>IF(Lessons[[#This Row],[Lesson_Date__c]]&lt;=Data_Audit!$F$1, "Yes", "No")</f>
        <v>Yes</v>
      </c>
    </row>
    <row r="771" spans="1:32">
      <c r="A771" t="s">
        <v>52</v>
      </c>
      <c r="B771" t="s">
        <v>53</v>
      </c>
      <c r="C771">
        <v>45</v>
      </c>
      <c r="D771" t="s">
        <v>2793</v>
      </c>
      <c r="E771" t="s">
        <v>573</v>
      </c>
      <c r="F771" t="s">
        <v>574</v>
      </c>
      <c r="G771" t="s">
        <v>57</v>
      </c>
      <c r="H771" t="s">
        <v>284</v>
      </c>
      <c r="I771" t="b">
        <v>0</v>
      </c>
      <c r="K771" t="s">
        <v>52</v>
      </c>
      <c r="L771" t="s">
        <v>2174</v>
      </c>
      <c r="O771" s="1">
        <v>46086</v>
      </c>
      <c r="P771" t="s">
        <v>2794</v>
      </c>
      <c r="Q771" t="s">
        <v>2795</v>
      </c>
      <c r="R771" t="s">
        <v>83</v>
      </c>
      <c r="S771" t="b">
        <v>0</v>
      </c>
      <c r="T771" t="b">
        <v>0</v>
      </c>
      <c r="U771" t="s">
        <v>2795</v>
      </c>
      <c r="V771" t="s">
        <v>64</v>
      </c>
      <c r="W771" t="s">
        <v>65</v>
      </c>
      <c r="X771" t="s">
        <v>2796</v>
      </c>
      <c r="Y771" t="s">
        <v>2797</v>
      </c>
      <c r="Z771" t="s">
        <v>2174</v>
      </c>
      <c r="AA771" t="b">
        <f>ISNUMBER(SEARCH(";"&amp;Lessons[[#This Row],[Instrument__c]]&amp;";",";"&amp;_xlfn.XLOOKUP(Lessons[[#This Row],[Instructor_External_Id__c]], Instructors[Id], Instructors[Instruments_Taught__c])&amp;";"))</f>
        <v>1</v>
      </c>
      <c r="AB771" t="str">
        <f>IF(LEFT(Lessons[[#This Row],[Status__c]],9)="Cancelled","",Lessons[[#This Row],[Instructor_External_Id__c]]&amp;"|"&amp;TEXT(Lessons[[#This Row],[Lesson_Date__c]],"yyyy-mm-dd")&amp;"|"&amp;Lessons[[#This Row],[Start_Time__c]])</f>
        <v>a06ak00000amzCCAAY|2026-03-05|11:00:00.000Z</v>
      </c>
      <c r="AC771">
        <f>IF(Lessons[[#This Row],[Double Booked Key]]="","",COUNTIF(Lessons[Double Booked Key],Lessons[[#This Row],[Double Booked Key]]))</f>
        <v>1</v>
      </c>
      <c r="AD771" s="6" t="str">
        <f>_xlfn.XLOOKUP(Lessons[[#This Row],[Location_External_Id__c]], Locations[Location Id], Locations[Location Name])</f>
        <v>Brick</v>
      </c>
      <c r="AE771" s="6" t="str">
        <f>TEXT(Lessons[[#This Row],[Lesson_Date__c]], "yyyy-mm")</f>
        <v>2026-03</v>
      </c>
      <c r="AF771" s="6" t="str">
        <f>IF(Lessons[[#This Row],[Lesson_Date__c]]&lt;=Data_Audit!$F$1, "Yes", "No")</f>
        <v>Yes</v>
      </c>
    </row>
    <row r="772" spans="1:32">
      <c r="A772" t="s">
        <v>52</v>
      </c>
      <c r="B772" t="s">
        <v>53</v>
      </c>
      <c r="C772">
        <v>30</v>
      </c>
      <c r="D772" t="s">
        <v>2798</v>
      </c>
      <c r="E772" t="s">
        <v>573</v>
      </c>
      <c r="F772" t="s">
        <v>574</v>
      </c>
      <c r="G772" t="s">
        <v>164</v>
      </c>
      <c r="H772" t="s">
        <v>284</v>
      </c>
      <c r="I772" t="b">
        <v>0</v>
      </c>
      <c r="K772" t="s">
        <v>52</v>
      </c>
      <c r="L772" t="s">
        <v>2174</v>
      </c>
      <c r="O772" s="1">
        <v>46138</v>
      </c>
      <c r="P772" t="s">
        <v>2799</v>
      </c>
      <c r="Q772" t="s">
        <v>2800</v>
      </c>
      <c r="R772" t="s">
        <v>83</v>
      </c>
      <c r="S772" t="b">
        <v>0</v>
      </c>
      <c r="T772" t="b">
        <v>0</v>
      </c>
      <c r="U772" t="s">
        <v>2800</v>
      </c>
      <c r="V772" t="s">
        <v>64</v>
      </c>
      <c r="W772" t="s">
        <v>65</v>
      </c>
      <c r="X772" t="s">
        <v>2796</v>
      </c>
      <c r="Y772" t="s">
        <v>2797</v>
      </c>
      <c r="Z772" t="s">
        <v>2174</v>
      </c>
      <c r="AA772" t="b">
        <f>ISNUMBER(SEARCH(";"&amp;Lessons[[#This Row],[Instrument__c]]&amp;";",";"&amp;_xlfn.XLOOKUP(Lessons[[#This Row],[Instructor_External_Id__c]], Instructors[Id], Instructors[Instruments_Taught__c])&amp;";"))</f>
        <v>1</v>
      </c>
      <c r="AB772" t="str">
        <f>IF(LEFT(Lessons[[#This Row],[Status__c]],9)="Cancelled","",Lessons[[#This Row],[Instructor_External_Id__c]]&amp;"|"&amp;TEXT(Lessons[[#This Row],[Lesson_Date__c]],"yyyy-mm-dd")&amp;"|"&amp;Lessons[[#This Row],[Start_Time__c]])</f>
        <v>a06ak00000amzCCAAY|2026-04-26|11:00:00.000Z</v>
      </c>
      <c r="AC772">
        <f>IF(Lessons[[#This Row],[Double Booked Key]]="","",COUNTIF(Lessons[Double Booked Key],Lessons[[#This Row],[Double Booked Key]]))</f>
        <v>1</v>
      </c>
      <c r="AD772" s="6" t="str">
        <f>_xlfn.XLOOKUP(Lessons[[#This Row],[Location_External_Id__c]], Locations[Location Id], Locations[Location Name])</f>
        <v>Brick</v>
      </c>
      <c r="AE772" s="6" t="str">
        <f>TEXT(Lessons[[#This Row],[Lesson_Date__c]], "yyyy-mm")</f>
        <v>2026-04</v>
      </c>
      <c r="AF772" s="6" t="str">
        <f>IF(Lessons[[#This Row],[Lesson_Date__c]]&lt;=Data_Audit!$F$1, "Yes", "No")</f>
        <v>Yes</v>
      </c>
    </row>
    <row r="773" spans="1:32">
      <c r="A773" t="s">
        <v>52</v>
      </c>
      <c r="B773" t="s">
        <v>53</v>
      </c>
      <c r="C773">
        <v>30</v>
      </c>
      <c r="D773" t="s">
        <v>2801</v>
      </c>
      <c r="E773" t="s">
        <v>573</v>
      </c>
      <c r="F773" t="s">
        <v>574</v>
      </c>
      <c r="G773" t="s">
        <v>99</v>
      </c>
      <c r="H773" t="s">
        <v>284</v>
      </c>
      <c r="I773" t="b">
        <v>0</v>
      </c>
      <c r="K773" t="s">
        <v>52</v>
      </c>
      <c r="L773" t="s">
        <v>2174</v>
      </c>
      <c r="O773" s="1">
        <v>46190</v>
      </c>
      <c r="P773" t="s">
        <v>2802</v>
      </c>
      <c r="Q773" t="s">
        <v>2803</v>
      </c>
      <c r="R773" t="s">
        <v>83</v>
      </c>
      <c r="S773" t="b">
        <v>0</v>
      </c>
      <c r="T773" t="b">
        <v>0</v>
      </c>
      <c r="U773" t="s">
        <v>2803</v>
      </c>
      <c r="V773" t="s">
        <v>110</v>
      </c>
      <c r="W773" t="s">
        <v>65</v>
      </c>
      <c r="X773" t="s">
        <v>2796</v>
      </c>
      <c r="Y773" t="s">
        <v>2797</v>
      </c>
      <c r="Z773" t="s">
        <v>2174</v>
      </c>
      <c r="AA773" t="b">
        <f>ISNUMBER(SEARCH(";"&amp;Lessons[[#This Row],[Instrument__c]]&amp;";",";"&amp;_xlfn.XLOOKUP(Lessons[[#This Row],[Instructor_External_Id__c]], Instructors[Id], Instructors[Instruments_Taught__c])&amp;";"))</f>
        <v>1</v>
      </c>
      <c r="AB773" t="str">
        <f>IF(LEFT(Lessons[[#This Row],[Status__c]],9)="Cancelled","",Lessons[[#This Row],[Instructor_External_Id__c]]&amp;"|"&amp;TEXT(Lessons[[#This Row],[Lesson_Date__c]],"yyyy-mm-dd")&amp;"|"&amp;Lessons[[#This Row],[Start_Time__c]])</f>
        <v>a06ak00000amzCCAAY|2026-06-17|10:00:00.000Z</v>
      </c>
      <c r="AC773">
        <f>IF(Lessons[[#This Row],[Double Booked Key]]="","",COUNTIF(Lessons[Double Booked Key],Lessons[[#This Row],[Double Booked Key]]))</f>
        <v>1</v>
      </c>
      <c r="AD773" s="6" t="str">
        <f>_xlfn.XLOOKUP(Lessons[[#This Row],[Location_External_Id__c]], Locations[Location Id], Locations[Location Name])</f>
        <v>Brick</v>
      </c>
      <c r="AE773" s="6" t="str">
        <f>TEXT(Lessons[[#This Row],[Lesson_Date__c]], "yyyy-mm")</f>
        <v>2026-06</v>
      </c>
      <c r="AF773" s="6" t="str">
        <f>IF(Lessons[[#This Row],[Lesson_Date__c]]&lt;=Data_Audit!$F$1, "Yes", "No")</f>
        <v>Yes</v>
      </c>
    </row>
    <row r="774" spans="1:32">
      <c r="A774" t="s">
        <v>52</v>
      </c>
      <c r="B774" t="s">
        <v>53</v>
      </c>
      <c r="C774">
        <v>30</v>
      </c>
      <c r="D774" t="s">
        <v>2804</v>
      </c>
      <c r="E774" t="s">
        <v>573</v>
      </c>
      <c r="F774" t="s">
        <v>574</v>
      </c>
      <c r="G774" t="s">
        <v>106</v>
      </c>
      <c r="H774" t="s">
        <v>284</v>
      </c>
      <c r="I774" t="b">
        <v>0</v>
      </c>
      <c r="K774" t="s">
        <v>52</v>
      </c>
      <c r="L774" t="s">
        <v>2174</v>
      </c>
      <c r="O774" s="1">
        <v>46176</v>
      </c>
      <c r="P774" t="s">
        <v>2805</v>
      </c>
      <c r="Q774" t="s">
        <v>2806</v>
      </c>
      <c r="R774" t="s">
        <v>83</v>
      </c>
      <c r="S774" t="b">
        <v>0</v>
      </c>
      <c r="T774" t="b">
        <v>0</v>
      </c>
      <c r="U774" t="s">
        <v>2806</v>
      </c>
      <c r="V774" t="s">
        <v>94</v>
      </c>
      <c r="W774" t="s">
        <v>65</v>
      </c>
      <c r="X774" t="s">
        <v>2796</v>
      </c>
      <c r="Y774" t="s">
        <v>2797</v>
      </c>
      <c r="Z774" t="s">
        <v>2174</v>
      </c>
      <c r="AA774" t="b">
        <f>ISNUMBER(SEARCH(";"&amp;Lessons[[#This Row],[Instrument__c]]&amp;";",";"&amp;_xlfn.XLOOKUP(Lessons[[#This Row],[Instructor_External_Id__c]], Instructors[Id], Instructors[Instruments_Taught__c])&amp;";"))</f>
        <v>1</v>
      </c>
      <c r="AB774" t="str">
        <f>IF(LEFT(Lessons[[#This Row],[Status__c]],9)="Cancelled","",Lessons[[#This Row],[Instructor_External_Id__c]]&amp;"|"&amp;TEXT(Lessons[[#This Row],[Lesson_Date__c]],"yyyy-mm-dd")&amp;"|"&amp;Lessons[[#This Row],[Start_Time__c]])</f>
        <v>a06ak00000amzCCAAY|2026-06-03|19:00:00.000Z</v>
      </c>
      <c r="AC774">
        <f>IF(Lessons[[#This Row],[Double Booked Key]]="","",COUNTIF(Lessons[Double Booked Key],Lessons[[#This Row],[Double Booked Key]]))</f>
        <v>1</v>
      </c>
      <c r="AD774" s="6" t="str">
        <f>_xlfn.XLOOKUP(Lessons[[#This Row],[Location_External_Id__c]], Locations[Location Id], Locations[Location Name])</f>
        <v>Brick</v>
      </c>
      <c r="AE774" s="6" t="str">
        <f>TEXT(Lessons[[#This Row],[Lesson_Date__c]], "yyyy-mm")</f>
        <v>2026-06</v>
      </c>
      <c r="AF774" s="6" t="str">
        <f>IF(Lessons[[#This Row],[Lesson_Date__c]]&lt;=Data_Audit!$F$1, "Yes", "No")</f>
        <v>Yes</v>
      </c>
    </row>
    <row r="775" spans="1:32">
      <c r="A775" t="s">
        <v>52</v>
      </c>
      <c r="B775" t="s">
        <v>53</v>
      </c>
      <c r="C775">
        <v>60</v>
      </c>
      <c r="D775" t="s">
        <v>2807</v>
      </c>
      <c r="E775" t="s">
        <v>573</v>
      </c>
      <c r="F775" t="s">
        <v>574</v>
      </c>
      <c r="G775" t="s">
        <v>57</v>
      </c>
      <c r="H775" t="s">
        <v>284</v>
      </c>
      <c r="I775" t="b">
        <v>0</v>
      </c>
      <c r="K775" t="s">
        <v>52</v>
      </c>
      <c r="L775" t="s">
        <v>2174</v>
      </c>
      <c r="O775" s="1">
        <v>46171</v>
      </c>
      <c r="P775" t="s">
        <v>2808</v>
      </c>
      <c r="Q775" t="s">
        <v>2809</v>
      </c>
      <c r="R775" t="s">
        <v>83</v>
      </c>
      <c r="S775" t="b">
        <v>0</v>
      </c>
      <c r="T775" t="b">
        <v>0</v>
      </c>
      <c r="U775" t="s">
        <v>2809</v>
      </c>
      <c r="V775" t="s">
        <v>116</v>
      </c>
      <c r="W775" t="s">
        <v>65</v>
      </c>
      <c r="X775" t="s">
        <v>2796</v>
      </c>
      <c r="Y775" t="s">
        <v>2797</v>
      </c>
      <c r="Z775" t="s">
        <v>2174</v>
      </c>
      <c r="AA775" t="b">
        <f>ISNUMBER(SEARCH(";"&amp;Lessons[[#This Row],[Instrument__c]]&amp;";",";"&amp;_xlfn.XLOOKUP(Lessons[[#This Row],[Instructor_External_Id__c]], Instructors[Id], Instructors[Instruments_Taught__c])&amp;";"))</f>
        <v>1</v>
      </c>
      <c r="AB775" t="str">
        <f>IF(LEFT(Lessons[[#This Row],[Status__c]],9)="Cancelled","",Lessons[[#This Row],[Instructor_External_Id__c]]&amp;"|"&amp;TEXT(Lessons[[#This Row],[Lesson_Date__c]],"yyyy-mm-dd")&amp;"|"&amp;Lessons[[#This Row],[Start_Time__c]])</f>
        <v>a06ak00000amzCCAAY|2026-05-29|17:30:00.000Z</v>
      </c>
      <c r="AC775">
        <f>IF(Lessons[[#This Row],[Double Booked Key]]="","",COUNTIF(Lessons[Double Booked Key],Lessons[[#This Row],[Double Booked Key]]))</f>
        <v>1</v>
      </c>
      <c r="AD775" s="6" t="str">
        <f>_xlfn.XLOOKUP(Lessons[[#This Row],[Location_External_Id__c]], Locations[Location Id], Locations[Location Name])</f>
        <v>Brick</v>
      </c>
      <c r="AE775" s="6" t="str">
        <f>TEXT(Lessons[[#This Row],[Lesson_Date__c]], "yyyy-mm")</f>
        <v>2026-05</v>
      </c>
      <c r="AF775" s="6" t="str">
        <f>IF(Lessons[[#This Row],[Lesson_Date__c]]&lt;=Data_Audit!$F$1, "Yes", "No")</f>
        <v>Yes</v>
      </c>
    </row>
    <row r="776" spans="1:32">
      <c r="A776" t="s">
        <v>52</v>
      </c>
      <c r="B776" t="s">
        <v>53</v>
      </c>
      <c r="C776">
        <v>30</v>
      </c>
      <c r="D776" t="s">
        <v>2810</v>
      </c>
      <c r="E776" t="s">
        <v>573</v>
      </c>
      <c r="F776" t="s">
        <v>574</v>
      </c>
      <c r="G776" t="s">
        <v>69</v>
      </c>
      <c r="H776" t="s">
        <v>284</v>
      </c>
      <c r="I776" t="b">
        <v>0</v>
      </c>
      <c r="K776" t="s">
        <v>52</v>
      </c>
      <c r="L776" t="s">
        <v>2174</v>
      </c>
      <c r="O776" s="1">
        <v>46295</v>
      </c>
      <c r="P776" t="s">
        <v>2811</v>
      </c>
      <c r="Q776" t="s">
        <v>2812</v>
      </c>
      <c r="R776" t="s">
        <v>83</v>
      </c>
      <c r="S776" t="b">
        <v>0</v>
      </c>
      <c r="T776" t="b">
        <v>0</v>
      </c>
      <c r="U776" t="s">
        <v>2812</v>
      </c>
      <c r="V776" t="s">
        <v>110</v>
      </c>
      <c r="W776" t="s">
        <v>65</v>
      </c>
      <c r="X776" t="s">
        <v>2796</v>
      </c>
      <c r="Y776" t="s">
        <v>2797</v>
      </c>
      <c r="Z776" t="s">
        <v>2174</v>
      </c>
      <c r="AA776" t="b">
        <f>ISNUMBER(SEARCH(";"&amp;Lessons[[#This Row],[Instrument__c]]&amp;";",";"&amp;_xlfn.XLOOKUP(Lessons[[#This Row],[Instructor_External_Id__c]], Instructors[Id], Instructors[Instruments_Taught__c])&amp;";"))</f>
        <v>1</v>
      </c>
      <c r="AB776" t="str">
        <f>IF(LEFT(Lessons[[#This Row],[Status__c]],9)="Cancelled","",Lessons[[#This Row],[Instructor_External_Id__c]]&amp;"|"&amp;TEXT(Lessons[[#This Row],[Lesson_Date__c]],"yyyy-mm-dd")&amp;"|"&amp;Lessons[[#This Row],[Start_Time__c]])</f>
        <v>a06ak00000amzCCAAY|2026-09-30|10:00:00.000Z</v>
      </c>
      <c r="AC776">
        <f>IF(Lessons[[#This Row],[Double Booked Key]]="","",COUNTIF(Lessons[Double Booked Key],Lessons[[#This Row],[Double Booked Key]]))</f>
        <v>1</v>
      </c>
      <c r="AD776" s="6" t="str">
        <f>_xlfn.XLOOKUP(Lessons[[#This Row],[Location_External_Id__c]], Locations[Location Id], Locations[Location Name])</f>
        <v>Brick</v>
      </c>
      <c r="AE776" s="6" t="str">
        <f>TEXT(Lessons[[#This Row],[Lesson_Date__c]], "yyyy-mm")</f>
        <v>2026-09</v>
      </c>
      <c r="AF776" s="6" t="str">
        <f>IF(Lessons[[#This Row],[Lesson_Date__c]]&lt;=Data_Audit!$F$1, "Yes", "No")</f>
        <v>Yes</v>
      </c>
    </row>
    <row r="777" spans="1:32">
      <c r="A777" t="s">
        <v>52</v>
      </c>
      <c r="B777" t="s">
        <v>53</v>
      </c>
      <c r="C777">
        <v>30</v>
      </c>
      <c r="D777" t="s">
        <v>2813</v>
      </c>
      <c r="E777" t="s">
        <v>282</v>
      </c>
      <c r="F777" t="s">
        <v>283</v>
      </c>
      <c r="G777" t="s">
        <v>99</v>
      </c>
      <c r="H777" t="s">
        <v>284</v>
      </c>
      <c r="I777" t="b">
        <v>0</v>
      </c>
      <c r="K777" t="s">
        <v>52</v>
      </c>
      <c r="L777" t="s">
        <v>2174</v>
      </c>
      <c r="O777" s="1">
        <v>46260</v>
      </c>
      <c r="P777" t="s">
        <v>2814</v>
      </c>
      <c r="Q777" t="s">
        <v>2815</v>
      </c>
      <c r="R777" t="s">
        <v>83</v>
      </c>
      <c r="S777" t="b">
        <v>0</v>
      </c>
      <c r="T777" t="b">
        <v>0</v>
      </c>
      <c r="U777" t="s">
        <v>2815</v>
      </c>
      <c r="V777" t="s">
        <v>128</v>
      </c>
      <c r="W777" t="s">
        <v>65</v>
      </c>
      <c r="X777" t="s">
        <v>2816</v>
      </c>
      <c r="Y777" t="s">
        <v>2817</v>
      </c>
      <c r="Z777" t="s">
        <v>2174</v>
      </c>
      <c r="AA777" t="b">
        <f>ISNUMBER(SEARCH(";"&amp;Lessons[[#This Row],[Instrument__c]]&amp;";",";"&amp;_xlfn.XLOOKUP(Lessons[[#This Row],[Instructor_External_Id__c]], Instructors[Id], Instructors[Instruments_Taught__c])&amp;";"))</f>
        <v>1</v>
      </c>
      <c r="AB777" t="str">
        <f>IF(LEFT(Lessons[[#This Row],[Status__c]],9)="Cancelled","",Lessons[[#This Row],[Instructor_External_Id__c]]&amp;"|"&amp;TEXT(Lessons[[#This Row],[Lesson_Date__c]],"yyyy-mm-dd")&amp;"|"&amp;Lessons[[#This Row],[Start_Time__c]])</f>
        <v>a06ak00000amzBxAAI|2026-08-26|18:30:00.000Z</v>
      </c>
      <c r="AC777">
        <f>IF(Lessons[[#This Row],[Double Booked Key]]="","",COUNTIF(Lessons[Double Booked Key],Lessons[[#This Row],[Double Booked Key]]))</f>
        <v>1</v>
      </c>
      <c r="AD777" s="6" t="str">
        <f>_xlfn.XLOOKUP(Lessons[[#This Row],[Location_External_Id__c]], Locations[Location Id], Locations[Location Name])</f>
        <v>Brick</v>
      </c>
      <c r="AE777" s="6" t="str">
        <f>TEXT(Lessons[[#This Row],[Lesson_Date__c]], "yyyy-mm")</f>
        <v>2026-08</v>
      </c>
      <c r="AF777" s="6" t="str">
        <f>IF(Lessons[[#This Row],[Lesson_Date__c]]&lt;=Data_Audit!$F$1, "Yes", "No")</f>
        <v>Yes</v>
      </c>
    </row>
    <row r="778" spans="1:32">
      <c r="A778" t="s">
        <v>52</v>
      </c>
      <c r="B778" t="s">
        <v>53</v>
      </c>
      <c r="C778">
        <v>30</v>
      </c>
      <c r="D778" t="s">
        <v>2818</v>
      </c>
      <c r="E778" t="s">
        <v>282</v>
      </c>
      <c r="F778" t="s">
        <v>283</v>
      </c>
      <c r="G778" t="s">
        <v>106</v>
      </c>
      <c r="H778" t="s">
        <v>284</v>
      </c>
      <c r="I778" t="b">
        <v>0</v>
      </c>
      <c r="K778" t="s">
        <v>52</v>
      </c>
      <c r="L778" t="s">
        <v>2174</v>
      </c>
      <c r="O778" s="1">
        <v>46075</v>
      </c>
      <c r="P778" t="s">
        <v>2819</v>
      </c>
      <c r="Q778" t="s">
        <v>2820</v>
      </c>
      <c r="R778" t="s">
        <v>83</v>
      </c>
      <c r="S778" t="b">
        <v>0</v>
      </c>
      <c r="T778" t="b">
        <v>0</v>
      </c>
      <c r="U778" t="s">
        <v>2820</v>
      </c>
      <c r="V778" t="s">
        <v>128</v>
      </c>
      <c r="W778" t="s">
        <v>65</v>
      </c>
      <c r="X778" t="s">
        <v>2816</v>
      </c>
      <c r="Y778" t="s">
        <v>2817</v>
      </c>
      <c r="Z778" t="s">
        <v>2174</v>
      </c>
      <c r="AA778" t="b">
        <f>ISNUMBER(SEARCH(";"&amp;Lessons[[#This Row],[Instrument__c]]&amp;";",";"&amp;_xlfn.XLOOKUP(Lessons[[#This Row],[Instructor_External_Id__c]], Instructors[Id], Instructors[Instruments_Taught__c])&amp;";"))</f>
        <v>1</v>
      </c>
      <c r="AB778" t="str">
        <f>IF(LEFT(Lessons[[#This Row],[Status__c]],9)="Cancelled","",Lessons[[#This Row],[Instructor_External_Id__c]]&amp;"|"&amp;TEXT(Lessons[[#This Row],[Lesson_Date__c]],"yyyy-mm-dd")&amp;"|"&amp;Lessons[[#This Row],[Start_Time__c]])</f>
        <v>a06ak00000amzBxAAI|2026-02-22|18:30:00.000Z</v>
      </c>
      <c r="AC778">
        <f>IF(Lessons[[#This Row],[Double Booked Key]]="","",COUNTIF(Lessons[Double Booked Key],Lessons[[#This Row],[Double Booked Key]]))</f>
        <v>1</v>
      </c>
      <c r="AD778" s="6" t="str">
        <f>_xlfn.XLOOKUP(Lessons[[#This Row],[Location_External_Id__c]], Locations[Location Id], Locations[Location Name])</f>
        <v>Brick</v>
      </c>
      <c r="AE778" s="6" t="str">
        <f>TEXT(Lessons[[#This Row],[Lesson_Date__c]], "yyyy-mm")</f>
        <v>2026-02</v>
      </c>
      <c r="AF778" s="6" t="str">
        <f>IF(Lessons[[#This Row],[Lesson_Date__c]]&lt;=Data_Audit!$F$1, "Yes", "No")</f>
        <v>Yes</v>
      </c>
    </row>
    <row r="779" spans="1:32">
      <c r="A779" t="s">
        <v>52</v>
      </c>
      <c r="B779" t="s">
        <v>53</v>
      </c>
      <c r="C779">
        <v>30</v>
      </c>
      <c r="D779" t="s">
        <v>2821</v>
      </c>
      <c r="E779" t="s">
        <v>282</v>
      </c>
      <c r="F779" t="s">
        <v>283</v>
      </c>
      <c r="H779" t="s">
        <v>284</v>
      </c>
      <c r="I779" t="b">
        <v>0</v>
      </c>
      <c r="K779" t="s">
        <v>52</v>
      </c>
      <c r="L779" t="s">
        <v>2174</v>
      </c>
      <c r="O779" s="1">
        <v>46117</v>
      </c>
      <c r="P779" t="s">
        <v>2822</v>
      </c>
      <c r="Q779" t="s">
        <v>2823</v>
      </c>
      <c r="R779" t="s">
        <v>83</v>
      </c>
      <c r="S779" t="b">
        <v>0</v>
      </c>
      <c r="T779" t="b">
        <v>0</v>
      </c>
      <c r="U779" t="s">
        <v>2823</v>
      </c>
      <c r="V779" t="s">
        <v>140</v>
      </c>
      <c r="W779" t="s">
        <v>121</v>
      </c>
      <c r="X779" t="s">
        <v>2816</v>
      </c>
      <c r="Y779" t="s">
        <v>2817</v>
      </c>
      <c r="Z779" t="s">
        <v>2174</v>
      </c>
      <c r="AA779" t="b">
        <f>ISNUMBER(SEARCH(";"&amp;Lessons[[#This Row],[Instrument__c]]&amp;";",";"&amp;_xlfn.XLOOKUP(Lessons[[#This Row],[Instructor_External_Id__c]], Instructors[Id], Instructors[Instruments_Taught__c])&amp;";"))</f>
        <v>1</v>
      </c>
      <c r="AB779" t="str">
        <f>IF(LEFT(Lessons[[#This Row],[Status__c]],9)="Cancelled","",Lessons[[#This Row],[Instructor_External_Id__c]]&amp;"|"&amp;TEXT(Lessons[[#This Row],[Lesson_Date__c]],"yyyy-mm-dd")&amp;"|"&amp;Lessons[[#This Row],[Start_Time__c]])</f>
        <v>a06ak00000amzBxAAI|2026-04-05|15:00:00.000Z</v>
      </c>
      <c r="AC779">
        <f>IF(Lessons[[#This Row],[Double Booked Key]]="","",COUNTIF(Lessons[Double Booked Key],Lessons[[#This Row],[Double Booked Key]]))</f>
        <v>1</v>
      </c>
      <c r="AD779" s="6" t="str">
        <f>_xlfn.XLOOKUP(Lessons[[#This Row],[Location_External_Id__c]], Locations[Location Id], Locations[Location Name])</f>
        <v>Brick</v>
      </c>
      <c r="AE779" s="6" t="str">
        <f>TEXT(Lessons[[#This Row],[Lesson_Date__c]], "yyyy-mm")</f>
        <v>2026-04</v>
      </c>
      <c r="AF779" s="6" t="str">
        <f>IF(Lessons[[#This Row],[Lesson_Date__c]]&lt;=Data_Audit!$F$1, "Yes", "No")</f>
        <v>Yes</v>
      </c>
    </row>
    <row r="780" spans="1:32">
      <c r="A780" t="s">
        <v>52</v>
      </c>
      <c r="B780" t="s">
        <v>53</v>
      </c>
      <c r="C780">
        <v>30</v>
      </c>
      <c r="D780" t="s">
        <v>2824</v>
      </c>
      <c r="E780" t="s">
        <v>282</v>
      </c>
      <c r="F780" t="s">
        <v>283</v>
      </c>
      <c r="H780" t="s">
        <v>284</v>
      </c>
      <c r="I780" t="b">
        <v>0</v>
      </c>
      <c r="K780" t="s">
        <v>52</v>
      </c>
      <c r="L780" t="s">
        <v>2174</v>
      </c>
      <c r="O780" s="1">
        <v>46291</v>
      </c>
      <c r="P780" t="s">
        <v>2825</v>
      </c>
      <c r="Q780" t="s">
        <v>2826</v>
      </c>
      <c r="R780" t="s">
        <v>83</v>
      </c>
      <c r="S780" t="b">
        <v>0</v>
      </c>
      <c r="T780" t="b">
        <v>0</v>
      </c>
      <c r="U780" t="s">
        <v>2826</v>
      </c>
      <c r="V780" t="s">
        <v>74</v>
      </c>
      <c r="W780" t="s">
        <v>121</v>
      </c>
      <c r="X780" t="s">
        <v>2816</v>
      </c>
      <c r="Y780" t="s">
        <v>2817</v>
      </c>
      <c r="Z780" t="s">
        <v>2174</v>
      </c>
      <c r="AA780" t="b">
        <f>ISNUMBER(SEARCH(";"&amp;Lessons[[#This Row],[Instrument__c]]&amp;";",";"&amp;_xlfn.XLOOKUP(Lessons[[#This Row],[Instructor_External_Id__c]], Instructors[Id], Instructors[Instruments_Taught__c])&amp;";"))</f>
        <v>1</v>
      </c>
      <c r="AB780" t="str">
        <f>IF(LEFT(Lessons[[#This Row],[Status__c]],9)="Cancelled","",Lessons[[#This Row],[Instructor_External_Id__c]]&amp;"|"&amp;TEXT(Lessons[[#This Row],[Lesson_Date__c]],"yyyy-mm-dd")&amp;"|"&amp;Lessons[[#This Row],[Start_Time__c]])</f>
        <v>a06ak00000amzBxAAI|2026-09-26|16:30:00.000Z</v>
      </c>
      <c r="AC780">
        <f>IF(Lessons[[#This Row],[Double Booked Key]]="","",COUNTIF(Lessons[Double Booked Key],Lessons[[#This Row],[Double Booked Key]]))</f>
        <v>1</v>
      </c>
      <c r="AD780" s="6" t="str">
        <f>_xlfn.XLOOKUP(Lessons[[#This Row],[Location_External_Id__c]], Locations[Location Id], Locations[Location Name])</f>
        <v>Brick</v>
      </c>
      <c r="AE780" s="6" t="str">
        <f>TEXT(Lessons[[#This Row],[Lesson_Date__c]], "yyyy-mm")</f>
        <v>2026-09</v>
      </c>
      <c r="AF780" s="6" t="str">
        <f>IF(Lessons[[#This Row],[Lesson_Date__c]]&lt;=Data_Audit!$F$1, "Yes", "No")</f>
        <v>Yes</v>
      </c>
    </row>
    <row r="781" spans="1:32">
      <c r="A781" t="s">
        <v>52</v>
      </c>
      <c r="B781" t="s">
        <v>53</v>
      </c>
      <c r="C781">
        <v>30</v>
      </c>
      <c r="D781" t="s">
        <v>2827</v>
      </c>
      <c r="E781" t="s">
        <v>804</v>
      </c>
      <c r="F781" t="s">
        <v>805</v>
      </c>
      <c r="H781" t="s">
        <v>147</v>
      </c>
      <c r="I781" t="b">
        <v>0</v>
      </c>
      <c r="K781" t="s">
        <v>52</v>
      </c>
      <c r="L781" t="s">
        <v>2174</v>
      </c>
      <c r="O781" s="1">
        <v>46036</v>
      </c>
      <c r="P781" t="s">
        <v>2828</v>
      </c>
      <c r="Q781" t="s">
        <v>2829</v>
      </c>
      <c r="R781" t="s">
        <v>63</v>
      </c>
      <c r="S781" t="b">
        <v>0</v>
      </c>
      <c r="T781" t="b">
        <v>0</v>
      </c>
      <c r="U781" t="s">
        <v>2829</v>
      </c>
      <c r="V781" t="s">
        <v>102</v>
      </c>
      <c r="W781" t="s">
        <v>121</v>
      </c>
      <c r="X781" t="s">
        <v>2830</v>
      </c>
      <c r="Y781" t="s">
        <v>2831</v>
      </c>
      <c r="Z781" t="s">
        <v>2174</v>
      </c>
      <c r="AA781" t="b">
        <f>ISNUMBER(SEARCH(";"&amp;Lessons[[#This Row],[Instrument__c]]&amp;";",";"&amp;_xlfn.XLOOKUP(Lessons[[#This Row],[Instructor_External_Id__c]], Instructors[Id], Instructors[Instruments_Taught__c])&amp;";"))</f>
        <v>1</v>
      </c>
      <c r="AB781" t="str">
        <f>IF(LEFT(Lessons[[#This Row],[Status__c]],9)="Cancelled","",Lessons[[#This Row],[Instructor_External_Id__c]]&amp;"|"&amp;TEXT(Lessons[[#This Row],[Lesson_Date__c]],"yyyy-mm-dd")&amp;"|"&amp;Lessons[[#This Row],[Start_Time__c]])</f>
        <v>a06ak00000amzCBAAY|2026-01-14|16:00:00.000Z</v>
      </c>
      <c r="AC781">
        <f>IF(Lessons[[#This Row],[Double Booked Key]]="","",COUNTIF(Lessons[Double Booked Key],Lessons[[#This Row],[Double Booked Key]]))</f>
        <v>1</v>
      </c>
      <c r="AD781" s="6" t="str">
        <f>_xlfn.XLOOKUP(Lessons[[#This Row],[Location_External_Id__c]], Locations[Location Id], Locations[Location Name])</f>
        <v>Red Bank</v>
      </c>
      <c r="AE781" s="6" t="str">
        <f>TEXT(Lessons[[#This Row],[Lesson_Date__c]], "yyyy-mm")</f>
        <v>2026-01</v>
      </c>
      <c r="AF781" s="6" t="str">
        <f>IF(Lessons[[#This Row],[Lesson_Date__c]]&lt;=Data_Audit!$F$1, "Yes", "No")</f>
        <v>Yes</v>
      </c>
    </row>
    <row r="782" spans="1:32">
      <c r="A782" t="s">
        <v>52</v>
      </c>
      <c r="B782" t="s">
        <v>53</v>
      </c>
      <c r="C782">
        <v>30</v>
      </c>
      <c r="D782" t="s">
        <v>2832</v>
      </c>
      <c r="E782" t="s">
        <v>804</v>
      </c>
      <c r="F782" t="s">
        <v>805</v>
      </c>
      <c r="G782" t="s">
        <v>106</v>
      </c>
      <c r="H782" t="s">
        <v>147</v>
      </c>
      <c r="I782" t="b">
        <v>0</v>
      </c>
      <c r="K782" t="s">
        <v>52</v>
      </c>
      <c r="L782" t="s">
        <v>2174</v>
      </c>
      <c r="O782" s="1">
        <v>46282</v>
      </c>
      <c r="P782" t="s">
        <v>2833</v>
      </c>
      <c r="Q782" t="s">
        <v>2834</v>
      </c>
      <c r="R782" t="s">
        <v>63</v>
      </c>
      <c r="S782" t="b">
        <v>0</v>
      </c>
      <c r="T782" t="b">
        <v>0</v>
      </c>
      <c r="U782" t="s">
        <v>2834</v>
      </c>
      <c r="V782" t="s">
        <v>135</v>
      </c>
      <c r="W782" t="s">
        <v>65</v>
      </c>
      <c r="X782" t="s">
        <v>2830</v>
      </c>
      <c r="Y782" t="s">
        <v>2831</v>
      </c>
      <c r="Z782" t="s">
        <v>2174</v>
      </c>
      <c r="AA782" t="b">
        <f>ISNUMBER(SEARCH(";"&amp;Lessons[[#This Row],[Instrument__c]]&amp;";",";"&amp;_xlfn.XLOOKUP(Lessons[[#This Row],[Instructor_External_Id__c]], Instructors[Id], Instructors[Instruments_Taught__c])&amp;";"))</f>
        <v>1</v>
      </c>
      <c r="AB782" t="str">
        <f>IF(LEFT(Lessons[[#This Row],[Status__c]],9)="Cancelled","",Lessons[[#This Row],[Instructor_External_Id__c]]&amp;"|"&amp;TEXT(Lessons[[#This Row],[Lesson_Date__c]],"yyyy-mm-dd")&amp;"|"&amp;Lessons[[#This Row],[Start_Time__c]])</f>
        <v>a06ak00000amzCBAAY|2026-09-17|15:30:00.000Z</v>
      </c>
      <c r="AC782">
        <f>IF(Lessons[[#This Row],[Double Booked Key]]="","",COUNTIF(Lessons[Double Booked Key],Lessons[[#This Row],[Double Booked Key]]))</f>
        <v>1</v>
      </c>
      <c r="AD782" s="6" t="str">
        <f>_xlfn.XLOOKUP(Lessons[[#This Row],[Location_External_Id__c]], Locations[Location Id], Locations[Location Name])</f>
        <v>Red Bank</v>
      </c>
      <c r="AE782" s="6" t="str">
        <f>TEXT(Lessons[[#This Row],[Lesson_Date__c]], "yyyy-mm")</f>
        <v>2026-09</v>
      </c>
      <c r="AF782" s="6" t="str">
        <f>IF(Lessons[[#This Row],[Lesson_Date__c]]&lt;=Data_Audit!$F$1, "Yes", "No")</f>
        <v>Yes</v>
      </c>
    </row>
    <row r="783" spans="1:32">
      <c r="A783" t="s">
        <v>52</v>
      </c>
      <c r="B783" t="s">
        <v>53</v>
      </c>
      <c r="C783">
        <v>30</v>
      </c>
      <c r="D783" t="s">
        <v>2835</v>
      </c>
      <c r="E783" t="s">
        <v>804</v>
      </c>
      <c r="F783" t="s">
        <v>805</v>
      </c>
      <c r="G783" t="s">
        <v>57</v>
      </c>
      <c r="H783" t="s">
        <v>147</v>
      </c>
      <c r="I783" t="b">
        <v>0</v>
      </c>
      <c r="K783" t="s">
        <v>52</v>
      </c>
      <c r="L783" t="s">
        <v>2174</v>
      </c>
      <c r="O783" s="1">
        <v>46135</v>
      </c>
      <c r="P783" t="s">
        <v>2836</v>
      </c>
      <c r="Q783" t="s">
        <v>2837</v>
      </c>
      <c r="R783" t="s">
        <v>63</v>
      </c>
      <c r="S783" t="b">
        <v>0</v>
      </c>
      <c r="T783" t="b">
        <v>0</v>
      </c>
      <c r="U783" t="s">
        <v>2837</v>
      </c>
      <c r="V783" t="s">
        <v>128</v>
      </c>
      <c r="W783" t="s">
        <v>65</v>
      </c>
      <c r="X783" t="s">
        <v>2830</v>
      </c>
      <c r="Y783" t="s">
        <v>2831</v>
      </c>
      <c r="Z783" t="s">
        <v>2174</v>
      </c>
      <c r="AA783" t="b">
        <f>ISNUMBER(SEARCH(";"&amp;Lessons[[#This Row],[Instrument__c]]&amp;";",";"&amp;_xlfn.XLOOKUP(Lessons[[#This Row],[Instructor_External_Id__c]], Instructors[Id], Instructors[Instruments_Taught__c])&amp;";"))</f>
        <v>1</v>
      </c>
      <c r="AB783" t="str">
        <f>IF(LEFT(Lessons[[#This Row],[Status__c]],9)="Cancelled","",Lessons[[#This Row],[Instructor_External_Id__c]]&amp;"|"&amp;TEXT(Lessons[[#This Row],[Lesson_Date__c]],"yyyy-mm-dd")&amp;"|"&amp;Lessons[[#This Row],[Start_Time__c]])</f>
        <v>a06ak00000amzCBAAY|2026-04-23|18:30:00.000Z</v>
      </c>
      <c r="AC783">
        <f>IF(Lessons[[#This Row],[Double Booked Key]]="","",COUNTIF(Lessons[Double Booked Key],Lessons[[#This Row],[Double Booked Key]]))</f>
        <v>1</v>
      </c>
      <c r="AD783" s="6" t="str">
        <f>_xlfn.XLOOKUP(Lessons[[#This Row],[Location_External_Id__c]], Locations[Location Id], Locations[Location Name])</f>
        <v>Red Bank</v>
      </c>
      <c r="AE783" s="6" t="str">
        <f>TEXT(Lessons[[#This Row],[Lesson_Date__c]], "yyyy-mm")</f>
        <v>2026-04</v>
      </c>
      <c r="AF783" s="6" t="str">
        <f>IF(Lessons[[#This Row],[Lesson_Date__c]]&lt;=Data_Audit!$F$1, "Yes", "No")</f>
        <v>Yes</v>
      </c>
    </row>
    <row r="784" spans="1:32">
      <c r="A784" t="s">
        <v>52</v>
      </c>
      <c r="B784" t="s">
        <v>2838</v>
      </c>
      <c r="C784">
        <v>30</v>
      </c>
      <c r="D784" t="s">
        <v>2839</v>
      </c>
      <c r="E784" t="s">
        <v>1386</v>
      </c>
      <c r="F784" t="s">
        <v>1387</v>
      </c>
      <c r="G784" t="s">
        <v>106</v>
      </c>
      <c r="H784" t="s">
        <v>237</v>
      </c>
      <c r="I784" t="b">
        <v>0</v>
      </c>
      <c r="K784" t="s">
        <v>52</v>
      </c>
      <c r="L784" t="s">
        <v>2174</v>
      </c>
      <c r="O784" s="1">
        <v>46192</v>
      </c>
      <c r="P784" t="s">
        <v>2840</v>
      </c>
      <c r="Q784" t="s">
        <v>2841</v>
      </c>
      <c r="R784" t="s">
        <v>63</v>
      </c>
      <c r="S784" t="b">
        <v>0</v>
      </c>
      <c r="T784" t="b">
        <v>0</v>
      </c>
      <c r="U784" t="s">
        <v>2841</v>
      </c>
      <c r="V784" t="s">
        <v>110</v>
      </c>
      <c r="W784" t="s">
        <v>65</v>
      </c>
      <c r="X784" t="s">
        <v>2842</v>
      </c>
      <c r="Y784" t="s">
        <v>2843</v>
      </c>
      <c r="Z784" t="s">
        <v>2174</v>
      </c>
      <c r="AA784" t="b">
        <f>ISNUMBER(SEARCH(";"&amp;Lessons[[#This Row],[Instrument__c]]&amp;";",";"&amp;_xlfn.XLOOKUP(Lessons[[#This Row],[Instructor_External_Id__c]], Instructors[Id], Instructors[Instruments_Taught__c])&amp;";"))</f>
        <v>1</v>
      </c>
      <c r="AB784" t="str">
        <f>IF(LEFT(Lessons[[#This Row],[Status__c]],9)="Cancelled","",Lessons[[#This Row],[Instructor_External_Id__c]]&amp;"|"&amp;TEXT(Lessons[[#This Row],[Lesson_Date__c]],"yyyy-mm-dd")&amp;"|"&amp;Lessons[[#This Row],[Start_Time__c]])</f>
        <v>a06ak00000amzC6AAI|2026-06-19|10:00:00.000Z</v>
      </c>
      <c r="AC784">
        <f>IF(Lessons[[#This Row],[Double Booked Key]]="","",COUNTIF(Lessons[Double Booked Key],Lessons[[#This Row],[Double Booked Key]]))</f>
        <v>1</v>
      </c>
      <c r="AD784" s="6" t="str">
        <f>_xlfn.XLOOKUP(Lessons[[#This Row],[Location_External_Id__c]], Locations[Location Id], Locations[Location Name])</f>
        <v>Red Bank</v>
      </c>
      <c r="AE784" s="6" t="str">
        <f>TEXT(Lessons[[#This Row],[Lesson_Date__c]], "yyyy-mm")</f>
        <v>2026-06</v>
      </c>
      <c r="AF784" s="6" t="str">
        <f>IF(Lessons[[#This Row],[Lesson_Date__c]]&lt;=Data_Audit!$F$1, "Yes", "No")</f>
        <v>Yes</v>
      </c>
    </row>
    <row r="785" spans="1:32">
      <c r="A785" t="s">
        <v>52</v>
      </c>
      <c r="B785" t="s">
        <v>2838</v>
      </c>
      <c r="C785">
        <v>30</v>
      </c>
      <c r="D785" t="s">
        <v>2844</v>
      </c>
      <c r="E785" t="s">
        <v>1386</v>
      </c>
      <c r="F785" t="s">
        <v>1387</v>
      </c>
      <c r="H785" t="s">
        <v>237</v>
      </c>
      <c r="I785" t="b">
        <v>0</v>
      </c>
      <c r="K785" t="s">
        <v>52</v>
      </c>
      <c r="L785" t="s">
        <v>2174</v>
      </c>
      <c r="O785" s="1">
        <v>46246</v>
      </c>
      <c r="P785" t="s">
        <v>2845</v>
      </c>
      <c r="Q785" t="s">
        <v>2846</v>
      </c>
      <c r="R785" t="s">
        <v>63</v>
      </c>
      <c r="S785" t="b">
        <v>0</v>
      </c>
      <c r="T785" t="b">
        <v>0</v>
      </c>
      <c r="U785" t="s">
        <v>2846</v>
      </c>
      <c r="V785" t="s">
        <v>110</v>
      </c>
      <c r="W785" t="s">
        <v>85</v>
      </c>
      <c r="X785" t="s">
        <v>2842</v>
      </c>
      <c r="Y785" t="s">
        <v>2843</v>
      </c>
      <c r="Z785" t="s">
        <v>2174</v>
      </c>
      <c r="AA785" t="b">
        <f>ISNUMBER(SEARCH(";"&amp;Lessons[[#This Row],[Instrument__c]]&amp;";",";"&amp;_xlfn.XLOOKUP(Lessons[[#This Row],[Instructor_External_Id__c]], Instructors[Id], Instructors[Instruments_Taught__c])&amp;";"))</f>
        <v>1</v>
      </c>
      <c r="AB785" t="str">
        <f>IF(LEFT(Lessons[[#This Row],[Status__c]],9)="Cancelled","",Lessons[[#This Row],[Instructor_External_Id__c]]&amp;"|"&amp;TEXT(Lessons[[#This Row],[Lesson_Date__c]],"yyyy-mm-dd")&amp;"|"&amp;Lessons[[#This Row],[Start_Time__c]])</f>
        <v/>
      </c>
      <c r="AC785" t="str">
        <f>IF(Lessons[[#This Row],[Double Booked Key]]="","",COUNTIF(Lessons[Double Booked Key],Lessons[[#This Row],[Double Booked Key]]))</f>
        <v/>
      </c>
      <c r="AD785" s="6" t="str">
        <f>_xlfn.XLOOKUP(Lessons[[#This Row],[Location_External_Id__c]], Locations[Location Id], Locations[Location Name])</f>
        <v>Red Bank</v>
      </c>
      <c r="AE785" s="6" t="str">
        <f>TEXT(Lessons[[#This Row],[Lesson_Date__c]], "yyyy-mm")</f>
        <v>2026-08</v>
      </c>
      <c r="AF785" s="6" t="str">
        <f>IF(Lessons[[#This Row],[Lesson_Date__c]]&lt;=Data_Audit!$F$1, "Yes", "No")</f>
        <v>Yes</v>
      </c>
    </row>
    <row r="786" spans="1:32">
      <c r="A786" t="s">
        <v>52</v>
      </c>
      <c r="B786" t="s">
        <v>2838</v>
      </c>
      <c r="C786">
        <v>30</v>
      </c>
      <c r="D786" t="s">
        <v>2847</v>
      </c>
      <c r="E786" t="s">
        <v>1386</v>
      </c>
      <c r="F786" t="s">
        <v>1387</v>
      </c>
      <c r="G786" t="s">
        <v>99</v>
      </c>
      <c r="H786" t="s">
        <v>237</v>
      </c>
      <c r="I786" t="b">
        <v>0</v>
      </c>
      <c r="K786" t="s">
        <v>52</v>
      </c>
      <c r="L786" t="s">
        <v>2174</v>
      </c>
      <c r="O786" s="1">
        <v>46140</v>
      </c>
      <c r="P786" t="s">
        <v>2848</v>
      </c>
      <c r="Q786" t="s">
        <v>2849</v>
      </c>
      <c r="R786" t="s">
        <v>63</v>
      </c>
      <c r="S786" t="b">
        <v>0</v>
      </c>
      <c r="T786" t="b">
        <v>0</v>
      </c>
      <c r="U786" t="s">
        <v>2849</v>
      </c>
      <c r="V786" t="s">
        <v>102</v>
      </c>
      <c r="W786" t="s">
        <v>65</v>
      </c>
      <c r="X786" t="s">
        <v>2842</v>
      </c>
      <c r="Y786" t="s">
        <v>2843</v>
      </c>
      <c r="Z786" t="s">
        <v>2174</v>
      </c>
      <c r="AA786" t="b">
        <f>ISNUMBER(SEARCH(";"&amp;Lessons[[#This Row],[Instrument__c]]&amp;";",";"&amp;_xlfn.XLOOKUP(Lessons[[#This Row],[Instructor_External_Id__c]], Instructors[Id], Instructors[Instruments_Taught__c])&amp;";"))</f>
        <v>1</v>
      </c>
      <c r="AB786" t="str">
        <f>IF(LEFT(Lessons[[#This Row],[Status__c]],9)="Cancelled","",Lessons[[#This Row],[Instructor_External_Id__c]]&amp;"|"&amp;TEXT(Lessons[[#This Row],[Lesson_Date__c]],"yyyy-mm-dd")&amp;"|"&amp;Lessons[[#This Row],[Start_Time__c]])</f>
        <v>a06ak00000amzC6AAI|2026-04-28|16:00:00.000Z</v>
      </c>
      <c r="AC786">
        <f>IF(Lessons[[#This Row],[Double Booked Key]]="","",COUNTIF(Lessons[Double Booked Key],Lessons[[#This Row],[Double Booked Key]]))</f>
        <v>1</v>
      </c>
      <c r="AD786" s="6" t="str">
        <f>_xlfn.XLOOKUP(Lessons[[#This Row],[Location_External_Id__c]], Locations[Location Id], Locations[Location Name])</f>
        <v>Red Bank</v>
      </c>
      <c r="AE786" s="6" t="str">
        <f>TEXT(Lessons[[#This Row],[Lesson_Date__c]], "yyyy-mm")</f>
        <v>2026-04</v>
      </c>
      <c r="AF786" s="6" t="str">
        <f>IF(Lessons[[#This Row],[Lesson_Date__c]]&lt;=Data_Audit!$F$1, "Yes", "No")</f>
        <v>Yes</v>
      </c>
    </row>
    <row r="787" spans="1:32">
      <c r="A787" t="s">
        <v>52</v>
      </c>
      <c r="B787" t="s">
        <v>2838</v>
      </c>
      <c r="C787">
        <v>30</v>
      </c>
      <c r="D787" t="s">
        <v>2850</v>
      </c>
      <c r="E787" t="s">
        <v>1386</v>
      </c>
      <c r="F787" t="s">
        <v>1387</v>
      </c>
      <c r="H787" t="s">
        <v>237</v>
      </c>
      <c r="I787" t="b">
        <v>0</v>
      </c>
      <c r="K787" t="s">
        <v>52</v>
      </c>
      <c r="L787" t="s">
        <v>171</v>
      </c>
      <c r="O787" s="1">
        <v>46174</v>
      </c>
      <c r="P787" t="s">
        <v>2851</v>
      </c>
      <c r="Q787" t="s">
        <v>2852</v>
      </c>
      <c r="R787" t="s">
        <v>63</v>
      </c>
      <c r="S787" t="b">
        <v>1</v>
      </c>
      <c r="T787" t="b">
        <v>0</v>
      </c>
      <c r="U787" t="s">
        <v>2852</v>
      </c>
      <c r="V787" t="s">
        <v>120</v>
      </c>
      <c r="W787" t="s">
        <v>136</v>
      </c>
      <c r="X787" t="s">
        <v>2842</v>
      </c>
      <c r="Y787" t="s">
        <v>2843</v>
      </c>
      <c r="Z787" t="s">
        <v>171</v>
      </c>
      <c r="AA787" t="b">
        <f>ISNUMBER(SEARCH(";"&amp;Lessons[[#This Row],[Instrument__c]]&amp;";",";"&amp;_xlfn.XLOOKUP(Lessons[[#This Row],[Instructor_External_Id__c]], Instructors[Id], Instructors[Instruments_Taught__c])&amp;";"))</f>
        <v>1</v>
      </c>
      <c r="AB787" t="str">
        <f>IF(LEFT(Lessons[[#This Row],[Status__c]],9)="Cancelled","",Lessons[[#This Row],[Instructor_External_Id__c]]&amp;"|"&amp;TEXT(Lessons[[#This Row],[Lesson_Date__c]],"yyyy-mm-dd")&amp;"|"&amp;Lessons[[#This Row],[Start_Time__c]])</f>
        <v/>
      </c>
      <c r="AC787" t="str">
        <f>IF(Lessons[[#This Row],[Double Booked Key]]="","",COUNTIF(Lessons[Double Booked Key],Lessons[[#This Row],[Double Booked Key]]))</f>
        <v/>
      </c>
      <c r="AD787" s="6" t="str">
        <f>_xlfn.XLOOKUP(Lessons[[#This Row],[Location_External_Id__c]], Locations[Location Id], Locations[Location Name])</f>
        <v>Red Bank</v>
      </c>
      <c r="AE787" s="6" t="str">
        <f>TEXT(Lessons[[#This Row],[Lesson_Date__c]], "yyyy-mm")</f>
        <v>2026-06</v>
      </c>
      <c r="AF787" s="6" t="str">
        <f>IF(Lessons[[#This Row],[Lesson_Date__c]]&lt;=Data_Audit!$F$1, "Yes", "No")</f>
        <v>Yes</v>
      </c>
    </row>
    <row r="788" spans="1:32">
      <c r="A788" t="s">
        <v>52</v>
      </c>
      <c r="B788" t="s">
        <v>2838</v>
      </c>
      <c r="C788">
        <v>60</v>
      </c>
      <c r="D788" t="s">
        <v>2853</v>
      </c>
      <c r="E788" t="s">
        <v>1386</v>
      </c>
      <c r="F788" t="s">
        <v>1387</v>
      </c>
      <c r="G788" t="s">
        <v>106</v>
      </c>
      <c r="H788" t="s">
        <v>237</v>
      </c>
      <c r="I788" t="b">
        <v>0</v>
      </c>
      <c r="K788" t="s">
        <v>52</v>
      </c>
      <c r="L788" t="s">
        <v>2174</v>
      </c>
      <c r="O788" s="1">
        <v>46108</v>
      </c>
      <c r="P788" t="s">
        <v>2854</v>
      </c>
      <c r="Q788" t="s">
        <v>2855</v>
      </c>
      <c r="R788" t="s">
        <v>63</v>
      </c>
      <c r="S788" t="b">
        <v>0</v>
      </c>
      <c r="T788" t="b">
        <v>0</v>
      </c>
      <c r="U788" t="s">
        <v>2855</v>
      </c>
      <c r="V788" t="s">
        <v>110</v>
      </c>
      <c r="W788" t="s">
        <v>65</v>
      </c>
      <c r="X788" t="s">
        <v>2842</v>
      </c>
      <c r="Y788" t="s">
        <v>2843</v>
      </c>
      <c r="Z788" t="s">
        <v>2174</v>
      </c>
      <c r="AA788" t="b">
        <f>ISNUMBER(SEARCH(";"&amp;Lessons[[#This Row],[Instrument__c]]&amp;";",";"&amp;_xlfn.XLOOKUP(Lessons[[#This Row],[Instructor_External_Id__c]], Instructors[Id], Instructors[Instruments_Taught__c])&amp;";"))</f>
        <v>1</v>
      </c>
      <c r="AB788" t="str">
        <f>IF(LEFT(Lessons[[#This Row],[Status__c]],9)="Cancelled","",Lessons[[#This Row],[Instructor_External_Id__c]]&amp;"|"&amp;TEXT(Lessons[[#This Row],[Lesson_Date__c]],"yyyy-mm-dd")&amp;"|"&amp;Lessons[[#This Row],[Start_Time__c]])</f>
        <v>a06ak00000amzC6AAI|2026-03-27|10:00:00.000Z</v>
      </c>
      <c r="AC788">
        <f>IF(Lessons[[#This Row],[Double Booked Key]]="","",COUNTIF(Lessons[Double Booked Key],Lessons[[#This Row],[Double Booked Key]]))</f>
        <v>1</v>
      </c>
      <c r="AD788" s="6" t="str">
        <f>_xlfn.XLOOKUP(Lessons[[#This Row],[Location_External_Id__c]], Locations[Location Id], Locations[Location Name])</f>
        <v>Red Bank</v>
      </c>
      <c r="AE788" s="6" t="str">
        <f>TEXT(Lessons[[#This Row],[Lesson_Date__c]], "yyyy-mm")</f>
        <v>2026-03</v>
      </c>
      <c r="AF788" s="6" t="str">
        <f>IF(Lessons[[#This Row],[Lesson_Date__c]]&lt;=Data_Audit!$F$1, "Yes", "No")</f>
        <v>Yes</v>
      </c>
    </row>
    <row r="789" spans="1:32">
      <c r="A789" t="s">
        <v>52</v>
      </c>
      <c r="B789" t="s">
        <v>2838</v>
      </c>
      <c r="C789">
        <v>30</v>
      </c>
      <c r="D789" t="s">
        <v>2856</v>
      </c>
      <c r="E789" t="s">
        <v>1386</v>
      </c>
      <c r="F789" t="s">
        <v>1387</v>
      </c>
      <c r="H789" t="s">
        <v>237</v>
      </c>
      <c r="I789" t="b">
        <v>0</v>
      </c>
      <c r="K789" t="s">
        <v>52</v>
      </c>
      <c r="L789" t="s">
        <v>2174</v>
      </c>
      <c r="O789" s="1">
        <v>46028</v>
      </c>
      <c r="P789" t="s">
        <v>2857</v>
      </c>
      <c r="Q789" t="s">
        <v>2858</v>
      </c>
      <c r="R789" t="s">
        <v>63</v>
      </c>
      <c r="S789" t="b">
        <v>0</v>
      </c>
      <c r="T789" t="b">
        <v>0</v>
      </c>
      <c r="U789" t="s">
        <v>2858</v>
      </c>
      <c r="V789" t="s">
        <v>84</v>
      </c>
      <c r="W789" t="s">
        <v>121</v>
      </c>
      <c r="X789" t="s">
        <v>2842</v>
      </c>
      <c r="Y789" t="s">
        <v>2843</v>
      </c>
      <c r="Z789" t="s">
        <v>2174</v>
      </c>
      <c r="AA789" t="b">
        <f>ISNUMBER(SEARCH(";"&amp;Lessons[[#This Row],[Instrument__c]]&amp;";",";"&amp;_xlfn.XLOOKUP(Lessons[[#This Row],[Instructor_External_Id__c]], Instructors[Id], Instructors[Instruments_Taught__c])&amp;";"))</f>
        <v>1</v>
      </c>
      <c r="AB789" t="str">
        <f>IF(LEFT(Lessons[[#This Row],[Status__c]],9)="Cancelled","",Lessons[[#This Row],[Instructor_External_Id__c]]&amp;"|"&amp;TEXT(Lessons[[#This Row],[Lesson_Date__c]],"yyyy-mm-dd")&amp;"|"&amp;Lessons[[#This Row],[Start_Time__c]])</f>
        <v>a06ak00000amzC6AAI|2026-01-06|17:00:00.000Z</v>
      </c>
      <c r="AC789">
        <f>IF(Lessons[[#This Row],[Double Booked Key]]="","",COUNTIF(Lessons[Double Booked Key],Lessons[[#This Row],[Double Booked Key]]))</f>
        <v>1</v>
      </c>
      <c r="AD789" s="6" t="str">
        <f>_xlfn.XLOOKUP(Lessons[[#This Row],[Location_External_Id__c]], Locations[Location Id], Locations[Location Name])</f>
        <v>Red Bank</v>
      </c>
      <c r="AE789" s="6" t="str">
        <f>TEXT(Lessons[[#This Row],[Lesson_Date__c]], "yyyy-mm")</f>
        <v>2026-01</v>
      </c>
      <c r="AF789" s="6" t="str">
        <f>IF(Lessons[[#This Row],[Lesson_Date__c]]&lt;=Data_Audit!$F$1, "Yes", "No")</f>
        <v>Yes</v>
      </c>
    </row>
    <row r="790" spans="1:32">
      <c r="A790" t="s">
        <v>52</v>
      </c>
      <c r="B790" t="s">
        <v>2838</v>
      </c>
      <c r="C790">
        <v>60</v>
      </c>
      <c r="D790" t="s">
        <v>2859</v>
      </c>
      <c r="E790" t="s">
        <v>1386</v>
      </c>
      <c r="F790" t="s">
        <v>1387</v>
      </c>
      <c r="G790" t="s">
        <v>69</v>
      </c>
      <c r="H790" t="s">
        <v>237</v>
      </c>
      <c r="I790" t="b">
        <v>0</v>
      </c>
      <c r="K790" t="s">
        <v>52</v>
      </c>
      <c r="L790" t="s">
        <v>2174</v>
      </c>
      <c r="O790" s="1">
        <v>46136</v>
      </c>
      <c r="P790" t="s">
        <v>2860</v>
      </c>
      <c r="Q790" t="s">
        <v>2861</v>
      </c>
      <c r="R790" t="s">
        <v>63</v>
      </c>
      <c r="S790" t="b">
        <v>0</v>
      </c>
      <c r="T790" t="b">
        <v>0</v>
      </c>
      <c r="U790" t="s">
        <v>2861</v>
      </c>
      <c r="V790" t="s">
        <v>116</v>
      </c>
      <c r="W790" t="s">
        <v>65</v>
      </c>
      <c r="X790" t="s">
        <v>2842</v>
      </c>
      <c r="Y790" t="s">
        <v>2843</v>
      </c>
      <c r="Z790" t="s">
        <v>2174</v>
      </c>
      <c r="AA790" t="b">
        <f>ISNUMBER(SEARCH(";"&amp;Lessons[[#This Row],[Instrument__c]]&amp;";",";"&amp;_xlfn.XLOOKUP(Lessons[[#This Row],[Instructor_External_Id__c]], Instructors[Id], Instructors[Instruments_Taught__c])&amp;";"))</f>
        <v>1</v>
      </c>
      <c r="AB790" t="str">
        <f>IF(LEFT(Lessons[[#This Row],[Status__c]],9)="Cancelled","",Lessons[[#This Row],[Instructor_External_Id__c]]&amp;"|"&amp;TEXT(Lessons[[#This Row],[Lesson_Date__c]],"yyyy-mm-dd")&amp;"|"&amp;Lessons[[#This Row],[Start_Time__c]])</f>
        <v>a06ak00000amzC6AAI|2026-04-24|17:30:00.000Z</v>
      </c>
      <c r="AC790">
        <f>IF(Lessons[[#This Row],[Double Booked Key]]="","",COUNTIF(Lessons[Double Booked Key],Lessons[[#This Row],[Double Booked Key]]))</f>
        <v>1</v>
      </c>
      <c r="AD790" s="6" t="str">
        <f>_xlfn.XLOOKUP(Lessons[[#This Row],[Location_External_Id__c]], Locations[Location Id], Locations[Location Name])</f>
        <v>Red Bank</v>
      </c>
      <c r="AE790" s="6" t="str">
        <f>TEXT(Lessons[[#This Row],[Lesson_Date__c]], "yyyy-mm")</f>
        <v>2026-04</v>
      </c>
      <c r="AF790" s="6" t="str">
        <f>IF(Lessons[[#This Row],[Lesson_Date__c]]&lt;=Data_Audit!$F$1, "Yes", "No")</f>
        <v>Yes</v>
      </c>
    </row>
    <row r="791" spans="1:32">
      <c r="A791" t="s">
        <v>52</v>
      </c>
      <c r="B791" t="s">
        <v>2838</v>
      </c>
      <c r="C791">
        <v>45</v>
      </c>
      <c r="D791" t="s">
        <v>2862</v>
      </c>
      <c r="E791" t="s">
        <v>1386</v>
      </c>
      <c r="F791" t="s">
        <v>1387</v>
      </c>
      <c r="G791" t="s">
        <v>69</v>
      </c>
      <c r="H791" t="s">
        <v>237</v>
      </c>
      <c r="I791" t="b">
        <v>0</v>
      </c>
      <c r="K791" t="s">
        <v>52</v>
      </c>
      <c r="L791" t="s">
        <v>2174</v>
      </c>
      <c r="O791" s="1">
        <v>46034</v>
      </c>
      <c r="P791" t="s">
        <v>2863</v>
      </c>
      <c r="Q791" t="s">
        <v>2864</v>
      </c>
      <c r="R791" t="s">
        <v>63</v>
      </c>
      <c r="S791" t="b">
        <v>0</v>
      </c>
      <c r="T791" t="b">
        <v>0</v>
      </c>
      <c r="U791" t="s">
        <v>2864</v>
      </c>
      <c r="V791" t="s">
        <v>94</v>
      </c>
      <c r="W791" t="s">
        <v>65</v>
      </c>
      <c r="X791" t="s">
        <v>2842</v>
      </c>
      <c r="Y791" t="s">
        <v>2843</v>
      </c>
      <c r="Z791" t="s">
        <v>2174</v>
      </c>
      <c r="AA791" t="b">
        <f>ISNUMBER(SEARCH(";"&amp;Lessons[[#This Row],[Instrument__c]]&amp;";",";"&amp;_xlfn.XLOOKUP(Lessons[[#This Row],[Instructor_External_Id__c]], Instructors[Id], Instructors[Instruments_Taught__c])&amp;";"))</f>
        <v>1</v>
      </c>
      <c r="AB791" t="str">
        <f>IF(LEFT(Lessons[[#This Row],[Status__c]],9)="Cancelled","",Lessons[[#This Row],[Instructor_External_Id__c]]&amp;"|"&amp;TEXT(Lessons[[#This Row],[Lesson_Date__c]],"yyyy-mm-dd")&amp;"|"&amp;Lessons[[#This Row],[Start_Time__c]])</f>
        <v>a06ak00000amzC6AAI|2026-01-12|19:00:00.000Z</v>
      </c>
      <c r="AC791">
        <f>IF(Lessons[[#This Row],[Double Booked Key]]="","",COUNTIF(Lessons[Double Booked Key],Lessons[[#This Row],[Double Booked Key]]))</f>
        <v>1</v>
      </c>
      <c r="AD791" s="6" t="str">
        <f>_xlfn.XLOOKUP(Lessons[[#This Row],[Location_External_Id__c]], Locations[Location Id], Locations[Location Name])</f>
        <v>Red Bank</v>
      </c>
      <c r="AE791" s="6" t="str">
        <f>TEXT(Lessons[[#This Row],[Lesson_Date__c]], "yyyy-mm")</f>
        <v>2026-01</v>
      </c>
      <c r="AF791" s="6" t="str">
        <f>IF(Lessons[[#This Row],[Lesson_Date__c]]&lt;=Data_Audit!$F$1, "Yes", "No")</f>
        <v>Yes</v>
      </c>
    </row>
    <row r="792" spans="1:32">
      <c r="A792" t="s">
        <v>52</v>
      </c>
      <c r="B792" t="s">
        <v>2838</v>
      </c>
      <c r="C792">
        <v>60</v>
      </c>
      <c r="D792" t="s">
        <v>2865</v>
      </c>
      <c r="E792" t="s">
        <v>359</v>
      </c>
      <c r="F792" t="s">
        <v>360</v>
      </c>
      <c r="H792" t="s">
        <v>392</v>
      </c>
      <c r="I792" t="b">
        <v>0</v>
      </c>
      <c r="K792" t="s">
        <v>52</v>
      </c>
      <c r="L792" t="s">
        <v>2174</v>
      </c>
      <c r="O792" s="1">
        <v>46036</v>
      </c>
      <c r="P792" t="s">
        <v>2866</v>
      </c>
      <c r="Q792" t="s">
        <v>2867</v>
      </c>
      <c r="R792" t="s">
        <v>63</v>
      </c>
      <c r="S792" t="b">
        <v>0</v>
      </c>
      <c r="T792" t="b">
        <v>0</v>
      </c>
      <c r="U792" t="s">
        <v>2867</v>
      </c>
      <c r="V792" t="s">
        <v>74</v>
      </c>
      <c r="W792" t="s">
        <v>121</v>
      </c>
      <c r="X792" t="s">
        <v>2868</v>
      </c>
      <c r="Y792" t="s">
        <v>2869</v>
      </c>
      <c r="Z792" t="s">
        <v>2174</v>
      </c>
      <c r="AA792" t="b">
        <f>ISNUMBER(SEARCH(";"&amp;Lessons[[#This Row],[Instrument__c]]&amp;";",";"&amp;_xlfn.XLOOKUP(Lessons[[#This Row],[Instructor_External_Id__c]], Instructors[Id], Instructors[Instruments_Taught__c])&amp;";"))</f>
        <v>1</v>
      </c>
      <c r="AB792" t="str">
        <f>IF(LEFT(Lessons[[#This Row],[Status__c]],9)="Cancelled","",Lessons[[#This Row],[Instructor_External_Id__c]]&amp;"|"&amp;TEXT(Lessons[[#This Row],[Lesson_Date__c]],"yyyy-mm-dd")&amp;"|"&amp;Lessons[[#This Row],[Start_Time__c]])</f>
        <v>a06ak00000amzBiAAI|2026-01-14|16:30:00.000Z</v>
      </c>
      <c r="AC792">
        <f>IF(Lessons[[#This Row],[Double Booked Key]]="","",COUNTIF(Lessons[Double Booked Key],Lessons[[#This Row],[Double Booked Key]]))</f>
        <v>1</v>
      </c>
      <c r="AD792" s="6" t="str">
        <f>_xlfn.XLOOKUP(Lessons[[#This Row],[Location_External_Id__c]], Locations[Location Id], Locations[Location Name])</f>
        <v>Red Bank</v>
      </c>
      <c r="AE792" s="6" t="str">
        <f>TEXT(Lessons[[#This Row],[Lesson_Date__c]], "yyyy-mm")</f>
        <v>2026-01</v>
      </c>
      <c r="AF792" s="6" t="str">
        <f>IF(Lessons[[#This Row],[Lesson_Date__c]]&lt;=Data_Audit!$F$1, "Yes", "No")</f>
        <v>Yes</v>
      </c>
    </row>
    <row r="793" spans="1:32">
      <c r="A793" t="s">
        <v>52</v>
      </c>
      <c r="B793" t="s">
        <v>2838</v>
      </c>
      <c r="C793">
        <v>60</v>
      </c>
      <c r="D793" t="s">
        <v>2870</v>
      </c>
      <c r="E793" t="s">
        <v>359</v>
      </c>
      <c r="F793" t="s">
        <v>360</v>
      </c>
      <c r="H793" t="s">
        <v>392</v>
      </c>
      <c r="I793" t="b">
        <v>0</v>
      </c>
      <c r="K793" t="s">
        <v>52</v>
      </c>
      <c r="L793" t="s">
        <v>2174</v>
      </c>
      <c r="O793" s="1">
        <v>46298</v>
      </c>
      <c r="P793" t="s">
        <v>2871</v>
      </c>
      <c r="Q793" t="s">
        <v>2872</v>
      </c>
      <c r="R793" t="s">
        <v>63</v>
      </c>
      <c r="S793" t="b">
        <v>0</v>
      </c>
      <c r="T793" t="b">
        <v>0</v>
      </c>
      <c r="U793" t="s">
        <v>2872</v>
      </c>
      <c r="V793" t="s">
        <v>74</v>
      </c>
      <c r="W793" t="s">
        <v>121</v>
      </c>
      <c r="X793" t="s">
        <v>2868</v>
      </c>
      <c r="Y793" t="s">
        <v>2869</v>
      </c>
      <c r="Z793" t="s">
        <v>2174</v>
      </c>
      <c r="AA793" t="b">
        <f>ISNUMBER(SEARCH(";"&amp;Lessons[[#This Row],[Instrument__c]]&amp;";",";"&amp;_xlfn.XLOOKUP(Lessons[[#This Row],[Instructor_External_Id__c]], Instructors[Id], Instructors[Instruments_Taught__c])&amp;";"))</f>
        <v>1</v>
      </c>
      <c r="AB793" t="str">
        <f>IF(LEFT(Lessons[[#This Row],[Status__c]],9)="Cancelled","",Lessons[[#This Row],[Instructor_External_Id__c]]&amp;"|"&amp;TEXT(Lessons[[#This Row],[Lesson_Date__c]],"yyyy-mm-dd")&amp;"|"&amp;Lessons[[#This Row],[Start_Time__c]])</f>
        <v>a06ak00000amzBiAAI|2026-10-03|16:30:00.000Z</v>
      </c>
      <c r="AC793">
        <f>IF(Lessons[[#This Row],[Double Booked Key]]="","",COUNTIF(Lessons[Double Booked Key],Lessons[[#This Row],[Double Booked Key]]))</f>
        <v>1</v>
      </c>
      <c r="AD793" s="6" t="str">
        <f>_xlfn.XLOOKUP(Lessons[[#This Row],[Location_External_Id__c]], Locations[Location Id], Locations[Location Name])</f>
        <v>Red Bank</v>
      </c>
      <c r="AE793" s="6" t="str">
        <f>TEXT(Lessons[[#This Row],[Lesson_Date__c]], "yyyy-mm")</f>
        <v>2026-10</v>
      </c>
      <c r="AF793" s="6" t="str">
        <f>IF(Lessons[[#This Row],[Lesson_Date__c]]&lt;=Data_Audit!$F$1, "Yes", "No")</f>
        <v>Yes</v>
      </c>
    </row>
    <row r="794" spans="1:32">
      <c r="A794" t="s">
        <v>52</v>
      </c>
      <c r="B794" t="s">
        <v>2838</v>
      </c>
      <c r="C794">
        <v>30</v>
      </c>
      <c r="D794" t="s">
        <v>2873</v>
      </c>
      <c r="E794" t="s">
        <v>401</v>
      </c>
      <c r="F794" t="s">
        <v>402</v>
      </c>
      <c r="G794" t="s">
        <v>106</v>
      </c>
      <c r="H794" t="s">
        <v>263</v>
      </c>
      <c r="I794" t="b">
        <v>0</v>
      </c>
      <c r="K794" t="s">
        <v>52</v>
      </c>
      <c r="L794" t="s">
        <v>2174</v>
      </c>
      <c r="O794" s="1">
        <v>46176</v>
      </c>
      <c r="P794" t="s">
        <v>2874</v>
      </c>
      <c r="Q794" t="s">
        <v>2875</v>
      </c>
      <c r="R794" t="s">
        <v>83</v>
      </c>
      <c r="S794" t="b">
        <v>0</v>
      </c>
      <c r="T794" t="b">
        <v>0</v>
      </c>
      <c r="U794" t="s">
        <v>2875</v>
      </c>
      <c r="V794" t="s">
        <v>110</v>
      </c>
      <c r="W794" t="s">
        <v>65</v>
      </c>
      <c r="X794" t="s">
        <v>2876</v>
      </c>
      <c r="Y794" t="s">
        <v>2877</v>
      </c>
      <c r="Z794" t="s">
        <v>2174</v>
      </c>
      <c r="AA794" t="b">
        <f>ISNUMBER(SEARCH(";"&amp;Lessons[[#This Row],[Instrument__c]]&amp;";",";"&amp;_xlfn.XLOOKUP(Lessons[[#This Row],[Instructor_External_Id__c]], Instructors[Id], Instructors[Instruments_Taught__c])&amp;";"))</f>
        <v>1</v>
      </c>
      <c r="AB794" t="str">
        <f>IF(LEFT(Lessons[[#This Row],[Status__c]],9)="Cancelled","",Lessons[[#This Row],[Instructor_External_Id__c]]&amp;"|"&amp;TEXT(Lessons[[#This Row],[Lesson_Date__c]],"yyyy-mm-dd")&amp;"|"&amp;Lessons[[#This Row],[Start_Time__c]])</f>
        <v>a06ak00000amzBfAAI|2026-06-03|10:00:00.000Z</v>
      </c>
      <c r="AC794">
        <f>IF(Lessons[[#This Row],[Double Booked Key]]="","",COUNTIF(Lessons[Double Booked Key],Lessons[[#This Row],[Double Booked Key]]))</f>
        <v>1</v>
      </c>
      <c r="AD794" s="6" t="str">
        <f>_xlfn.XLOOKUP(Lessons[[#This Row],[Location_External_Id__c]], Locations[Location Id], Locations[Location Name])</f>
        <v>Brick</v>
      </c>
      <c r="AE794" s="6" t="str">
        <f>TEXT(Lessons[[#This Row],[Lesson_Date__c]], "yyyy-mm")</f>
        <v>2026-06</v>
      </c>
      <c r="AF794" s="6" t="str">
        <f>IF(Lessons[[#This Row],[Lesson_Date__c]]&lt;=Data_Audit!$F$1, "Yes", "No")</f>
        <v>Yes</v>
      </c>
    </row>
    <row r="795" spans="1:32">
      <c r="A795" t="s">
        <v>52</v>
      </c>
      <c r="B795" t="s">
        <v>2838</v>
      </c>
      <c r="C795">
        <v>30</v>
      </c>
      <c r="D795" t="s">
        <v>2878</v>
      </c>
      <c r="E795" t="s">
        <v>401</v>
      </c>
      <c r="F795" t="s">
        <v>402</v>
      </c>
      <c r="H795" t="s">
        <v>263</v>
      </c>
      <c r="I795" t="b">
        <v>0</v>
      </c>
      <c r="K795" t="s">
        <v>52</v>
      </c>
      <c r="L795" t="s">
        <v>2174</v>
      </c>
      <c r="O795" s="1">
        <v>46092</v>
      </c>
      <c r="P795" t="s">
        <v>2879</v>
      </c>
      <c r="Q795" t="s">
        <v>2880</v>
      </c>
      <c r="R795" t="s">
        <v>83</v>
      </c>
      <c r="S795" t="b">
        <v>0</v>
      </c>
      <c r="T795" t="b">
        <v>0</v>
      </c>
      <c r="U795" t="s">
        <v>2880</v>
      </c>
      <c r="V795" t="s">
        <v>135</v>
      </c>
      <c r="W795" t="s">
        <v>65</v>
      </c>
      <c r="X795" t="s">
        <v>2876</v>
      </c>
      <c r="Y795" t="s">
        <v>2877</v>
      </c>
      <c r="Z795" t="s">
        <v>2174</v>
      </c>
      <c r="AA795" t="b">
        <f>ISNUMBER(SEARCH(";"&amp;Lessons[[#This Row],[Instrument__c]]&amp;";",";"&amp;_xlfn.XLOOKUP(Lessons[[#This Row],[Instructor_External_Id__c]], Instructors[Id], Instructors[Instruments_Taught__c])&amp;";"))</f>
        <v>1</v>
      </c>
      <c r="AB795" t="str">
        <f>IF(LEFT(Lessons[[#This Row],[Status__c]],9)="Cancelled","",Lessons[[#This Row],[Instructor_External_Id__c]]&amp;"|"&amp;TEXT(Lessons[[#This Row],[Lesson_Date__c]],"yyyy-mm-dd")&amp;"|"&amp;Lessons[[#This Row],[Start_Time__c]])</f>
        <v>a06ak00000amzBfAAI|2026-03-11|15:30:00.000Z</v>
      </c>
      <c r="AC795">
        <f>IF(Lessons[[#This Row],[Double Booked Key]]="","",COUNTIF(Lessons[Double Booked Key],Lessons[[#This Row],[Double Booked Key]]))</f>
        <v>1</v>
      </c>
      <c r="AD795" s="6" t="str">
        <f>_xlfn.XLOOKUP(Lessons[[#This Row],[Location_External_Id__c]], Locations[Location Id], Locations[Location Name])</f>
        <v>Brick</v>
      </c>
      <c r="AE795" s="6" t="str">
        <f>TEXT(Lessons[[#This Row],[Lesson_Date__c]], "yyyy-mm")</f>
        <v>2026-03</v>
      </c>
      <c r="AF795" s="6" t="str">
        <f>IF(Lessons[[#This Row],[Lesson_Date__c]]&lt;=Data_Audit!$F$1, "Yes", "No")</f>
        <v>Yes</v>
      </c>
    </row>
    <row r="796" spans="1:32">
      <c r="A796" t="s">
        <v>52</v>
      </c>
      <c r="B796" t="s">
        <v>2838</v>
      </c>
      <c r="C796">
        <v>30</v>
      </c>
      <c r="D796" t="s">
        <v>2881</v>
      </c>
      <c r="E796" t="s">
        <v>337</v>
      </c>
      <c r="F796" t="s">
        <v>338</v>
      </c>
      <c r="H796" t="s">
        <v>284</v>
      </c>
      <c r="I796" t="b">
        <v>0</v>
      </c>
      <c r="K796" t="s">
        <v>52</v>
      </c>
      <c r="L796" t="s">
        <v>2174</v>
      </c>
      <c r="O796" s="1">
        <v>46051</v>
      </c>
      <c r="P796" t="s">
        <v>2882</v>
      </c>
      <c r="Q796" t="s">
        <v>2883</v>
      </c>
      <c r="R796" t="s">
        <v>150</v>
      </c>
      <c r="S796" t="b">
        <v>0</v>
      </c>
      <c r="T796" t="b">
        <v>0</v>
      </c>
      <c r="U796" t="s">
        <v>2883</v>
      </c>
      <c r="V796" t="s">
        <v>94</v>
      </c>
      <c r="W796" t="s">
        <v>121</v>
      </c>
      <c r="X796" t="s">
        <v>2884</v>
      </c>
      <c r="Y796" t="s">
        <v>342</v>
      </c>
      <c r="Z796" t="s">
        <v>2174</v>
      </c>
      <c r="AA796" t="b">
        <f>ISNUMBER(SEARCH(";"&amp;Lessons[[#This Row],[Instrument__c]]&amp;";",";"&amp;_xlfn.XLOOKUP(Lessons[[#This Row],[Instructor_External_Id__c]], Instructors[Id], Instructors[Instruments_Taught__c])&amp;";"))</f>
        <v>1</v>
      </c>
      <c r="AB796" t="str">
        <f>IF(LEFT(Lessons[[#This Row],[Status__c]],9)="Cancelled","",Lessons[[#This Row],[Instructor_External_Id__c]]&amp;"|"&amp;TEXT(Lessons[[#This Row],[Lesson_Date__c]],"yyyy-mm-dd")&amp;"|"&amp;Lessons[[#This Row],[Start_Time__c]])</f>
        <v>a06ak00000amzCIAAY|2026-01-29|19:00:00.000Z</v>
      </c>
      <c r="AC796">
        <f>IF(Lessons[[#This Row],[Double Booked Key]]="","",COUNTIF(Lessons[Double Booked Key],Lessons[[#This Row],[Double Booked Key]]))</f>
        <v>1</v>
      </c>
      <c r="AD796" s="6" t="str">
        <f>_xlfn.XLOOKUP(Lessons[[#This Row],[Location_External_Id__c]], Locations[Location Id], Locations[Location Name])</f>
        <v>Toms River</v>
      </c>
      <c r="AE796" s="6" t="str">
        <f>TEXT(Lessons[[#This Row],[Lesson_Date__c]], "yyyy-mm")</f>
        <v>2026-01</v>
      </c>
      <c r="AF796" s="6" t="str">
        <f>IF(Lessons[[#This Row],[Lesson_Date__c]]&lt;=Data_Audit!$F$1, "Yes", "No")</f>
        <v>Yes</v>
      </c>
    </row>
    <row r="797" spans="1:32">
      <c r="A797" t="s">
        <v>52</v>
      </c>
      <c r="B797" t="s">
        <v>2838</v>
      </c>
      <c r="C797">
        <v>60</v>
      </c>
      <c r="D797" t="s">
        <v>2885</v>
      </c>
      <c r="E797" t="s">
        <v>337</v>
      </c>
      <c r="F797" t="s">
        <v>338</v>
      </c>
      <c r="H797" t="s">
        <v>284</v>
      </c>
      <c r="I797" t="b">
        <v>0</v>
      </c>
      <c r="K797" t="s">
        <v>52</v>
      </c>
      <c r="L797" t="s">
        <v>2174</v>
      </c>
      <c r="O797" s="1">
        <v>46175</v>
      </c>
      <c r="P797" t="s">
        <v>2886</v>
      </c>
      <c r="Q797" t="s">
        <v>2887</v>
      </c>
      <c r="R797" t="s">
        <v>150</v>
      </c>
      <c r="S797" t="b">
        <v>0</v>
      </c>
      <c r="T797" t="b">
        <v>0</v>
      </c>
      <c r="U797" t="s">
        <v>2887</v>
      </c>
      <c r="V797" t="s">
        <v>102</v>
      </c>
      <c r="W797" t="s">
        <v>65</v>
      </c>
      <c r="X797" t="s">
        <v>2884</v>
      </c>
      <c r="Y797" t="s">
        <v>342</v>
      </c>
      <c r="Z797" t="s">
        <v>2174</v>
      </c>
      <c r="AA797" t="b">
        <f>ISNUMBER(SEARCH(";"&amp;Lessons[[#This Row],[Instrument__c]]&amp;";",";"&amp;_xlfn.XLOOKUP(Lessons[[#This Row],[Instructor_External_Id__c]], Instructors[Id], Instructors[Instruments_Taught__c])&amp;";"))</f>
        <v>1</v>
      </c>
      <c r="AB797" t="str">
        <f>IF(LEFT(Lessons[[#This Row],[Status__c]],9)="Cancelled","",Lessons[[#This Row],[Instructor_External_Id__c]]&amp;"|"&amp;TEXT(Lessons[[#This Row],[Lesson_Date__c]],"yyyy-mm-dd")&amp;"|"&amp;Lessons[[#This Row],[Start_Time__c]])</f>
        <v>a06ak00000amzCIAAY|2026-06-02|16:00:00.000Z</v>
      </c>
      <c r="AC797">
        <f>IF(Lessons[[#This Row],[Double Booked Key]]="","",COUNTIF(Lessons[Double Booked Key],Lessons[[#This Row],[Double Booked Key]]))</f>
        <v>1</v>
      </c>
      <c r="AD797" s="6" t="str">
        <f>_xlfn.XLOOKUP(Lessons[[#This Row],[Location_External_Id__c]], Locations[Location Id], Locations[Location Name])</f>
        <v>Toms River</v>
      </c>
      <c r="AE797" s="6" t="str">
        <f>TEXT(Lessons[[#This Row],[Lesson_Date__c]], "yyyy-mm")</f>
        <v>2026-06</v>
      </c>
      <c r="AF797" s="6" t="str">
        <f>IF(Lessons[[#This Row],[Lesson_Date__c]]&lt;=Data_Audit!$F$1, "Yes", "No")</f>
        <v>Yes</v>
      </c>
    </row>
    <row r="798" spans="1:32">
      <c r="A798" t="s">
        <v>52</v>
      </c>
      <c r="B798" t="s">
        <v>2838</v>
      </c>
      <c r="C798">
        <v>30</v>
      </c>
      <c r="D798" t="s">
        <v>2888</v>
      </c>
      <c r="E798" t="s">
        <v>337</v>
      </c>
      <c r="F798" t="s">
        <v>338</v>
      </c>
      <c r="G798" t="s">
        <v>69</v>
      </c>
      <c r="H798" t="s">
        <v>284</v>
      </c>
      <c r="I798" t="b">
        <v>0</v>
      </c>
      <c r="K798" t="s">
        <v>52</v>
      </c>
      <c r="L798" t="s">
        <v>2174</v>
      </c>
      <c r="O798" s="1">
        <v>46108</v>
      </c>
      <c r="P798" t="s">
        <v>2889</v>
      </c>
      <c r="Q798" t="s">
        <v>2890</v>
      </c>
      <c r="R798" t="s">
        <v>150</v>
      </c>
      <c r="S798" t="b">
        <v>0</v>
      </c>
      <c r="T798" t="b">
        <v>0</v>
      </c>
      <c r="U798" t="s">
        <v>2890</v>
      </c>
      <c r="V798" t="s">
        <v>116</v>
      </c>
      <c r="W798" t="s">
        <v>65</v>
      </c>
      <c r="X798" t="s">
        <v>2884</v>
      </c>
      <c r="Y798" t="s">
        <v>342</v>
      </c>
      <c r="Z798" t="s">
        <v>2174</v>
      </c>
      <c r="AA798" t="b">
        <f>ISNUMBER(SEARCH(";"&amp;Lessons[[#This Row],[Instrument__c]]&amp;";",";"&amp;_xlfn.XLOOKUP(Lessons[[#This Row],[Instructor_External_Id__c]], Instructors[Id], Instructors[Instruments_Taught__c])&amp;";"))</f>
        <v>1</v>
      </c>
      <c r="AB798" t="str">
        <f>IF(LEFT(Lessons[[#This Row],[Status__c]],9)="Cancelled","",Lessons[[#This Row],[Instructor_External_Id__c]]&amp;"|"&amp;TEXT(Lessons[[#This Row],[Lesson_Date__c]],"yyyy-mm-dd")&amp;"|"&amp;Lessons[[#This Row],[Start_Time__c]])</f>
        <v>a06ak00000amzCIAAY|2026-03-27|17:30:00.000Z</v>
      </c>
      <c r="AC798">
        <f>IF(Lessons[[#This Row],[Double Booked Key]]="","",COUNTIF(Lessons[Double Booked Key],Lessons[[#This Row],[Double Booked Key]]))</f>
        <v>1</v>
      </c>
      <c r="AD798" s="6" t="str">
        <f>_xlfn.XLOOKUP(Lessons[[#This Row],[Location_External_Id__c]], Locations[Location Id], Locations[Location Name])</f>
        <v>Toms River</v>
      </c>
      <c r="AE798" s="6" t="str">
        <f>TEXT(Lessons[[#This Row],[Lesson_Date__c]], "yyyy-mm")</f>
        <v>2026-03</v>
      </c>
      <c r="AF798" s="6" t="str">
        <f>IF(Lessons[[#This Row],[Lesson_Date__c]]&lt;=Data_Audit!$F$1, "Yes", "No")</f>
        <v>Yes</v>
      </c>
    </row>
    <row r="799" spans="1:32">
      <c r="A799" t="s">
        <v>52</v>
      </c>
      <c r="B799" t="s">
        <v>2838</v>
      </c>
      <c r="C799">
        <v>30</v>
      </c>
      <c r="D799" t="s">
        <v>2891</v>
      </c>
      <c r="E799" t="s">
        <v>337</v>
      </c>
      <c r="F799" t="s">
        <v>338</v>
      </c>
      <c r="H799" t="s">
        <v>284</v>
      </c>
      <c r="I799" t="b">
        <v>0</v>
      </c>
      <c r="K799" t="s">
        <v>52</v>
      </c>
      <c r="L799" t="s">
        <v>2174</v>
      </c>
      <c r="O799" s="1">
        <v>46252</v>
      </c>
      <c r="P799" t="s">
        <v>2892</v>
      </c>
      <c r="Q799" t="s">
        <v>2893</v>
      </c>
      <c r="R799" t="s">
        <v>150</v>
      </c>
      <c r="S799" t="b">
        <v>0</v>
      </c>
      <c r="T799" t="b">
        <v>0</v>
      </c>
      <c r="U799" t="s">
        <v>2893</v>
      </c>
      <c r="V799" t="s">
        <v>116</v>
      </c>
      <c r="W799" t="s">
        <v>85</v>
      </c>
      <c r="X799" t="s">
        <v>2884</v>
      </c>
      <c r="Y799" t="s">
        <v>342</v>
      </c>
      <c r="Z799" t="s">
        <v>2174</v>
      </c>
      <c r="AA799" t="b">
        <f>ISNUMBER(SEARCH(";"&amp;Lessons[[#This Row],[Instrument__c]]&amp;";",";"&amp;_xlfn.XLOOKUP(Lessons[[#This Row],[Instructor_External_Id__c]], Instructors[Id], Instructors[Instruments_Taught__c])&amp;";"))</f>
        <v>1</v>
      </c>
      <c r="AB799" t="str">
        <f>IF(LEFT(Lessons[[#This Row],[Status__c]],9)="Cancelled","",Lessons[[#This Row],[Instructor_External_Id__c]]&amp;"|"&amp;TEXT(Lessons[[#This Row],[Lesson_Date__c]],"yyyy-mm-dd")&amp;"|"&amp;Lessons[[#This Row],[Start_Time__c]])</f>
        <v/>
      </c>
      <c r="AC799" t="str">
        <f>IF(Lessons[[#This Row],[Double Booked Key]]="","",COUNTIF(Lessons[Double Booked Key],Lessons[[#This Row],[Double Booked Key]]))</f>
        <v/>
      </c>
      <c r="AD799" s="6" t="str">
        <f>_xlfn.XLOOKUP(Lessons[[#This Row],[Location_External_Id__c]], Locations[Location Id], Locations[Location Name])</f>
        <v>Toms River</v>
      </c>
      <c r="AE799" s="6" t="str">
        <f>TEXT(Lessons[[#This Row],[Lesson_Date__c]], "yyyy-mm")</f>
        <v>2026-08</v>
      </c>
      <c r="AF799" s="6" t="str">
        <f>IF(Lessons[[#This Row],[Lesson_Date__c]]&lt;=Data_Audit!$F$1, "Yes", "No")</f>
        <v>Yes</v>
      </c>
    </row>
    <row r="800" spans="1:32">
      <c r="A800" t="s">
        <v>52</v>
      </c>
      <c r="B800" t="s">
        <v>2838</v>
      </c>
      <c r="C800">
        <v>30</v>
      </c>
      <c r="D800" t="s">
        <v>2894</v>
      </c>
      <c r="E800" t="s">
        <v>337</v>
      </c>
      <c r="F800" t="s">
        <v>338</v>
      </c>
      <c r="H800" t="s">
        <v>284</v>
      </c>
      <c r="I800" t="b">
        <v>0</v>
      </c>
      <c r="K800" t="s">
        <v>52</v>
      </c>
      <c r="L800" t="s">
        <v>2174</v>
      </c>
      <c r="O800" s="1">
        <v>46030</v>
      </c>
      <c r="P800" t="s">
        <v>2895</v>
      </c>
      <c r="Q800" t="s">
        <v>2896</v>
      </c>
      <c r="R800" t="s">
        <v>150</v>
      </c>
      <c r="S800" t="b">
        <v>0</v>
      </c>
      <c r="T800" t="b">
        <v>0</v>
      </c>
      <c r="U800" t="s">
        <v>2896</v>
      </c>
      <c r="V800" t="s">
        <v>116</v>
      </c>
      <c r="W800" t="s">
        <v>121</v>
      </c>
      <c r="X800" t="s">
        <v>2884</v>
      </c>
      <c r="Y800" t="s">
        <v>342</v>
      </c>
      <c r="Z800" t="s">
        <v>2174</v>
      </c>
      <c r="AA800" t="b">
        <f>ISNUMBER(SEARCH(";"&amp;Lessons[[#This Row],[Instrument__c]]&amp;";",";"&amp;_xlfn.XLOOKUP(Lessons[[#This Row],[Instructor_External_Id__c]], Instructors[Id], Instructors[Instruments_Taught__c])&amp;";"))</f>
        <v>1</v>
      </c>
      <c r="AB800" t="str">
        <f>IF(LEFT(Lessons[[#This Row],[Status__c]],9)="Cancelled","",Lessons[[#This Row],[Instructor_External_Id__c]]&amp;"|"&amp;TEXT(Lessons[[#This Row],[Lesson_Date__c]],"yyyy-mm-dd")&amp;"|"&amp;Lessons[[#This Row],[Start_Time__c]])</f>
        <v>a06ak00000amzCIAAY|2026-01-08|17:30:00.000Z</v>
      </c>
      <c r="AC800">
        <f>IF(Lessons[[#This Row],[Double Booked Key]]="","",COUNTIF(Lessons[Double Booked Key],Lessons[[#This Row],[Double Booked Key]]))</f>
        <v>1</v>
      </c>
      <c r="AD800" s="6" t="str">
        <f>_xlfn.XLOOKUP(Lessons[[#This Row],[Location_External_Id__c]], Locations[Location Id], Locations[Location Name])</f>
        <v>Toms River</v>
      </c>
      <c r="AE800" s="6" t="str">
        <f>TEXT(Lessons[[#This Row],[Lesson_Date__c]], "yyyy-mm")</f>
        <v>2026-01</v>
      </c>
      <c r="AF800" s="6" t="str">
        <f>IF(Lessons[[#This Row],[Lesson_Date__c]]&lt;=Data_Audit!$F$1, "Yes", "No")</f>
        <v>Yes</v>
      </c>
    </row>
    <row r="801" spans="1:32">
      <c r="A801" t="s">
        <v>52</v>
      </c>
      <c r="B801" t="s">
        <v>2838</v>
      </c>
      <c r="C801">
        <v>30</v>
      </c>
      <c r="D801" t="s">
        <v>2897</v>
      </c>
      <c r="E801" t="s">
        <v>337</v>
      </c>
      <c r="F801" t="s">
        <v>338</v>
      </c>
      <c r="G801" t="s">
        <v>106</v>
      </c>
      <c r="H801" t="s">
        <v>284</v>
      </c>
      <c r="I801" t="b">
        <v>0</v>
      </c>
      <c r="K801" t="s">
        <v>52</v>
      </c>
      <c r="L801" t="s">
        <v>2174</v>
      </c>
      <c r="O801" s="1">
        <v>46166</v>
      </c>
      <c r="P801" t="s">
        <v>2898</v>
      </c>
      <c r="Q801" t="s">
        <v>2899</v>
      </c>
      <c r="R801" t="s">
        <v>150</v>
      </c>
      <c r="S801" t="b">
        <v>0</v>
      </c>
      <c r="T801" t="b">
        <v>0</v>
      </c>
      <c r="U801" t="s">
        <v>2899</v>
      </c>
      <c r="V801" t="s">
        <v>94</v>
      </c>
      <c r="W801" t="s">
        <v>65</v>
      </c>
      <c r="X801" t="s">
        <v>2884</v>
      </c>
      <c r="Y801" t="s">
        <v>342</v>
      </c>
      <c r="Z801" t="s">
        <v>2174</v>
      </c>
      <c r="AA801" t="b">
        <f>ISNUMBER(SEARCH(";"&amp;Lessons[[#This Row],[Instrument__c]]&amp;";",";"&amp;_xlfn.XLOOKUP(Lessons[[#This Row],[Instructor_External_Id__c]], Instructors[Id], Instructors[Instruments_Taught__c])&amp;";"))</f>
        <v>1</v>
      </c>
      <c r="AB801" t="str">
        <f>IF(LEFT(Lessons[[#This Row],[Status__c]],9)="Cancelled","",Lessons[[#This Row],[Instructor_External_Id__c]]&amp;"|"&amp;TEXT(Lessons[[#This Row],[Lesson_Date__c]],"yyyy-mm-dd")&amp;"|"&amp;Lessons[[#This Row],[Start_Time__c]])</f>
        <v>a06ak00000amzCIAAY|2026-05-24|19:00:00.000Z</v>
      </c>
      <c r="AC801">
        <f>IF(Lessons[[#This Row],[Double Booked Key]]="","",COUNTIF(Lessons[Double Booked Key],Lessons[[#This Row],[Double Booked Key]]))</f>
        <v>1</v>
      </c>
      <c r="AD801" s="6" t="str">
        <f>_xlfn.XLOOKUP(Lessons[[#This Row],[Location_External_Id__c]], Locations[Location Id], Locations[Location Name])</f>
        <v>Toms River</v>
      </c>
      <c r="AE801" s="6" t="str">
        <f>TEXT(Lessons[[#This Row],[Lesson_Date__c]], "yyyy-mm")</f>
        <v>2026-05</v>
      </c>
      <c r="AF801" s="6" t="str">
        <f>IF(Lessons[[#This Row],[Lesson_Date__c]]&lt;=Data_Audit!$F$1, "Yes", "No")</f>
        <v>Yes</v>
      </c>
    </row>
    <row r="802" spans="1:32">
      <c r="A802" t="s">
        <v>52</v>
      </c>
      <c r="B802" t="s">
        <v>2838</v>
      </c>
      <c r="C802">
        <v>45</v>
      </c>
      <c r="D802" t="s">
        <v>2900</v>
      </c>
      <c r="E802" t="s">
        <v>337</v>
      </c>
      <c r="F802" t="s">
        <v>338</v>
      </c>
      <c r="G802" t="s">
        <v>57</v>
      </c>
      <c r="H802" t="s">
        <v>284</v>
      </c>
      <c r="I802" t="b">
        <v>0</v>
      </c>
      <c r="K802" t="s">
        <v>52</v>
      </c>
      <c r="L802" t="s">
        <v>2174</v>
      </c>
      <c r="O802" s="1">
        <v>46050</v>
      </c>
      <c r="P802" t="s">
        <v>2901</v>
      </c>
      <c r="Q802" t="s">
        <v>2902</v>
      </c>
      <c r="R802" t="s">
        <v>150</v>
      </c>
      <c r="S802" t="b">
        <v>0</v>
      </c>
      <c r="T802" t="b">
        <v>0</v>
      </c>
      <c r="U802" t="s">
        <v>2902</v>
      </c>
      <c r="V802" t="s">
        <v>110</v>
      </c>
      <c r="W802" t="s">
        <v>65</v>
      </c>
      <c r="X802" t="s">
        <v>2884</v>
      </c>
      <c r="Y802" t="s">
        <v>342</v>
      </c>
      <c r="Z802" t="s">
        <v>2174</v>
      </c>
      <c r="AA802" t="b">
        <f>ISNUMBER(SEARCH(";"&amp;Lessons[[#This Row],[Instrument__c]]&amp;";",";"&amp;_xlfn.XLOOKUP(Lessons[[#This Row],[Instructor_External_Id__c]], Instructors[Id], Instructors[Instruments_Taught__c])&amp;";"))</f>
        <v>1</v>
      </c>
      <c r="AB802" t="str">
        <f>IF(LEFT(Lessons[[#This Row],[Status__c]],9)="Cancelled","",Lessons[[#This Row],[Instructor_External_Id__c]]&amp;"|"&amp;TEXT(Lessons[[#This Row],[Lesson_Date__c]],"yyyy-mm-dd")&amp;"|"&amp;Lessons[[#This Row],[Start_Time__c]])</f>
        <v>a06ak00000amzCIAAY|2026-01-28|10:00:00.000Z</v>
      </c>
      <c r="AC802">
        <f>IF(Lessons[[#This Row],[Double Booked Key]]="","",COUNTIF(Lessons[Double Booked Key],Lessons[[#This Row],[Double Booked Key]]))</f>
        <v>1</v>
      </c>
      <c r="AD802" s="6" t="str">
        <f>_xlfn.XLOOKUP(Lessons[[#This Row],[Location_External_Id__c]], Locations[Location Id], Locations[Location Name])</f>
        <v>Toms River</v>
      </c>
      <c r="AE802" s="6" t="str">
        <f>TEXT(Lessons[[#This Row],[Lesson_Date__c]], "yyyy-mm")</f>
        <v>2026-01</v>
      </c>
      <c r="AF802" s="6" t="str">
        <f>IF(Lessons[[#This Row],[Lesson_Date__c]]&lt;=Data_Audit!$F$1, "Yes", "No")</f>
        <v>Yes</v>
      </c>
    </row>
    <row r="803" spans="1:32">
      <c r="A803" t="s">
        <v>52</v>
      </c>
      <c r="B803" t="s">
        <v>2838</v>
      </c>
      <c r="C803">
        <v>60</v>
      </c>
      <c r="D803" t="s">
        <v>2903</v>
      </c>
      <c r="E803" t="s">
        <v>97</v>
      </c>
      <c r="F803" t="s">
        <v>98</v>
      </c>
      <c r="H803" t="s">
        <v>78</v>
      </c>
      <c r="I803" t="b">
        <v>0</v>
      </c>
      <c r="K803" t="s">
        <v>52</v>
      </c>
      <c r="L803" t="s">
        <v>2174</v>
      </c>
      <c r="O803" s="1">
        <v>46197</v>
      </c>
      <c r="P803" t="s">
        <v>2904</v>
      </c>
      <c r="Q803" t="s">
        <v>2905</v>
      </c>
      <c r="R803" t="s">
        <v>83</v>
      </c>
      <c r="S803" t="b">
        <v>0</v>
      </c>
      <c r="T803" t="b">
        <v>0</v>
      </c>
      <c r="U803" t="s">
        <v>2905</v>
      </c>
      <c r="V803" t="s">
        <v>120</v>
      </c>
      <c r="W803" t="s">
        <v>121</v>
      </c>
      <c r="X803" t="s">
        <v>2906</v>
      </c>
      <c r="Y803" t="s">
        <v>1034</v>
      </c>
      <c r="Z803" t="s">
        <v>2174</v>
      </c>
      <c r="AA803" t="b">
        <f>ISNUMBER(SEARCH(";"&amp;Lessons[[#This Row],[Instrument__c]]&amp;";",";"&amp;_xlfn.XLOOKUP(Lessons[[#This Row],[Instructor_External_Id__c]], Instructors[Id], Instructors[Instruments_Taught__c])&amp;";"))</f>
        <v>1</v>
      </c>
      <c r="AB803" t="str">
        <f>IF(LEFT(Lessons[[#This Row],[Status__c]],9)="Cancelled","",Lessons[[#This Row],[Instructor_External_Id__c]]&amp;"|"&amp;TEXT(Lessons[[#This Row],[Lesson_Date__c]],"yyyy-mm-dd")&amp;"|"&amp;Lessons[[#This Row],[Start_Time__c]])</f>
        <v>a06ak00000amzBvAAI|2026-06-24|18:00:00.000Z</v>
      </c>
      <c r="AC803">
        <f>IF(Lessons[[#This Row],[Double Booked Key]]="","",COUNTIF(Lessons[Double Booked Key],Lessons[[#This Row],[Double Booked Key]]))</f>
        <v>1</v>
      </c>
      <c r="AD803" s="6" t="str">
        <f>_xlfn.XLOOKUP(Lessons[[#This Row],[Location_External_Id__c]], Locations[Location Id], Locations[Location Name])</f>
        <v>Brick</v>
      </c>
      <c r="AE803" s="6" t="str">
        <f>TEXT(Lessons[[#This Row],[Lesson_Date__c]], "yyyy-mm")</f>
        <v>2026-06</v>
      </c>
      <c r="AF803" s="6" t="str">
        <f>IF(Lessons[[#This Row],[Lesson_Date__c]]&lt;=Data_Audit!$F$1, "Yes", "No")</f>
        <v>Yes</v>
      </c>
    </row>
    <row r="804" spans="1:32">
      <c r="A804" t="s">
        <v>52</v>
      </c>
      <c r="B804" t="s">
        <v>2838</v>
      </c>
      <c r="C804">
        <v>60</v>
      </c>
      <c r="D804" t="s">
        <v>2907</v>
      </c>
      <c r="E804" t="s">
        <v>97</v>
      </c>
      <c r="F804" t="s">
        <v>98</v>
      </c>
      <c r="G804" t="s">
        <v>57</v>
      </c>
      <c r="H804" t="s">
        <v>78</v>
      </c>
      <c r="I804" t="b">
        <v>0</v>
      </c>
      <c r="K804" t="s">
        <v>52</v>
      </c>
      <c r="L804" t="s">
        <v>2174</v>
      </c>
      <c r="O804" s="1">
        <v>46170</v>
      </c>
      <c r="P804" t="s">
        <v>2908</v>
      </c>
      <c r="Q804" t="s">
        <v>2909</v>
      </c>
      <c r="R804" t="s">
        <v>83</v>
      </c>
      <c r="S804" t="b">
        <v>0</v>
      </c>
      <c r="T804" t="b">
        <v>0</v>
      </c>
      <c r="U804" t="s">
        <v>2909</v>
      </c>
      <c r="V804" t="s">
        <v>64</v>
      </c>
      <c r="W804" t="s">
        <v>65</v>
      </c>
      <c r="X804" t="s">
        <v>2906</v>
      </c>
      <c r="Y804" t="s">
        <v>1034</v>
      </c>
      <c r="Z804" t="s">
        <v>2174</v>
      </c>
      <c r="AA804" t="b">
        <f>ISNUMBER(SEARCH(";"&amp;Lessons[[#This Row],[Instrument__c]]&amp;";",";"&amp;_xlfn.XLOOKUP(Lessons[[#This Row],[Instructor_External_Id__c]], Instructors[Id], Instructors[Instruments_Taught__c])&amp;";"))</f>
        <v>1</v>
      </c>
      <c r="AB804" t="str">
        <f>IF(LEFT(Lessons[[#This Row],[Status__c]],9)="Cancelled","",Lessons[[#This Row],[Instructor_External_Id__c]]&amp;"|"&amp;TEXT(Lessons[[#This Row],[Lesson_Date__c]],"yyyy-mm-dd")&amp;"|"&amp;Lessons[[#This Row],[Start_Time__c]])</f>
        <v>a06ak00000amzBvAAI|2026-05-28|11:00:00.000Z</v>
      </c>
      <c r="AC804">
        <f>IF(Lessons[[#This Row],[Double Booked Key]]="","",COUNTIF(Lessons[Double Booked Key],Lessons[[#This Row],[Double Booked Key]]))</f>
        <v>1</v>
      </c>
      <c r="AD804" s="6" t="str">
        <f>_xlfn.XLOOKUP(Lessons[[#This Row],[Location_External_Id__c]], Locations[Location Id], Locations[Location Name])</f>
        <v>Brick</v>
      </c>
      <c r="AE804" s="6" t="str">
        <f>TEXT(Lessons[[#This Row],[Lesson_Date__c]], "yyyy-mm")</f>
        <v>2026-05</v>
      </c>
      <c r="AF804" s="6" t="str">
        <f>IF(Lessons[[#This Row],[Lesson_Date__c]]&lt;=Data_Audit!$F$1, "Yes", "No")</f>
        <v>Yes</v>
      </c>
    </row>
    <row r="805" spans="1:32">
      <c r="A805" t="s">
        <v>52</v>
      </c>
      <c r="B805" t="s">
        <v>2838</v>
      </c>
      <c r="C805">
        <v>30</v>
      </c>
      <c r="D805" t="s">
        <v>2910</v>
      </c>
      <c r="E805" t="s">
        <v>97</v>
      </c>
      <c r="F805" t="s">
        <v>98</v>
      </c>
      <c r="G805" t="s">
        <v>99</v>
      </c>
      <c r="H805" t="s">
        <v>78</v>
      </c>
      <c r="I805" t="b">
        <v>0</v>
      </c>
      <c r="K805" t="s">
        <v>52</v>
      </c>
      <c r="L805" t="s">
        <v>2174</v>
      </c>
      <c r="O805" s="1">
        <v>46227</v>
      </c>
      <c r="P805" t="s">
        <v>2911</v>
      </c>
      <c r="Q805" t="s">
        <v>2912</v>
      </c>
      <c r="R805" t="s">
        <v>83</v>
      </c>
      <c r="S805" t="b">
        <v>0</v>
      </c>
      <c r="T805" t="b">
        <v>0</v>
      </c>
      <c r="U805" t="s">
        <v>2912</v>
      </c>
      <c r="V805" t="s">
        <v>94</v>
      </c>
      <c r="W805" t="s">
        <v>65</v>
      </c>
      <c r="X805" t="s">
        <v>2906</v>
      </c>
      <c r="Y805" t="s">
        <v>1034</v>
      </c>
      <c r="Z805" t="s">
        <v>2174</v>
      </c>
      <c r="AA805" t="b">
        <f>ISNUMBER(SEARCH(";"&amp;Lessons[[#This Row],[Instrument__c]]&amp;";",";"&amp;_xlfn.XLOOKUP(Lessons[[#This Row],[Instructor_External_Id__c]], Instructors[Id], Instructors[Instruments_Taught__c])&amp;";"))</f>
        <v>1</v>
      </c>
      <c r="AB805" t="str">
        <f>IF(LEFT(Lessons[[#This Row],[Status__c]],9)="Cancelled","",Lessons[[#This Row],[Instructor_External_Id__c]]&amp;"|"&amp;TEXT(Lessons[[#This Row],[Lesson_Date__c]],"yyyy-mm-dd")&amp;"|"&amp;Lessons[[#This Row],[Start_Time__c]])</f>
        <v>a06ak00000amzBvAAI|2026-07-24|19:00:00.000Z</v>
      </c>
      <c r="AC805">
        <f>IF(Lessons[[#This Row],[Double Booked Key]]="","",COUNTIF(Lessons[Double Booked Key],Lessons[[#This Row],[Double Booked Key]]))</f>
        <v>1</v>
      </c>
      <c r="AD805" s="6" t="str">
        <f>_xlfn.XLOOKUP(Lessons[[#This Row],[Location_External_Id__c]], Locations[Location Id], Locations[Location Name])</f>
        <v>Brick</v>
      </c>
      <c r="AE805" s="6" t="str">
        <f>TEXT(Lessons[[#This Row],[Lesson_Date__c]], "yyyy-mm")</f>
        <v>2026-07</v>
      </c>
      <c r="AF805" s="6" t="str">
        <f>IF(Lessons[[#This Row],[Lesson_Date__c]]&lt;=Data_Audit!$F$1, "Yes", "No")</f>
        <v>Yes</v>
      </c>
    </row>
    <row r="806" spans="1:32">
      <c r="A806" t="s">
        <v>52</v>
      </c>
      <c r="B806" t="s">
        <v>2838</v>
      </c>
      <c r="C806">
        <v>30</v>
      </c>
      <c r="D806" t="s">
        <v>2913</v>
      </c>
      <c r="E806" t="s">
        <v>97</v>
      </c>
      <c r="F806" t="s">
        <v>98</v>
      </c>
      <c r="G806" t="s">
        <v>106</v>
      </c>
      <c r="H806" t="s">
        <v>78</v>
      </c>
      <c r="I806" t="b">
        <v>0</v>
      </c>
      <c r="K806" t="s">
        <v>52</v>
      </c>
      <c r="L806" t="s">
        <v>2174</v>
      </c>
      <c r="O806" s="1">
        <v>46108</v>
      </c>
      <c r="P806" t="s">
        <v>2914</v>
      </c>
      <c r="Q806" t="s">
        <v>2915</v>
      </c>
      <c r="R806" t="s">
        <v>83</v>
      </c>
      <c r="S806" t="b">
        <v>0</v>
      </c>
      <c r="T806" t="b">
        <v>0</v>
      </c>
      <c r="U806" t="s">
        <v>2915</v>
      </c>
      <c r="V806" t="s">
        <v>74</v>
      </c>
      <c r="W806" t="s">
        <v>65</v>
      </c>
      <c r="X806" t="s">
        <v>2906</v>
      </c>
      <c r="Y806" t="s">
        <v>1034</v>
      </c>
      <c r="Z806" t="s">
        <v>2174</v>
      </c>
      <c r="AA806" t="b">
        <f>ISNUMBER(SEARCH(";"&amp;Lessons[[#This Row],[Instrument__c]]&amp;";",";"&amp;_xlfn.XLOOKUP(Lessons[[#This Row],[Instructor_External_Id__c]], Instructors[Id], Instructors[Instruments_Taught__c])&amp;";"))</f>
        <v>1</v>
      </c>
      <c r="AB806" t="str">
        <f>IF(LEFT(Lessons[[#This Row],[Status__c]],9)="Cancelled","",Lessons[[#This Row],[Instructor_External_Id__c]]&amp;"|"&amp;TEXT(Lessons[[#This Row],[Lesson_Date__c]],"yyyy-mm-dd")&amp;"|"&amp;Lessons[[#This Row],[Start_Time__c]])</f>
        <v>a06ak00000amzBvAAI|2026-03-27|16:30:00.000Z</v>
      </c>
      <c r="AC806">
        <f>IF(Lessons[[#This Row],[Double Booked Key]]="","",COUNTIF(Lessons[Double Booked Key],Lessons[[#This Row],[Double Booked Key]]))</f>
        <v>1</v>
      </c>
      <c r="AD806" s="6" t="str">
        <f>_xlfn.XLOOKUP(Lessons[[#This Row],[Location_External_Id__c]], Locations[Location Id], Locations[Location Name])</f>
        <v>Brick</v>
      </c>
      <c r="AE806" s="6" t="str">
        <f>TEXT(Lessons[[#This Row],[Lesson_Date__c]], "yyyy-mm")</f>
        <v>2026-03</v>
      </c>
      <c r="AF806" s="6" t="str">
        <f>IF(Lessons[[#This Row],[Lesson_Date__c]]&lt;=Data_Audit!$F$1, "Yes", "No")</f>
        <v>Yes</v>
      </c>
    </row>
    <row r="807" spans="1:32">
      <c r="A807" t="s">
        <v>52</v>
      </c>
      <c r="B807" t="s">
        <v>2838</v>
      </c>
      <c r="C807">
        <v>30</v>
      </c>
      <c r="D807" t="s">
        <v>2916</v>
      </c>
      <c r="E807" t="s">
        <v>97</v>
      </c>
      <c r="F807" t="s">
        <v>98</v>
      </c>
      <c r="H807" t="s">
        <v>78</v>
      </c>
      <c r="I807" t="b">
        <v>0</v>
      </c>
      <c r="K807" t="s">
        <v>52</v>
      </c>
      <c r="L807" t="s">
        <v>2174</v>
      </c>
      <c r="O807" s="1">
        <v>46149</v>
      </c>
      <c r="P807" t="s">
        <v>2917</v>
      </c>
      <c r="Q807" t="s">
        <v>2918</v>
      </c>
      <c r="R807" t="s">
        <v>83</v>
      </c>
      <c r="S807" t="b">
        <v>0</v>
      </c>
      <c r="T807" t="b">
        <v>0</v>
      </c>
      <c r="U807" t="s">
        <v>2918</v>
      </c>
      <c r="V807" t="s">
        <v>140</v>
      </c>
      <c r="W807" t="s">
        <v>65</v>
      </c>
      <c r="X807" t="s">
        <v>2906</v>
      </c>
      <c r="Y807" t="s">
        <v>1034</v>
      </c>
      <c r="Z807" t="s">
        <v>2174</v>
      </c>
      <c r="AA807" t="b">
        <f>ISNUMBER(SEARCH(";"&amp;Lessons[[#This Row],[Instrument__c]]&amp;";",";"&amp;_xlfn.XLOOKUP(Lessons[[#This Row],[Instructor_External_Id__c]], Instructors[Id], Instructors[Instruments_Taught__c])&amp;";"))</f>
        <v>1</v>
      </c>
      <c r="AB807" t="str">
        <f>IF(LEFT(Lessons[[#This Row],[Status__c]],9)="Cancelled","",Lessons[[#This Row],[Instructor_External_Id__c]]&amp;"|"&amp;TEXT(Lessons[[#This Row],[Lesson_Date__c]],"yyyy-mm-dd")&amp;"|"&amp;Lessons[[#This Row],[Start_Time__c]])</f>
        <v>a06ak00000amzBvAAI|2026-05-07|15:00:00.000Z</v>
      </c>
      <c r="AC807">
        <f>IF(Lessons[[#This Row],[Double Booked Key]]="","",COUNTIF(Lessons[Double Booked Key],Lessons[[#This Row],[Double Booked Key]]))</f>
        <v>1</v>
      </c>
      <c r="AD807" s="6" t="str">
        <f>_xlfn.XLOOKUP(Lessons[[#This Row],[Location_External_Id__c]], Locations[Location Id], Locations[Location Name])</f>
        <v>Brick</v>
      </c>
      <c r="AE807" s="6" t="str">
        <f>TEXT(Lessons[[#This Row],[Lesson_Date__c]], "yyyy-mm")</f>
        <v>2026-05</v>
      </c>
      <c r="AF807" s="6" t="str">
        <f>IF(Lessons[[#This Row],[Lesson_Date__c]]&lt;=Data_Audit!$F$1, "Yes", "No")</f>
        <v>Yes</v>
      </c>
    </row>
    <row r="808" spans="1:32">
      <c r="A808" t="s">
        <v>52</v>
      </c>
      <c r="B808" t="s">
        <v>2838</v>
      </c>
      <c r="C808">
        <v>45</v>
      </c>
      <c r="D808" t="s">
        <v>2919</v>
      </c>
      <c r="E808" t="s">
        <v>318</v>
      </c>
      <c r="F808" t="s">
        <v>319</v>
      </c>
      <c r="G808" t="s">
        <v>69</v>
      </c>
      <c r="H808" t="s">
        <v>237</v>
      </c>
      <c r="I808" t="b">
        <v>0</v>
      </c>
      <c r="K808" t="s">
        <v>52</v>
      </c>
      <c r="L808" t="s">
        <v>2174</v>
      </c>
      <c r="O808" s="1">
        <v>46152</v>
      </c>
      <c r="P808" t="s">
        <v>2920</v>
      </c>
      <c r="Q808" t="s">
        <v>2921</v>
      </c>
      <c r="R808" t="s">
        <v>83</v>
      </c>
      <c r="S808" t="b">
        <v>0</v>
      </c>
      <c r="T808" t="b">
        <v>0</v>
      </c>
      <c r="U808" t="s">
        <v>2921</v>
      </c>
      <c r="V808" t="s">
        <v>128</v>
      </c>
      <c r="W808" t="s">
        <v>65</v>
      </c>
      <c r="X808" t="s">
        <v>2922</v>
      </c>
      <c r="Y808" t="s">
        <v>2923</v>
      </c>
      <c r="Z808" t="s">
        <v>2174</v>
      </c>
      <c r="AA808" t="b">
        <f>ISNUMBER(SEARCH(";"&amp;Lessons[[#This Row],[Instrument__c]]&amp;";",";"&amp;_xlfn.XLOOKUP(Lessons[[#This Row],[Instructor_External_Id__c]], Instructors[Id], Instructors[Instruments_Taught__c])&amp;";"))</f>
        <v>1</v>
      </c>
      <c r="AB808" t="str">
        <f>IF(LEFT(Lessons[[#This Row],[Status__c]],9)="Cancelled","",Lessons[[#This Row],[Instructor_External_Id__c]]&amp;"|"&amp;TEXT(Lessons[[#This Row],[Lesson_Date__c]],"yyyy-mm-dd")&amp;"|"&amp;Lessons[[#This Row],[Start_Time__c]])</f>
        <v>a06ak00000amzBzAAI|2026-05-10|18:30:00.000Z</v>
      </c>
      <c r="AC808">
        <f>IF(Lessons[[#This Row],[Double Booked Key]]="","",COUNTIF(Lessons[Double Booked Key],Lessons[[#This Row],[Double Booked Key]]))</f>
        <v>1</v>
      </c>
      <c r="AD808" s="6" t="str">
        <f>_xlfn.XLOOKUP(Lessons[[#This Row],[Location_External_Id__c]], Locations[Location Id], Locations[Location Name])</f>
        <v>Brick</v>
      </c>
      <c r="AE808" s="6" t="str">
        <f>TEXT(Lessons[[#This Row],[Lesson_Date__c]], "yyyy-mm")</f>
        <v>2026-05</v>
      </c>
      <c r="AF808" s="6" t="str">
        <f>IF(Lessons[[#This Row],[Lesson_Date__c]]&lt;=Data_Audit!$F$1, "Yes", "No")</f>
        <v>Yes</v>
      </c>
    </row>
    <row r="809" spans="1:32">
      <c r="A809" t="s">
        <v>52</v>
      </c>
      <c r="B809" t="s">
        <v>2838</v>
      </c>
      <c r="C809">
        <v>30</v>
      </c>
      <c r="D809" t="s">
        <v>2924</v>
      </c>
      <c r="E809" t="s">
        <v>318</v>
      </c>
      <c r="F809" t="s">
        <v>319</v>
      </c>
      <c r="H809" t="s">
        <v>237</v>
      </c>
      <c r="I809" t="b">
        <v>0</v>
      </c>
      <c r="K809" t="s">
        <v>52</v>
      </c>
      <c r="L809" t="s">
        <v>2174</v>
      </c>
      <c r="O809" s="1">
        <v>46072</v>
      </c>
      <c r="P809" t="s">
        <v>2925</v>
      </c>
      <c r="Q809" t="s">
        <v>2926</v>
      </c>
      <c r="R809" t="s">
        <v>83</v>
      </c>
      <c r="S809" t="b">
        <v>0</v>
      </c>
      <c r="T809" t="b">
        <v>0</v>
      </c>
      <c r="U809" t="s">
        <v>2926</v>
      </c>
      <c r="V809" t="s">
        <v>102</v>
      </c>
      <c r="W809" t="s">
        <v>121</v>
      </c>
      <c r="X809" t="s">
        <v>2922</v>
      </c>
      <c r="Y809" t="s">
        <v>2923</v>
      </c>
      <c r="Z809" t="s">
        <v>2174</v>
      </c>
      <c r="AA809" t="b">
        <f>ISNUMBER(SEARCH(";"&amp;Lessons[[#This Row],[Instrument__c]]&amp;";",";"&amp;_xlfn.XLOOKUP(Lessons[[#This Row],[Instructor_External_Id__c]], Instructors[Id], Instructors[Instruments_Taught__c])&amp;";"))</f>
        <v>1</v>
      </c>
      <c r="AB809" t="str">
        <f>IF(LEFT(Lessons[[#This Row],[Status__c]],9)="Cancelled","",Lessons[[#This Row],[Instructor_External_Id__c]]&amp;"|"&amp;TEXT(Lessons[[#This Row],[Lesson_Date__c]],"yyyy-mm-dd")&amp;"|"&amp;Lessons[[#This Row],[Start_Time__c]])</f>
        <v>a06ak00000amzBzAAI|2026-02-19|16:00:00.000Z</v>
      </c>
      <c r="AC809">
        <f>IF(Lessons[[#This Row],[Double Booked Key]]="","",COUNTIF(Lessons[Double Booked Key],Lessons[[#This Row],[Double Booked Key]]))</f>
        <v>1</v>
      </c>
      <c r="AD809" s="6" t="str">
        <f>_xlfn.XLOOKUP(Lessons[[#This Row],[Location_External_Id__c]], Locations[Location Id], Locations[Location Name])</f>
        <v>Brick</v>
      </c>
      <c r="AE809" s="6" t="str">
        <f>TEXT(Lessons[[#This Row],[Lesson_Date__c]], "yyyy-mm")</f>
        <v>2026-02</v>
      </c>
      <c r="AF809" s="6" t="str">
        <f>IF(Lessons[[#This Row],[Lesson_Date__c]]&lt;=Data_Audit!$F$1, "Yes", "No")</f>
        <v>Yes</v>
      </c>
    </row>
    <row r="810" spans="1:32">
      <c r="A810" t="s">
        <v>52</v>
      </c>
      <c r="B810" t="s">
        <v>2838</v>
      </c>
      <c r="C810">
        <v>30</v>
      </c>
      <c r="D810" t="s">
        <v>2927</v>
      </c>
      <c r="E810" t="s">
        <v>318</v>
      </c>
      <c r="F810" t="s">
        <v>319</v>
      </c>
      <c r="G810" t="s">
        <v>106</v>
      </c>
      <c r="H810" t="s">
        <v>237</v>
      </c>
      <c r="I810" t="b">
        <v>0</v>
      </c>
      <c r="K810" t="s">
        <v>52</v>
      </c>
      <c r="L810" t="s">
        <v>2174</v>
      </c>
      <c r="O810" s="1">
        <v>46214</v>
      </c>
      <c r="P810" t="s">
        <v>2928</v>
      </c>
      <c r="Q810" t="s">
        <v>2929</v>
      </c>
      <c r="R810" t="s">
        <v>83</v>
      </c>
      <c r="S810" t="b">
        <v>0</v>
      </c>
      <c r="T810" t="b">
        <v>0</v>
      </c>
      <c r="U810" t="s">
        <v>2929</v>
      </c>
      <c r="V810" t="s">
        <v>120</v>
      </c>
      <c r="W810" t="s">
        <v>65</v>
      </c>
      <c r="X810" t="s">
        <v>2922</v>
      </c>
      <c r="Y810" t="s">
        <v>2923</v>
      </c>
      <c r="Z810" t="s">
        <v>2174</v>
      </c>
      <c r="AA810" t="b">
        <f>ISNUMBER(SEARCH(";"&amp;Lessons[[#This Row],[Instrument__c]]&amp;";",";"&amp;_xlfn.XLOOKUP(Lessons[[#This Row],[Instructor_External_Id__c]], Instructors[Id], Instructors[Instruments_Taught__c])&amp;";"))</f>
        <v>1</v>
      </c>
      <c r="AB810" t="str">
        <f>IF(LEFT(Lessons[[#This Row],[Status__c]],9)="Cancelled","",Lessons[[#This Row],[Instructor_External_Id__c]]&amp;"|"&amp;TEXT(Lessons[[#This Row],[Lesson_Date__c]],"yyyy-mm-dd")&amp;"|"&amp;Lessons[[#This Row],[Start_Time__c]])</f>
        <v>a06ak00000amzBzAAI|2026-07-11|18:00:00.000Z</v>
      </c>
      <c r="AC810">
        <f>IF(Lessons[[#This Row],[Double Booked Key]]="","",COUNTIF(Lessons[Double Booked Key],Lessons[[#This Row],[Double Booked Key]]))</f>
        <v>1</v>
      </c>
      <c r="AD810" s="6" t="str">
        <f>_xlfn.XLOOKUP(Lessons[[#This Row],[Location_External_Id__c]], Locations[Location Id], Locations[Location Name])</f>
        <v>Brick</v>
      </c>
      <c r="AE810" s="6" t="str">
        <f>TEXT(Lessons[[#This Row],[Lesson_Date__c]], "yyyy-mm")</f>
        <v>2026-07</v>
      </c>
      <c r="AF810" s="6" t="str">
        <f>IF(Lessons[[#This Row],[Lesson_Date__c]]&lt;=Data_Audit!$F$1, "Yes", "No")</f>
        <v>Yes</v>
      </c>
    </row>
    <row r="811" spans="1:32">
      <c r="A811" t="s">
        <v>52</v>
      </c>
      <c r="B811" t="s">
        <v>2838</v>
      </c>
      <c r="C811">
        <v>30</v>
      </c>
      <c r="D811" t="s">
        <v>2930</v>
      </c>
      <c r="E811" t="s">
        <v>318</v>
      </c>
      <c r="F811" t="s">
        <v>319</v>
      </c>
      <c r="H811" t="s">
        <v>237</v>
      </c>
      <c r="I811" t="b">
        <v>0</v>
      </c>
      <c r="K811" t="s">
        <v>52</v>
      </c>
      <c r="L811" t="s">
        <v>2174</v>
      </c>
      <c r="O811" s="1">
        <v>46138</v>
      </c>
      <c r="P811" t="s">
        <v>2931</v>
      </c>
      <c r="Q811" t="s">
        <v>2932</v>
      </c>
      <c r="R811" t="s">
        <v>83</v>
      </c>
      <c r="S811" t="b">
        <v>0</v>
      </c>
      <c r="T811" t="b">
        <v>0</v>
      </c>
      <c r="U811" t="s">
        <v>2932</v>
      </c>
      <c r="V811" t="s">
        <v>120</v>
      </c>
      <c r="W811" t="s">
        <v>121</v>
      </c>
      <c r="X811" t="s">
        <v>2922</v>
      </c>
      <c r="Y811" t="s">
        <v>2923</v>
      </c>
      <c r="Z811" t="s">
        <v>2174</v>
      </c>
      <c r="AA811" t="b">
        <f>ISNUMBER(SEARCH(";"&amp;Lessons[[#This Row],[Instrument__c]]&amp;";",";"&amp;_xlfn.XLOOKUP(Lessons[[#This Row],[Instructor_External_Id__c]], Instructors[Id], Instructors[Instruments_Taught__c])&amp;";"))</f>
        <v>1</v>
      </c>
      <c r="AB811" t="str">
        <f>IF(LEFT(Lessons[[#This Row],[Status__c]],9)="Cancelled","",Lessons[[#This Row],[Instructor_External_Id__c]]&amp;"|"&amp;TEXT(Lessons[[#This Row],[Lesson_Date__c]],"yyyy-mm-dd")&amp;"|"&amp;Lessons[[#This Row],[Start_Time__c]])</f>
        <v>a06ak00000amzBzAAI|2026-04-26|18:00:00.000Z</v>
      </c>
      <c r="AC811">
        <f>IF(Lessons[[#This Row],[Double Booked Key]]="","",COUNTIF(Lessons[Double Booked Key],Lessons[[#This Row],[Double Booked Key]]))</f>
        <v>1</v>
      </c>
      <c r="AD811" s="6" t="str">
        <f>_xlfn.XLOOKUP(Lessons[[#This Row],[Location_External_Id__c]], Locations[Location Id], Locations[Location Name])</f>
        <v>Brick</v>
      </c>
      <c r="AE811" s="6" t="str">
        <f>TEXT(Lessons[[#This Row],[Lesson_Date__c]], "yyyy-mm")</f>
        <v>2026-04</v>
      </c>
      <c r="AF811" s="6" t="str">
        <f>IF(Lessons[[#This Row],[Lesson_Date__c]]&lt;=Data_Audit!$F$1, "Yes", "No")</f>
        <v>Yes</v>
      </c>
    </row>
    <row r="812" spans="1:32">
      <c r="A812" t="s">
        <v>52</v>
      </c>
      <c r="B812" t="s">
        <v>2838</v>
      </c>
      <c r="C812">
        <v>45</v>
      </c>
      <c r="D812" t="s">
        <v>2933</v>
      </c>
      <c r="E812" t="s">
        <v>318</v>
      </c>
      <c r="F812" t="s">
        <v>319</v>
      </c>
      <c r="G812" t="s">
        <v>106</v>
      </c>
      <c r="H812" t="s">
        <v>237</v>
      </c>
      <c r="I812" t="b">
        <v>0</v>
      </c>
      <c r="K812" t="s">
        <v>52</v>
      </c>
      <c r="L812" t="s">
        <v>2174</v>
      </c>
      <c r="O812" s="1">
        <v>46201</v>
      </c>
      <c r="P812" t="s">
        <v>2934</v>
      </c>
      <c r="Q812" t="s">
        <v>2935</v>
      </c>
      <c r="R812" t="s">
        <v>83</v>
      </c>
      <c r="S812" t="b">
        <v>0</v>
      </c>
      <c r="T812" t="b">
        <v>0</v>
      </c>
      <c r="U812" t="s">
        <v>2935</v>
      </c>
      <c r="V812" t="s">
        <v>140</v>
      </c>
      <c r="W812" t="s">
        <v>65</v>
      </c>
      <c r="X812" t="s">
        <v>2922</v>
      </c>
      <c r="Y812" t="s">
        <v>2923</v>
      </c>
      <c r="Z812" t="s">
        <v>2174</v>
      </c>
      <c r="AA812" t="b">
        <f>ISNUMBER(SEARCH(";"&amp;Lessons[[#This Row],[Instrument__c]]&amp;";",";"&amp;_xlfn.XLOOKUP(Lessons[[#This Row],[Instructor_External_Id__c]], Instructors[Id], Instructors[Instruments_Taught__c])&amp;";"))</f>
        <v>1</v>
      </c>
      <c r="AB812" t="str">
        <f>IF(LEFT(Lessons[[#This Row],[Status__c]],9)="Cancelled","",Lessons[[#This Row],[Instructor_External_Id__c]]&amp;"|"&amp;TEXT(Lessons[[#This Row],[Lesson_Date__c]],"yyyy-mm-dd")&amp;"|"&amp;Lessons[[#This Row],[Start_Time__c]])</f>
        <v>a06ak00000amzBzAAI|2026-06-28|15:00:00.000Z</v>
      </c>
      <c r="AC812">
        <f>IF(Lessons[[#This Row],[Double Booked Key]]="","",COUNTIF(Lessons[Double Booked Key],Lessons[[#This Row],[Double Booked Key]]))</f>
        <v>1</v>
      </c>
      <c r="AD812" s="6" t="str">
        <f>_xlfn.XLOOKUP(Lessons[[#This Row],[Location_External_Id__c]], Locations[Location Id], Locations[Location Name])</f>
        <v>Brick</v>
      </c>
      <c r="AE812" s="6" t="str">
        <f>TEXT(Lessons[[#This Row],[Lesson_Date__c]], "yyyy-mm")</f>
        <v>2026-06</v>
      </c>
      <c r="AF812" s="6" t="str">
        <f>IF(Lessons[[#This Row],[Lesson_Date__c]]&lt;=Data_Audit!$F$1, "Yes", "No")</f>
        <v>Yes</v>
      </c>
    </row>
    <row r="813" spans="1:32">
      <c r="A813" t="s">
        <v>52</v>
      </c>
      <c r="B813" t="s">
        <v>2936</v>
      </c>
      <c r="C813">
        <v>45</v>
      </c>
      <c r="D813" t="s">
        <v>2937</v>
      </c>
      <c r="E813" t="s">
        <v>525</v>
      </c>
      <c r="F813" t="s">
        <v>526</v>
      </c>
      <c r="G813" t="s">
        <v>99</v>
      </c>
      <c r="H813" t="s">
        <v>527</v>
      </c>
      <c r="I813" t="b">
        <v>0</v>
      </c>
      <c r="K813" t="s">
        <v>52</v>
      </c>
      <c r="L813" t="s">
        <v>70</v>
      </c>
      <c r="O813" s="1">
        <v>46175</v>
      </c>
      <c r="P813" t="s">
        <v>2938</v>
      </c>
      <c r="Q813" t="s">
        <v>2939</v>
      </c>
      <c r="R813" t="s">
        <v>63</v>
      </c>
      <c r="S813" t="b">
        <v>0</v>
      </c>
      <c r="T813" t="b">
        <v>0</v>
      </c>
      <c r="U813" t="s">
        <v>2939</v>
      </c>
      <c r="V813" t="s">
        <v>74</v>
      </c>
      <c r="W813" t="s">
        <v>65</v>
      </c>
      <c r="X813" t="s">
        <v>530</v>
      </c>
      <c r="Y813" t="s">
        <v>531</v>
      </c>
      <c r="Z813" t="s">
        <v>70</v>
      </c>
      <c r="AA813" t="b">
        <f>ISNUMBER(SEARCH(";"&amp;Lessons[[#This Row],[Instrument__c]]&amp;";",";"&amp;_xlfn.XLOOKUP(Lessons[[#This Row],[Instructor_External_Id__c]], Instructors[Id], Instructors[Instruments_Taught__c])&amp;";"))</f>
        <v>1</v>
      </c>
      <c r="AB813" t="str">
        <f>IF(LEFT(Lessons[[#This Row],[Status__c]],9)="Cancelled","",Lessons[[#This Row],[Instructor_External_Id__c]]&amp;"|"&amp;TEXT(Lessons[[#This Row],[Lesson_Date__c]],"yyyy-mm-dd")&amp;"|"&amp;Lessons[[#This Row],[Start_Time__c]])</f>
        <v>a06ak00000amzC7AAI|2026-06-02|16:30:00.000Z</v>
      </c>
      <c r="AC813">
        <f>IF(Lessons[[#This Row],[Double Booked Key]]="","",COUNTIF(Lessons[Double Booked Key],Lessons[[#This Row],[Double Booked Key]]))</f>
        <v>1</v>
      </c>
      <c r="AD813" s="6" t="str">
        <f>_xlfn.XLOOKUP(Lessons[[#This Row],[Location_External_Id__c]], Locations[Location Id], Locations[Location Name])</f>
        <v>Red Bank</v>
      </c>
      <c r="AE813" s="6" t="str">
        <f>TEXT(Lessons[[#This Row],[Lesson_Date__c]], "yyyy-mm")</f>
        <v>2026-06</v>
      </c>
      <c r="AF813" s="6" t="str">
        <f>IF(Lessons[[#This Row],[Lesson_Date__c]]&lt;=Data_Audit!$F$1, "Yes", "No")</f>
        <v>Yes</v>
      </c>
    </row>
    <row r="814" spans="1:32">
      <c r="A814" t="s">
        <v>52</v>
      </c>
      <c r="B814" t="s">
        <v>2936</v>
      </c>
      <c r="C814">
        <v>30</v>
      </c>
      <c r="D814" t="s">
        <v>2940</v>
      </c>
      <c r="E814" t="s">
        <v>337</v>
      </c>
      <c r="F814" t="s">
        <v>338</v>
      </c>
      <c r="G814" t="s">
        <v>164</v>
      </c>
      <c r="H814" t="s">
        <v>284</v>
      </c>
      <c r="I814" t="b">
        <v>0</v>
      </c>
      <c r="K814" t="s">
        <v>52</v>
      </c>
      <c r="L814" t="s">
        <v>70</v>
      </c>
      <c r="O814" s="1">
        <v>46117</v>
      </c>
      <c r="P814" t="s">
        <v>2941</v>
      </c>
      <c r="Q814" t="s">
        <v>2942</v>
      </c>
      <c r="R814" t="s">
        <v>150</v>
      </c>
      <c r="S814" t="b">
        <v>0</v>
      </c>
      <c r="T814" t="b">
        <v>0</v>
      </c>
      <c r="U814" t="s">
        <v>2942</v>
      </c>
      <c r="V814" t="s">
        <v>135</v>
      </c>
      <c r="W814" t="s">
        <v>65</v>
      </c>
      <c r="X814" t="s">
        <v>611</v>
      </c>
      <c r="Y814" t="s">
        <v>612</v>
      </c>
      <c r="Z814" t="s">
        <v>70</v>
      </c>
      <c r="AA814" t="b">
        <f>ISNUMBER(SEARCH(";"&amp;Lessons[[#This Row],[Instrument__c]]&amp;";",";"&amp;_xlfn.XLOOKUP(Lessons[[#This Row],[Instructor_External_Id__c]], Instructors[Id], Instructors[Instruments_Taught__c])&amp;";"))</f>
        <v>1</v>
      </c>
      <c r="AB814" t="str">
        <f>IF(LEFT(Lessons[[#This Row],[Status__c]],9)="Cancelled","",Lessons[[#This Row],[Instructor_External_Id__c]]&amp;"|"&amp;TEXT(Lessons[[#This Row],[Lesson_Date__c]],"yyyy-mm-dd")&amp;"|"&amp;Lessons[[#This Row],[Start_Time__c]])</f>
        <v>a06ak00000amzCIAAY|2026-04-05|15:30:00.000Z</v>
      </c>
      <c r="AC814">
        <f>IF(Lessons[[#This Row],[Double Booked Key]]="","",COUNTIF(Lessons[Double Booked Key],Lessons[[#This Row],[Double Booked Key]]))</f>
        <v>1</v>
      </c>
      <c r="AD814" s="6" t="str">
        <f>_xlfn.XLOOKUP(Lessons[[#This Row],[Location_External_Id__c]], Locations[Location Id], Locations[Location Name])</f>
        <v>Toms River</v>
      </c>
      <c r="AE814" s="6" t="str">
        <f>TEXT(Lessons[[#This Row],[Lesson_Date__c]], "yyyy-mm")</f>
        <v>2026-04</v>
      </c>
      <c r="AF814" s="6" t="str">
        <f>IF(Lessons[[#This Row],[Lesson_Date__c]]&lt;=Data_Audit!$F$1, "Yes", "No")</f>
        <v>Yes</v>
      </c>
    </row>
    <row r="815" spans="1:32">
      <c r="A815" t="s">
        <v>52</v>
      </c>
      <c r="B815" t="s">
        <v>2943</v>
      </c>
      <c r="C815">
        <v>30</v>
      </c>
      <c r="D815" t="s">
        <v>2944</v>
      </c>
      <c r="E815" t="s">
        <v>862</v>
      </c>
      <c r="F815" t="s">
        <v>863</v>
      </c>
      <c r="H815" t="s">
        <v>284</v>
      </c>
      <c r="I815" t="b">
        <v>0</v>
      </c>
      <c r="K815" t="s">
        <v>52</v>
      </c>
      <c r="L815" t="s">
        <v>171</v>
      </c>
      <c r="O815" s="1">
        <v>46266</v>
      </c>
      <c r="P815" t="s">
        <v>2945</v>
      </c>
      <c r="Q815" t="s">
        <v>2946</v>
      </c>
      <c r="R815" t="s">
        <v>63</v>
      </c>
      <c r="S815" t="b">
        <v>1</v>
      </c>
      <c r="T815" t="b">
        <v>1</v>
      </c>
      <c r="U815" t="s">
        <v>2946</v>
      </c>
      <c r="V815" t="s">
        <v>110</v>
      </c>
      <c r="W815" t="s">
        <v>136</v>
      </c>
      <c r="X815" t="s">
        <v>866</v>
      </c>
      <c r="Y815" t="s">
        <v>867</v>
      </c>
      <c r="Z815" t="s">
        <v>171</v>
      </c>
      <c r="AA815" t="b">
        <f>ISNUMBER(SEARCH(";"&amp;Lessons[[#This Row],[Instrument__c]]&amp;";",";"&amp;_xlfn.XLOOKUP(Lessons[[#This Row],[Instructor_External_Id__c]], Instructors[Id], Instructors[Instruments_Taught__c])&amp;";"))</f>
        <v>1</v>
      </c>
      <c r="AB815" t="str">
        <f>IF(LEFT(Lessons[[#This Row],[Status__c]],9)="Cancelled","",Lessons[[#This Row],[Instructor_External_Id__c]]&amp;"|"&amp;TEXT(Lessons[[#This Row],[Lesson_Date__c]],"yyyy-mm-dd")&amp;"|"&amp;Lessons[[#This Row],[Start_Time__c]])</f>
        <v/>
      </c>
      <c r="AC815" t="str">
        <f>IF(Lessons[[#This Row],[Double Booked Key]]="","",COUNTIF(Lessons[Double Booked Key],Lessons[[#This Row],[Double Booked Key]]))</f>
        <v/>
      </c>
      <c r="AD815" s="6" t="str">
        <f>_xlfn.XLOOKUP(Lessons[[#This Row],[Location_External_Id__c]], Locations[Location Id], Locations[Location Name])</f>
        <v>Red Bank</v>
      </c>
      <c r="AE815" s="6" t="str">
        <f>TEXT(Lessons[[#This Row],[Lesson_Date__c]], "yyyy-mm")</f>
        <v>2026-09</v>
      </c>
      <c r="AF815" s="6" t="str">
        <f>IF(Lessons[[#This Row],[Lesson_Date__c]]&lt;=Data_Audit!$F$1, "Yes", "No")</f>
        <v>Yes</v>
      </c>
    </row>
    <row r="816" spans="1:32">
      <c r="A816" t="s">
        <v>52</v>
      </c>
      <c r="B816" t="s">
        <v>2943</v>
      </c>
      <c r="C816">
        <v>30</v>
      </c>
      <c r="D816" t="s">
        <v>2947</v>
      </c>
      <c r="E816" t="s">
        <v>97</v>
      </c>
      <c r="F816" t="s">
        <v>98</v>
      </c>
      <c r="H816" t="s">
        <v>78</v>
      </c>
      <c r="I816" t="b">
        <v>0</v>
      </c>
      <c r="K816" t="s">
        <v>52</v>
      </c>
      <c r="L816" t="s">
        <v>171</v>
      </c>
      <c r="O816" s="1">
        <v>46067</v>
      </c>
      <c r="P816" t="s">
        <v>2948</v>
      </c>
      <c r="Q816" t="s">
        <v>2949</v>
      </c>
      <c r="R816" t="s">
        <v>83</v>
      </c>
      <c r="S816" t="b">
        <v>1</v>
      </c>
      <c r="T816" t="b">
        <v>1</v>
      </c>
      <c r="U816" t="s">
        <v>2949</v>
      </c>
      <c r="V816" t="s">
        <v>140</v>
      </c>
      <c r="W816" t="s">
        <v>136</v>
      </c>
      <c r="X816" t="s">
        <v>1033</v>
      </c>
      <c r="Y816" t="s">
        <v>1034</v>
      </c>
      <c r="Z816" t="s">
        <v>171</v>
      </c>
      <c r="AA816" t="b">
        <f>ISNUMBER(SEARCH(";"&amp;Lessons[[#This Row],[Instrument__c]]&amp;";",";"&amp;_xlfn.XLOOKUP(Lessons[[#This Row],[Instructor_External_Id__c]], Instructors[Id], Instructors[Instruments_Taught__c])&amp;";"))</f>
        <v>1</v>
      </c>
      <c r="AB816" t="str">
        <f>IF(LEFT(Lessons[[#This Row],[Status__c]],9)="Cancelled","",Lessons[[#This Row],[Instructor_External_Id__c]]&amp;"|"&amp;TEXT(Lessons[[#This Row],[Lesson_Date__c]],"yyyy-mm-dd")&amp;"|"&amp;Lessons[[#This Row],[Start_Time__c]])</f>
        <v/>
      </c>
      <c r="AC816" t="str">
        <f>IF(Lessons[[#This Row],[Double Booked Key]]="","",COUNTIF(Lessons[Double Booked Key],Lessons[[#This Row],[Double Booked Key]]))</f>
        <v/>
      </c>
      <c r="AD816" s="6" t="str">
        <f>_xlfn.XLOOKUP(Lessons[[#This Row],[Location_External_Id__c]], Locations[Location Id], Locations[Location Name])</f>
        <v>Brick</v>
      </c>
      <c r="AE816" s="6" t="str">
        <f>TEXT(Lessons[[#This Row],[Lesson_Date__c]], "yyyy-mm")</f>
        <v>2026-02</v>
      </c>
      <c r="AF816" s="6" t="str">
        <f>IF(Lessons[[#This Row],[Lesson_Date__c]]&lt;=Data_Audit!$F$1, "Yes", "No")</f>
        <v>Yes</v>
      </c>
    </row>
    <row r="817" spans="1:32">
      <c r="A817" t="s">
        <v>52</v>
      </c>
      <c r="B817" t="s">
        <v>2943</v>
      </c>
      <c r="C817">
        <v>45</v>
      </c>
      <c r="D817" t="s">
        <v>2950</v>
      </c>
      <c r="E817" t="s">
        <v>764</v>
      </c>
      <c r="F817" t="s">
        <v>765</v>
      </c>
      <c r="H817" t="s">
        <v>284</v>
      </c>
      <c r="I817" t="b">
        <v>0</v>
      </c>
      <c r="K817" t="s">
        <v>52</v>
      </c>
      <c r="L817" t="s">
        <v>171</v>
      </c>
      <c r="O817" s="1">
        <v>46196</v>
      </c>
      <c r="P817" t="s">
        <v>2951</v>
      </c>
      <c r="Q817" t="s">
        <v>2952</v>
      </c>
      <c r="R817" t="s">
        <v>63</v>
      </c>
      <c r="S817" t="b">
        <v>1</v>
      </c>
      <c r="T817" t="b">
        <v>1</v>
      </c>
      <c r="U817" t="s">
        <v>2952</v>
      </c>
      <c r="V817" t="s">
        <v>64</v>
      </c>
      <c r="W817" t="s">
        <v>136</v>
      </c>
      <c r="X817" t="s">
        <v>1419</v>
      </c>
      <c r="Y817" t="s">
        <v>1420</v>
      </c>
      <c r="Z817" t="s">
        <v>171</v>
      </c>
      <c r="AA817" t="b">
        <f>ISNUMBER(SEARCH(";"&amp;Lessons[[#This Row],[Instrument__c]]&amp;";",";"&amp;_xlfn.XLOOKUP(Lessons[[#This Row],[Instructor_External_Id__c]], Instructors[Id], Instructors[Instruments_Taught__c])&amp;";"))</f>
        <v>1</v>
      </c>
      <c r="AB817" t="str">
        <f>IF(LEFT(Lessons[[#This Row],[Status__c]],9)="Cancelled","",Lessons[[#This Row],[Instructor_External_Id__c]]&amp;"|"&amp;TEXT(Lessons[[#This Row],[Lesson_Date__c]],"yyyy-mm-dd")&amp;"|"&amp;Lessons[[#This Row],[Start_Time__c]])</f>
        <v/>
      </c>
      <c r="AC817" t="str">
        <f>IF(Lessons[[#This Row],[Double Booked Key]]="","",COUNTIF(Lessons[Double Booked Key],Lessons[[#This Row],[Double Booked Key]]))</f>
        <v/>
      </c>
      <c r="AD817" s="6" t="str">
        <f>_xlfn.XLOOKUP(Lessons[[#This Row],[Location_External_Id__c]], Locations[Location Id], Locations[Location Name])</f>
        <v>Red Bank</v>
      </c>
      <c r="AE817" s="6" t="str">
        <f>TEXT(Lessons[[#This Row],[Lesson_Date__c]], "yyyy-mm")</f>
        <v>2026-06</v>
      </c>
      <c r="AF817" s="6" t="str">
        <f>IF(Lessons[[#This Row],[Lesson_Date__c]]&lt;=Data_Audit!$F$1, "Yes", "No")</f>
        <v>Yes</v>
      </c>
    </row>
    <row r="818" spans="1:32">
      <c r="A818" t="s">
        <v>52</v>
      </c>
      <c r="B818" t="s">
        <v>2943</v>
      </c>
      <c r="C818">
        <v>30</v>
      </c>
      <c r="D818" t="s">
        <v>2953</v>
      </c>
      <c r="E818" t="s">
        <v>243</v>
      </c>
      <c r="F818" t="s">
        <v>244</v>
      </c>
      <c r="G818" t="s">
        <v>99</v>
      </c>
      <c r="H818" t="s">
        <v>237</v>
      </c>
      <c r="I818" t="b">
        <v>0</v>
      </c>
      <c r="K818" t="s">
        <v>52</v>
      </c>
      <c r="L818" t="s">
        <v>70</v>
      </c>
      <c r="O818" s="1">
        <v>46166</v>
      </c>
      <c r="P818" t="s">
        <v>2954</v>
      </c>
      <c r="Q818" t="s">
        <v>2955</v>
      </c>
      <c r="R818" t="s">
        <v>83</v>
      </c>
      <c r="S818" t="b">
        <v>0</v>
      </c>
      <c r="T818" t="b">
        <v>0</v>
      </c>
      <c r="U818" t="s">
        <v>2955</v>
      </c>
      <c r="V818" t="s">
        <v>116</v>
      </c>
      <c r="W818" t="s">
        <v>65</v>
      </c>
      <c r="X818" t="s">
        <v>1459</v>
      </c>
      <c r="Y818" t="s">
        <v>1460</v>
      </c>
      <c r="Z818" t="s">
        <v>70</v>
      </c>
      <c r="AA818" t="b">
        <f>ISNUMBER(SEARCH(";"&amp;Lessons[[#This Row],[Instrument__c]]&amp;";",";"&amp;_xlfn.XLOOKUP(Lessons[[#This Row],[Instructor_External_Id__c]], Instructors[Id], Instructors[Instruments_Taught__c])&amp;";"))</f>
        <v>1</v>
      </c>
      <c r="AB818" t="str">
        <f>IF(LEFT(Lessons[[#This Row],[Status__c]],9)="Cancelled","",Lessons[[#This Row],[Instructor_External_Id__c]]&amp;"|"&amp;TEXT(Lessons[[#This Row],[Lesson_Date__c]],"yyyy-mm-dd")&amp;"|"&amp;Lessons[[#This Row],[Start_Time__c]])</f>
        <v>a06ak00000amzC1AAI|2026-05-24|17:30:00.000Z</v>
      </c>
      <c r="AC818">
        <f>IF(Lessons[[#This Row],[Double Booked Key]]="","",COUNTIF(Lessons[Double Booked Key],Lessons[[#This Row],[Double Booked Key]]))</f>
        <v>1</v>
      </c>
      <c r="AD818" s="6" t="str">
        <f>_xlfn.XLOOKUP(Lessons[[#This Row],[Location_External_Id__c]], Locations[Location Id], Locations[Location Name])</f>
        <v>Brick</v>
      </c>
      <c r="AE818" s="6" t="str">
        <f>TEXT(Lessons[[#This Row],[Lesson_Date__c]], "yyyy-mm")</f>
        <v>2026-05</v>
      </c>
      <c r="AF818" s="6" t="str">
        <f>IF(Lessons[[#This Row],[Lesson_Date__c]]&lt;=Data_Audit!$F$1, "Yes", "No")</f>
        <v>Yes</v>
      </c>
    </row>
    <row r="819" spans="1:32">
      <c r="A819" t="s">
        <v>52</v>
      </c>
      <c r="B819" t="s">
        <v>2956</v>
      </c>
      <c r="C819">
        <v>30</v>
      </c>
      <c r="D819" t="s">
        <v>2957</v>
      </c>
      <c r="E819" t="s">
        <v>617</v>
      </c>
      <c r="F819" t="s">
        <v>618</v>
      </c>
      <c r="G819" t="s">
        <v>69</v>
      </c>
      <c r="H819" t="s">
        <v>461</v>
      </c>
      <c r="I819" t="b">
        <v>0</v>
      </c>
      <c r="K819" t="s">
        <v>52</v>
      </c>
      <c r="L819" t="s">
        <v>1517</v>
      </c>
      <c r="O819" s="1">
        <v>46244</v>
      </c>
      <c r="P819" t="s">
        <v>2958</v>
      </c>
      <c r="Q819" t="s">
        <v>2959</v>
      </c>
      <c r="R819" t="s">
        <v>63</v>
      </c>
      <c r="S819" t="b">
        <v>0</v>
      </c>
      <c r="T819" t="b">
        <v>0</v>
      </c>
      <c r="U819" t="s">
        <v>2959</v>
      </c>
      <c r="V819" t="s">
        <v>140</v>
      </c>
      <c r="W819" t="s">
        <v>65</v>
      </c>
      <c r="X819" t="s">
        <v>1625</v>
      </c>
      <c r="Y819" t="s">
        <v>1626</v>
      </c>
      <c r="Z819" t="s">
        <v>1517</v>
      </c>
      <c r="AA819" t="b">
        <f>ISNUMBER(SEARCH(";"&amp;Lessons[[#This Row],[Instrument__c]]&amp;";",";"&amp;_xlfn.XLOOKUP(Lessons[[#This Row],[Instructor_External_Id__c]], Instructors[Id], Instructors[Instruments_Taught__c])&amp;";"))</f>
        <v>1</v>
      </c>
      <c r="AB819" t="str">
        <f>IF(LEFT(Lessons[[#This Row],[Status__c]],9)="Cancelled","",Lessons[[#This Row],[Instructor_External_Id__c]]&amp;"|"&amp;TEXT(Lessons[[#This Row],[Lesson_Date__c]],"yyyy-mm-dd")&amp;"|"&amp;Lessons[[#This Row],[Start_Time__c]])</f>
        <v>a06ak00000amzC2AAI|2026-08-10|15:00:00.000Z</v>
      </c>
      <c r="AC819">
        <f>IF(Lessons[[#This Row],[Double Booked Key]]="","",COUNTIF(Lessons[Double Booked Key],Lessons[[#This Row],[Double Booked Key]]))</f>
        <v>1</v>
      </c>
      <c r="AD819" s="6" t="str">
        <f>_xlfn.XLOOKUP(Lessons[[#This Row],[Location_External_Id__c]], Locations[Location Id], Locations[Location Name])</f>
        <v>Red Bank</v>
      </c>
      <c r="AE819" s="6" t="str">
        <f>TEXT(Lessons[[#This Row],[Lesson_Date__c]], "yyyy-mm")</f>
        <v>2026-08</v>
      </c>
      <c r="AF819" s="6" t="str">
        <f>IF(Lessons[[#This Row],[Lesson_Date__c]]&lt;=Data_Audit!$F$1, "Yes", "No")</f>
        <v>Yes</v>
      </c>
    </row>
    <row r="820" spans="1:32">
      <c r="A820" t="s">
        <v>52</v>
      </c>
      <c r="B820" t="s">
        <v>2956</v>
      </c>
      <c r="C820">
        <v>45</v>
      </c>
      <c r="D820" t="s">
        <v>2960</v>
      </c>
      <c r="E820" t="s">
        <v>804</v>
      </c>
      <c r="F820" t="s">
        <v>805</v>
      </c>
      <c r="G820" t="s">
        <v>57</v>
      </c>
      <c r="H820" t="s">
        <v>147</v>
      </c>
      <c r="I820" t="b">
        <v>0</v>
      </c>
      <c r="K820" t="s">
        <v>52</v>
      </c>
      <c r="L820" t="s">
        <v>1517</v>
      </c>
      <c r="O820" s="1">
        <v>46191</v>
      </c>
      <c r="P820" t="s">
        <v>2961</v>
      </c>
      <c r="Q820" t="s">
        <v>2962</v>
      </c>
      <c r="R820" t="s">
        <v>63</v>
      </c>
      <c r="S820" t="b">
        <v>0</v>
      </c>
      <c r="T820" t="b">
        <v>0</v>
      </c>
      <c r="U820" t="s">
        <v>2962</v>
      </c>
      <c r="V820" t="s">
        <v>116</v>
      </c>
      <c r="W820" t="s">
        <v>65</v>
      </c>
      <c r="X820" t="s">
        <v>1795</v>
      </c>
      <c r="Y820" t="s">
        <v>1796</v>
      </c>
      <c r="Z820" t="s">
        <v>1517</v>
      </c>
      <c r="AA820" t="b">
        <f>ISNUMBER(SEARCH(";"&amp;Lessons[[#This Row],[Instrument__c]]&amp;";",";"&amp;_xlfn.XLOOKUP(Lessons[[#This Row],[Instructor_External_Id__c]], Instructors[Id], Instructors[Instruments_Taught__c])&amp;";"))</f>
        <v>1</v>
      </c>
      <c r="AB820" t="str">
        <f>IF(LEFT(Lessons[[#This Row],[Status__c]],9)="Cancelled","",Lessons[[#This Row],[Instructor_External_Id__c]]&amp;"|"&amp;TEXT(Lessons[[#This Row],[Lesson_Date__c]],"yyyy-mm-dd")&amp;"|"&amp;Lessons[[#This Row],[Start_Time__c]])</f>
        <v>a06ak00000amzCBAAY|2026-06-18|17:30:00.000Z</v>
      </c>
      <c r="AC820">
        <f>IF(Lessons[[#This Row],[Double Booked Key]]="","",COUNTIF(Lessons[Double Booked Key],Lessons[[#This Row],[Double Booked Key]]))</f>
        <v>1</v>
      </c>
      <c r="AD820" s="6" t="str">
        <f>_xlfn.XLOOKUP(Lessons[[#This Row],[Location_External_Id__c]], Locations[Location Id], Locations[Location Name])</f>
        <v>Red Bank</v>
      </c>
      <c r="AE820" s="6" t="str">
        <f>TEXT(Lessons[[#This Row],[Lesson_Date__c]], "yyyy-mm")</f>
        <v>2026-06</v>
      </c>
      <c r="AF820" s="6" t="str">
        <f>IF(Lessons[[#This Row],[Lesson_Date__c]]&lt;=Data_Audit!$F$1, "Yes", "No")</f>
        <v>Yes</v>
      </c>
    </row>
    <row r="821" spans="1:32">
      <c r="A821" t="s">
        <v>52</v>
      </c>
      <c r="B821" t="s">
        <v>2956</v>
      </c>
      <c r="C821">
        <v>30</v>
      </c>
      <c r="D821" t="s">
        <v>2963</v>
      </c>
      <c r="E821" t="s">
        <v>337</v>
      </c>
      <c r="F821" t="s">
        <v>338</v>
      </c>
      <c r="H821" t="s">
        <v>284</v>
      </c>
      <c r="I821" t="b">
        <v>0</v>
      </c>
      <c r="K821" t="s">
        <v>52</v>
      </c>
      <c r="L821" t="s">
        <v>1517</v>
      </c>
      <c r="O821" s="1">
        <v>46237</v>
      </c>
      <c r="P821" t="s">
        <v>2964</v>
      </c>
      <c r="Q821" t="s">
        <v>2965</v>
      </c>
      <c r="R821" t="s">
        <v>150</v>
      </c>
      <c r="S821" t="b">
        <v>0</v>
      </c>
      <c r="T821" t="b">
        <v>0</v>
      </c>
      <c r="U821" t="s">
        <v>2965</v>
      </c>
      <c r="V821" t="s">
        <v>110</v>
      </c>
      <c r="W821" t="s">
        <v>65</v>
      </c>
      <c r="X821" t="s">
        <v>1832</v>
      </c>
      <c r="Y821" t="s">
        <v>1833</v>
      </c>
      <c r="Z821" t="s">
        <v>1517</v>
      </c>
      <c r="AA821" t="b">
        <f>ISNUMBER(SEARCH(";"&amp;Lessons[[#This Row],[Instrument__c]]&amp;";",";"&amp;_xlfn.XLOOKUP(Lessons[[#This Row],[Instructor_External_Id__c]], Instructors[Id], Instructors[Instruments_Taught__c])&amp;";"))</f>
        <v>1</v>
      </c>
      <c r="AB821" t="str">
        <f>IF(LEFT(Lessons[[#This Row],[Status__c]],9)="Cancelled","",Lessons[[#This Row],[Instructor_External_Id__c]]&amp;"|"&amp;TEXT(Lessons[[#This Row],[Lesson_Date__c]],"yyyy-mm-dd")&amp;"|"&amp;Lessons[[#This Row],[Start_Time__c]])</f>
        <v>a06ak00000amzCIAAY|2026-08-03|10:00:00.000Z</v>
      </c>
      <c r="AC821">
        <f>IF(Lessons[[#This Row],[Double Booked Key]]="","",COUNTIF(Lessons[Double Booked Key],Lessons[[#This Row],[Double Booked Key]]))</f>
        <v>1</v>
      </c>
      <c r="AD821" s="6" t="str">
        <f>_xlfn.XLOOKUP(Lessons[[#This Row],[Location_External_Id__c]], Locations[Location Id], Locations[Location Name])</f>
        <v>Toms River</v>
      </c>
      <c r="AE821" s="6" t="str">
        <f>TEXT(Lessons[[#This Row],[Lesson_Date__c]], "yyyy-mm")</f>
        <v>2026-08</v>
      </c>
      <c r="AF821" s="6" t="str">
        <f>IF(Lessons[[#This Row],[Lesson_Date__c]]&lt;=Data_Audit!$F$1, "Yes", "No")</f>
        <v>Yes</v>
      </c>
    </row>
    <row r="822" spans="1:32">
      <c r="A822" t="s">
        <v>52</v>
      </c>
      <c r="B822" t="s">
        <v>2956</v>
      </c>
      <c r="C822">
        <v>60</v>
      </c>
      <c r="D822" t="s">
        <v>2966</v>
      </c>
      <c r="E822" t="s">
        <v>337</v>
      </c>
      <c r="F822" t="s">
        <v>338</v>
      </c>
      <c r="G822" t="s">
        <v>106</v>
      </c>
      <c r="H822" t="s">
        <v>284</v>
      </c>
      <c r="I822" t="b">
        <v>0</v>
      </c>
      <c r="K822" t="s">
        <v>52</v>
      </c>
      <c r="L822" t="s">
        <v>1517</v>
      </c>
      <c r="O822" s="1">
        <v>46037</v>
      </c>
      <c r="P822" t="s">
        <v>2967</v>
      </c>
      <c r="Q822" t="s">
        <v>2968</v>
      </c>
      <c r="R822" t="s">
        <v>150</v>
      </c>
      <c r="S822" t="b">
        <v>0</v>
      </c>
      <c r="T822" t="b">
        <v>0</v>
      </c>
      <c r="U822" t="s">
        <v>2968</v>
      </c>
      <c r="V822" t="s">
        <v>102</v>
      </c>
      <c r="W822" t="s">
        <v>65</v>
      </c>
      <c r="X822" t="s">
        <v>1964</v>
      </c>
      <c r="Y822" t="s">
        <v>1965</v>
      </c>
      <c r="Z822" t="s">
        <v>1517</v>
      </c>
      <c r="AA822" t="b">
        <f>ISNUMBER(SEARCH(";"&amp;Lessons[[#This Row],[Instrument__c]]&amp;";",";"&amp;_xlfn.XLOOKUP(Lessons[[#This Row],[Instructor_External_Id__c]], Instructors[Id], Instructors[Instruments_Taught__c])&amp;";"))</f>
        <v>1</v>
      </c>
      <c r="AB822" t="str">
        <f>IF(LEFT(Lessons[[#This Row],[Status__c]],9)="Cancelled","",Lessons[[#This Row],[Instructor_External_Id__c]]&amp;"|"&amp;TEXT(Lessons[[#This Row],[Lesson_Date__c]],"yyyy-mm-dd")&amp;"|"&amp;Lessons[[#This Row],[Start_Time__c]])</f>
        <v>a06ak00000amzCIAAY|2026-01-15|16:00:00.000Z</v>
      </c>
      <c r="AC822">
        <f>IF(Lessons[[#This Row],[Double Booked Key]]="","",COUNTIF(Lessons[Double Booked Key],Lessons[[#This Row],[Double Booked Key]]))</f>
        <v>1</v>
      </c>
      <c r="AD822" s="6" t="str">
        <f>_xlfn.XLOOKUP(Lessons[[#This Row],[Location_External_Id__c]], Locations[Location Id], Locations[Location Name])</f>
        <v>Toms River</v>
      </c>
      <c r="AE822" s="6" t="str">
        <f>TEXT(Lessons[[#This Row],[Lesson_Date__c]], "yyyy-mm")</f>
        <v>2026-01</v>
      </c>
      <c r="AF822" s="6" t="str">
        <f>IF(Lessons[[#This Row],[Lesson_Date__c]]&lt;=Data_Audit!$F$1, "Yes", "No")</f>
        <v>Yes</v>
      </c>
    </row>
    <row r="823" spans="1:32">
      <c r="A823" t="s">
        <v>52</v>
      </c>
      <c r="B823" t="s">
        <v>2956</v>
      </c>
      <c r="C823">
        <v>45</v>
      </c>
      <c r="D823" t="s">
        <v>2969</v>
      </c>
      <c r="E823" t="s">
        <v>459</v>
      </c>
      <c r="F823" t="s">
        <v>460</v>
      </c>
      <c r="H823" t="s">
        <v>461</v>
      </c>
      <c r="I823" t="b">
        <v>0</v>
      </c>
      <c r="K823" t="s">
        <v>52</v>
      </c>
      <c r="L823" t="s">
        <v>1517</v>
      </c>
      <c r="O823" s="1">
        <v>46133</v>
      </c>
      <c r="P823" t="s">
        <v>2970</v>
      </c>
      <c r="Q823" t="s">
        <v>2971</v>
      </c>
      <c r="R823" t="s">
        <v>83</v>
      </c>
      <c r="S823" t="b">
        <v>0</v>
      </c>
      <c r="T823" t="b">
        <v>0</v>
      </c>
      <c r="U823" t="s">
        <v>2971</v>
      </c>
      <c r="V823" t="s">
        <v>135</v>
      </c>
      <c r="W823" t="s">
        <v>85</v>
      </c>
      <c r="X823" t="s">
        <v>1990</v>
      </c>
      <c r="Y823" t="s">
        <v>1991</v>
      </c>
      <c r="Z823" t="s">
        <v>1517</v>
      </c>
      <c r="AA823" t="b">
        <f>ISNUMBER(SEARCH(";"&amp;Lessons[[#This Row],[Instrument__c]]&amp;";",";"&amp;_xlfn.XLOOKUP(Lessons[[#This Row],[Instructor_External_Id__c]], Instructors[Id], Instructors[Instruments_Taught__c])&amp;";"))</f>
        <v>1</v>
      </c>
      <c r="AB823" t="str">
        <f>IF(LEFT(Lessons[[#This Row],[Status__c]],9)="Cancelled","",Lessons[[#This Row],[Instructor_External_Id__c]]&amp;"|"&amp;TEXT(Lessons[[#This Row],[Lesson_Date__c]],"yyyy-mm-dd")&amp;"|"&amp;Lessons[[#This Row],[Start_Time__c]])</f>
        <v/>
      </c>
      <c r="AC823" t="str">
        <f>IF(Lessons[[#This Row],[Double Booked Key]]="","",COUNTIF(Lessons[Double Booked Key],Lessons[[#This Row],[Double Booked Key]]))</f>
        <v/>
      </c>
      <c r="AD823" s="6" t="str">
        <f>_xlfn.XLOOKUP(Lessons[[#This Row],[Location_External_Id__c]], Locations[Location Id], Locations[Location Name])</f>
        <v>Brick</v>
      </c>
      <c r="AE823" s="6" t="str">
        <f>TEXT(Lessons[[#This Row],[Lesson_Date__c]], "yyyy-mm")</f>
        <v>2026-04</v>
      </c>
      <c r="AF823" s="6" t="str">
        <f>IF(Lessons[[#This Row],[Lesson_Date__c]]&lt;=Data_Audit!$F$1, "Yes", "No")</f>
        <v>Yes</v>
      </c>
    </row>
    <row r="824" spans="1:32">
      <c r="A824" t="s">
        <v>52</v>
      </c>
      <c r="B824" t="s">
        <v>2956</v>
      </c>
      <c r="C824">
        <v>45</v>
      </c>
      <c r="D824" t="s">
        <v>2972</v>
      </c>
      <c r="E824" t="s">
        <v>145</v>
      </c>
      <c r="F824" t="s">
        <v>146</v>
      </c>
      <c r="G824" t="s">
        <v>99</v>
      </c>
      <c r="H824" t="s">
        <v>147</v>
      </c>
      <c r="I824" t="b">
        <v>0</v>
      </c>
      <c r="K824" t="s">
        <v>52</v>
      </c>
      <c r="L824" t="s">
        <v>1517</v>
      </c>
      <c r="O824" s="1">
        <v>46190</v>
      </c>
      <c r="P824" t="s">
        <v>2973</v>
      </c>
      <c r="Q824" t="s">
        <v>2974</v>
      </c>
      <c r="R824" t="s">
        <v>83</v>
      </c>
      <c r="S824" t="b">
        <v>0</v>
      </c>
      <c r="T824" t="b">
        <v>0</v>
      </c>
      <c r="U824" t="s">
        <v>2974</v>
      </c>
      <c r="V824" t="s">
        <v>120</v>
      </c>
      <c r="W824" t="s">
        <v>65</v>
      </c>
      <c r="X824" t="s">
        <v>2016</v>
      </c>
      <c r="Y824" t="s">
        <v>2017</v>
      </c>
      <c r="Z824" t="s">
        <v>1517</v>
      </c>
      <c r="AA824" t="b">
        <f>ISNUMBER(SEARCH(";"&amp;Lessons[[#This Row],[Instrument__c]]&amp;";",";"&amp;_xlfn.XLOOKUP(Lessons[[#This Row],[Instructor_External_Id__c]], Instructors[Id], Instructors[Instruments_Taught__c])&amp;";"))</f>
        <v>1</v>
      </c>
      <c r="AB824" t="str">
        <f>IF(LEFT(Lessons[[#This Row],[Status__c]],9)="Cancelled","",Lessons[[#This Row],[Instructor_External_Id__c]]&amp;"|"&amp;TEXT(Lessons[[#This Row],[Lesson_Date__c]],"yyyy-mm-dd")&amp;"|"&amp;Lessons[[#This Row],[Start_Time__c]])</f>
        <v>a06ak00000amzBhAAI|2026-06-17|18:00:00.000Z</v>
      </c>
      <c r="AC824">
        <f>IF(Lessons[[#This Row],[Double Booked Key]]="","",COUNTIF(Lessons[Double Booked Key],Lessons[[#This Row],[Double Booked Key]]))</f>
        <v>1</v>
      </c>
      <c r="AD824" s="6" t="str">
        <f>_xlfn.XLOOKUP(Lessons[[#This Row],[Location_External_Id__c]], Locations[Location Id], Locations[Location Name])</f>
        <v>Brick</v>
      </c>
      <c r="AE824" s="6" t="str">
        <f>TEXT(Lessons[[#This Row],[Lesson_Date__c]], "yyyy-mm")</f>
        <v>2026-06</v>
      </c>
      <c r="AF824" s="6" t="str">
        <f>IF(Lessons[[#This Row],[Lesson_Date__c]]&lt;=Data_Audit!$F$1, "Yes", "No")</f>
        <v>Yes</v>
      </c>
    </row>
    <row r="825" spans="1:32">
      <c r="A825" t="s">
        <v>52</v>
      </c>
      <c r="B825" t="s">
        <v>2975</v>
      </c>
      <c r="C825">
        <v>60</v>
      </c>
      <c r="D825" t="s">
        <v>2976</v>
      </c>
      <c r="E825" t="s">
        <v>525</v>
      </c>
      <c r="F825" t="s">
        <v>526</v>
      </c>
      <c r="H825" t="s">
        <v>527</v>
      </c>
      <c r="I825" t="b">
        <v>0</v>
      </c>
      <c r="K825" t="s">
        <v>52</v>
      </c>
      <c r="L825" t="s">
        <v>2174</v>
      </c>
      <c r="O825" s="1">
        <v>46216</v>
      </c>
      <c r="P825" t="s">
        <v>2977</v>
      </c>
      <c r="Q825" t="s">
        <v>2978</v>
      </c>
      <c r="R825" t="s">
        <v>63</v>
      </c>
      <c r="S825" t="b">
        <v>0</v>
      </c>
      <c r="T825" t="b">
        <v>0</v>
      </c>
      <c r="U825" t="s">
        <v>2978</v>
      </c>
      <c r="V825" t="s">
        <v>64</v>
      </c>
      <c r="W825" t="s">
        <v>85</v>
      </c>
      <c r="X825" t="s">
        <v>2305</v>
      </c>
      <c r="Y825" t="s">
        <v>2306</v>
      </c>
      <c r="Z825" t="s">
        <v>2174</v>
      </c>
      <c r="AA825" t="b">
        <f>ISNUMBER(SEARCH(";"&amp;Lessons[[#This Row],[Instrument__c]]&amp;";",";"&amp;_xlfn.XLOOKUP(Lessons[[#This Row],[Instructor_External_Id__c]], Instructors[Id], Instructors[Instruments_Taught__c])&amp;";"))</f>
        <v>1</v>
      </c>
      <c r="AB825" t="str">
        <f>IF(LEFT(Lessons[[#This Row],[Status__c]],9)="Cancelled","",Lessons[[#This Row],[Instructor_External_Id__c]]&amp;"|"&amp;TEXT(Lessons[[#This Row],[Lesson_Date__c]],"yyyy-mm-dd")&amp;"|"&amp;Lessons[[#This Row],[Start_Time__c]])</f>
        <v/>
      </c>
      <c r="AC825" t="str">
        <f>IF(Lessons[[#This Row],[Double Booked Key]]="","",COUNTIF(Lessons[Double Booked Key],Lessons[[#This Row],[Double Booked Key]]))</f>
        <v/>
      </c>
      <c r="AD825" s="6" t="str">
        <f>_xlfn.XLOOKUP(Lessons[[#This Row],[Location_External_Id__c]], Locations[Location Id], Locations[Location Name])</f>
        <v>Red Bank</v>
      </c>
      <c r="AE825" s="6" t="str">
        <f>TEXT(Lessons[[#This Row],[Lesson_Date__c]], "yyyy-mm")</f>
        <v>2026-07</v>
      </c>
      <c r="AF825" s="6" t="str">
        <f>IF(Lessons[[#This Row],[Lesson_Date__c]]&lt;=Data_Audit!$F$1, "Yes", "No")</f>
        <v>Yes</v>
      </c>
    </row>
    <row r="826" spans="1:32">
      <c r="A826" t="s">
        <v>52</v>
      </c>
      <c r="B826" t="s">
        <v>2975</v>
      </c>
      <c r="C826">
        <v>30</v>
      </c>
      <c r="D826" t="s">
        <v>2979</v>
      </c>
      <c r="E826" t="s">
        <v>89</v>
      </c>
      <c r="F826" t="s">
        <v>90</v>
      </c>
      <c r="H826" t="s">
        <v>650</v>
      </c>
      <c r="I826" t="b">
        <v>0</v>
      </c>
      <c r="K826" t="s">
        <v>52</v>
      </c>
      <c r="L826" t="s">
        <v>2174</v>
      </c>
      <c r="O826" s="1">
        <v>46252</v>
      </c>
      <c r="P826" t="s">
        <v>2980</v>
      </c>
      <c r="Q826" t="s">
        <v>2981</v>
      </c>
      <c r="R826" t="s">
        <v>83</v>
      </c>
      <c r="S826" t="b">
        <v>0</v>
      </c>
      <c r="T826" t="b">
        <v>0</v>
      </c>
      <c r="U826" t="s">
        <v>2981</v>
      </c>
      <c r="V826" t="s">
        <v>74</v>
      </c>
      <c r="W826" t="s">
        <v>65</v>
      </c>
      <c r="X826" t="s">
        <v>2521</v>
      </c>
      <c r="Y826" t="s">
        <v>2522</v>
      </c>
      <c r="Z826" t="s">
        <v>2174</v>
      </c>
      <c r="AA826" t="b">
        <f>ISNUMBER(SEARCH(";"&amp;Lessons[[#This Row],[Instrument__c]]&amp;";",";"&amp;_xlfn.XLOOKUP(Lessons[[#This Row],[Instructor_External_Id__c]], Instructors[Id], Instructors[Instruments_Taught__c])&amp;";"))</f>
        <v>1</v>
      </c>
      <c r="AB826" t="str">
        <f>IF(LEFT(Lessons[[#This Row],[Status__c]],9)="Cancelled","",Lessons[[#This Row],[Instructor_External_Id__c]]&amp;"|"&amp;TEXT(Lessons[[#This Row],[Lesson_Date__c]],"yyyy-mm-dd")&amp;"|"&amp;Lessons[[#This Row],[Start_Time__c]])</f>
        <v>a06ak00000amzCFAAY|2026-08-18|16:30:00.000Z</v>
      </c>
      <c r="AC826">
        <f>IF(Lessons[[#This Row],[Double Booked Key]]="","",COUNTIF(Lessons[Double Booked Key],Lessons[[#This Row],[Double Booked Key]]))</f>
        <v>1</v>
      </c>
      <c r="AD826" s="6" t="str">
        <f>_xlfn.XLOOKUP(Lessons[[#This Row],[Location_External_Id__c]], Locations[Location Id], Locations[Location Name])</f>
        <v>Brick</v>
      </c>
      <c r="AE826" s="6" t="str">
        <f>TEXT(Lessons[[#This Row],[Lesson_Date__c]], "yyyy-mm")</f>
        <v>2026-08</v>
      </c>
      <c r="AF826" s="6" t="str">
        <f>IF(Lessons[[#This Row],[Lesson_Date__c]]&lt;=Data_Audit!$F$1, "Yes", "No")</f>
        <v>Yes</v>
      </c>
    </row>
    <row r="827" spans="1:32">
      <c r="A827" t="s">
        <v>52</v>
      </c>
      <c r="B827" t="s">
        <v>2975</v>
      </c>
      <c r="C827">
        <v>30</v>
      </c>
      <c r="D827" t="s">
        <v>2982</v>
      </c>
      <c r="E827" t="s">
        <v>459</v>
      </c>
      <c r="F827" t="s">
        <v>460</v>
      </c>
      <c r="H827" t="s">
        <v>461</v>
      </c>
      <c r="I827" t="b">
        <v>0</v>
      </c>
      <c r="K827" t="s">
        <v>52</v>
      </c>
      <c r="L827" t="s">
        <v>171</v>
      </c>
      <c r="O827" s="1">
        <v>46258</v>
      </c>
      <c r="P827" t="s">
        <v>2983</v>
      </c>
      <c r="Q827" t="s">
        <v>2984</v>
      </c>
      <c r="R827" t="s">
        <v>83</v>
      </c>
      <c r="S827" t="b">
        <v>1</v>
      </c>
      <c r="T827" t="b">
        <v>0</v>
      </c>
      <c r="U827" t="s">
        <v>2984</v>
      </c>
      <c r="V827" t="s">
        <v>110</v>
      </c>
      <c r="W827" t="s">
        <v>136</v>
      </c>
      <c r="X827" t="s">
        <v>2592</v>
      </c>
      <c r="Y827" t="s">
        <v>2593</v>
      </c>
      <c r="Z827" t="s">
        <v>171</v>
      </c>
      <c r="AA827" t="b">
        <f>ISNUMBER(SEARCH(";"&amp;Lessons[[#This Row],[Instrument__c]]&amp;";",";"&amp;_xlfn.XLOOKUP(Lessons[[#This Row],[Instructor_External_Id__c]], Instructors[Id], Instructors[Instruments_Taught__c])&amp;";"))</f>
        <v>1</v>
      </c>
      <c r="AB827" t="str">
        <f>IF(LEFT(Lessons[[#This Row],[Status__c]],9)="Cancelled","",Lessons[[#This Row],[Instructor_External_Id__c]]&amp;"|"&amp;TEXT(Lessons[[#This Row],[Lesson_Date__c]],"yyyy-mm-dd")&amp;"|"&amp;Lessons[[#This Row],[Start_Time__c]])</f>
        <v/>
      </c>
      <c r="AC827" t="str">
        <f>IF(Lessons[[#This Row],[Double Booked Key]]="","",COUNTIF(Lessons[Double Booked Key],Lessons[[#This Row],[Double Booked Key]]))</f>
        <v/>
      </c>
      <c r="AD827" s="6" t="str">
        <f>_xlfn.XLOOKUP(Lessons[[#This Row],[Location_External_Id__c]], Locations[Location Id], Locations[Location Name])</f>
        <v>Brick</v>
      </c>
      <c r="AE827" s="6" t="str">
        <f>TEXT(Lessons[[#This Row],[Lesson_Date__c]], "yyyy-mm")</f>
        <v>2026-08</v>
      </c>
      <c r="AF827" s="6" t="str">
        <f>IF(Lessons[[#This Row],[Lesson_Date__c]]&lt;=Data_Audit!$F$1, "Yes", "No")</f>
        <v>Yes</v>
      </c>
    </row>
    <row r="828" spans="1:32">
      <c r="A828" t="s">
        <v>52</v>
      </c>
      <c r="B828" t="s">
        <v>2975</v>
      </c>
      <c r="C828">
        <v>30</v>
      </c>
      <c r="D828" t="s">
        <v>2985</v>
      </c>
      <c r="E828" t="s">
        <v>282</v>
      </c>
      <c r="F828" t="s">
        <v>283</v>
      </c>
      <c r="G828" t="s">
        <v>69</v>
      </c>
      <c r="H828" t="s">
        <v>284</v>
      </c>
      <c r="I828" t="b">
        <v>0</v>
      </c>
      <c r="K828" t="s">
        <v>52</v>
      </c>
      <c r="L828" t="s">
        <v>2174</v>
      </c>
      <c r="O828" s="1">
        <v>46241</v>
      </c>
      <c r="P828" t="s">
        <v>2986</v>
      </c>
      <c r="Q828" t="s">
        <v>2987</v>
      </c>
      <c r="R828" t="s">
        <v>83</v>
      </c>
      <c r="S828" t="b">
        <v>0</v>
      </c>
      <c r="T828" t="b">
        <v>0</v>
      </c>
      <c r="U828" t="s">
        <v>2987</v>
      </c>
      <c r="V828" t="s">
        <v>135</v>
      </c>
      <c r="W828" t="s">
        <v>65</v>
      </c>
      <c r="X828" t="s">
        <v>2642</v>
      </c>
      <c r="Y828" t="s">
        <v>2643</v>
      </c>
      <c r="Z828" t="s">
        <v>2174</v>
      </c>
      <c r="AA828" t="b">
        <f>ISNUMBER(SEARCH(";"&amp;Lessons[[#This Row],[Instrument__c]]&amp;";",";"&amp;_xlfn.XLOOKUP(Lessons[[#This Row],[Instructor_External_Id__c]], Instructors[Id], Instructors[Instruments_Taught__c])&amp;";"))</f>
        <v>1</v>
      </c>
      <c r="AB828" t="str">
        <f>IF(LEFT(Lessons[[#This Row],[Status__c]],9)="Cancelled","",Lessons[[#This Row],[Instructor_External_Id__c]]&amp;"|"&amp;TEXT(Lessons[[#This Row],[Lesson_Date__c]],"yyyy-mm-dd")&amp;"|"&amp;Lessons[[#This Row],[Start_Time__c]])</f>
        <v>a06ak00000amzBxAAI|2026-08-07|15:30:00.000Z</v>
      </c>
      <c r="AC828">
        <f>IF(Lessons[[#This Row],[Double Booked Key]]="","",COUNTIF(Lessons[Double Booked Key],Lessons[[#This Row],[Double Booked Key]]))</f>
        <v>1</v>
      </c>
      <c r="AD828" s="6" t="str">
        <f>_xlfn.XLOOKUP(Lessons[[#This Row],[Location_External_Id__c]], Locations[Location Id], Locations[Location Name])</f>
        <v>Brick</v>
      </c>
      <c r="AE828" s="6" t="str">
        <f>TEXT(Lessons[[#This Row],[Lesson_Date__c]], "yyyy-mm")</f>
        <v>2026-08</v>
      </c>
      <c r="AF828" s="6" t="str">
        <f>IF(Lessons[[#This Row],[Lesson_Date__c]]&lt;=Data_Audit!$F$1, "Yes", "No")</f>
        <v>Yes</v>
      </c>
    </row>
    <row r="829" spans="1:32">
      <c r="A829" t="s">
        <v>52</v>
      </c>
      <c r="B829" t="s">
        <v>2988</v>
      </c>
      <c r="C829">
        <v>30</v>
      </c>
      <c r="D829" t="s">
        <v>2989</v>
      </c>
      <c r="E829" t="s">
        <v>1386</v>
      </c>
      <c r="F829" t="s">
        <v>1387</v>
      </c>
      <c r="G829" t="s">
        <v>99</v>
      </c>
      <c r="H829" t="s">
        <v>237</v>
      </c>
      <c r="I829" t="b">
        <v>0</v>
      </c>
      <c r="K829" t="s">
        <v>52</v>
      </c>
      <c r="L829" t="s">
        <v>2174</v>
      </c>
      <c r="O829" s="1">
        <v>46112</v>
      </c>
      <c r="P829" t="s">
        <v>2990</v>
      </c>
      <c r="Q829" t="s">
        <v>2991</v>
      </c>
      <c r="R829" t="s">
        <v>63</v>
      </c>
      <c r="S829" t="b">
        <v>0</v>
      </c>
      <c r="T829" t="b">
        <v>0</v>
      </c>
      <c r="U829" t="s">
        <v>2991</v>
      </c>
      <c r="V829" t="s">
        <v>94</v>
      </c>
      <c r="W829" t="s">
        <v>65</v>
      </c>
      <c r="X829" t="s">
        <v>2842</v>
      </c>
      <c r="Y829" t="s">
        <v>2843</v>
      </c>
      <c r="Z829" t="s">
        <v>2174</v>
      </c>
      <c r="AA829" t="b">
        <f>ISNUMBER(SEARCH(";"&amp;Lessons[[#This Row],[Instrument__c]]&amp;";",";"&amp;_xlfn.XLOOKUP(Lessons[[#This Row],[Instructor_External_Id__c]], Instructors[Id], Instructors[Instruments_Taught__c])&amp;";"))</f>
        <v>1</v>
      </c>
      <c r="AB829" t="str">
        <f>IF(LEFT(Lessons[[#This Row],[Status__c]],9)="Cancelled","",Lessons[[#This Row],[Instructor_External_Id__c]]&amp;"|"&amp;TEXT(Lessons[[#This Row],[Lesson_Date__c]],"yyyy-mm-dd")&amp;"|"&amp;Lessons[[#This Row],[Start_Time__c]])</f>
        <v>a06ak00000amzC6AAI|2026-03-31|19:00:00.000Z</v>
      </c>
      <c r="AC829">
        <f>IF(Lessons[[#This Row],[Double Booked Key]]="","",COUNTIF(Lessons[Double Booked Key],Lessons[[#This Row],[Double Booked Key]]))</f>
        <v>1</v>
      </c>
      <c r="AD829" s="6" t="str">
        <f>_xlfn.XLOOKUP(Lessons[[#This Row],[Location_External_Id__c]], Locations[Location Id], Locations[Location Name])</f>
        <v>Red Bank</v>
      </c>
      <c r="AE829" s="6" t="str">
        <f>TEXT(Lessons[[#This Row],[Lesson_Date__c]], "yyyy-mm")</f>
        <v>2026-03</v>
      </c>
      <c r="AF829" s="6" t="str">
        <f>IF(Lessons[[#This Row],[Lesson_Date__c]]&lt;=Data_Audit!$F$1, "Yes", "No")</f>
        <v>Yes</v>
      </c>
    </row>
    <row r="830" spans="1:32">
      <c r="A830" t="s">
        <v>2992</v>
      </c>
      <c r="B830" t="s">
        <v>2993</v>
      </c>
      <c r="C830">
        <v>45</v>
      </c>
      <c r="D830" t="s">
        <v>2994</v>
      </c>
      <c r="E830" t="s">
        <v>923</v>
      </c>
      <c r="F830" t="s">
        <v>924</v>
      </c>
      <c r="H830" t="s">
        <v>650</v>
      </c>
      <c r="I830" t="b">
        <v>0</v>
      </c>
      <c r="K830" t="s">
        <v>2992</v>
      </c>
      <c r="L830" t="s">
        <v>2995</v>
      </c>
      <c r="O830" s="1">
        <v>46302</v>
      </c>
      <c r="Q830" t="s">
        <v>2996</v>
      </c>
      <c r="R830" t="s">
        <v>83</v>
      </c>
      <c r="S830" t="b">
        <v>1</v>
      </c>
      <c r="T830" t="b">
        <v>0</v>
      </c>
      <c r="U830" t="s">
        <v>2996</v>
      </c>
      <c r="V830" t="s">
        <v>135</v>
      </c>
      <c r="W830" t="s">
        <v>136</v>
      </c>
      <c r="X830" t="s">
        <v>1307</v>
      </c>
      <c r="Y830" t="s">
        <v>1308</v>
      </c>
      <c r="Z830" t="s">
        <v>2995</v>
      </c>
      <c r="AA830" t="b">
        <f>ISNUMBER(SEARCH(";"&amp;Lessons[[#This Row],[Instrument__c]]&amp;";",";"&amp;_xlfn.XLOOKUP(Lessons[[#This Row],[Instructor_External_Id__c]], Instructors[Id], Instructors[Instruments_Taught__c])&amp;";"))</f>
        <v>1</v>
      </c>
      <c r="AB830" t="str">
        <f>IF(LEFT(Lessons[[#This Row],[Status__c]],9)="Cancelled","",Lessons[[#This Row],[Instructor_External_Id__c]]&amp;"|"&amp;TEXT(Lessons[[#This Row],[Lesson_Date__c]],"yyyy-mm-dd")&amp;"|"&amp;Lessons[[#This Row],[Start_Time__c]])</f>
        <v/>
      </c>
      <c r="AC830" t="str">
        <f>IF(Lessons[[#This Row],[Double Booked Key]]="","",COUNTIF(Lessons[Double Booked Key],Lessons[[#This Row],[Double Booked Key]]))</f>
        <v/>
      </c>
      <c r="AD830" s="6" t="str">
        <f>_xlfn.XLOOKUP(Lessons[[#This Row],[Location_External_Id__c]], Locations[Location Id], Locations[Location Name])</f>
        <v>Brick</v>
      </c>
      <c r="AE830" s="6" t="str">
        <f>TEXT(Lessons[[#This Row],[Lesson_Date__c]], "yyyy-mm")</f>
        <v>2026-10</v>
      </c>
      <c r="AF830" s="6" t="str">
        <f>IF(Lessons[[#This Row],[Lesson_Date__c]]&lt;=Data_Audit!$F$1, "Yes", "No")</f>
        <v>Yes</v>
      </c>
    </row>
    <row r="831" spans="1:32">
      <c r="A831" t="s">
        <v>52</v>
      </c>
      <c r="B831" t="s">
        <v>2997</v>
      </c>
      <c r="C831">
        <v>60</v>
      </c>
      <c r="D831" t="s">
        <v>2998</v>
      </c>
      <c r="E831" t="s">
        <v>243</v>
      </c>
      <c r="F831" t="s">
        <v>244</v>
      </c>
      <c r="H831" t="s">
        <v>237</v>
      </c>
      <c r="I831" t="b">
        <v>0</v>
      </c>
      <c r="K831" t="s">
        <v>52</v>
      </c>
      <c r="L831" t="s">
        <v>2997</v>
      </c>
      <c r="O831" s="1">
        <v>46371</v>
      </c>
      <c r="P831" t="s">
        <v>2999</v>
      </c>
      <c r="Q831" t="s">
        <v>3000</v>
      </c>
      <c r="R831" t="s">
        <v>83</v>
      </c>
      <c r="S831" t="b">
        <v>0</v>
      </c>
      <c r="T831" t="b">
        <v>0</v>
      </c>
      <c r="U831" t="s">
        <v>3001</v>
      </c>
      <c r="V831" t="s">
        <v>135</v>
      </c>
      <c r="W831" t="s">
        <v>95</v>
      </c>
      <c r="X831" t="s">
        <v>965</v>
      </c>
      <c r="Y831" t="s">
        <v>966</v>
      </c>
      <c r="Z831" t="s">
        <v>2997</v>
      </c>
      <c r="AA831" t="b">
        <f>ISNUMBER(SEARCH(";"&amp;Lessons[[#This Row],[Instrument__c]]&amp;";",";"&amp;_xlfn.XLOOKUP(Lessons[[#This Row],[Instructor_External_Id__c]], Instructors[Id], Instructors[Instruments_Taught__c])&amp;";"))</f>
        <v>1</v>
      </c>
      <c r="AB831" t="str">
        <f>IF(LEFT(Lessons[[#This Row],[Status__c]],9)="Cancelled","",Lessons[[#This Row],[Instructor_External_Id__c]]&amp;"|"&amp;TEXT(Lessons[[#This Row],[Lesson_Date__c]],"yyyy-mm-dd")&amp;"|"&amp;Lessons[[#This Row],[Start_Time__c]])</f>
        <v>a06ak00000amzC1AAI|2026-12-15|15:30:00.000Z</v>
      </c>
      <c r="AC831">
        <f>IF(Lessons[[#This Row],[Double Booked Key]]="","",COUNTIF(Lessons[Double Booked Key],Lessons[[#This Row],[Double Booked Key]]))</f>
        <v>1</v>
      </c>
      <c r="AD831" s="6" t="str">
        <f>_xlfn.XLOOKUP(Lessons[[#This Row],[Location_External_Id__c]], Locations[Location Id], Locations[Location Name])</f>
        <v>Brick</v>
      </c>
      <c r="AE831" s="6" t="str">
        <f>TEXT(Lessons[[#This Row],[Lesson_Date__c]], "yyyy-mm")</f>
        <v>2026-12</v>
      </c>
      <c r="AF831" s="6" t="str">
        <f>IF(Lessons[[#This Row],[Lesson_Date__c]]&lt;=Data_Audit!$F$1, "Yes", "No")</f>
        <v>No</v>
      </c>
    </row>
    <row r="832" spans="1:32">
      <c r="A832" t="s">
        <v>52</v>
      </c>
      <c r="B832" t="s">
        <v>2997</v>
      </c>
      <c r="C832">
        <v>30</v>
      </c>
      <c r="D832" t="s">
        <v>3002</v>
      </c>
      <c r="E832" t="s">
        <v>282</v>
      </c>
      <c r="F832" t="s">
        <v>283</v>
      </c>
      <c r="H832" t="s">
        <v>284</v>
      </c>
      <c r="I832" t="b">
        <v>0</v>
      </c>
      <c r="K832" t="s">
        <v>52</v>
      </c>
      <c r="L832" t="s">
        <v>2997</v>
      </c>
      <c r="O832" s="1">
        <v>46371</v>
      </c>
      <c r="P832" t="s">
        <v>3003</v>
      </c>
      <c r="Q832" t="s">
        <v>3004</v>
      </c>
      <c r="R832" t="s">
        <v>83</v>
      </c>
      <c r="S832" t="b">
        <v>0</v>
      </c>
      <c r="T832" t="b">
        <v>0</v>
      </c>
      <c r="U832" t="s">
        <v>3005</v>
      </c>
      <c r="V832" t="s">
        <v>135</v>
      </c>
      <c r="W832" t="s">
        <v>95</v>
      </c>
      <c r="X832" t="s">
        <v>2642</v>
      </c>
      <c r="Y832" t="s">
        <v>2643</v>
      </c>
      <c r="Z832" t="s">
        <v>2997</v>
      </c>
      <c r="AA832" t="b">
        <f>ISNUMBER(SEARCH(";"&amp;Lessons[[#This Row],[Instrument__c]]&amp;";",";"&amp;_xlfn.XLOOKUP(Lessons[[#This Row],[Instructor_External_Id__c]], Instructors[Id], Instructors[Instruments_Taught__c])&amp;";"))</f>
        <v>1</v>
      </c>
      <c r="AB832" t="str">
        <f>IF(LEFT(Lessons[[#This Row],[Status__c]],9)="Cancelled","",Lessons[[#This Row],[Instructor_External_Id__c]]&amp;"|"&amp;TEXT(Lessons[[#This Row],[Lesson_Date__c]],"yyyy-mm-dd")&amp;"|"&amp;Lessons[[#This Row],[Start_Time__c]])</f>
        <v>a06ak00000amzBxAAI|2026-12-15|15:30:00.000Z</v>
      </c>
      <c r="AC832">
        <f>IF(Lessons[[#This Row],[Double Booked Key]]="","",COUNTIF(Lessons[Double Booked Key],Lessons[[#This Row],[Double Booked Key]]))</f>
        <v>1</v>
      </c>
      <c r="AD832" s="6" t="str">
        <f>_xlfn.XLOOKUP(Lessons[[#This Row],[Location_External_Id__c]], Locations[Location Id], Locations[Location Name])</f>
        <v>Brick</v>
      </c>
      <c r="AE832" s="6" t="str">
        <f>TEXT(Lessons[[#This Row],[Lesson_Date__c]], "yyyy-mm")</f>
        <v>2026-12</v>
      </c>
      <c r="AF832" s="6" t="str">
        <f>IF(Lessons[[#This Row],[Lesson_Date__c]]&lt;=Data_Audit!$F$1, "Yes", "No")</f>
        <v>No</v>
      </c>
    </row>
    <row r="833" spans="1:32">
      <c r="A833" t="s">
        <v>52</v>
      </c>
      <c r="B833" t="s">
        <v>2997</v>
      </c>
      <c r="C833">
        <v>45</v>
      </c>
      <c r="D833" t="s">
        <v>3006</v>
      </c>
      <c r="E833" t="s">
        <v>804</v>
      </c>
      <c r="F833" t="s">
        <v>805</v>
      </c>
      <c r="H833" t="s">
        <v>527</v>
      </c>
      <c r="I833" t="b">
        <v>0</v>
      </c>
      <c r="K833" t="s">
        <v>52</v>
      </c>
      <c r="L833" t="s">
        <v>2997</v>
      </c>
      <c r="O833" s="1">
        <v>46371</v>
      </c>
      <c r="P833" t="s">
        <v>3007</v>
      </c>
      <c r="Q833" t="s">
        <v>3008</v>
      </c>
      <c r="R833" t="s">
        <v>63</v>
      </c>
      <c r="S833" t="b">
        <v>0</v>
      </c>
      <c r="T833" t="b">
        <v>0</v>
      </c>
      <c r="U833" t="s">
        <v>3009</v>
      </c>
      <c r="V833" t="s">
        <v>74</v>
      </c>
      <c r="W833" t="s">
        <v>95</v>
      </c>
      <c r="X833" t="s">
        <v>1293</v>
      </c>
      <c r="Y833" t="s">
        <v>1294</v>
      </c>
      <c r="Z833" t="s">
        <v>2997</v>
      </c>
      <c r="AA833" t="b">
        <f>ISNUMBER(SEARCH(";"&amp;Lessons[[#This Row],[Instrument__c]]&amp;";",";"&amp;_xlfn.XLOOKUP(Lessons[[#This Row],[Instructor_External_Id__c]], Instructors[Id], Instructors[Instruments_Taught__c])&amp;";"))</f>
        <v>1</v>
      </c>
      <c r="AB833" t="str">
        <f>IF(LEFT(Lessons[[#This Row],[Status__c]],9)="Cancelled","",Lessons[[#This Row],[Instructor_External_Id__c]]&amp;"|"&amp;TEXT(Lessons[[#This Row],[Lesson_Date__c]],"yyyy-mm-dd")&amp;"|"&amp;Lessons[[#This Row],[Start_Time__c]])</f>
        <v>a06ak00000amzCBAAY|2026-12-15|16:30:00.000Z</v>
      </c>
      <c r="AC833">
        <f>IF(Lessons[[#This Row],[Double Booked Key]]="","",COUNTIF(Lessons[Double Booked Key],Lessons[[#This Row],[Double Booked Key]]))</f>
        <v>1</v>
      </c>
      <c r="AD833" s="6" t="str">
        <f>_xlfn.XLOOKUP(Lessons[[#This Row],[Location_External_Id__c]], Locations[Location Id], Locations[Location Name])</f>
        <v>Red Bank</v>
      </c>
      <c r="AE833" s="6" t="str">
        <f>TEXT(Lessons[[#This Row],[Lesson_Date__c]], "yyyy-mm")</f>
        <v>2026-12</v>
      </c>
      <c r="AF833" s="6" t="str">
        <f>IF(Lessons[[#This Row],[Lesson_Date__c]]&lt;=Data_Audit!$F$1, "Yes", "No")</f>
        <v>No</v>
      </c>
    </row>
    <row r="834" spans="1:32">
      <c r="A834" t="s">
        <v>52</v>
      </c>
      <c r="B834" t="s">
        <v>2997</v>
      </c>
      <c r="C834">
        <v>30</v>
      </c>
      <c r="D834" t="s">
        <v>3010</v>
      </c>
      <c r="E834" t="s">
        <v>804</v>
      </c>
      <c r="F834" t="s">
        <v>805</v>
      </c>
      <c r="H834" t="s">
        <v>527</v>
      </c>
      <c r="I834" t="b">
        <v>0</v>
      </c>
      <c r="K834" t="s">
        <v>52</v>
      </c>
      <c r="L834" t="s">
        <v>2997</v>
      </c>
      <c r="O834" s="1">
        <v>46371</v>
      </c>
      <c r="P834" t="s">
        <v>3011</v>
      </c>
      <c r="Q834" t="s">
        <v>3012</v>
      </c>
      <c r="R834" t="s">
        <v>63</v>
      </c>
      <c r="S834" t="b">
        <v>0</v>
      </c>
      <c r="T834" t="b">
        <v>0</v>
      </c>
      <c r="U834" t="s">
        <v>3013</v>
      </c>
      <c r="V834" t="s">
        <v>116</v>
      </c>
      <c r="W834" t="s">
        <v>95</v>
      </c>
      <c r="X834" t="s">
        <v>530</v>
      </c>
      <c r="Y834" t="s">
        <v>531</v>
      </c>
      <c r="Z834" t="s">
        <v>2997</v>
      </c>
      <c r="AA834" t="b">
        <f>ISNUMBER(SEARCH(";"&amp;Lessons[[#This Row],[Instrument__c]]&amp;";",";"&amp;_xlfn.XLOOKUP(Lessons[[#This Row],[Instructor_External_Id__c]], Instructors[Id], Instructors[Instruments_Taught__c])&amp;";"))</f>
        <v>1</v>
      </c>
      <c r="AB834" t="str">
        <f>IF(LEFT(Lessons[[#This Row],[Status__c]],9)="Cancelled","",Lessons[[#This Row],[Instructor_External_Id__c]]&amp;"|"&amp;TEXT(Lessons[[#This Row],[Lesson_Date__c]],"yyyy-mm-dd")&amp;"|"&amp;Lessons[[#This Row],[Start_Time__c]])</f>
        <v>a06ak00000amzCBAAY|2026-12-15|17:30:00.000Z</v>
      </c>
      <c r="AC834">
        <f>IF(Lessons[[#This Row],[Double Booked Key]]="","",COUNTIF(Lessons[Double Booked Key],Lessons[[#This Row],[Double Booked Key]]))</f>
        <v>1</v>
      </c>
      <c r="AD834" s="6" t="str">
        <f>_xlfn.XLOOKUP(Lessons[[#This Row],[Location_External_Id__c]], Locations[Location Id], Locations[Location Name])</f>
        <v>Red Bank</v>
      </c>
      <c r="AE834" s="6" t="str">
        <f>TEXT(Lessons[[#This Row],[Lesson_Date__c]], "yyyy-mm")</f>
        <v>2026-12</v>
      </c>
      <c r="AF834" s="6" t="str">
        <f>IF(Lessons[[#This Row],[Lesson_Date__c]]&lt;=Data_Audit!$F$1, "Yes", "No")</f>
        <v>No</v>
      </c>
    </row>
    <row r="835" spans="1:32">
      <c r="A835" t="s">
        <v>52</v>
      </c>
      <c r="B835" t="s">
        <v>2997</v>
      </c>
      <c r="C835">
        <v>60</v>
      </c>
      <c r="D835" t="s">
        <v>3014</v>
      </c>
      <c r="E835" t="s">
        <v>459</v>
      </c>
      <c r="F835" t="s">
        <v>460</v>
      </c>
      <c r="H835" t="s">
        <v>461</v>
      </c>
      <c r="I835" t="b">
        <v>0</v>
      </c>
      <c r="K835" t="s">
        <v>52</v>
      </c>
      <c r="L835" t="s">
        <v>2997</v>
      </c>
      <c r="O835" s="1">
        <v>46371</v>
      </c>
      <c r="P835" t="s">
        <v>3015</v>
      </c>
      <c r="Q835" t="s">
        <v>3016</v>
      </c>
      <c r="R835" t="s">
        <v>150</v>
      </c>
      <c r="S835" t="b">
        <v>0</v>
      </c>
      <c r="T835" t="b">
        <v>0</v>
      </c>
      <c r="U835" t="s">
        <v>3017</v>
      </c>
      <c r="V835" t="s">
        <v>120</v>
      </c>
      <c r="W835" t="s">
        <v>95</v>
      </c>
      <c r="X835" t="s">
        <v>1642</v>
      </c>
      <c r="Y835" t="s">
        <v>1643</v>
      </c>
      <c r="Z835" t="s">
        <v>2997</v>
      </c>
      <c r="AA835" t="b">
        <f>ISNUMBER(SEARCH(";"&amp;Lessons[[#This Row],[Instrument__c]]&amp;";",";"&amp;_xlfn.XLOOKUP(Lessons[[#This Row],[Instructor_External_Id__c]], Instructors[Id], Instructors[Instruments_Taught__c])&amp;";"))</f>
        <v>1</v>
      </c>
      <c r="AB835" t="str">
        <f>IF(LEFT(Lessons[[#This Row],[Status__c]],9)="Cancelled","",Lessons[[#This Row],[Instructor_External_Id__c]]&amp;"|"&amp;TEXT(Lessons[[#This Row],[Lesson_Date__c]],"yyyy-mm-dd")&amp;"|"&amp;Lessons[[#This Row],[Start_Time__c]])</f>
        <v>a06ak00000amzC8AAI|2026-12-15|18:00:00.000Z</v>
      </c>
      <c r="AC835">
        <f>IF(Lessons[[#This Row],[Double Booked Key]]="","",COUNTIF(Lessons[Double Booked Key],Lessons[[#This Row],[Double Booked Key]]))</f>
        <v>1</v>
      </c>
      <c r="AD835" s="6" t="str">
        <f>_xlfn.XLOOKUP(Lessons[[#This Row],[Location_External_Id__c]], Locations[Location Id], Locations[Location Name])</f>
        <v>Toms River</v>
      </c>
      <c r="AE835" s="6" t="str">
        <f>TEXT(Lessons[[#This Row],[Lesson_Date__c]], "yyyy-mm")</f>
        <v>2026-12</v>
      </c>
      <c r="AF835" s="6" t="str">
        <f>IF(Lessons[[#This Row],[Lesson_Date__c]]&lt;=Data_Audit!$F$1, "Yes", "No")</f>
        <v>No</v>
      </c>
    </row>
    <row r="836" spans="1:32">
      <c r="A836" t="s">
        <v>52</v>
      </c>
      <c r="B836" t="s">
        <v>2997</v>
      </c>
      <c r="C836">
        <v>30</v>
      </c>
      <c r="D836" t="s">
        <v>3018</v>
      </c>
      <c r="E836" t="s">
        <v>777</v>
      </c>
      <c r="F836" t="s">
        <v>778</v>
      </c>
      <c r="H836" t="s">
        <v>392</v>
      </c>
      <c r="I836" t="b">
        <v>0</v>
      </c>
      <c r="K836" t="s">
        <v>52</v>
      </c>
      <c r="L836" t="s">
        <v>2997</v>
      </c>
      <c r="O836" s="1">
        <v>46372</v>
      </c>
      <c r="P836" t="s">
        <v>3019</v>
      </c>
      <c r="Q836" t="s">
        <v>3020</v>
      </c>
      <c r="R836" t="s">
        <v>83</v>
      </c>
      <c r="S836" t="b">
        <v>0</v>
      </c>
      <c r="T836" t="b">
        <v>0</v>
      </c>
      <c r="U836" t="s">
        <v>3021</v>
      </c>
      <c r="V836" t="s">
        <v>140</v>
      </c>
      <c r="W836" t="s">
        <v>95</v>
      </c>
      <c r="X836" t="s">
        <v>1750</v>
      </c>
      <c r="Y836" t="s">
        <v>1751</v>
      </c>
      <c r="Z836" t="s">
        <v>2997</v>
      </c>
      <c r="AA836" t="b">
        <f>ISNUMBER(SEARCH(";"&amp;Lessons[[#This Row],[Instrument__c]]&amp;";",";"&amp;_xlfn.XLOOKUP(Lessons[[#This Row],[Instructor_External_Id__c]], Instructors[Id], Instructors[Instruments_Taught__c])&amp;";"))</f>
        <v>1</v>
      </c>
      <c r="AB836" t="str">
        <f>IF(LEFT(Lessons[[#This Row],[Status__c]],9)="Cancelled","",Lessons[[#This Row],[Instructor_External_Id__c]]&amp;"|"&amp;TEXT(Lessons[[#This Row],[Lesson_Date__c]],"yyyy-mm-dd")&amp;"|"&amp;Lessons[[#This Row],[Start_Time__c]])</f>
        <v>a06ak00000amzByAAI|2026-12-16|15:00:00.000Z</v>
      </c>
      <c r="AC836">
        <f>IF(Lessons[[#This Row],[Double Booked Key]]="","",COUNTIF(Lessons[Double Booked Key],Lessons[[#This Row],[Double Booked Key]]))</f>
        <v>1</v>
      </c>
      <c r="AD836" s="6" t="str">
        <f>_xlfn.XLOOKUP(Lessons[[#This Row],[Location_External_Id__c]], Locations[Location Id], Locations[Location Name])</f>
        <v>Brick</v>
      </c>
      <c r="AE836" s="6" t="str">
        <f>TEXT(Lessons[[#This Row],[Lesson_Date__c]], "yyyy-mm")</f>
        <v>2026-12</v>
      </c>
      <c r="AF836" s="6" t="str">
        <f>IF(Lessons[[#This Row],[Lesson_Date__c]]&lt;=Data_Audit!$F$1, "Yes", "No")</f>
        <v>No</v>
      </c>
    </row>
    <row r="837" spans="1:32">
      <c r="A837" t="s">
        <v>52</v>
      </c>
      <c r="B837" t="s">
        <v>2997</v>
      </c>
      <c r="C837">
        <v>60</v>
      </c>
      <c r="D837" t="s">
        <v>3022</v>
      </c>
      <c r="E837" t="s">
        <v>76</v>
      </c>
      <c r="F837" t="s">
        <v>77</v>
      </c>
      <c r="H837" t="s">
        <v>58</v>
      </c>
      <c r="I837" t="b">
        <v>0</v>
      </c>
      <c r="K837" t="s">
        <v>52</v>
      </c>
      <c r="L837" t="s">
        <v>2997</v>
      </c>
      <c r="O837" s="1">
        <v>46372</v>
      </c>
      <c r="P837" t="s">
        <v>3023</v>
      </c>
      <c r="Q837" t="s">
        <v>3024</v>
      </c>
      <c r="R837" t="s">
        <v>83</v>
      </c>
      <c r="S837" t="b">
        <v>0</v>
      </c>
      <c r="T837" t="b">
        <v>0</v>
      </c>
      <c r="U837" t="s">
        <v>3025</v>
      </c>
      <c r="V837" t="s">
        <v>102</v>
      </c>
      <c r="W837" t="s">
        <v>95</v>
      </c>
      <c r="X837" t="s">
        <v>1080</v>
      </c>
      <c r="Y837" t="s">
        <v>1081</v>
      </c>
      <c r="Z837" t="s">
        <v>2997</v>
      </c>
      <c r="AA837" t="b">
        <f>ISNUMBER(SEARCH(";"&amp;Lessons[[#This Row],[Instrument__c]]&amp;";",";"&amp;_xlfn.XLOOKUP(Lessons[[#This Row],[Instructor_External_Id__c]], Instructors[Id], Instructors[Instruments_Taught__c])&amp;";"))</f>
        <v>1</v>
      </c>
      <c r="AB837" t="str">
        <f>IF(LEFT(Lessons[[#This Row],[Status__c]],9)="Cancelled","",Lessons[[#This Row],[Instructor_External_Id__c]]&amp;"|"&amp;TEXT(Lessons[[#This Row],[Lesson_Date__c]],"yyyy-mm-dd")&amp;"|"&amp;Lessons[[#This Row],[Start_Time__c]])</f>
        <v>a06ak00000amzBgAAI|2026-12-16|16:00:00.000Z</v>
      </c>
      <c r="AC837">
        <f>IF(Lessons[[#This Row],[Double Booked Key]]="","",COUNTIF(Lessons[Double Booked Key],Lessons[[#This Row],[Double Booked Key]]))</f>
        <v>1</v>
      </c>
      <c r="AD837" s="6" t="str">
        <f>_xlfn.XLOOKUP(Lessons[[#This Row],[Location_External_Id__c]], Locations[Location Id], Locations[Location Name])</f>
        <v>Brick</v>
      </c>
      <c r="AE837" s="6" t="str">
        <f>TEXT(Lessons[[#This Row],[Lesson_Date__c]], "yyyy-mm")</f>
        <v>2026-12</v>
      </c>
      <c r="AF837" s="6" t="str">
        <f>IF(Lessons[[#This Row],[Lesson_Date__c]]&lt;=Data_Audit!$F$1, "Yes", "No")</f>
        <v>No</v>
      </c>
    </row>
    <row r="838" spans="1:32">
      <c r="A838" t="s">
        <v>52</v>
      </c>
      <c r="B838" t="s">
        <v>2997</v>
      </c>
      <c r="C838">
        <v>45</v>
      </c>
      <c r="D838" t="s">
        <v>3026</v>
      </c>
      <c r="E838" t="s">
        <v>436</v>
      </c>
      <c r="F838" t="s">
        <v>437</v>
      </c>
      <c r="H838" t="s">
        <v>263</v>
      </c>
      <c r="I838" t="b">
        <v>0</v>
      </c>
      <c r="K838" t="s">
        <v>52</v>
      </c>
      <c r="L838" t="s">
        <v>2997</v>
      </c>
      <c r="O838" s="1">
        <v>46372</v>
      </c>
      <c r="P838" t="s">
        <v>3027</v>
      </c>
      <c r="Q838" t="s">
        <v>3028</v>
      </c>
      <c r="R838" t="s">
        <v>63</v>
      </c>
      <c r="S838" t="b">
        <v>0</v>
      </c>
      <c r="T838" t="b">
        <v>0</v>
      </c>
      <c r="U838" t="s">
        <v>3029</v>
      </c>
      <c r="V838" t="s">
        <v>84</v>
      </c>
      <c r="W838" t="s">
        <v>95</v>
      </c>
      <c r="X838" t="s">
        <v>1142</v>
      </c>
      <c r="Y838" t="s">
        <v>1143</v>
      </c>
      <c r="Z838" t="s">
        <v>2997</v>
      </c>
      <c r="AA838" t="b">
        <f>ISNUMBER(SEARCH(";"&amp;Lessons[[#This Row],[Instrument__c]]&amp;";",";"&amp;_xlfn.XLOOKUP(Lessons[[#This Row],[Instructor_External_Id__c]], Instructors[Id], Instructors[Instruments_Taught__c])&amp;";"))</f>
        <v>1</v>
      </c>
      <c r="AB838" t="str">
        <f>IF(LEFT(Lessons[[#This Row],[Status__c]],9)="Cancelled","",Lessons[[#This Row],[Instructor_External_Id__c]]&amp;"|"&amp;TEXT(Lessons[[#This Row],[Lesson_Date__c]],"yyyy-mm-dd")&amp;"|"&amp;Lessons[[#This Row],[Start_Time__c]])</f>
        <v>a06ak00000amzC0AAI|2026-12-16|17:00:00.000Z</v>
      </c>
      <c r="AC838">
        <f>IF(Lessons[[#This Row],[Double Booked Key]]="","",COUNTIF(Lessons[Double Booked Key],Lessons[[#This Row],[Double Booked Key]]))</f>
        <v>1</v>
      </c>
      <c r="AD838" s="6" t="str">
        <f>_xlfn.XLOOKUP(Lessons[[#This Row],[Location_External_Id__c]], Locations[Location Id], Locations[Location Name])</f>
        <v>Red Bank</v>
      </c>
      <c r="AE838" s="6" t="str">
        <f>TEXT(Lessons[[#This Row],[Lesson_Date__c]], "yyyy-mm")</f>
        <v>2026-12</v>
      </c>
      <c r="AF838" s="6" t="str">
        <f>IF(Lessons[[#This Row],[Lesson_Date__c]]&lt;=Data_Audit!$F$1, "Yes", "No")</f>
        <v>No</v>
      </c>
    </row>
    <row r="839" spans="1:32">
      <c r="A839" t="s">
        <v>52</v>
      </c>
      <c r="B839" t="s">
        <v>2997</v>
      </c>
      <c r="C839">
        <v>30</v>
      </c>
      <c r="D839" t="s">
        <v>3030</v>
      </c>
      <c r="E839" t="s">
        <v>573</v>
      </c>
      <c r="F839" t="s">
        <v>574</v>
      </c>
      <c r="H839" t="s">
        <v>147</v>
      </c>
      <c r="I839" t="b">
        <v>0</v>
      </c>
      <c r="K839" t="s">
        <v>52</v>
      </c>
      <c r="L839" t="s">
        <v>2997</v>
      </c>
      <c r="O839" s="1">
        <v>46372</v>
      </c>
      <c r="P839" t="s">
        <v>3031</v>
      </c>
      <c r="Q839" t="s">
        <v>3032</v>
      </c>
      <c r="R839" t="s">
        <v>83</v>
      </c>
      <c r="S839" t="b">
        <v>0</v>
      </c>
      <c r="T839" t="b">
        <v>0</v>
      </c>
      <c r="U839" t="s">
        <v>3033</v>
      </c>
      <c r="V839" t="s">
        <v>120</v>
      </c>
      <c r="W839" t="s">
        <v>95</v>
      </c>
      <c r="X839" t="s">
        <v>2016</v>
      </c>
      <c r="Y839" t="s">
        <v>2017</v>
      </c>
      <c r="Z839" t="s">
        <v>2997</v>
      </c>
      <c r="AA839" t="b">
        <f>ISNUMBER(SEARCH(";"&amp;Lessons[[#This Row],[Instrument__c]]&amp;";",";"&amp;_xlfn.XLOOKUP(Lessons[[#This Row],[Instructor_External_Id__c]], Instructors[Id], Instructors[Instruments_Taught__c])&amp;";"))</f>
        <v>1</v>
      </c>
      <c r="AB839" t="str">
        <f>IF(LEFT(Lessons[[#This Row],[Status__c]],9)="Cancelled","",Lessons[[#This Row],[Instructor_External_Id__c]]&amp;"|"&amp;TEXT(Lessons[[#This Row],[Lesson_Date__c]],"yyyy-mm-dd")&amp;"|"&amp;Lessons[[#This Row],[Start_Time__c]])</f>
        <v>a06ak00000amzCCAAY|2026-12-16|18:00:00.000Z</v>
      </c>
      <c r="AC839">
        <f>IF(Lessons[[#This Row],[Double Booked Key]]="","",COUNTIF(Lessons[Double Booked Key],Lessons[[#This Row],[Double Booked Key]]))</f>
        <v>1</v>
      </c>
      <c r="AD839" s="6" t="str">
        <f>_xlfn.XLOOKUP(Lessons[[#This Row],[Location_External_Id__c]], Locations[Location Id], Locations[Location Name])</f>
        <v>Brick</v>
      </c>
      <c r="AE839" s="6" t="str">
        <f>TEXT(Lessons[[#This Row],[Lesson_Date__c]], "yyyy-mm")</f>
        <v>2026-12</v>
      </c>
      <c r="AF839" s="6" t="str">
        <f>IF(Lessons[[#This Row],[Lesson_Date__c]]&lt;=Data_Audit!$F$1, "Yes", "No")</f>
        <v>No</v>
      </c>
    </row>
    <row r="840" spans="1:32">
      <c r="A840" t="s">
        <v>52</v>
      </c>
      <c r="B840" t="s">
        <v>2997</v>
      </c>
      <c r="C840">
        <v>60</v>
      </c>
      <c r="D840" t="s">
        <v>3034</v>
      </c>
      <c r="E840" t="s">
        <v>359</v>
      </c>
      <c r="F840" t="s">
        <v>360</v>
      </c>
      <c r="H840" t="s">
        <v>392</v>
      </c>
      <c r="I840" t="b">
        <v>0</v>
      </c>
      <c r="K840" t="s">
        <v>52</v>
      </c>
      <c r="L840" t="s">
        <v>2997</v>
      </c>
      <c r="O840" s="1">
        <v>46372</v>
      </c>
      <c r="P840" t="s">
        <v>3035</v>
      </c>
      <c r="Q840" t="s">
        <v>3036</v>
      </c>
      <c r="R840" t="s">
        <v>63</v>
      </c>
      <c r="S840" t="b">
        <v>0</v>
      </c>
      <c r="T840" t="b">
        <v>0</v>
      </c>
      <c r="U840" t="s">
        <v>3037</v>
      </c>
      <c r="V840" t="s">
        <v>94</v>
      </c>
      <c r="W840" t="s">
        <v>95</v>
      </c>
      <c r="X840" t="s">
        <v>2091</v>
      </c>
      <c r="Y840" t="s">
        <v>2092</v>
      </c>
      <c r="Z840" t="s">
        <v>2997</v>
      </c>
      <c r="AA840" t="b">
        <f>ISNUMBER(SEARCH(";"&amp;Lessons[[#This Row],[Instrument__c]]&amp;";",";"&amp;_xlfn.XLOOKUP(Lessons[[#This Row],[Instructor_External_Id__c]], Instructors[Id], Instructors[Instruments_Taught__c])&amp;";"))</f>
        <v>1</v>
      </c>
      <c r="AB840" t="str">
        <f>IF(LEFT(Lessons[[#This Row],[Status__c]],9)="Cancelled","",Lessons[[#This Row],[Instructor_External_Id__c]]&amp;"|"&amp;TEXT(Lessons[[#This Row],[Lesson_Date__c]],"yyyy-mm-dd")&amp;"|"&amp;Lessons[[#This Row],[Start_Time__c]])</f>
        <v>a06ak00000amzBiAAI|2026-12-16|19:00:00.000Z</v>
      </c>
      <c r="AC840">
        <f>IF(Lessons[[#This Row],[Double Booked Key]]="","",COUNTIF(Lessons[Double Booked Key],Lessons[[#This Row],[Double Booked Key]]))</f>
        <v>1</v>
      </c>
      <c r="AD840" s="6" t="str">
        <f>_xlfn.XLOOKUP(Lessons[[#This Row],[Location_External_Id__c]], Locations[Location Id], Locations[Location Name])</f>
        <v>Red Bank</v>
      </c>
      <c r="AE840" s="6" t="str">
        <f>TEXT(Lessons[[#This Row],[Lesson_Date__c]], "yyyy-mm")</f>
        <v>2026-12</v>
      </c>
      <c r="AF840" s="6" t="str">
        <f>IF(Lessons[[#This Row],[Lesson_Date__c]]&lt;=Data_Audit!$F$1, "Yes", "No")</f>
        <v>No</v>
      </c>
    </row>
    <row r="841" spans="1:32">
      <c r="A841" t="s">
        <v>52</v>
      </c>
      <c r="B841" t="s">
        <v>2997</v>
      </c>
      <c r="C841">
        <v>30</v>
      </c>
      <c r="D841" t="s">
        <v>3038</v>
      </c>
      <c r="E841" t="s">
        <v>401</v>
      </c>
      <c r="F841" t="s">
        <v>402</v>
      </c>
      <c r="H841" t="s">
        <v>263</v>
      </c>
      <c r="I841" t="b">
        <v>0</v>
      </c>
      <c r="K841" t="s">
        <v>52</v>
      </c>
      <c r="L841" t="s">
        <v>2997</v>
      </c>
      <c r="O841" s="1">
        <v>46373</v>
      </c>
      <c r="P841" t="s">
        <v>3039</v>
      </c>
      <c r="Q841" t="s">
        <v>3040</v>
      </c>
      <c r="R841" t="s">
        <v>83</v>
      </c>
      <c r="S841" t="b">
        <v>0</v>
      </c>
      <c r="T841" t="b">
        <v>0</v>
      </c>
      <c r="U841" t="s">
        <v>3041</v>
      </c>
      <c r="V841" t="s">
        <v>140</v>
      </c>
      <c r="W841" t="s">
        <v>95</v>
      </c>
      <c r="X841" t="s">
        <v>720</v>
      </c>
      <c r="Y841" t="s">
        <v>721</v>
      </c>
      <c r="Z841" t="s">
        <v>2997</v>
      </c>
      <c r="AA841" t="b">
        <f>ISNUMBER(SEARCH(";"&amp;Lessons[[#This Row],[Instrument__c]]&amp;";",";"&amp;_xlfn.XLOOKUP(Lessons[[#This Row],[Instructor_External_Id__c]], Instructors[Id], Instructors[Instruments_Taught__c])&amp;";"))</f>
        <v>1</v>
      </c>
      <c r="AB841" t="str">
        <f>IF(LEFT(Lessons[[#This Row],[Status__c]],9)="Cancelled","",Lessons[[#This Row],[Instructor_External_Id__c]]&amp;"|"&amp;TEXT(Lessons[[#This Row],[Lesson_Date__c]],"yyyy-mm-dd")&amp;"|"&amp;Lessons[[#This Row],[Start_Time__c]])</f>
        <v>a06ak00000amzBfAAI|2026-12-17|15:00:00.000Z</v>
      </c>
      <c r="AC841">
        <f>IF(Lessons[[#This Row],[Double Booked Key]]="","",COUNTIF(Lessons[Double Booked Key],Lessons[[#This Row],[Double Booked Key]]))</f>
        <v>1</v>
      </c>
      <c r="AD841" s="6" t="str">
        <f>_xlfn.XLOOKUP(Lessons[[#This Row],[Location_External_Id__c]], Locations[Location Id], Locations[Location Name])</f>
        <v>Brick</v>
      </c>
      <c r="AE841" s="6" t="str">
        <f>TEXT(Lessons[[#This Row],[Lesson_Date__c]], "yyyy-mm")</f>
        <v>2026-12</v>
      </c>
      <c r="AF841" s="6" t="str">
        <f>IF(Lessons[[#This Row],[Lesson_Date__c]]&lt;=Data_Audit!$F$1, "Yes", "No")</f>
        <v>No</v>
      </c>
    </row>
    <row r="842" spans="1:32">
      <c r="A842" t="s">
        <v>52</v>
      </c>
      <c r="B842" t="s">
        <v>2997</v>
      </c>
      <c r="C842">
        <v>60</v>
      </c>
      <c r="D842" t="s">
        <v>3042</v>
      </c>
      <c r="E842" t="s">
        <v>777</v>
      </c>
      <c r="F842" t="s">
        <v>778</v>
      </c>
      <c r="H842" t="s">
        <v>392</v>
      </c>
      <c r="I842" t="b">
        <v>0</v>
      </c>
      <c r="K842" t="s">
        <v>52</v>
      </c>
      <c r="L842" t="s">
        <v>2997</v>
      </c>
      <c r="O842" s="1">
        <v>46373</v>
      </c>
      <c r="P842" t="s">
        <v>3043</v>
      </c>
      <c r="Q842" t="s">
        <v>3044</v>
      </c>
      <c r="R842" t="s">
        <v>83</v>
      </c>
      <c r="S842" t="b">
        <v>0</v>
      </c>
      <c r="T842" t="b">
        <v>0</v>
      </c>
      <c r="U842" t="s">
        <v>3045</v>
      </c>
      <c r="V842" t="s">
        <v>135</v>
      </c>
      <c r="W842" t="s">
        <v>95</v>
      </c>
      <c r="X842" t="s">
        <v>497</v>
      </c>
      <c r="Y842" t="s">
        <v>498</v>
      </c>
      <c r="Z842" t="s">
        <v>2997</v>
      </c>
      <c r="AA842" t="b">
        <f>ISNUMBER(SEARCH(";"&amp;Lessons[[#This Row],[Instrument__c]]&amp;";",";"&amp;_xlfn.XLOOKUP(Lessons[[#This Row],[Instructor_External_Id__c]], Instructors[Id], Instructors[Instruments_Taught__c])&amp;";"))</f>
        <v>1</v>
      </c>
      <c r="AB842" t="str">
        <f>IF(LEFT(Lessons[[#This Row],[Status__c]],9)="Cancelled","",Lessons[[#This Row],[Instructor_External_Id__c]]&amp;"|"&amp;TEXT(Lessons[[#This Row],[Lesson_Date__c]],"yyyy-mm-dd")&amp;"|"&amp;Lessons[[#This Row],[Start_Time__c]])</f>
        <v>a06ak00000amzByAAI|2026-12-17|15:30:00.000Z</v>
      </c>
      <c r="AC842">
        <f>IF(Lessons[[#This Row],[Double Booked Key]]="","",COUNTIF(Lessons[Double Booked Key],Lessons[[#This Row],[Double Booked Key]]))</f>
        <v>1</v>
      </c>
      <c r="AD842" s="6" t="str">
        <f>_xlfn.XLOOKUP(Lessons[[#This Row],[Location_External_Id__c]], Locations[Location Id], Locations[Location Name])</f>
        <v>Brick</v>
      </c>
      <c r="AE842" s="6" t="str">
        <f>TEXT(Lessons[[#This Row],[Lesson_Date__c]], "yyyy-mm")</f>
        <v>2026-12</v>
      </c>
      <c r="AF842" s="6" t="str">
        <f>IF(Lessons[[#This Row],[Lesson_Date__c]]&lt;=Data_Audit!$F$1, "Yes", "No")</f>
        <v>No</v>
      </c>
    </row>
    <row r="843" spans="1:32">
      <c r="A843" t="s">
        <v>52</v>
      </c>
      <c r="B843" t="s">
        <v>2997</v>
      </c>
      <c r="C843">
        <v>30</v>
      </c>
      <c r="D843" t="s">
        <v>3046</v>
      </c>
      <c r="E843" t="s">
        <v>459</v>
      </c>
      <c r="F843" t="s">
        <v>460</v>
      </c>
      <c r="H843" t="s">
        <v>107</v>
      </c>
      <c r="I843" t="b">
        <v>0</v>
      </c>
      <c r="K843" t="s">
        <v>52</v>
      </c>
      <c r="L843" t="s">
        <v>2997</v>
      </c>
      <c r="O843" s="1">
        <v>46373</v>
      </c>
      <c r="P843" t="s">
        <v>3047</v>
      </c>
      <c r="Q843" t="s">
        <v>3048</v>
      </c>
      <c r="R843" t="s">
        <v>83</v>
      </c>
      <c r="S843" t="b">
        <v>0</v>
      </c>
      <c r="T843" t="b">
        <v>0</v>
      </c>
      <c r="U843" t="s">
        <v>3049</v>
      </c>
      <c r="V843" t="s">
        <v>120</v>
      </c>
      <c r="W843" t="s">
        <v>95</v>
      </c>
      <c r="X843" t="s">
        <v>1514</v>
      </c>
      <c r="Y843" t="s">
        <v>1515</v>
      </c>
      <c r="Z843" t="s">
        <v>2997</v>
      </c>
      <c r="AA843" t="b">
        <f>ISNUMBER(SEARCH(";"&amp;Lessons[[#This Row],[Instrument__c]]&amp;";",";"&amp;_xlfn.XLOOKUP(Lessons[[#This Row],[Instructor_External_Id__c]], Instructors[Id], Instructors[Instruments_Taught__c])&amp;";"))</f>
        <v>1</v>
      </c>
      <c r="AB843" t="str">
        <f>IF(LEFT(Lessons[[#This Row],[Status__c]],9)="Cancelled","",Lessons[[#This Row],[Instructor_External_Id__c]]&amp;"|"&amp;TEXT(Lessons[[#This Row],[Lesson_Date__c]],"yyyy-mm-dd")&amp;"|"&amp;Lessons[[#This Row],[Start_Time__c]])</f>
        <v>a06ak00000amzC8AAI|2026-12-17|18:00:00.000Z</v>
      </c>
      <c r="AC843">
        <f>IF(Lessons[[#This Row],[Double Booked Key]]="","",COUNTIF(Lessons[Double Booked Key],Lessons[[#This Row],[Double Booked Key]]))</f>
        <v>1</v>
      </c>
      <c r="AD843" s="6" t="str">
        <f>_xlfn.XLOOKUP(Lessons[[#This Row],[Location_External_Id__c]], Locations[Location Id], Locations[Location Name])</f>
        <v>Brick</v>
      </c>
      <c r="AE843" s="6" t="str">
        <f>TEXT(Lessons[[#This Row],[Lesson_Date__c]], "yyyy-mm")</f>
        <v>2026-12</v>
      </c>
      <c r="AF843" s="6" t="str">
        <f>IF(Lessons[[#This Row],[Lesson_Date__c]]&lt;=Data_Audit!$F$1, "Yes", "No")</f>
        <v>No</v>
      </c>
    </row>
    <row r="844" spans="1:32">
      <c r="A844" t="s">
        <v>52</v>
      </c>
      <c r="B844" t="s">
        <v>2997</v>
      </c>
      <c r="C844">
        <v>30</v>
      </c>
      <c r="D844" t="s">
        <v>3050</v>
      </c>
      <c r="E844" t="s">
        <v>359</v>
      </c>
      <c r="F844" t="s">
        <v>360</v>
      </c>
      <c r="H844" t="s">
        <v>392</v>
      </c>
      <c r="I844" t="b">
        <v>0</v>
      </c>
      <c r="K844" t="s">
        <v>52</v>
      </c>
      <c r="L844" t="s">
        <v>2997</v>
      </c>
      <c r="O844" s="1">
        <v>46373</v>
      </c>
      <c r="P844" t="s">
        <v>3051</v>
      </c>
      <c r="Q844" t="s">
        <v>3052</v>
      </c>
      <c r="R844" t="s">
        <v>63</v>
      </c>
      <c r="S844" t="b">
        <v>0</v>
      </c>
      <c r="T844" t="b">
        <v>0</v>
      </c>
      <c r="U844" t="s">
        <v>3053</v>
      </c>
      <c r="V844" t="s">
        <v>128</v>
      </c>
      <c r="W844" t="s">
        <v>95</v>
      </c>
      <c r="X844" t="s">
        <v>1207</v>
      </c>
      <c r="Y844" t="s">
        <v>1208</v>
      </c>
      <c r="Z844" t="s">
        <v>2997</v>
      </c>
      <c r="AA844" t="b">
        <f>ISNUMBER(SEARCH(";"&amp;Lessons[[#This Row],[Instrument__c]]&amp;";",";"&amp;_xlfn.XLOOKUP(Lessons[[#This Row],[Instructor_External_Id__c]], Instructors[Id], Instructors[Instruments_Taught__c])&amp;";"))</f>
        <v>1</v>
      </c>
      <c r="AB844" t="str">
        <f>IF(LEFT(Lessons[[#This Row],[Status__c]],9)="Cancelled","",Lessons[[#This Row],[Instructor_External_Id__c]]&amp;"|"&amp;TEXT(Lessons[[#This Row],[Lesson_Date__c]],"yyyy-mm-dd")&amp;"|"&amp;Lessons[[#This Row],[Start_Time__c]])</f>
        <v>a06ak00000amzBiAAI|2026-12-17|18:30:00.000Z</v>
      </c>
      <c r="AC844">
        <f>IF(Lessons[[#This Row],[Double Booked Key]]="","",COUNTIF(Lessons[Double Booked Key],Lessons[[#This Row],[Double Booked Key]]))</f>
        <v>1</v>
      </c>
      <c r="AD844" s="6" t="str">
        <f>_xlfn.XLOOKUP(Lessons[[#This Row],[Location_External_Id__c]], Locations[Location Id], Locations[Location Name])</f>
        <v>Red Bank</v>
      </c>
      <c r="AE844" s="6" t="str">
        <f>TEXT(Lessons[[#This Row],[Lesson_Date__c]], "yyyy-mm")</f>
        <v>2026-12</v>
      </c>
      <c r="AF844" s="6" t="str">
        <f>IF(Lessons[[#This Row],[Lesson_Date__c]]&lt;=Data_Audit!$F$1, "Yes", "No")</f>
        <v>No</v>
      </c>
    </row>
    <row r="845" spans="1:32">
      <c r="A845" t="s">
        <v>52</v>
      </c>
      <c r="B845" t="s">
        <v>2997</v>
      </c>
      <c r="C845">
        <v>45</v>
      </c>
      <c r="D845" t="s">
        <v>3054</v>
      </c>
      <c r="E845" t="s">
        <v>359</v>
      </c>
      <c r="F845" t="s">
        <v>360</v>
      </c>
      <c r="H845" t="s">
        <v>78</v>
      </c>
      <c r="I845" t="b">
        <v>0</v>
      </c>
      <c r="K845" t="s">
        <v>52</v>
      </c>
      <c r="L845" t="s">
        <v>2997</v>
      </c>
      <c r="O845" s="1">
        <v>46374</v>
      </c>
      <c r="P845" t="s">
        <v>3055</v>
      </c>
      <c r="Q845" t="s">
        <v>3056</v>
      </c>
      <c r="R845" t="s">
        <v>63</v>
      </c>
      <c r="S845" t="b">
        <v>0</v>
      </c>
      <c r="T845" t="b">
        <v>0</v>
      </c>
      <c r="U845" t="s">
        <v>3057</v>
      </c>
      <c r="V845" t="s">
        <v>140</v>
      </c>
      <c r="W845" t="s">
        <v>95</v>
      </c>
      <c r="X845" t="s">
        <v>831</v>
      </c>
      <c r="Y845" t="s">
        <v>832</v>
      </c>
      <c r="Z845" t="s">
        <v>2997</v>
      </c>
      <c r="AA845" t="b">
        <f>ISNUMBER(SEARCH(";"&amp;Lessons[[#This Row],[Instrument__c]]&amp;";",";"&amp;_xlfn.XLOOKUP(Lessons[[#This Row],[Instructor_External_Id__c]], Instructors[Id], Instructors[Instruments_Taught__c])&amp;";"))</f>
        <v>1</v>
      </c>
      <c r="AB845" t="str">
        <f>IF(LEFT(Lessons[[#This Row],[Status__c]],9)="Cancelled","",Lessons[[#This Row],[Instructor_External_Id__c]]&amp;"|"&amp;TEXT(Lessons[[#This Row],[Lesson_Date__c]],"yyyy-mm-dd")&amp;"|"&amp;Lessons[[#This Row],[Start_Time__c]])</f>
        <v>a06ak00000amzBiAAI|2026-12-18|15:00:00.000Z</v>
      </c>
      <c r="AC845">
        <f>IF(Lessons[[#This Row],[Double Booked Key]]="","",COUNTIF(Lessons[Double Booked Key],Lessons[[#This Row],[Double Booked Key]]))</f>
        <v>1</v>
      </c>
      <c r="AD845" s="6" t="str">
        <f>_xlfn.XLOOKUP(Lessons[[#This Row],[Location_External_Id__c]], Locations[Location Id], Locations[Location Name])</f>
        <v>Red Bank</v>
      </c>
      <c r="AE845" s="6" t="str">
        <f>TEXT(Lessons[[#This Row],[Lesson_Date__c]], "yyyy-mm")</f>
        <v>2026-12</v>
      </c>
      <c r="AF845" s="6" t="str">
        <f>IF(Lessons[[#This Row],[Lesson_Date__c]]&lt;=Data_Audit!$F$1, "Yes", "No")</f>
        <v>No</v>
      </c>
    </row>
    <row r="846" spans="1:32">
      <c r="A846" t="s">
        <v>52</v>
      </c>
      <c r="B846" t="s">
        <v>2997</v>
      </c>
      <c r="C846">
        <v>45</v>
      </c>
      <c r="D846" t="s">
        <v>3058</v>
      </c>
      <c r="E846" t="s">
        <v>318</v>
      </c>
      <c r="F846" t="s">
        <v>319</v>
      </c>
      <c r="H846" t="s">
        <v>237</v>
      </c>
      <c r="I846" t="b">
        <v>0</v>
      </c>
      <c r="K846" t="s">
        <v>52</v>
      </c>
      <c r="L846" t="s">
        <v>2997</v>
      </c>
      <c r="O846" s="1">
        <v>46374</v>
      </c>
      <c r="P846" t="s">
        <v>3059</v>
      </c>
      <c r="Q846" t="s">
        <v>3060</v>
      </c>
      <c r="R846" t="s">
        <v>150</v>
      </c>
      <c r="S846" t="b">
        <v>0</v>
      </c>
      <c r="T846" t="b">
        <v>0</v>
      </c>
      <c r="U846" t="s">
        <v>3061</v>
      </c>
      <c r="V846" t="s">
        <v>74</v>
      </c>
      <c r="W846" t="s">
        <v>95</v>
      </c>
      <c r="X846" t="s">
        <v>416</v>
      </c>
      <c r="Y846" t="s">
        <v>417</v>
      </c>
      <c r="Z846" t="s">
        <v>2997</v>
      </c>
      <c r="AA846" t="b">
        <f>ISNUMBER(SEARCH(";"&amp;Lessons[[#This Row],[Instrument__c]]&amp;";",";"&amp;_xlfn.XLOOKUP(Lessons[[#This Row],[Instructor_External_Id__c]], Instructors[Id], Instructors[Instruments_Taught__c])&amp;";"))</f>
        <v>1</v>
      </c>
      <c r="AB846" t="str">
        <f>IF(LEFT(Lessons[[#This Row],[Status__c]],9)="Cancelled","",Lessons[[#This Row],[Instructor_External_Id__c]]&amp;"|"&amp;TEXT(Lessons[[#This Row],[Lesson_Date__c]],"yyyy-mm-dd")&amp;"|"&amp;Lessons[[#This Row],[Start_Time__c]])</f>
        <v>a06ak00000amzBzAAI|2026-12-18|16:30:00.000Z</v>
      </c>
      <c r="AC846">
        <f>IF(Lessons[[#This Row],[Double Booked Key]]="","",COUNTIF(Lessons[Double Booked Key],Lessons[[#This Row],[Double Booked Key]]))</f>
        <v>1</v>
      </c>
      <c r="AD846" s="6" t="str">
        <f>_xlfn.XLOOKUP(Lessons[[#This Row],[Location_External_Id__c]], Locations[Location Id], Locations[Location Name])</f>
        <v>Toms River</v>
      </c>
      <c r="AE846" s="6" t="str">
        <f>TEXT(Lessons[[#This Row],[Lesson_Date__c]], "yyyy-mm")</f>
        <v>2026-12</v>
      </c>
      <c r="AF846" s="6" t="str">
        <f>IF(Lessons[[#This Row],[Lesson_Date__c]]&lt;=Data_Audit!$F$1, "Yes", "No")</f>
        <v>No</v>
      </c>
    </row>
    <row r="847" spans="1:32">
      <c r="A847" t="s">
        <v>52</v>
      </c>
      <c r="B847" t="s">
        <v>2997</v>
      </c>
      <c r="C847">
        <v>30</v>
      </c>
      <c r="D847" t="s">
        <v>3062</v>
      </c>
      <c r="E847" t="s">
        <v>459</v>
      </c>
      <c r="F847" t="s">
        <v>460</v>
      </c>
      <c r="H847" t="s">
        <v>461</v>
      </c>
      <c r="I847" t="b">
        <v>0</v>
      </c>
      <c r="K847" t="s">
        <v>52</v>
      </c>
      <c r="L847" t="s">
        <v>2997</v>
      </c>
      <c r="O847" s="1">
        <v>46374</v>
      </c>
      <c r="P847" t="s">
        <v>3063</v>
      </c>
      <c r="Q847" t="s">
        <v>3064</v>
      </c>
      <c r="R847" t="s">
        <v>83</v>
      </c>
      <c r="S847" t="b">
        <v>0</v>
      </c>
      <c r="T847" t="b">
        <v>0</v>
      </c>
      <c r="U847" t="s">
        <v>3065</v>
      </c>
      <c r="V847" t="s">
        <v>74</v>
      </c>
      <c r="W847" t="s">
        <v>95</v>
      </c>
      <c r="X847" t="s">
        <v>1990</v>
      </c>
      <c r="Y847" t="s">
        <v>1991</v>
      </c>
      <c r="Z847" t="s">
        <v>2997</v>
      </c>
      <c r="AA847" t="b">
        <f>ISNUMBER(SEARCH(";"&amp;Lessons[[#This Row],[Instrument__c]]&amp;";",";"&amp;_xlfn.XLOOKUP(Lessons[[#This Row],[Instructor_External_Id__c]], Instructors[Id], Instructors[Instruments_Taught__c])&amp;";"))</f>
        <v>1</v>
      </c>
      <c r="AB847" t="str">
        <f>IF(LEFT(Lessons[[#This Row],[Status__c]],9)="Cancelled","",Lessons[[#This Row],[Instructor_External_Id__c]]&amp;"|"&amp;TEXT(Lessons[[#This Row],[Lesson_Date__c]],"yyyy-mm-dd")&amp;"|"&amp;Lessons[[#This Row],[Start_Time__c]])</f>
        <v>a06ak00000amzC8AAI|2026-12-18|16:30:00.000Z</v>
      </c>
      <c r="AC847">
        <f>IF(Lessons[[#This Row],[Double Booked Key]]="","",COUNTIF(Lessons[Double Booked Key],Lessons[[#This Row],[Double Booked Key]]))</f>
        <v>1</v>
      </c>
      <c r="AD847" s="6" t="str">
        <f>_xlfn.XLOOKUP(Lessons[[#This Row],[Location_External_Id__c]], Locations[Location Id], Locations[Location Name])</f>
        <v>Brick</v>
      </c>
      <c r="AE847" s="6" t="str">
        <f>TEXT(Lessons[[#This Row],[Lesson_Date__c]], "yyyy-mm")</f>
        <v>2026-12</v>
      </c>
      <c r="AF847" s="6" t="str">
        <f>IF(Lessons[[#This Row],[Lesson_Date__c]]&lt;=Data_Audit!$F$1, "Yes", "No")</f>
        <v>No</v>
      </c>
    </row>
    <row r="848" spans="1:32">
      <c r="A848" t="s">
        <v>52</v>
      </c>
      <c r="B848" t="s">
        <v>2997</v>
      </c>
      <c r="C848">
        <v>30</v>
      </c>
      <c r="D848" t="s">
        <v>3066</v>
      </c>
      <c r="E848" t="s">
        <v>573</v>
      </c>
      <c r="F848" t="s">
        <v>574</v>
      </c>
      <c r="H848" t="s">
        <v>284</v>
      </c>
      <c r="I848" t="b">
        <v>0</v>
      </c>
      <c r="K848" t="s">
        <v>52</v>
      </c>
      <c r="L848" t="s">
        <v>2997</v>
      </c>
      <c r="O848" s="1">
        <v>46374</v>
      </c>
      <c r="P848" t="s">
        <v>3067</v>
      </c>
      <c r="Q848" t="s">
        <v>3068</v>
      </c>
      <c r="R848" t="s">
        <v>83</v>
      </c>
      <c r="S848" t="b">
        <v>0</v>
      </c>
      <c r="T848" t="b">
        <v>0</v>
      </c>
      <c r="U848" t="s">
        <v>3069</v>
      </c>
      <c r="V848" t="s">
        <v>94</v>
      </c>
      <c r="W848" t="s">
        <v>95</v>
      </c>
      <c r="X848" t="s">
        <v>2796</v>
      </c>
      <c r="Y848" t="s">
        <v>2797</v>
      </c>
      <c r="Z848" t="s">
        <v>2997</v>
      </c>
      <c r="AA848" t="b">
        <f>ISNUMBER(SEARCH(";"&amp;Lessons[[#This Row],[Instrument__c]]&amp;";",";"&amp;_xlfn.XLOOKUP(Lessons[[#This Row],[Instructor_External_Id__c]], Instructors[Id], Instructors[Instruments_Taught__c])&amp;";"))</f>
        <v>1</v>
      </c>
      <c r="AB848" t="str">
        <f>IF(LEFT(Lessons[[#This Row],[Status__c]],9)="Cancelled","",Lessons[[#This Row],[Instructor_External_Id__c]]&amp;"|"&amp;TEXT(Lessons[[#This Row],[Lesson_Date__c]],"yyyy-mm-dd")&amp;"|"&amp;Lessons[[#This Row],[Start_Time__c]])</f>
        <v>a06ak00000amzCCAAY|2026-12-18|19:00:00.000Z</v>
      </c>
      <c r="AC848">
        <f>IF(Lessons[[#This Row],[Double Booked Key]]="","",COUNTIF(Lessons[Double Booked Key],Lessons[[#This Row],[Double Booked Key]]))</f>
        <v>1</v>
      </c>
      <c r="AD848" s="6" t="str">
        <f>_xlfn.XLOOKUP(Lessons[[#This Row],[Location_External_Id__c]], Locations[Location Id], Locations[Location Name])</f>
        <v>Brick</v>
      </c>
      <c r="AE848" s="6" t="str">
        <f>TEXT(Lessons[[#This Row],[Lesson_Date__c]], "yyyy-mm")</f>
        <v>2026-12</v>
      </c>
      <c r="AF848" s="6" t="str">
        <f>IF(Lessons[[#This Row],[Lesson_Date__c]]&lt;=Data_Audit!$F$1, "Yes", "No")</f>
        <v>No</v>
      </c>
    </row>
    <row r="849" spans="1:32">
      <c r="A849" t="s">
        <v>52</v>
      </c>
      <c r="B849" t="s">
        <v>2997</v>
      </c>
      <c r="C849">
        <v>60</v>
      </c>
      <c r="D849" t="s">
        <v>3070</v>
      </c>
      <c r="E849" t="s">
        <v>243</v>
      </c>
      <c r="F849" t="s">
        <v>244</v>
      </c>
      <c r="H849" t="s">
        <v>237</v>
      </c>
      <c r="I849" t="b">
        <v>0</v>
      </c>
      <c r="K849" t="s">
        <v>52</v>
      </c>
      <c r="L849" t="s">
        <v>2997</v>
      </c>
      <c r="O849" s="1">
        <v>46378</v>
      </c>
      <c r="P849" t="s">
        <v>3071</v>
      </c>
      <c r="Q849" t="s">
        <v>3072</v>
      </c>
      <c r="R849" t="s">
        <v>83</v>
      </c>
      <c r="S849" t="b">
        <v>0</v>
      </c>
      <c r="T849" t="b">
        <v>0</v>
      </c>
      <c r="U849" t="s">
        <v>3073</v>
      </c>
      <c r="V849" t="s">
        <v>135</v>
      </c>
      <c r="W849" t="s">
        <v>95</v>
      </c>
      <c r="X849" t="s">
        <v>965</v>
      </c>
      <c r="Y849" t="s">
        <v>966</v>
      </c>
      <c r="Z849" t="s">
        <v>2997</v>
      </c>
      <c r="AA849" t="b">
        <f>ISNUMBER(SEARCH(";"&amp;Lessons[[#This Row],[Instrument__c]]&amp;";",";"&amp;_xlfn.XLOOKUP(Lessons[[#This Row],[Instructor_External_Id__c]], Instructors[Id], Instructors[Instruments_Taught__c])&amp;";"))</f>
        <v>1</v>
      </c>
      <c r="AB849" t="str">
        <f>IF(LEFT(Lessons[[#This Row],[Status__c]],9)="Cancelled","",Lessons[[#This Row],[Instructor_External_Id__c]]&amp;"|"&amp;TEXT(Lessons[[#This Row],[Lesson_Date__c]],"yyyy-mm-dd")&amp;"|"&amp;Lessons[[#This Row],[Start_Time__c]])</f>
        <v>a06ak00000amzC1AAI|2026-12-22|15:30:00.000Z</v>
      </c>
      <c r="AC849">
        <f>IF(Lessons[[#This Row],[Double Booked Key]]="","",COUNTIF(Lessons[Double Booked Key],Lessons[[#This Row],[Double Booked Key]]))</f>
        <v>1</v>
      </c>
      <c r="AD849" s="6" t="str">
        <f>_xlfn.XLOOKUP(Lessons[[#This Row],[Location_External_Id__c]], Locations[Location Id], Locations[Location Name])</f>
        <v>Brick</v>
      </c>
      <c r="AE849" s="6" t="str">
        <f>TEXT(Lessons[[#This Row],[Lesson_Date__c]], "yyyy-mm")</f>
        <v>2026-12</v>
      </c>
      <c r="AF849" s="6" t="str">
        <f>IF(Lessons[[#This Row],[Lesson_Date__c]]&lt;=Data_Audit!$F$1, "Yes", "No")</f>
        <v>No</v>
      </c>
    </row>
    <row r="850" spans="1:32">
      <c r="A850" t="s">
        <v>52</v>
      </c>
      <c r="B850" t="s">
        <v>2997</v>
      </c>
      <c r="C850">
        <v>45</v>
      </c>
      <c r="D850" t="s">
        <v>3074</v>
      </c>
      <c r="E850" t="s">
        <v>243</v>
      </c>
      <c r="F850" t="s">
        <v>244</v>
      </c>
      <c r="H850" t="s">
        <v>237</v>
      </c>
      <c r="I850" t="b">
        <v>0</v>
      </c>
      <c r="K850" t="s">
        <v>52</v>
      </c>
      <c r="L850" t="s">
        <v>2997</v>
      </c>
      <c r="O850" s="1">
        <v>46378</v>
      </c>
      <c r="P850" t="s">
        <v>3075</v>
      </c>
      <c r="Q850" t="s">
        <v>3076</v>
      </c>
      <c r="R850" t="s">
        <v>83</v>
      </c>
      <c r="S850" t="b">
        <v>0</v>
      </c>
      <c r="T850" t="b">
        <v>0</v>
      </c>
      <c r="U850" t="s">
        <v>3077</v>
      </c>
      <c r="V850" t="s">
        <v>116</v>
      </c>
      <c r="W850" t="s">
        <v>95</v>
      </c>
      <c r="X850" t="s">
        <v>2348</v>
      </c>
      <c r="Y850" t="s">
        <v>2349</v>
      </c>
      <c r="Z850" t="s">
        <v>2997</v>
      </c>
      <c r="AA850" t="b">
        <f>ISNUMBER(SEARCH(";"&amp;Lessons[[#This Row],[Instrument__c]]&amp;";",";"&amp;_xlfn.XLOOKUP(Lessons[[#This Row],[Instructor_External_Id__c]], Instructors[Id], Instructors[Instruments_Taught__c])&amp;";"))</f>
        <v>1</v>
      </c>
      <c r="AB850" t="str">
        <f>IF(LEFT(Lessons[[#This Row],[Status__c]],9)="Cancelled","",Lessons[[#This Row],[Instructor_External_Id__c]]&amp;"|"&amp;TEXT(Lessons[[#This Row],[Lesson_Date__c]],"yyyy-mm-dd")&amp;"|"&amp;Lessons[[#This Row],[Start_Time__c]])</f>
        <v>a06ak00000amzC1AAI|2026-12-22|17:30:00.000Z</v>
      </c>
      <c r="AC850">
        <f>IF(Lessons[[#This Row],[Double Booked Key]]="","",COUNTIF(Lessons[Double Booked Key],Lessons[[#This Row],[Double Booked Key]]))</f>
        <v>1</v>
      </c>
      <c r="AD850" s="6" t="str">
        <f>_xlfn.XLOOKUP(Lessons[[#This Row],[Location_External_Id__c]], Locations[Location Id], Locations[Location Name])</f>
        <v>Brick</v>
      </c>
      <c r="AE850" s="6" t="str">
        <f>TEXT(Lessons[[#This Row],[Lesson_Date__c]], "yyyy-mm")</f>
        <v>2026-12</v>
      </c>
      <c r="AF850" s="6" t="str">
        <f>IF(Lessons[[#This Row],[Lesson_Date__c]]&lt;=Data_Audit!$F$1, "Yes", "No")</f>
        <v>No</v>
      </c>
    </row>
    <row r="851" spans="1:32">
      <c r="A851" t="s">
        <v>52</v>
      </c>
      <c r="B851" t="s">
        <v>2997</v>
      </c>
      <c r="C851">
        <v>30</v>
      </c>
      <c r="D851" t="s">
        <v>3078</v>
      </c>
      <c r="E851" t="s">
        <v>804</v>
      </c>
      <c r="F851" t="s">
        <v>805</v>
      </c>
      <c r="H851" t="s">
        <v>147</v>
      </c>
      <c r="I851" t="b">
        <v>0</v>
      </c>
      <c r="K851" t="s">
        <v>52</v>
      </c>
      <c r="L851" t="s">
        <v>2997</v>
      </c>
      <c r="O851" s="1">
        <v>46378</v>
      </c>
      <c r="P851" t="s">
        <v>3079</v>
      </c>
      <c r="Q851" t="s">
        <v>3080</v>
      </c>
      <c r="R851" t="s">
        <v>63</v>
      </c>
      <c r="S851" t="b">
        <v>0</v>
      </c>
      <c r="T851" t="b">
        <v>0</v>
      </c>
      <c r="U851" t="s">
        <v>3081</v>
      </c>
      <c r="V851" t="s">
        <v>94</v>
      </c>
      <c r="W851" t="s">
        <v>95</v>
      </c>
      <c r="X851" t="s">
        <v>808</v>
      </c>
      <c r="Y851" t="s">
        <v>809</v>
      </c>
      <c r="Z851" t="s">
        <v>2997</v>
      </c>
      <c r="AA851" t="b">
        <f>ISNUMBER(SEARCH(";"&amp;Lessons[[#This Row],[Instrument__c]]&amp;";",";"&amp;_xlfn.XLOOKUP(Lessons[[#This Row],[Instructor_External_Id__c]], Instructors[Id], Instructors[Instruments_Taught__c])&amp;";"))</f>
        <v>1</v>
      </c>
      <c r="AB851" t="str">
        <f>IF(LEFT(Lessons[[#This Row],[Status__c]],9)="Cancelled","",Lessons[[#This Row],[Instructor_External_Id__c]]&amp;"|"&amp;TEXT(Lessons[[#This Row],[Lesson_Date__c]],"yyyy-mm-dd")&amp;"|"&amp;Lessons[[#This Row],[Start_Time__c]])</f>
        <v>a06ak00000amzCBAAY|2026-12-22|19:00:00.000Z</v>
      </c>
      <c r="AC851">
        <f>IF(Lessons[[#This Row],[Double Booked Key]]="","",COUNTIF(Lessons[Double Booked Key],Lessons[[#This Row],[Double Booked Key]]))</f>
        <v>1</v>
      </c>
      <c r="AD851" s="6" t="str">
        <f>_xlfn.XLOOKUP(Lessons[[#This Row],[Location_External_Id__c]], Locations[Location Id], Locations[Location Name])</f>
        <v>Red Bank</v>
      </c>
      <c r="AE851" s="6" t="str">
        <f>TEXT(Lessons[[#This Row],[Lesson_Date__c]], "yyyy-mm")</f>
        <v>2026-12</v>
      </c>
      <c r="AF851" s="6" t="str">
        <f>IF(Lessons[[#This Row],[Lesson_Date__c]]&lt;=Data_Audit!$F$1, "Yes", "No")</f>
        <v>No</v>
      </c>
    </row>
    <row r="852" spans="1:32">
      <c r="A852" t="s">
        <v>52</v>
      </c>
      <c r="B852" t="s">
        <v>2997</v>
      </c>
      <c r="C852">
        <v>30</v>
      </c>
      <c r="D852" t="s">
        <v>3082</v>
      </c>
      <c r="E852" t="s">
        <v>436</v>
      </c>
      <c r="F852" t="s">
        <v>437</v>
      </c>
      <c r="H852" t="s">
        <v>527</v>
      </c>
      <c r="I852" t="b">
        <v>0</v>
      </c>
      <c r="K852" t="s">
        <v>52</v>
      </c>
      <c r="L852" t="s">
        <v>2997</v>
      </c>
      <c r="O852" s="1">
        <v>46378</v>
      </c>
      <c r="P852" t="s">
        <v>3083</v>
      </c>
      <c r="Q852" t="s">
        <v>3084</v>
      </c>
      <c r="R852" t="s">
        <v>63</v>
      </c>
      <c r="S852" t="b">
        <v>0</v>
      </c>
      <c r="T852" t="b">
        <v>0</v>
      </c>
      <c r="U852" t="s">
        <v>3085</v>
      </c>
      <c r="V852" t="s">
        <v>94</v>
      </c>
      <c r="W852" t="s">
        <v>95</v>
      </c>
      <c r="X852" t="s">
        <v>2578</v>
      </c>
      <c r="Y852" t="s">
        <v>2579</v>
      </c>
      <c r="Z852" t="s">
        <v>2997</v>
      </c>
      <c r="AA852" t="b">
        <f>ISNUMBER(SEARCH(";"&amp;Lessons[[#This Row],[Instrument__c]]&amp;";",";"&amp;_xlfn.XLOOKUP(Lessons[[#This Row],[Instructor_External_Id__c]], Instructors[Id], Instructors[Instruments_Taught__c])&amp;";"))</f>
        <v>1</v>
      </c>
      <c r="AB852" t="str">
        <f>IF(LEFT(Lessons[[#This Row],[Status__c]],9)="Cancelled","",Lessons[[#This Row],[Instructor_External_Id__c]]&amp;"|"&amp;TEXT(Lessons[[#This Row],[Lesson_Date__c]],"yyyy-mm-dd")&amp;"|"&amp;Lessons[[#This Row],[Start_Time__c]])</f>
        <v>a06ak00000amzC0AAI|2026-12-22|19:00:00.000Z</v>
      </c>
      <c r="AC852">
        <f>IF(Lessons[[#This Row],[Double Booked Key]]="","",COUNTIF(Lessons[Double Booked Key],Lessons[[#This Row],[Double Booked Key]]))</f>
        <v>1</v>
      </c>
      <c r="AD852" s="6" t="str">
        <f>_xlfn.XLOOKUP(Lessons[[#This Row],[Location_External_Id__c]], Locations[Location Id], Locations[Location Name])</f>
        <v>Red Bank</v>
      </c>
      <c r="AE852" s="6" t="str">
        <f>TEXT(Lessons[[#This Row],[Lesson_Date__c]], "yyyy-mm")</f>
        <v>2026-12</v>
      </c>
      <c r="AF852" s="6" t="str">
        <f>IF(Lessons[[#This Row],[Lesson_Date__c]]&lt;=Data_Audit!$F$1, "Yes", "No")</f>
        <v>No</v>
      </c>
    </row>
    <row r="853" spans="1:32">
      <c r="A853" t="s">
        <v>52</v>
      </c>
      <c r="B853" t="s">
        <v>2997</v>
      </c>
      <c r="C853">
        <v>30</v>
      </c>
      <c r="D853" t="s">
        <v>3086</v>
      </c>
      <c r="E853" t="s">
        <v>944</v>
      </c>
      <c r="F853" t="s">
        <v>945</v>
      </c>
      <c r="H853" t="s">
        <v>107</v>
      </c>
      <c r="I853" t="b">
        <v>0</v>
      </c>
      <c r="K853" t="s">
        <v>52</v>
      </c>
      <c r="L853" t="s">
        <v>2997</v>
      </c>
      <c r="O853" s="1">
        <v>46379</v>
      </c>
      <c r="P853" t="s">
        <v>3087</v>
      </c>
      <c r="Q853" t="s">
        <v>3088</v>
      </c>
      <c r="R853" t="s">
        <v>150</v>
      </c>
      <c r="S853" t="b">
        <v>0</v>
      </c>
      <c r="T853" t="b">
        <v>0</v>
      </c>
      <c r="U853" t="s">
        <v>3089</v>
      </c>
      <c r="V853" t="s">
        <v>140</v>
      </c>
      <c r="W853" t="s">
        <v>95</v>
      </c>
      <c r="X853" t="s">
        <v>948</v>
      </c>
      <c r="Y853" t="s">
        <v>949</v>
      </c>
      <c r="Z853" t="s">
        <v>2997</v>
      </c>
      <c r="AA853" t="b">
        <f>ISNUMBER(SEARCH(";"&amp;Lessons[[#This Row],[Instrument__c]]&amp;";",";"&amp;_xlfn.XLOOKUP(Lessons[[#This Row],[Instructor_External_Id__c]], Instructors[Id], Instructors[Instruments_Taught__c])&amp;";"))</f>
        <v>1</v>
      </c>
      <c r="AB853" t="str">
        <f>IF(LEFT(Lessons[[#This Row],[Status__c]],9)="Cancelled","",Lessons[[#This Row],[Instructor_External_Id__c]]&amp;"|"&amp;TEXT(Lessons[[#This Row],[Lesson_Date__c]],"yyyy-mm-dd")&amp;"|"&amp;Lessons[[#This Row],[Start_Time__c]])</f>
        <v>a06ak00000amzBtAAI|2026-12-23|15:00:00.000Z</v>
      </c>
      <c r="AC853">
        <f>IF(Lessons[[#This Row],[Double Booked Key]]="","",COUNTIF(Lessons[Double Booked Key],Lessons[[#This Row],[Double Booked Key]]))</f>
        <v>1</v>
      </c>
      <c r="AD853" s="6" t="str">
        <f>_xlfn.XLOOKUP(Lessons[[#This Row],[Location_External_Id__c]], Locations[Location Id], Locations[Location Name])</f>
        <v>Toms River</v>
      </c>
      <c r="AE853" s="6" t="str">
        <f>TEXT(Lessons[[#This Row],[Lesson_Date__c]], "yyyy-mm")</f>
        <v>2026-12</v>
      </c>
      <c r="AF853" s="6" t="str">
        <f>IF(Lessons[[#This Row],[Lesson_Date__c]]&lt;=Data_Audit!$F$1, "Yes", "No")</f>
        <v>No</v>
      </c>
    </row>
    <row r="854" spans="1:32">
      <c r="A854" t="s">
        <v>52</v>
      </c>
      <c r="B854" t="s">
        <v>2997</v>
      </c>
      <c r="C854">
        <v>60</v>
      </c>
      <c r="D854" t="s">
        <v>3090</v>
      </c>
      <c r="E854" t="s">
        <v>436</v>
      </c>
      <c r="F854" t="s">
        <v>437</v>
      </c>
      <c r="H854" t="s">
        <v>461</v>
      </c>
      <c r="I854" t="b">
        <v>0</v>
      </c>
      <c r="K854" t="s">
        <v>52</v>
      </c>
      <c r="L854" t="s">
        <v>2997</v>
      </c>
      <c r="O854" s="1">
        <v>46379</v>
      </c>
      <c r="P854" t="s">
        <v>3091</v>
      </c>
      <c r="Q854" t="s">
        <v>3092</v>
      </c>
      <c r="R854" t="s">
        <v>63</v>
      </c>
      <c r="S854" t="b">
        <v>0</v>
      </c>
      <c r="T854" t="b">
        <v>0</v>
      </c>
      <c r="U854" t="s">
        <v>3093</v>
      </c>
      <c r="V854" t="s">
        <v>102</v>
      </c>
      <c r="W854" t="s">
        <v>95</v>
      </c>
      <c r="X854" t="s">
        <v>507</v>
      </c>
      <c r="Y854" t="s">
        <v>508</v>
      </c>
      <c r="Z854" t="s">
        <v>2997</v>
      </c>
      <c r="AA854" t="b">
        <f>ISNUMBER(SEARCH(";"&amp;Lessons[[#This Row],[Instrument__c]]&amp;";",";"&amp;_xlfn.XLOOKUP(Lessons[[#This Row],[Instructor_External_Id__c]], Instructors[Id], Instructors[Instruments_Taught__c])&amp;";"))</f>
        <v>1</v>
      </c>
      <c r="AB854" t="str">
        <f>IF(LEFT(Lessons[[#This Row],[Status__c]],9)="Cancelled","",Lessons[[#This Row],[Instructor_External_Id__c]]&amp;"|"&amp;TEXT(Lessons[[#This Row],[Lesson_Date__c]],"yyyy-mm-dd")&amp;"|"&amp;Lessons[[#This Row],[Start_Time__c]])</f>
        <v>a06ak00000amzC0AAI|2026-12-23|16:00:00.000Z</v>
      </c>
      <c r="AC854">
        <f>IF(Lessons[[#This Row],[Double Booked Key]]="","",COUNTIF(Lessons[Double Booked Key],Lessons[[#This Row],[Double Booked Key]]))</f>
        <v>1</v>
      </c>
      <c r="AD854" s="6" t="str">
        <f>_xlfn.XLOOKUP(Lessons[[#This Row],[Location_External_Id__c]], Locations[Location Id], Locations[Location Name])</f>
        <v>Red Bank</v>
      </c>
      <c r="AE854" s="6" t="str">
        <f>TEXT(Lessons[[#This Row],[Lesson_Date__c]], "yyyy-mm")</f>
        <v>2026-12</v>
      </c>
      <c r="AF854" s="6" t="str">
        <f>IF(Lessons[[#This Row],[Lesson_Date__c]]&lt;=Data_Audit!$F$1, "Yes", "No")</f>
        <v>No</v>
      </c>
    </row>
    <row r="855" spans="1:32">
      <c r="A855" t="s">
        <v>52</v>
      </c>
      <c r="B855" t="s">
        <v>2997</v>
      </c>
      <c r="C855">
        <v>60</v>
      </c>
      <c r="D855" t="s">
        <v>3094</v>
      </c>
      <c r="E855" t="s">
        <v>359</v>
      </c>
      <c r="F855" t="s">
        <v>360</v>
      </c>
      <c r="H855" t="s">
        <v>284</v>
      </c>
      <c r="I855" t="b">
        <v>0</v>
      </c>
      <c r="K855" t="s">
        <v>52</v>
      </c>
      <c r="L855" t="s">
        <v>2997</v>
      </c>
      <c r="O855" s="1">
        <v>46379</v>
      </c>
      <c r="P855" t="s">
        <v>3095</v>
      </c>
      <c r="Q855" t="s">
        <v>3096</v>
      </c>
      <c r="R855" t="s">
        <v>63</v>
      </c>
      <c r="S855" t="b">
        <v>0</v>
      </c>
      <c r="T855" t="b">
        <v>0</v>
      </c>
      <c r="U855" t="s">
        <v>3097</v>
      </c>
      <c r="V855" t="s">
        <v>102</v>
      </c>
      <c r="W855" t="s">
        <v>95</v>
      </c>
      <c r="X855" t="s">
        <v>768</v>
      </c>
      <c r="Y855" t="s">
        <v>769</v>
      </c>
      <c r="Z855" t="s">
        <v>2997</v>
      </c>
      <c r="AA855" t="b">
        <f>ISNUMBER(SEARCH(";"&amp;Lessons[[#This Row],[Instrument__c]]&amp;";",";"&amp;_xlfn.XLOOKUP(Lessons[[#This Row],[Instructor_External_Id__c]], Instructors[Id], Instructors[Instruments_Taught__c])&amp;";"))</f>
        <v>1</v>
      </c>
      <c r="AB855" t="str">
        <f>IF(LEFT(Lessons[[#This Row],[Status__c]],9)="Cancelled","",Lessons[[#This Row],[Instructor_External_Id__c]]&amp;"|"&amp;TEXT(Lessons[[#This Row],[Lesson_Date__c]],"yyyy-mm-dd")&amp;"|"&amp;Lessons[[#This Row],[Start_Time__c]])</f>
        <v>a06ak00000amzBiAAI|2026-12-23|16:00:00.000Z</v>
      </c>
      <c r="AC855">
        <f>IF(Lessons[[#This Row],[Double Booked Key]]="","",COUNTIF(Lessons[Double Booked Key],Lessons[[#This Row],[Double Booked Key]]))</f>
        <v>1</v>
      </c>
      <c r="AD855" s="6" t="str">
        <f>_xlfn.XLOOKUP(Lessons[[#This Row],[Location_External_Id__c]], Locations[Location Id], Locations[Location Name])</f>
        <v>Red Bank</v>
      </c>
      <c r="AE855" s="6" t="str">
        <f>TEXT(Lessons[[#This Row],[Lesson_Date__c]], "yyyy-mm")</f>
        <v>2026-12</v>
      </c>
      <c r="AF855" s="6" t="str">
        <f>IF(Lessons[[#This Row],[Lesson_Date__c]]&lt;=Data_Audit!$F$1, "Yes", "No")</f>
        <v>No</v>
      </c>
    </row>
    <row r="856" spans="1:32">
      <c r="A856" t="s">
        <v>52</v>
      </c>
      <c r="B856" t="s">
        <v>2997</v>
      </c>
      <c r="C856">
        <v>45</v>
      </c>
      <c r="D856" t="s">
        <v>3098</v>
      </c>
      <c r="E856" t="s">
        <v>401</v>
      </c>
      <c r="F856" t="s">
        <v>402</v>
      </c>
      <c r="H856" t="s">
        <v>263</v>
      </c>
      <c r="I856" t="b">
        <v>0</v>
      </c>
      <c r="K856" t="s">
        <v>52</v>
      </c>
      <c r="L856" t="s">
        <v>2997</v>
      </c>
      <c r="O856" s="1">
        <v>46379</v>
      </c>
      <c r="P856" t="s">
        <v>3099</v>
      </c>
      <c r="Q856" t="s">
        <v>3100</v>
      </c>
      <c r="R856" t="s">
        <v>83</v>
      </c>
      <c r="S856" t="b">
        <v>0</v>
      </c>
      <c r="T856" t="b">
        <v>0</v>
      </c>
      <c r="U856" t="s">
        <v>3101</v>
      </c>
      <c r="V856" t="s">
        <v>74</v>
      </c>
      <c r="W856" t="s">
        <v>95</v>
      </c>
      <c r="X856" t="s">
        <v>1561</v>
      </c>
      <c r="Y856" t="s">
        <v>1562</v>
      </c>
      <c r="Z856" t="s">
        <v>2997</v>
      </c>
      <c r="AA856" t="b">
        <f>ISNUMBER(SEARCH(";"&amp;Lessons[[#This Row],[Instrument__c]]&amp;";",";"&amp;_xlfn.XLOOKUP(Lessons[[#This Row],[Instructor_External_Id__c]], Instructors[Id], Instructors[Instruments_Taught__c])&amp;";"))</f>
        <v>1</v>
      </c>
      <c r="AB856" t="str">
        <f>IF(LEFT(Lessons[[#This Row],[Status__c]],9)="Cancelled","",Lessons[[#This Row],[Instructor_External_Id__c]]&amp;"|"&amp;TEXT(Lessons[[#This Row],[Lesson_Date__c]],"yyyy-mm-dd")&amp;"|"&amp;Lessons[[#This Row],[Start_Time__c]])</f>
        <v>a06ak00000amzBfAAI|2026-12-23|16:30:00.000Z</v>
      </c>
      <c r="AC856">
        <f>IF(Lessons[[#This Row],[Double Booked Key]]="","",COUNTIF(Lessons[Double Booked Key],Lessons[[#This Row],[Double Booked Key]]))</f>
        <v>1</v>
      </c>
      <c r="AD856" s="6" t="str">
        <f>_xlfn.XLOOKUP(Lessons[[#This Row],[Location_External_Id__c]], Locations[Location Id], Locations[Location Name])</f>
        <v>Brick</v>
      </c>
      <c r="AE856" s="6" t="str">
        <f>TEXT(Lessons[[#This Row],[Lesson_Date__c]], "yyyy-mm")</f>
        <v>2026-12</v>
      </c>
      <c r="AF856" s="6" t="str">
        <f>IF(Lessons[[#This Row],[Lesson_Date__c]]&lt;=Data_Audit!$F$1, "Yes", "No")</f>
        <v>No</v>
      </c>
    </row>
    <row r="857" spans="1:32">
      <c r="A857" t="s">
        <v>52</v>
      </c>
      <c r="B857" t="s">
        <v>2997</v>
      </c>
      <c r="C857">
        <v>60</v>
      </c>
      <c r="D857" t="s">
        <v>3102</v>
      </c>
      <c r="E857" t="s">
        <v>318</v>
      </c>
      <c r="F857" t="s">
        <v>319</v>
      </c>
      <c r="H857" t="s">
        <v>650</v>
      </c>
      <c r="I857" t="b">
        <v>0</v>
      </c>
      <c r="K857" t="s">
        <v>52</v>
      </c>
      <c r="L857" t="s">
        <v>2997</v>
      </c>
      <c r="O857" s="1">
        <v>46379</v>
      </c>
      <c r="P857" t="s">
        <v>3103</v>
      </c>
      <c r="Q857" t="s">
        <v>3104</v>
      </c>
      <c r="R857" t="s">
        <v>63</v>
      </c>
      <c r="S857" t="b">
        <v>0</v>
      </c>
      <c r="T857" t="b">
        <v>0</v>
      </c>
      <c r="U857" t="s">
        <v>3105</v>
      </c>
      <c r="V857" t="s">
        <v>116</v>
      </c>
      <c r="W857" t="s">
        <v>95</v>
      </c>
      <c r="X857" t="s">
        <v>653</v>
      </c>
      <c r="Y857" t="s">
        <v>654</v>
      </c>
      <c r="Z857" t="s">
        <v>2997</v>
      </c>
      <c r="AA857" t="b">
        <f>ISNUMBER(SEARCH(";"&amp;Lessons[[#This Row],[Instrument__c]]&amp;";",";"&amp;_xlfn.XLOOKUP(Lessons[[#This Row],[Instructor_External_Id__c]], Instructors[Id], Instructors[Instruments_Taught__c])&amp;";"))</f>
        <v>1</v>
      </c>
      <c r="AB857" t="str">
        <f>IF(LEFT(Lessons[[#This Row],[Status__c]],9)="Cancelled","",Lessons[[#This Row],[Instructor_External_Id__c]]&amp;"|"&amp;TEXT(Lessons[[#This Row],[Lesson_Date__c]],"yyyy-mm-dd")&amp;"|"&amp;Lessons[[#This Row],[Start_Time__c]])</f>
        <v>a06ak00000amzBzAAI|2026-12-23|17:30:00.000Z</v>
      </c>
      <c r="AC857">
        <f>IF(Lessons[[#This Row],[Double Booked Key]]="","",COUNTIF(Lessons[Double Booked Key],Lessons[[#This Row],[Double Booked Key]]))</f>
        <v>1</v>
      </c>
      <c r="AD857" s="6" t="str">
        <f>_xlfn.XLOOKUP(Lessons[[#This Row],[Location_External_Id__c]], Locations[Location Id], Locations[Location Name])</f>
        <v>Red Bank</v>
      </c>
      <c r="AE857" s="6" t="str">
        <f>TEXT(Lessons[[#This Row],[Lesson_Date__c]], "yyyy-mm")</f>
        <v>2026-12</v>
      </c>
      <c r="AF857" s="6" t="str">
        <f>IF(Lessons[[#This Row],[Lesson_Date__c]]&lt;=Data_Audit!$F$1, "Yes", "No")</f>
        <v>No</v>
      </c>
    </row>
    <row r="858" spans="1:32">
      <c r="A858" t="s">
        <v>52</v>
      </c>
      <c r="B858" t="s">
        <v>2997</v>
      </c>
      <c r="C858">
        <v>60</v>
      </c>
      <c r="D858" t="s">
        <v>3106</v>
      </c>
      <c r="E858" t="s">
        <v>318</v>
      </c>
      <c r="F858" t="s">
        <v>319</v>
      </c>
      <c r="H858" t="s">
        <v>237</v>
      </c>
      <c r="I858" t="b">
        <v>0</v>
      </c>
      <c r="K858" t="s">
        <v>52</v>
      </c>
      <c r="L858" t="s">
        <v>2997</v>
      </c>
      <c r="O858" s="1">
        <v>46391</v>
      </c>
      <c r="P858" t="s">
        <v>3107</v>
      </c>
      <c r="Q858" t="s">
        <v>3108</v>
      </c>
      <c r="R858" t="s">
        <v>63</v>
      </c>
      <c r="S858" t="b">
        <v>0</v>
      </c>
      <c r="T858" t="b">
        <v>0</v>
      </c>
      <c r="U858" t="s">
        <v>3109</v>
      </c>
      <c r="V858" t="s">
        <v>135</v>
      </c>
      <c r="W858" t="s">
        <v>95</v>
      </c>
      <c r="X858" t="s">
        <v>1223</v>
      </c>
      <c r="Y858" t="s">
        <v>1224</v>
      </c>
      <c r="Z858" t="s">
        <v>2997</v>
      </c>
      <c r="AA858" t="b">
        <f>ISNUMBER(SEARCH(";"&amp;Lessons[[#This Row],[Instrument__c]]&amp;";",";"&amp;_xlfn.XLOOKUP(Lessons[[#This Row],[Instructor_External_Id__c]], Instructors[Id], Instructors[Instruments_Taught__c])&amp;";"))</f>
        <v>1</v>
      </c>
      <c r="AB858" t="str">
        <f>IF(LEFT(Lessons[[#This Row],[Status__c]],9)="Cancelled","",Lessons[[#This Row],[Instructor_External_Id__c]]&amp;"|"&amp;TEXT(Lessons[[#This Row],[Lesson_Date__c]],"yyyy-mm-dd")&amp;"|"&amp;Lessons[[#This Row],[Start_Time__c]])</f>
        <v>a06ak00000amzBzAAI|2027-01-04|15:30:00.000Z</v>
      </c>
      <c r="AC858">
        <f>IF(Lessons[[#This Row],[Double Booked Key]]="","",COUNTIF(Lessons[Double Booked Key],Lessons[[#This Row],[Double Booked Key]]))</f>
        <v>1</v>
      </c>
      <c r="AD858" s="6" t="str">
        <f>_xlfn.XLOOKUP(Lessons[[#This Row],[Location_External_Id__c]], Locations[Location Id], Locations[Location Name])</f>
        <v>Red Bank</v>
      </c>
      <c r="AE858" s="6" t="str">
        <f>TEXT(Lessons[[#This Row],[Lesson_Date__c]], "yyyy-mm")</f>
        <v>2027-01</v>
      </c>
      <c r="AF858" s="6" t="str">
        <f>IF(Lessons[[#This Row],[Lesson_Date__c]]&lt;=Data_Audit!$F$1, "Yes", "No")</f>
        <v>No</v>
      </c>
    </row>
    <row r="859" spans="1:32">
      <c r="A859" t="s">
        <v>52</v>
      </c>
      <c r="B859" t="s">
        <v>2997</v>
      </c>
      <c r="C859">
        <v>45</v>
      </c>
      <c r="D859" t="s">
        <v>3110</v>
      </c>
      <c r="E859" t="s">
        <v>243</v>
      </c>
      <c r="F859" t="s">
        <v>244</v>
      </c>
      <c r="H859" t="s">
        <v>237</v>
      </c>
      <c r="I859" t="b">
        <v>0</v>
      </c>
      <c r="K859" t="s">
        <v>52</v>
      </c>
      <c r="L859" t="s">
        <v>2997</v>
      </c>
      <c r="O859" s="1">
        <v>46391</v>
      </c>
      <c r="P859" t="s">
        <v>3111</v>
      </c>
      <c r="Q859" t="s">
        <v>3112</v>
      </c>
      <c r="R859" t="s">
        <v>83</v>
      </c>
      <c r="S859" t="b">
        <v>0</v>
      </c>
      <c r="T859" t="b">
        <v>0</v>
      </c>
      <c r="U859" t="s">
        <v>3113</v>
      </c>
      <c r="V859" t="s">
        <v>84</v>
      </c>
      <c r="W859" t="s">
        <v>95</v>
      </c>
      <c r="X859" t="s">
        <v>1459</v>
      </c>
      <c r="Y859" t="s">
        <v>1460</v>
      </c>
      <c r="Z859" t="s">
        <v>2997</v>
      </c>
      <c r="AA859" t="b">
        <f>ISNUMBER(SEARCH(";"&amp;Lessons[[#This Row],[Instrument__c]]&amp;";",";"&amp;_xlfn.XLOOKUP(Lessons[[#This Row],[Instructor_External_Id__c]], Instructors[Id], Instructors[Instruments_Taught__c])&amp;";"))</f>
        <v>1</v>
      </c>
      <c r="AB859" t="str">
        <f>IF(LEFT(Lessons[[#This Row],[Status__c]],9)="Cancelled","",Lessons[[#This Row],[Instructor_External_Id__c]]&amp;"|"&amp;TEXT(Lessons[[#This Row],[Lesson_Date__c]],"yyyy-mm-dd")&amp;"|"&amp;Lessons[[#This Row],[Start_Time__c]])</f>
        <v>a06ak00000amzC1AAI|2027-01-04|17:00:00.000Z</v>
      </c>
      <c r="AC859">
        <f>IF(Lessons[[#This Row],[Double Booked Key]]="","",COUNTIF(Lessons[Double Booked Key],Lessons[[#This Row],[Double Booked Key]]))</f>
        <v>1</v>
      </c>
      <c r="AD859" s="6" t="str">
        <f>_xlfn.XLOOKUP(Lessons[[#This Row],[Location_External_Id__c]], Locations[Location Id], Locations[Location Name])</f>
        <v>Brick</v>
      </c>
      <c r="AE859" s="6" t="str">
        <f>TEXT(Lessons[[#This Row],[Lesson_Date__c]], "yyyy-mm")</f>
        <v>2027-01</v>
      </c>
      <c r="AF859" s="6" t="str">
        <f>IF(Lessons[[#This Row],[Lesson_Date__c]]&lt;=Data_Audit!$F$1, "Yes", "No")</f>
        <v>No</v>
      </c>
    </row>
    <row r="860" spans="1:32">
      <c r="A860" t="s">
        <v>52</v>
      </c>
      <c r="B860" t="s">
        <v>2997</v>
      </c>
      <c r="C860">
        <v>30</v>
      </c>
      <c r="D860" t="s">
        <v>3114</v>
      </c>
      <c r="E860" t="s">
        <v>318</v>
      </c>
      <c r="F860" t="s">
        <v>319</v>
      </c>
      <c r="H860" t="s">
        <v>58</v>
      </c>
      <c r="I860" t="b">
        <v>0</v>
      </c>
      <c r="K860" t="s">
        <v>52</v>
      </c>
      <c r="L860" t="s">
        <v>2997</v>
      </c>
      <c r="O860" s="1">
        <v>46391</v>
      </c>
      <c r="P860" t="s">
        <v>3115</v>
      </c>
      <c r="Q860" t="s">
        <v>3116</v>
      </c>
      <c r="R860" t="s">
        <v>63</v>
      </c>
      <c r="S860" t="b">
        <v>0</v>
      </c>
      <c r="T860" t="b">
        <v>0</v>
      </c>
      <c r="U860" t="s">
        <v>3117</v>
      </c>
      <c r="V860" t="s">
        <v>116</v>
      </c>
      <c r="W860" t="s">
        <v>95</v>
      </c>
      <c r="X860" t="s">
        <v>1442</v>
      </c>
      <c r="Y860" t="s">
        <v>1443</v>
      </c>
      <c r="Z860" t="s">
        <v>2997</v>
      </c>
      <c r="AA860" t="b">
        <f>ISNUMBER(SEARCH(";"&amp;Lessons[[#This Row],[Instrument__c]]&amp;";",";"&amp;_xlfn.XLOOKUP(Lessons[[#This Row],[Instructor_External_Id__c]], Instructors[Id], Instructors[Instruments_Taught__c])&amp;";"))</f>
        <v>1</v>
      </c>
      <c r="AB860" t="str">
        <f>IF(LEFT(Lessons[[#This Row],[Status__c]],9)="Cancelled","",Lessons[[#This Row],[Instructor_External_Id__c]]&amp;"|"&amp;TEXT(Lessons[[#This Row],[Lesson_Date__c]],"yyyy-mm-dd")&amp;"|"&amp;Lessons[[#This Row],[Start_Time__c]])</f>
        <v>a06ak00000amzBzAAI|2027-01-04|17:30:00.000Z</v>
      </c>
      <c r="AC860">
        <f>IF(Lessons[[#This Row],[Double Booked Key]]="","",COUNTIF(Lessons[Double Booked Key],Lessons[[#This Row],[Double Booked Key]]))</f>
        <v>1</v>
      </c>
      <c r="AD860" s="6" t="str">
        <f>_xlfn.XLOOKUP(Lessons[[#This Row],[Location_External_Id__c]], Locations[Location Id], Locations[Location Name])</f>
        <v>Red Bank</v>
      </c>
      <c r="AE860" s="6" t="str">
        <f>TEXT(Lessons[[#This Row],[Lesson_Date__c]], "yyyy-mm")</f>
        <v>2027-01</v>
      </c>
      <c r="AF860" s="6" t="str">
        <f>IF(Lessons[[#This Row],[Lesson_Date__c]]&lt;=Data_Audit!$F$1, "Yes", "No")</f>
        <v>No</v>
      </c>
    </row>
    <row r="861" spans="1:32">
      <c r="A861" t="s">
        <v>52</v>
      </c>
      <c r="B861" t="s">
        <v>2997</v>
      </c>
      <c r="C861">
        <v>30</v>
      </c>
      <c r="D861" t="s">
        <v>3118</v>
      </c>
      <c r="E861" t="s">
        <v>318</v>
      </c>
      <c r="F861" t="s">
        <v>319</v>
      </c>
      <c r="H861" t="s">
        <v>237</v>
      </c>
      <c r="I861" t="b">
        <v>0</v>
      </c>
      <c r="K861" t="s">
        <v>52</v>
      </c>
      <c r="L861" t="s">
        <v>2997</v>
      </c>
      <c r="O861" s="1">
        <v>46392</v>
      </c>
      <c r="P861" t="s">
        <v>3119</v>
      </c>
      <c r="Q861" t="s">
        <v>3120</v>
      </c>
      <c r="R861" t="s">
        <v>83</v>
      </c>
      <c r="S861" t="b">
        <v>0</v>
      </c>
      <c r="T861" t="b">
        <v>0</v>
      </c>
      <c r="U861" t="s">
        <v>3121</v>
      </c>
      <c r="V861" t="s">
        <v>74</v>
      </c>
      <c r="W861" t="s">
        <v>95</v>
      </c>
      <c r="X861" t="s">
        <v>2922</v>
      </c>
      <c r="Y861" t="s">
        <v>2923</v>
      </c>
      <c r="Z861" t="s">
        <v>2997</v>
      </c>
      <c r="AA861" t="b">
        <f>ISNUMBER(SEARCH(";"&amp;Lessons[[#This Row],[Instrument__c]]&amp;";",";"&amp;_xlfn.XLOOKUP(Lessons[[#This Row],[Instructor_External_Id__c]], Instructors[Id], Instructors[Instruments_Taught__c])&amp;";"))</f>
        <v>1</v>
      </c>
      <c r="AB861" t="str">
        <f>IF(LEFT(Lessons[[#This Row],[Status__c]],9)="Cancelled","",Lessons[[#This Row],[Instructor_External_Id__c]]&amp;"|"&amp;TEXT(Lessons[[#This Row],[Lesson_Date__c]],"yyyy-mm-dd")&amp;"|"&amp;Lessons[[#This Row],[Start_Time__c]])</f>
        <v>a06ak00000amzBzAAI|2027-01-05|16:30:00.000Z</v>
      </c>
      <c r="AC861">
        <f>IF(Lessons[[#This Row],[Double Booked Key]]="","",COUNTIF(Lessons[Double Booked Key],Lessons[[#This Row],[Double Booked Key]]))</f>
        <v>1</v>
      </c>
      <c r="AD861" s="6" t="str">
        <f>_xlfn.XLOOKUP(Lessons[[#This Row],[Location_External_Id__c]], Locations[Location Id], Locations[Location Name])</f>
        <v>Brick</v>
      </c>
      <c r="AE861" s="6" t="str">
        <f>TEXT(Lessons[[#This Row],[Lesson_Date__c]], "yyyy-mm")</f>
        <v>2027-01</v>
      </c>
      <c r="AF861" s="6" t="str">
        <f>IF(Lessons[[#This Row],[Lesson_Date__c]]&lt;=Data_Audit!$F$1, "Yes", "No")</f>
        <v>No</v>
      </c>
    </row>
    <row r="862" spans="1:32">
      <c r="A862" t="s">
        <v>52</v>
      </c>
      <c r="B862" t="s">
        <v>2997</v>
      </c>
      <c r="C862">
        <v>45</v>
      </c>
      <c r="D862" t="s">
        <v>3122</v>
      </c>
      <c r="E862" t="s">
        <v>548</v>
      </c>
      <c r="F862" t="s">
        <v>549</v>
      </c>
      <c r="H862" t="s">
        <v>203</v>
      </c>
      <c r="I862" t="b">
        <v>0</v>
      </c>
      <c r="K862" t="s">
        <v>52</v>
      </c>
      <c r="L862" t="s">
        <v>2997</v>
      </c>
      <c r="O862" s="1">
        <v>46392</v>
      </c>
      <c r="P862" t="s">
        <v>3123</v>
      </c>
      <c r="Q862" t="s">
        <v>3124</v>
      </c>
      <c r="R862" t="s">
        <v>83</v>
      </c>
      <c r="S862" t="b">
        <v>0</v>
      </c>
      <c r="T862" t="b">
        <v>0</v>
      </c>
      <c r="U862" t="s">
        <v>3125</v>
      </c>
      <c r="V862" t="s">
        <v>128</v>
      </c>
      <c r="W862" t="s">
        <v>95</v>
      </c>
      <c r="X862" t="s">
        <v>552</v>
      </c>
      <c r="Y862" t="s">
        <v>553</v>
      </c>
      <c r="Z862" t="s">
        <v>2997</v>
      </c>
      <c r="AA862" t="b">
        <f>ISNUMBER(SEARCH(";"&amp;Lessons[[#This Row],[Instrument__c]]&amp;";",";"&amp;_xlfn.XLOOKUP(Lessons[[#This Row],[Instructor_External_Id__c]], Instructors[Id], Instructors[Instruments_Taught__c])&amp;";"))</f>
        <v>1</v>
      </c>
      <c r="AB862" t="str">
        <f>IF(LEFT(Lessons[[#This Row],[Status__c]],9)="Cancelled","",Lessons[[#This Row],[Instructor_External_Id__c]]&amp;"|"&amp;TEXT(Lessons[[#This Row],[Lesson_Date__c]],"yyyy-mm-dd")&amp;"|"&amp;Lessons[[#This Row],[Start_Time__c]])</f>
        <v>a06ak00000amzCHAAY|2027-01-05|18:30:00.000Z</v>
      </c>
      <c r="AC862">
        <f>IF(Lessons[[#This Row],[Double Booked Key]]="","",COUNTIF(Lessons[Double Booked Key],Lessons[[#This Row],[Double Booked Key]]))</f>
        <v>1</v>
      </c>
      <c r="AD862" s="6" t="str">
        <f>_xlfn.XLOOKUP(Lessons[[#This Row],[Location_External_Id__c]], Locations[Location Id], Locations[Location Name])</f>
        <v>Brick</v>
      </c>
      <c r="AE862" s="6" t="str">
        <f>TEXT(Lessons[[#This Row],[Lesson_Date__c]], "yyyy-mm")</f>
        <v>2027-01</v>
      </c>
      <c r="AF862" s="6" t="str">
        <f>IF(Lessons[[#This Row],[Lesson_Date__c]]&lt;=Data_Audit!$F$1, "Yes", "No")</f>
        <v>No</v>
      </c>
    </row>
    <row r="863" spans="1:32">
      <c r="A863" t="s">
        <v>52</v>
      </c>
      <c r="B863" t="s">
        <v>2997</v>
      </c>
      <c r="C863">
        <v>45</v>
      </c>
      <c r="D863" t="s">
        <v>3126</v>
      </c>
      <c r="E863" t="s">
        <v>1216</v>
      </c>
      <c r="F863" t="s">
        <v>1217</v>
      </c>
      <c r="H863" t="s">
        <v>147</v>
      </c>
      <c r="I863" t="b">
        <v>0</v>
      </c>
      <c r="K863" t="s">
        <v>52</v>
      </c>
      <c r="L863" t="s">
        <v>2997</v>
      </c>
      <c r="O863" s="1">
        <v>46393</v>
      </c>
      <c r="P863" t="s">
        <v>3127</v>
      </c>
      <c r="Q863" t="s">
        <v>3128</v>
      </c>
      <c r="R863" t="s">
        <v>150</v>
      </c>
      <c r="S863" t="b">
        <v>0</v>
      </c>
      <c r="T863" t="b">
        <v>0</v>
      </c>
      <c r="U863" t="s">
        <v>3129</v>
      </c>
      <c r="V863" t="s">
        <v>140</v>
      </c>
      <c r="W863" t="s">
        <v>95</v>
      </c>
      <c r="X863" t="s">
        <v>151</v>
      </c>
      <c r="Y863" t="s">
        <v>152</v>
      </c>
      <c r="Z863" t="s">
        <v>2997</v>
      </c>
      <c r="AA863" t="b">
        <f>ISNUMBER(SEARCH(";"&amp;Lessons[[#This Row],[Instrument__c]]&amp;";",";"&amp;_xlfn.XLOOKUP(Lessons[[#This Row],[Instructor_External_Id__c]], Instructors[Id], Instructors[Instruments_Taught__c])&amp;";"))</f>
        <v>1</v>
      </c>
      <c r="AB863" t="str">
        <f>IF(LEFT(Lessons[[#This Row],[Status__c]],9)="Cancelled","",Lessons[[#This Row],[Instructor_External_Id__c]]&amp;"|"&amp;TEXT(Lessons[[#This Row],[Lesson_Date__c]],"yyyy-mm-dd")&amp;"|"&amp;Lessons[[#This Row],[Start_Time__c]])</f>
        <v>a06ak00000amzCKAAY|2027-01-06|15:00:00.000Z</v>
      </c>
      <c r="AC863">
        <f>IF(Lessons[[#This Row],[Double Booked Key]]="","",COUNTIF(Lessons[Double Booked Key],Lessons[[#This Row],[Double Booked Key]]))</f>
        <v>1</v>
      </c>
      <c r="AD863" s="6" t="str">
        <f>_xlfn.XLOOKUP(Lessons[[#This Row],[Location_External_Id__c]], Locations[Location Id], Locations[Location Name])</f>
        <v>Toms River</v>
      </c>
      <c r="AE863" s="6" t="str">
        <f>TEXT(Lessons[[#This Row],[Lesson_Date__c]], "yyyy-mm")</f>
        <v>2027-01</v>
      </c>
      <c r="AF863" s="6" t="str">
        <f>IF(Lessons[[#This Row],[Lesson_Date__c]]&lt;=Data_Audit!$F$1, "Yes", "No")</f>
        <v>No</v>
      </c>
    </row>
    <row r="864" spans="1:32">
      <c r="A864" t="s">
        <v>52</v>
      </c>
      <c r="B864" t="s">
        <v>2997</v>
      </c>
      <c r="C864">
        <v>30</v>
      </c>
      <c r="D864" t="s">
        <v>3130</v>
      </c>
      <c r="E864" t="s">
        <v>944</v>
      </c>
      <c r="F864" t="s">
        <v>945</v>
      </c>
      <c r="H864" t="s">
        <v>107</v>
      </c>
      <c r="I864" t="b">
        <v>0</v>
      </c>
      <c r="K864" t="s">
        <v>52</v>
      </c>
      <c r="L864" t="s">
        <v>2997</v>
      </c>
      <c r="O864" s="1">
        <v>46393</v>
      </c>
      <c r="P864" t="s">
        <v>3131</v>
      </c>
      <c r="Q864" t="s">
        <v>3132</v>
      </c>
      <c r="R864" t="s">
        <v>150</v>
      </c>
      <c r="S864" t="b">
        <v>0</v>
      </c>
      <c r="T864" t="b">
        <v>0</v>
      </c>
      <c r="U864" t="s">
        <v>3133</v>
      </c>
      <c r="V864" t="s">
        <v>140</v>
      </c>
      <c r="W864" t="s">
        <v>95</v>
      </c>
      <c r="X864" t="s">
        <v>948</v>
      </c>
      <c r="Y864" t="s">
        <v>949</v>
      </c>
      <c r="Z864" t="s">
        <v>2997</v>
      </c>
      <c r="AA864" t="b">
        <f>ISNUMBER(SEARCH(";"&amp;Lessons[[#This Row],[Instrument__c]]&amp;";",";"&amp;_xlfn.XLOOKUP(Lessons[[#This Row],[Instructor_External_Id__c]], Instructors[Id], Instructors[Instruments_Taught__c])&amp;";"))</f>
        <v>1</v>
      </c>
      <c r="AB864" t="str">
        <f>IF(LEFT(Lessons[[#This Row],[Status__c]],9)="Cancelled","",Lessons[[#This Row],[Instructor_External_Id__c]]&amp;"|"&amp;TEXT(Lessons[[#This Row],[Lesson_Date__c]],"yyyy-mm-dd")&amp;"|"&amp;Lessons[[#This Row],[Start_Time__c]])</f>
        <v>a06ak00000amzBtAAI|2027-01-06|15:00:00.000Z</v>
      </c>
      <c r="AC864">
        <f>IF(Lessons[[#This Row],[Double Booked Key]]="","",COUNTIF(Lessons[Double Booked Key],Lessons[[#This Row],[Double Booked Key]]))</f>
        <v>1</v>
      </c>
      <c r="AD864" s="6" t="str">
        <f>_xlfn.XLOOKUP(Lessons[[#This Row],[Location_External_Id__c]], Locations[Location Id], Locations[Location Name])</f>
        <v>Toms River</v>
      </c>
      <c r="AE864" s="6" t="str">
        <f>TEXT(Lessons[[#This Row],[Lesson_Date__c]], "yyyy-mm")</f>
        <v>2027-01</v>
      </c>
      <c r="AF864" s="6" t="str">
        <f>IF(Lessons[[#This Row],[Lesson_Date__c]]&lt;=Data_Audit!$F$1, "Yes", "No")</f>
        <v>No</v>
      </c>
    </row>
    <row r="865" spans="1:32">
      <c r="A865" t="s">
        <v>52</v>
      </c>
      <c r="B865" t="s">
        <v>2997</v>
      </c>
      <c r="C865">
        <v>60</v>
      </c>
      <c r="D865" t="s">
        <v>3134</v>
      </c>
      <c r="E865" t="s">
        <v>436</v>
      </c>
      <c r="F865" t="s">
        <v>437</v>
      </c>
      <c r="H865" t="s">
        <v>461</v>
      </c>
      <c r="I865" t="b">
        <v>0</v>
      </c>
      <c r="K865" t="s">
        <v>52</v>
      </c>
      <c r="L865" t="s">
        <v>2997</v>
      </c>
      <c r="M865" t="s">
        <v>3135</v>
      </c>
      <c r="N865" t="s">
        <v>3135</v>
      </c>
      <c r="O865" s="1">
        <v>46393</v>
      </c>
      <c r="P865" t="s">
        <v>3136</v>
      </c>
      <c r="Q865" t="s">
        <v>3137</v>
      </c>
      <c r="R865" t="s">
        <v>63</v>
      </c>
      <c r="S865" t="b">
        <v>0</v>
      </c>
      <c r="T865" t="b">
        <v>0</v>
      </c>
      <c r="U865" t="s">
        <v>3138</v>
      </c>
      <c r="V865" t="s">
        <v>102</v>
      </c>
      <c r="W865" t="s">
        <v>95</v>
      </c>
      <c r="X865" t="s">
        <v>507</v>
      </c>
      <c r="Y865" t="s">
        <v>508</v>
      </c>
      <c r="Z865" t="s">
        <v>2997</v>
      </c>
      <c r="AA865" t="b">
        <f>ISNUMBER(SEARCH(";"&amp;Lessons[[#This Row],[Instrument__c]]&amp;";",";"&amp;_xlfn.XLOOKUP(Lessons[[#This Row],[Instructor_External_Id__c]], Instructors[Id], Instructors[Instruments_Taught__c])&amp;";"))</f>
        <v>1</v>
      </c>
      <c r="AB865" t="str">
        <f>IF(LEFT(Lessons[[#This Row],[Status__c]],9)="Cancelled","",Lessons[[#This Row],[Instructor_External_Id__c]]&amp;"|"&amp;TEXT(Lessons[[#This Row],[Lesson_Date__c]],"yyyy-mm-dd")&amp;"|"&amp;Lessons[[#This Row],[Start_Time__c]])</f>
        <v>a06ak00000amzC0AAI|2027-01-06|16:00:00.000Z</v>
      </c>
      <c r="AC865">
        <f>IF(Lessons[[#This Row],[Double Booked Key]]="","",COUNTIF(Lessons[Double Booked Key],Lessons[[#This Row],[Double Booked Key]]))</f>
        <v>1</v>
      </c>
      <c r="AD865" s="6" t="str">
        <f>_xlfn.XLOOKUP(Lessons[[#This Row],[Location_External_Id__c]], Locations[Location Id], Locations[Location Name])</f>
        <v>Red Bank</v>
      </c>
      <c r="AE865" s="6" t="str">
        <f>TEXT(Lessons[[#This Row],[Lesson_Date__c]], "yyyy-mm")</f>
        <v>2027-01</v>
      </c>
      <c r="AF865" s="6" t="str">
        <f>IF(Lessons[[#This Row],[Lesson_Date__c]]&lt;=Data_Audit!$F$1, "Yes", "No")</f>
        <v>No</v>
      </c>
    </row>
    <row r="866" spans="1:32">
      <c r="A866" t="s">
        <v>52</v>
      </c>
      <c r="B866" t="s">
        <v>2997</v>
      </c>
      <c r="C866">
        <v>60</v>
      </c>
      <c r="D866" t="s">
        <v>3139</v>
      </c>
      <c r="E866" t="s">
        <v>318</v>
      </c>
      <c r="F866" t="s">
        <v>319</v>
      </c>
      <c r="H866" t="s">
        <v>237</v>
      </c>
      <c r="I866" t="b">
        <v>0</v>
      </c>
      <c r="K866" t="s">
        <v>52</v>
      </c>
      <c r="L866" t="s">
        <v>2997</v>
      </c>
      <c r="O866" s="1">
        <v>46394</v>
      </c>
      <c r="P866" t="s">
        <v>3140</v>
      </c>
      <c r="Q866" t="s">
        <v>3141</v>
      </c>
      <c r="R866" t="s">
        <v>63</v>
      </c>
      <c r="S866" t="b">
        <v>0</v>
      </c>
      <c r="T866" t="b">
        <v>0</v>
      </c>
      <c r="U866" t="s">
        <v>3142</v>
      </c>
      <c r="V866" t="s">
        <v>135</v>
      </c>
      <c r="W866" t="s">
        <v>95</v>
      </c>
      <c r="X866" t="s">
        <v>2240</v>
      </c>
      <c r="Y866" t="s">
        <v>2241</v>
      </c>
      <c r="Z866" t="s">
        <v>2997</v>
      </c>
      <c r="AA866" t="b">
        <f>ISNUMBER(SEARCH(";"&amp;Lessons[[#This Row],[Instrument__c]]&amp;";",";"&amp;_xlfn.XLOOKUP(Lessons[[#This Row],[Instructor_External_Id__c]], Instructors[Id], Instructors[Instruments_Taught__c])&amp;";"))</f>
        <v>1</v>
      </c>
      <c r="AB866" t="str">
        <f>IF(LEFT(Lessons[[#This Row],[Status__c]],9)="Cancelled","",Lessons[[#This Row],[Instructor_External_Id__c]]&amp;"|"&amp;TEXT(Lessons[[#This Row],[Lesson_Date__c]],"yyyy-mm-dd")&amp;"|"&amp;Lessons[[#This Row],[Start_Time__c]])</f>
        <v>a06ak00000amzBzAAI|2027-01-07|15:30:00.000Z</v>
      </c>
      <c r="AC866">
        <f>IF(Lessons[[#This Row],[Double Booked Key]]="","",COUNTIF(Lessons[Double Booked Key],Lessons[[#This Row],[Double Booked Key]]))</f>
        <v>1</v>
      </c>
      <c r="AD866" s="6" t="str">
        <f>_xlfn.XLOOKUP(Lessons[[#This Row],[Location_External_Id__c]], Locations[Location Id], Locations[Location Name])</f>
        <v>Red Bank</v>
      </c>
      <c r="AE866" s="6" t="str">
        <f>TEXT(Lessons[[#This Row],[Lesson_Date__c]], "yyyy-mm")</f>
        <v>2027-01</v>
      </c>
      <c r="AF866" s="6" t="str">
        <f>IF(Lessons[[#This Row],[Lesson_Date__c]]&lt;=Data_Audit!$F$1, "Yes", "No")</f>
        <v>No</v>
      </c>
    </row>
    <row r="867" spans="1:32">
      <c r="A867" t="s">
        <v>52</v>
      </c>
      <c r="B867" t="s">
        <v>2997</v>
      </c>
      <c r="C867">
        <v>30</v>
      </c>
      <c r="D867" t="s">
        <v>3143</v>
      </c>
      <c r="E867" t="s">
        <v>804</v>
      </c>
      <c r="F867" t="s">
        <v>805</v>
      </c>
      <c r="H867" t="s">
        <v>147</v>
      </c>
      <c r="I867" t="b">
        <v>0</v>
      </c>
      <c r="K867" t="s">
        <v>52</v>
      </c>
      <c r="L867" t="s">
        <v>2997</v>
      </c>
      <c r="O867" s="1">
        <v>46394</v>
      </c>
      <c r="P867" t="s">
        <v>3144</v>
      </c>
      <c r="Q867" t="s">
        <v>3145</v>
      </c>
      <c r="R867" t="s">
        <v>63</v>
      </c>
      <c r="S867" t="b">
        <v>0</v>
      </c>
      <c r="T867" t="b">
        <v>0</v>
      </c>
      <c r="U867" t="s">
        <v>3146</v>
      </c>
      <c r="V867" t="s">
        <v>116</v>
      </c>
      <c r="W867" t="s">
        <v>95</v>
      </c>
      <c r="X867" t="s">
        <v>1617</v>
      </c>
      <c r="Y867" t="s">
        <v>1618</v>
      </c>
      <c r="Z867" t="s">
        <v>2997</v>
      </c>
      <c r="AA867" t="b">
        <f>ISNUMBER(SEARCH(";"&amp;Lessons[[#This Row],[Instrument__c]]&amp;";",";"&amp;_xlfn.XLOOKUP(Lessons[[#This Row],[Instructor_External_Id__c]], Instructors[Id], Instructors[Instruments_Taught__c])&amp;";"))</f>
        <v>1</v>
      </c>
      <c r="AB867" t="str">
        <f>IF(LEFT(Lessons[[#This Row],[Status__c]],9)="Cancelled","",Lessons[[#This Row],[Instructor_External_Id__c]]&amp;"|"&amp;TEXT(Lessons[[#This Row],[Lesson_Date__c]],"yyyy-mm-dd")&amp;"|"&amp;Lessons[[#This Row],[Start_Time__c]])</f>
        <v>a06ak00000amzCBAAY|2027-01-07|17:30:00.000Z</v>
      </c>
      <c r="AC867">
        <f>IF(Lessons[[#This Row],[Double Booked Key]]="","",COUNTIF(Lessons[Double Booked Key],Lessons[[#This Row],[Double Booked Key]]))</f>
        <v>1</v>
      </c>
      <c r="AD867" s="6" t="str">
        <f>_xlfn.XLOOKUP(Lessons[[#This Row],[Location_External_Id__c]], Locations[Location Id], Locations[Location Name])</f>
        <v>Red Bank</v>
      </c>
      <c r="AE867" s="6" t="str">
        <f>TEXT(Lessons[[#This Row],[Lesson_Date__c]], "yyyy-mm")</f>
        <v>2027-01</v>
      </c>
      <c r="AF867" s="6" t="str">
        <f>IF(Lessons[[#This Row],[Lesson_Date__c]]&lt;=Data_Audit!$F$1, "Yes", "No")</f>
        <v>No</v>
      </c>
    </row>
    <row r="868" spans="1:32">
      <c r="A868" t="s">
        <v>52</v>
      </c>
      <c r="B868" t="s">
        <v>2997</v>
      </c>
      <c r="C868">
        <v>60</v>
      </c>
      <c r="D868" t="s">
        <v>3147</v>
      </c>
      <c r="E868" t="s">
        <v>337</v>
      </c>
      <c r="F868" t="s">
        <v>338</v>
      </c>
      <c r="H868" t="s">
        <v>284</v>
      </c>
      <c r="I868" t="b">
        <v>0</v>
      </c>
      <c r="K868" t="s">
        <v>52</v>
      </c>
      <c r="L868" t="s">
        <v>2997</v>
      </c>
      <c r="O868" s="1">
        <v>46394</v>
      </c>
      <c r="P868" t="s">
        <v>3148</v>
      </c>
      <c r="Q868" t="s">
        <v>3149</v>
      </c>
      <c r="R868" t="s">
        <v>150</v>
      </c>
      <c r="S868" t="b">
        <v>0</v>
      </c>
      <c r="T868" t="b">
        <v>0</v>
      </c>
      <c r="U868" t="s">
        <v>3150</v>
      </c>
      <c r="V868" t="s">
        <v>120</v>
      </c>
      <c r="W868" t="s">
        <v>95</v>
      </c>
      <c r="X868" t="s">
        <v>1964</v>
      </c>
      <c r="Y868" t="s">
        <v>1965</v>
      </c>
      <c r="Z868" t="s">
        <v>2997</v>
      </c>
      <c r="AA868" t="b">
        <f>ISNUMBER(SEARCH(";"&amp;Lessons[[#This Row],[Instrument__c]]&amp;";",";"&amp;_xlfn.XLOOKUP(Lessons[[#This Row],[Instructor_External_Id__c]], Instructors[Id], Instructors[Instruments_Taught__c])&amp;";"))</f>
        <v>1</v>
      </c>
      <c r="AB868" t="str">
        <f>IF(LEFT(Lessons[[#This Row],[Status__c]],9)="Cancelled","",Lessons[[#This Row],[Instructor_External_Id__c]]&amp;"|"&amp;TEXT(Lessons[[#This Row],[Lesson_Date__c]],"yyyy-mm-dd")&amp;"|"&amp;Lessons[[#This Row],[Start_Time__c]])</f>
        <v>a06ak00000amzCIAAY|2027-01-07|18:00:00.000Z</v>
      </c>
      <c r="AC868">
        <f>IF(Lessons[[#This Row],[Double Booked Key]]="","",COUNTIF(Lessons[Double Booked Key],Lessons[[#This Row],[Double Booked Key]]))</f>
        <v>1</v>
      </c>
      <c r="AD868" s="6" t="str">
        <f>_xlfn.XLOOKUP(Lessons[[#This Row],[Location_External_Id__c]], Locations[Location Id], Locations[Location Name])</f>
        <v>Toms River</v>
      </c>
      <c r="AE868" s="6" t="str">
        <f>TEXT(Lessons[[#This Row],[Lesson_Date__c]], "yyyy-mm")</f>
        <v>2027-01</v>
      </c>
      <c r="AF868" s="6" t="str">
        <f>IF(Lessons[[#This Row],[Lesson_Date__c]]&lt;=Data_Audit!$F$1, "Yes", "No")</f>
        <v>No</v>
      </c>
    </row>
    <row r="869" spans="1:32">
      <c r="A869" t="s">
        <v>52</v>
      </c>
      <c r="B869" t="s">
        <v>2997</v>
      </c>
      <c r="C869">
        <v>30</v>
      </c>
      <c r="D869" t="s">
        <v>3151</v>
      </c>
      <c r="E869" t="s">
        <v>243</v>
      </c>
      <c r="F869" t="s">
        <v>244</v>
      </c>
      <c r="H869" t="s">
        <v>650</v>
      </c>
      <c r="I869" t="b">
        <v>0</v>
      </c>
      <c r="K869" t="s">
        <v>52</v>
      </c>
      <c r="L869" t="s">
        <v>2997</v>
      </c>
      <c r="O869" s="1">
        <v>46394</v>
      </c>
      <c r="P869" t="s">
        <v>3152</v>
      </c>
      <c r="Q869" t="s">
        <v>3153</v>
      </c>
      <c r="R869" t="s">
        <v>63</v>
      </c>
      <c r="S869" t="b">
        <v>0</v>
      </c>
      <c r="T869" t="b">
        <v>0</v>
      </c>
      <c r="U869" t="s">
        <v>3154</v>
      </c>
      <c r="V869" t="s">
        <v>128</v>
      </c>
      <c r="W869" t="s">
        <v>95</v>
      </c>
      <c r="X869" t="s">
        <v>2385</v>
      </c>
      <c r="Y869" t="s">
        <v>2386</v>
      </c>
      <c r="Z869" t="s">
        <v>2997</v>
      </c>
      <c r="AA869" t="b">
        <f>ISNUMBER(SEARCH(";"&amp;Lessons[[#This Row],[Instrument__c]]&amp;";",";"&amp;_xlfn.XLOOKUP(Lessons[[#This Row],[Instructor_External_Id__c]], Instructors[Id], Instructors[Instruments_Taught__c])&amp;";"))</f>
        <v>1</v>
      </c>
      <c r="AB869" t="str">
        <f>IF(LEFT(Lessons[[#This Row],[Status__c]],9)="Cancelled","",Lessons[[#This Row],[Instructor_External_Id__c]]&amp;"|"&amp;TEXT(Lessons[[#This Row],[Lesson_Date__c]],"yyyy-mm-dd")&amp;"|"&amp;Lessons[[#This Row],[Start_Time__c]])</f>
        <v>a06ak00000amzC1AAI|2027-01-07|18:30:00.000Z</v>
      </c>
      <c r="AC869">
        <f>IF(Lessons[[#This Row],[Double Booked Key]]="","",COUNTIF(Lessons[Double Booked Key],Lessons[[#This Row],[Double Booked Key]]))</f>
        <v>1</v>
      </c>
      <c r="AD869" s="6" t="str">
        <f>_xlfn.XLOOKUP(Lessons[[#This Row],[Location_External_Id__c]], Locations[Location Id], Locations[Location Name])</f>
        <v>Red Bank</v>
      </c>
      <c r="AE869" s="6" t="str">
        <f>TEXT(Lessons[[#This Row],[Lesson_Date__c]], "yyyy-mm")</f>
        <v>2027-01</v>
      </c>
      <c r="AF869" s="6" t="str">
        <f>IF(Lessons[[#This Row],[Lesson_Date__c]]&lt;=Data_Audit!$F$1, "Yes", "No")</f>
        <v>No</v>
      </c>
    </row>
    <row r="870" spans="1:32">
      <c r="A870" t="s">
        <v>52</v>
      </c>
      <c r="B870" t="s">
        <v>2997</v>
      </c>
      <c r="C870">
        <v>45</v>
      </c>
      <c r="D870" t="s">
        <v>3155</v>
      </c>
      <c r="E870" t="s">
        <v>944</v>
      </c>
      <c r="F870" t="s">
        <v>945</v>
      </c>
      <c r="H870" t="s">
        <v>107</v>
      </c>
      <c r="I870" t="b">
        <v>0</v>
      </c>
      <c r="K870" t="s">
        <v>52</v>
      </c>
      <c r="L870" t="s">
        <v>2997</v>
      </c>
      <c r="O870" s="1">
        <v>46395</v>
      </c>
      <c r="P870" t="s">
        <v>3156</v>
      </c>
      <c r="Q870" t="s">
        <v>3157</v>
      </c>
      <c r="R870" t="s">
        <v>63</v>
      </c>
      <c r="S870" t="b">
        <v>0</v>
      </c>
      <c r="T870" t="b">
        <v>0</v>
      </c>
      <c r="U870" t="s">
        <v>3158</v>
      </c>
      <c r="V870" t="s">
        <v>135</v>
      </c>
      <c r="W870" t="s">
        <v>95</v>
      </c>
      <c r="X870" t="s">
        <v>111</v>
      </c>
      <c r="Y870" t="s">
        <v>112</v>
      </c>
      <c r="Z870" t="s">
        <v>2997</v>
      </c>
      <c r="AA870" t="b">
        <f>ISNUMBER(SEARCH(";"&amp;Lessons[[#This Row],[Instrument__c]]&amp;";",";"&amp;_xlfn.XLOOKUP(Lessons[[#This Row],[Instructor_External_Id__c]], Instructors[Id], Instructors[Instruments_Taught__c])&amp;";"))</f>
        <v>1</v>
      </c>
      <c r="AB870" t="str">
        <f>IF(LEFT(Lessons[[#This Row],[Status__c]],9)="Cancelled","",Lessons[[#This Row],[Instructor_External_Id__c]]&amp;"|"&amp;TEXT(Lessons[[#This Row],[Lesson_Date__c]],"yyyy-mm-dd")&amp;"|"&amp;Lessons[[#This Row],[Start_Time__c]])</f>
        <v>a06ak00000amzBtAAI|2027-01-08|15:30:00.000Z</v>
      </c>
      <c r="AC870">
        <f>IF(Lessons[[#This Row],[Double Booked Key]]="","",COUNTIF(Lessons[Double Booked Key],Lessons[[#This Row],[Double Booked Key]]))</f>
        <v>1</v>
      </c>
      <c r="AD870" s="6" t="str">
        <f>_xlfn.XLOOKUP(Lessons[[#This Row],[Location_External_Id__c]], Locations[Location Id], Locations[Location Name])</f>
        <v>Red Bank</v>
      </c>
      <c r="AE870" s="6" t="str">
        <f>TEXT(Lessons[[#This Row],[Lesson_Date__c]], "yyyy-mm")</f>
        <v>2027-01</v>
      </c>
      <c r="AF870" s="6" t="str">
        <f>IF(Lessons[[#This Row],[Lesson_Date__c]]&lt;=Data_Audit!$F$1, "Yes", "No")</f>
        <v>No</v>
      </c>
    </row>
    <row r="871" spans="1:32">
      <c r="A871" t="s">
        <v>52</v>
      </c>
      <c r="B871" t="s">
        <v>2997</v>
      </c>
      <c r="C871">
        <v>30</v>
      </c>
      <c r="D871" t="s">
        <v>3159</v>
      </c>
      <c r="E871" t="s">
        <v>573</v>
      </c>
      <c r="F871" t="s">
        <v>574</v>
      </c>
      <c r="H871" t="s">
        <v>461</v>
      </c>
      <c r="I871" t="b">
        <v>0</v>
      </c>
      <c r="K871" t="s">
        <v>52</v>
      </c>
      <c r="L871" t="s">
        <v>2997</v>
      </c>
      <c r="O871" s="1">
        <v>46395</v>
      </c>
      <c r="P871" t="s">
        <v>3160</v>
      </c>
      <c r="Q871" t="s">
        <v>3161</v>
      </c>
      <c r="R871" t="s">
        <v>83</v>
      </c>
      <c r="S871" t="b">
        <v>0</v>
      </c>
      <c r="T871" t="b">
        <v>0</v>
      </c>
      <c r="U871" t="s">
        <v>3162</v>
      </c>
      <c r="V871" t="s">
        <v>135</v>
      </c>
      <c r="W871" t="s">
        <v>95</v>
      </c>
      <c r="X871" t="s">
        <v>1047</v>
      </c>
      <c r="Y871" t="s">
        <v>1048</v>
      </c>
      <c r="Z871" t="s">
        <v>2997</v>
      </c>
      <c r="AA871" t="b">
        <f>ISNUMBER(SEARCH(";"&amp;Lessons[[#This Row],[Instrument__c]]&amp;";",";"&amp;_xlfn.XLOOKUP(Lessons[[#This Row],[Instructor_External_Id__c]], Instructors[Id], Instructors[Instruments_Taught__c])&amp;";"))</f>
        <v>1</v>
      </c>
      <c r="AB871" t="str">
        <f>IF(LEFT(Lessons[[#This Row],[Status__c]],9)="Cancelled","",Lessons[[#This Row],[Instructor_External_Id__c]]&amp;"|"&amp;TEXT(Lessons[[#This Row],[Lesson_Date__c]],"yyyy-mm-dd")&amp;"|"&amp;Lessons[[#This Row],[Start_Time__c]])</f>
        <v>a06ak00000amzCCAAY|2027-01-08|15:30:00.000Z</v>
      </c>
      <c r="AC871">
        <f>IF(Lessons[[#This Row],[Double Booked Key]]="","",COUNTIF(Lessons[Double Booked Key],Lessons[[#This Row],[Double Booked Key]]))</f>
        <v>1</v>
      </c>
      <c r="AD871" s="6" t="str">
        <f>_xlfn.XLOOKUP(Lessons[[#This Row],[Location_External_Id__c]], Locations[Location Id], Locations[Location Name])</f>
        <v>Brick</v>
      </c>
      <c r="AE871" s="6" t="str">
        <f>TEXT(Lessons[[#This Row],[Lesson_Date__c]], "yyyy-mm")</f>
        <v>2027-01</v>
      </c>
      <c r="AF871" s="6" t="str">
        <f>IF(Lessons[[#This Row],[Lesson_Date__c]]&lt;=Data_Audit!$F$1, "Yes", "No")</f>
        <v>No</v>
      </c>
    </row>
    <row r="872" spans="1:32">
      <c r="A872" t="s">
        <v>52</v>
      </c>
      <c r="B872" t="s">
        <v>2997</v>
      </c>
      <c r="C872">
        <v>30</v>
      </c>
      <c r="D872" t="s">
        <v>3163</v>
      </c>
      <c r="E872" t="s">
        <v>548</v>
      </c>
      <c r="F872" t="s">
        <v>549</v>
      </c>
      <c r="H872" t="s">
        <v>203</v>
      </c>
      <c r="I872" t="b">
        <v>0</v>
      </c>
      <c r="K872" t="s">
        <v>52</v>
      </c>
      <c r="L872" t="s">
        <v>2997</v>
      </c>
      <c r="O872" s="1">
        <v>46395</v>
      </c>
      <c r="P872" t="s">
        <v>3164</v>
      </c>
      <c r="Q872" t="s">
        <v>3165</v>
      </c>
      <c r="R872" t="s">
        <v>150</v>
      </c>
      <c r="S872" t="b">
        <v>0</v>
      </c>
      <c r="T872" t="b">
        <v>0</v>
      </c>
      <c r="U872" t="s">
        <v>3166</v>
      </c>
      <c r="V872" t="s">
        <v>74</v>
      </c>
      <c r="W872" t="s">
        <v>95</v>
      </c>
      <c r="X872" t="s">
        <v>206</v>
      </c>
      <c r="Y872" t="s">
        <v>207</v>
      </c>
      <c r="Z872" t="s">
        <v>2997</v>
      </c>
      <c r="AA872" t="b">
        <f>ISNUMBER(SEARCH(";"&amp;Lessons[[#This Row],[Instrument__c]]&amp;";",";"&amp;_xlfn.XLOOKUP(Lessons[[#This Row],[Instructor_External_Id__c]], Instructors[Id], Instructors[Instruments_Taught__c])&amp;";"))</f>
        <v>1</v>
      </c>
      <c r="AB872" t="str">
        <f>IF(LEFT(Lessons[[#This Row],[Status__c]],9)="Cancelled","",Lessons[[#This Row],[Instructor_External_Id__c]]&amp;"|"&amp;TEXT(Lessons[[#This Row],[Lesson_Date__c]],"yyyy-mm-dd")&amp;"|"&amp;Lessons[[#This Row],[Start_Time__c]])</f>
        <v>a06ak00000amzCHAAY|2027-01-08|16:30:00.000Z</v>
      </c>
      <c r="AC872">
        <f>IF(Lessons[[#This Row],[Double Booked Key]]="","",COUNTIF(Lessons[Double Booked Key],Lessons[[#This Row],[Double Booked Key]]))</f>
        <v>1</v>
      </c>
      <c r="AD872" s="6" t="str">
        <f>_xlfn.XLOOKUP(Lessons[[#This Row],[Location_External_Id__c]], Locations[Location Id], Locations[Location Name])</f>
        <v>Toms River</v>
      </c>
      <c r="AE872" s="6" t="str">
        <f>TEXT(Lessons[[#This Row],[Lesson_Date__c]], "yyyy-mm")</f>
        <v>2027-01</v>
      </c>
      <c r="AF872" s="6" t="str">
        <f>IF(Lessons[[#This Row],[Lesson_Date__c]]&lt;=Data_Audit!$F$1, "Yes", "No")</f>
        <v>No</v>
      </c>
    </row>
    <row r="873" spans="1:32">
      <c r="A873" t="s">
        <v>52</v>
      </c>
      <c r="B873" t="s">
        <v>2997</v>
      </c>
      <c r="C873">
        <v>45</v>
      </c>
      <c r="D873" t="s">
        <v>3167</v>
      </c>
      <c r="E873" t="s">
        <v>318</v>
      </c>
      <c r="F873" t="s">
        <v>319</v>
      </c>
      <c r="H873" t="s">
        <v>237</v>
      </c>
      <c r="I873" t="b">
        <v>0</v>
      </c>
      <c r="K873" t="s">
        <v>52</v>
      </c>
      <c r="L873" t="s">
        <v>2997</v>
      </c>
      <c r="O873" s="1">
        <v>46395</v>
      </c>
      <c r="P873" t="s">
        <v>3168</v>
      </c>
      <c r="Q873" t="s">
        <v>3169</v>
      </c>
      <c r="R873" t="s">
        <v>150</v>
      </c>
      <c r="S873" t="b">
        <v>0</v>
      </c>
      <c r="T873" t="b">
        <v>0</v>
      </c>
      <c r="U873" t="s">
        <v>3170</v>
      </c>
      <c r="V873" t="s">
        <v>74</v>
      </c>
      <c r="W873" t="s">
        <v>95</v>
      </c>
      <c r="X873" t="s">
        <v>416</v>
      </c>
      <c r="Y873" t="s">
        <v>417</v>
      </c>
      <c r="Z873" t="s">
        <v>2997</v>
      </c>
      <c r="AA873" t="b">
        <f>ISNUMBER(SEARCH(";"&amp;Lessons[[#This Row],[Instrument__c]]&amp;";",";"&amp;_xlfn.XLOOKUP(Lessons[[#This Row],[Instructor_External_Id__c]], Instructors[Id], Instructors[Instruments_Taught__c])&amp;";"))</f>
        <v>1</v>
      </c>
      <c r="AB873" t="str">
        <f>IF(LEFT(Lessons[[#This Row],[Status__c]],9)="Cancelled","",Lessons[[#This Row],[Instructor_External_Id__c]]&amp;"|"&amp;TEXT(Lessons[[#This Row],[Lesson_Date__c]],"yyyy-mm-dd")&amp;"|"&amp;Lessons[[#This Row],[Start_Time__c]])</f>
        <v>a06ak00000amzBzAAI|2027-01-08|16:30:00.000Z</v>
      </c>
      <c r="AC873">
        <f>IF(Lessons[[#This Row],[Double Booked Key]]="","",COUNTIF(Lessons[Double Booked Key],Lessons[[#This Row],[Double Booked Key]]))</f>
        <v>1</v>
      </c>
      <c r="AD873" s="6" t="str">
        <f>_xlfn.XLOOKUP(Lessons[[#This Row],[Location_External_Id__c]], Locations[Location Id], Locations[Location Name])</f>
        <v>Toms River</v>
      </c>
      <c r="AE873" s="6" t="str">
        <f>TEXT(Lessons[[#This Row],[Lesson_Date__c]], "yyyy-mm")</f>
        <v>2027-01</v>
      </c>
      <c r="AF873" s="6" t="str">
        <f>IF(Lessons[[#This Row],[Lesson_Date__c]]&lt;=Data_Audit!$F$1, "Yes", "No")</f>
        <v>No</v>
      </c>
    </row>
    <row r="874" spans="1:32">
      <c r="A874" t="s">
        <v>52</v>
      </c>
      <c r="B874" t="s">
        <v>2997</v>
      </c>
      <c r="C874">
        <v>30</v>
      </c>
      <c r="D874" t="s">
        <v>3171</v>
      </c>
      <c r="E874" t="s">
        <v>777</v>
      </c>
      <c r="F874" t="s">
        <v>778</v>
      </c>
      <c r="H874" t="s">
        <v>392</v>
      </c>
      <c r="I874" t="b">
        <v>0</v>
      </c>
      <c r="K874" t="s">
        <v>52</v>
      </c>
      <c r="L874" t="s">
        <v>2997</v>
      </c>
      <c r="O874" s="1">
        <v>46395</v>
      </c>
      <c r="P874" t="s">
        <v>3172</v>
      </c>
      <c r="Q874" t="s">
        <v>3173</v>
      </c>
      <c r="R874" t="s">
        <v>83</v>
      </c>
      <c r="S874" t="b">
        <v>0</v>
      </c>
      <c r="T874" t="b">
        <v>0</v>
      </c>
      <c r="U874" t="s">
        <v>3174</v>
      </c>
      <c r="V874" t="s">
        <v>84</v>
      </c>
      <c r="W874" t="s">
        <v>95</v>
      </c>
      <c r="X874" t="s">
        <v>395</v>
      </c>
      <c r="Y874" t="s">
        <v>396</v>
      </c>
      <c r="Z874" t="s">
        <v>2997</v>
      </c>
      <c r="AA874" t="b">
        <f>ISNUMBER(SEARCH(";"&amp;Lessons[[#This Row],[Instrument__c]]&amp;";",";"&amp;_xlfn.XLOOKUP(Lessons[[#This Row],[Instructor_External_Id__c]], Instructors[Id], Instructors[Instruments_Taught__c])&amp;";"))</f>
        <v>1</v>
      </c>
      <c r="AB874" t="str">
        <f>IF(LEFT(Lessons[[#This Row],[Status__c]],9)="Cancelled","",Lessons[[#This Row],[Instructor_External_Id__c]]&amp;"|"&amp;TEXT(Lessons[[#This Row],[Lesson_Date__c]],"yyyy-mm-dd")&amp;"|"&amp;Lessons[[#This Row],[Start_Time__c]])</f>
        <v>a06ak00000amzByAAI|2027-01-08|17:00:00.000Z</v>
      </c>
      <c r="AC874">
        <f>IF(Lessons[[#This Row],[Double Booked Key]]="","",COUNTIF(Lessons[Double Booked Key],Lessons[[#This Row],[Double Booked Key]]))</f>
        <v>1</v>
      </c>
      <c r="AD874" s="6" t="str">
        <f>_xlfn.XLOOKUP(Lessons[[#This Row],[Location_External_Id__c]], Locations[Location Id], Locations[Location Name])</f>
        <v>Brick</v>
      </c>
      <c r="AE874" s="6" t="str">
        <f>TEXT(Lessons[[#This Row],[Lesson_Date__c]], "yyyy-mm")</f>
        <v>2027-01</v>
      </c>
      <c r="AF874" s="6" t="str">
        <f>IF(Lessons[[#This Row],[Lesson_Date__c]]&lt;=Data_Audit!$F$1, "Yes", "No")</f>
        <v>No</v>
      </c>
    </row>
    <row r="875" spans="1:32">
      <c r="A875" t="s">
        <v>52</v>
      </c>
      <c r="B875" t="s">
        <v>2997</v>
      </c>
      <c r="C875">
        <v>30</v>
      </c>
      <c r="D875" t="s">
        <v>3175</v>
      </c>
      <c r="E875" t="s">
        <v>804</v>
      </c>
      <c r="F875" t="s">
        <v>805</v>
      </c>
      <c r="H875" t="s">
        <v>147</v>
      </c>
      <c r="I875" t="b">
        <v>0</v>
      </c>
      <c r="K875" t="s">
        <v>52</v>
      </c>
      <c r="L875" t="s">
        <v>2997</v>
      </c>
      <c r="O875" s="1">
        <v>46395</v>
      </c>
      <c r="P875" t="s">
        <v>3176</v>
      </c>
      <c r="Q875" t="s">
        <v>3177</v>
      </c>
      <c r="R875" t="s">
        <v>63</v>
      </c>
      <c r="S875" t="b">
        <v>0</v>
      </c>
      <c r="T875" t="b">
        <v>0</v>
      </c>
      <c r="U875" t="s">
        <v>3178</v>
      </c>
      <c r="V875" t="s">
        <v>116</v>
      </c>
      <c r="W875" t="s">
        <v>95</v>
      </c>
      <c r="X875" t="s">
        <v>1357</v>
      </c>
      <c r="Y875" t="s">
        <v>1358</v>
      </c>
      <c r="Z875" t="s">
        <v>2997</v>
      </c>
      <c r="AA875" t="b">
        <f>ISNUMBER(SEARCH(";"&amp;Lessons[[#This Row],[Instrument__c]]&amp;";",";"&amp;_xlfn.XLOOKUP(Lessons[[#This Row],[Instructor_External_Id__c]], Instructors[Id], Instructors[Instruments_Taught__c])&amp;";"))</f>
        <v>1</v>
      </c>
      <c r="AB875" t="str">
        <f>IF(LEFT(Lessons[[#This Row],[Status__c]],9)="Cancelled","",Lessons[[#This Row],[Instructor_External_Id__c]]&amp;"|"&amp;TEXT(Lessons[[#This Row],[Lesson_Date__c]],"yyyy-mm-dd")&amp;"|"&amp;Lessons[[#This Row],[Start_Time__c]])</f>
        <v>a06ak00000amzCBAAY|2027-01-08|17:30:00.000Z</v>
      </c>
      <c r="AC875">
        <f>IF(Lessons[[#This Row],[Double Booked Key]]="","",COUNTIF(Lessons[Double Booked Key],Lessons[[#This Row],[Double Booked Key]]))</f>
        <v>1</v>
      </c>
      <c r="AD875" s="6" t="str">
        <f>_xlfn.XLOOKUP(Lessons[[#This Row],[Location_External_Id__c]], Locations[Location Id], Locations[Location Name])</f>
        <v>Red Bank</v>
      </c>
      <c r="AE875" s="6" t="str">
        <f>TEXT(Lessons[[#This Row],[Lesson_Date__c]], "yyyy-mm")</f>
        <v>2027-01</v>
      </c>
      <c r="AF875" s="6" t="str">
        <f>IF(Lessons[[#This Row],[Lesson_Date__c]]&lt;=Data_Audit!$F$1, "Yes", "No")</f>
        <v>No</v>
      </c>
    </row>
    <row r="876" spans="1:32">
      <c r="A876" t="s">
        <v>52</v>
      </c>
      <c r="B876" t="s">
        <v>2997</v>
      </c>
      <c r="C876">
        <v>45</v>
      </c>
      <c r="D876" t="s">
        <v>3179</v>
      </c>
      <c r="E876" t="s">
        <v>436</v>
      </c>
      <c r="F876" t="s">
        <v>437</v>
      </c>
      <c r="H876" t="s">
        <v>263</v>
      </c>
      <c r="I876" t="b">
        <v>0</v>
      </c>
      <c r="K876" t="s">
        <v>52</v>
      </c>
      <c r="L876" t="s">
        <v>2997</v>
      </c>
      <c r="O876" s="1">
        <v>46395</v>
      </c>
      <c r="P876" t="s">
        <v>3180</v>
      </c>
      <c r="Q876" t="s">
        <v>3181</v>
      </c>
      <c r="R876" t="s">
        <v>63</v>
      </c>
      <c r="S876" t="b">
        <v>0</v>
      </c>
      <c r="T876" t="b">
        <v>0</v>
      </c>
      <c r="U876" t="s">
        <v>3182</v>
      </c>
      <c r="V876" t="s">
        <v>116</v>
      </c>
      <c r="W876" t="s">
        <v>95</v>
      </c>
      <c r="X876" t="s">
        <v>1818</v>
      </c>
      <c r="Y876" t="s">
        <v>1819</v>
      </c>
      <c r="Z876" t="s">
        <v>2997</v>
      </c>
      <c r="AA876" t="b">
        <f>ISNUMBER(SEARCH(";"&amp;Lessons[[#This Row],[Instrument__c]]&amp;";",";"&amp;_xlfn.XLOOKUP(Lessons[[#This Row],[Instructor_External_Id__c]], Instructors[Id], Instructors[Instruments_Taught__c])&amp;";"))</f>
        <v>1</v>
      </c>
      <c r="AB876" t="str">
        <f>IF(LEFT(Lessons[[#This Row],[Status__c]],9)="Cancelled","",Lessons[[#This Row],[Instructor_External_Id__c]]&amp;"|"&amp;TEXT(Lessons[[#This Row],[Lesson_Date__c]],"yyyy-mm-dd")&amp;"|"&amp;Lessons[[#This Row],[Start_Time__c]])</f>
        <v>a06ak00000amzC0AAI|2027-01-08|17:30:00.000Z</v>
      </c>
      <c r="AC876">
        <f>IF(Lessons[[#This Row],[Double Booked Key]]="","",COUNTIF(Lessons[Double Booked Key],Lessons[[#This Row],[Double Booked Key]]))</f>
        <v>1</v>
      </c>
      <c r="AD876" s="6" t="str">
        <f>_xlfn.XLOOKUP(Lessons[[#This Row],[Location_External_Id__c]], Locations[Location Id], Locations[Location Name])</f>
        <v>Red Bank</v>
      </c>
      <c r="AE876" s="6" t="str">
        <f>TEXT(Lessons[[#This Row],[Lesson_Date__c]], "yyyy-mm")</f>
        <v>2027-01</v>
      </c>
      <c r="AF876" s="6" t="str">
        <f>IF(Lessons[[#This Row],[Lesson_Date__c]]&lt;=Data_Audit!$F$1, "Yes", "No")</f>
        <v>No</v>
      </c>
    </row>
    <row r="877" spans="1:32">
      <c r="A877" t="s">
        <v>52</v>
      </c>
      <c r="B877" t="s">
        <v>2997</v>
      </c>
      <c r="C877">
        <v>60</v>
      </c>
      <c r="D877" t="s">
        <v>3183</v>
      </c>
      <c r="E877" t="s">
        <v>318</v>
      </c>
      <c r="F877" t="s">
        <v>319</v>
      </c>
      <c r="H877" t="s">
        <v>650</v>
      </c>
      <c r="I877" t="b">
        <v>0</v>
      </c>
      <c r="K877" t="s">
        <v>52</v>
      </c>
      <c r="L877" t="s">
        <v>2997</v>
      </c>
      <c r="O877" s="1">
        <v>46395</v>
      </c>
      <c r="P877" t="s">
        <v>3184</v>
      </c>
      <c r="Q877" t="s">
        <v>3185</v>
      </c>
      <c r="R877" t="s">
        <v>63</v>
      </c>
      <c r="S877" t="b">
        <v>0</v>
      </c>
      <c r="T877" t="b">
        <v>0</v>
      </c>
      <c r="U877" t="s">
        <v>3186</v>
      </c>
      <c r="V877" t="s">
        <v>128</v>
      </c>
      <c r="W877" t="s">
        <v>95</v>
      </c>
      <c r="X877" t="s">
        <v>1858</v>
      </c>
      <c r="Y877" t="s">
        <v>1859</v>
      </c>
      <c r="Z877" t="s">
        <v>2997</v>
      </c>
      <c r="AA877" t="b">
        <f>ISNUMBER(SEARCH(";"&amp;Lessons[[#This Row],[Instrument__c]]&amp;";",";"&amp;_xlfn.XLOOKUP(Lessons[[#This Row],[Instructor_External_Id__c]], Instructors[Id], Instructors[Instruments_Taught__c])&amp;";"))</f>
        <v>1</v>
      </c>
      <c r="AB877" t="str">
        <f>IF(LEFT(Lessons[[#This Row],[Status__c]],9)="Cancelled","",Lessons[[#This Row],[Instructor_External_Id__c]]&amp;"|"&amp;TEXT(Lessons[[#This Row],[Lesson_Date__c]],"yyyy-mm-dd")&amp;"|"&amp;Lessons[[#This Row],[Start_Time__c]])</f>
        <v>a06ak00000amzBzAAI|2027-01-08|18:30:00.000Z</v>
      </c>
      <c r="AC877">
        <f>IF(Lessons[[#This Row],[Double Booked Key]]="","",COUNTIF(Lessons[Double Booked Key],Lessons[[#This Row],[Double Booked Key]]))</f>
        <v>1</v>
      </c>
      <c r="AD877" s="6" t="str">
        <f>_xlfn.XLOOKUP(Lessons[[#This Row],[Location_External_Id__c]], Locations[Location Id], Locations[Location Name])</f>
        <v>Red Bank</v>
      </c>
      <c r="AE877" s="6" t="str">
        <f>TEXT(Lessons[[#This Row],[Lesson_Date__c]], "yyyy-mm")</f>
        <v>2027-01</v>
      </c>
      <c r="AF877" s="6" t="str">
        <f>IF(Lessons[[#This Row],[Lesson_Date__c]]&lt;=Data_Audit!$F$1, "Yes", "No")</f>
        <v>No</v>
      </c>
    </row>
    <row r="878" spans="1:32">
      <c r="A878" t="s">
        <v>52</v>
      </c>
      <c r="B878" t="s">
        <v>2997</v>
      </c>
      <c r="C878">
        <v>30</v>
      </c>
      <c r="D878" t="s">
        <v>3187</v>
      </c>
      <c r="E878" t="s">
        <v>76</v>
      </c>
      <c r="F878" t="s">
        <v>77</v>
      </c>
      <c r="H878" t="s">
        <v>78</v>
      </c>
      <c r="I878" t="b">
        <v>0</v>
      </c>
      <c r="K878" t="s">
        <v>52</v>
      </c>
      <c r="L878" t="s">
        <v>2997</v>
      </c>
      <c r="O878" s="1">
        <v>46395</v>
      </c>
      <c r="P878" t="s">
        <v>3188</v>
      </c>
      <c r="Q878" t="s">
        <v>3189</v>
      </c>
      <c r="R878" t="s">
        <v>83</v>
      </c>
      <c r="S878" t="b">
        <v>0</v>
      </c>
      <c r="T878" t="b">
        <v>0</v>
      </c>
      <c r="U878" t="s">
        <v>3190</v>
      </c>
      <c r="V878" t="s">
        <v>128</v>
      </c>
      <c r="W878" t="s">
        <v>95</v>
      </c>
      <c r="X878" t="s">
        <v>2906</v>
      </c>
      <c r="Y878" t="s">
        <v>1034</v>
      </c>
      <c r="Z878" t="s">
        <v>2997</v>
      </c>
      <c r="AA878" t="b">
        <f>ISNUMBER(SEARCH(";"&amp;Lessons[[#This Row],[Instrument__c]]&amp;";",";"&amp;_xlfn.XLOOKUP(Lessons[[#This Row],[Instructor_External_Id__c]], Instructors[Id], Instructors[Instruments_Taught__c])&amp;";"))</f>
        <v>1</v>
      </c>
      <c r="AB878" t="str">
        <f>IF(LEFT(Lessons[[#This Row],[Status__c]],9)="Cancelled","",Lessons[[#This Row],[Instructor_External_Id__c]]&amp;"|"&amp;TEXT(Lessons[[#This Row],[Lesson_Date__c]],"yyyy-mm-dd")&amp;"|"&amp;Lessons[[#This Row],[Start_Time__c]])</f>
        <v>a06ak00000amzBgAAI|2027-01-08|18:30:00.000Z</v>
      </c>
      <c r="AC878">
        <f>IF(Lessons[[#This Row],[Double Booked Key]]="","",COUNTIF(Lessons[Double Booked Key],Lessons[[#This Row],[Double Booked Key]]))</f>
        <v>1</v>
      </c>
      <c r="AD878" s="6" t="str">
        <f>_xlfn.XLOOKUP(Lessons[[#This Row],[Location_External_Id__c]], Locations[Location Id], Locations[Location Name])</f>
        <v>Brick</v>
      </c>
      <c r="AE878" s="6" t="str">
        <f>TEXT(Lessons[[#This Row],[Lesson_Date__c]], "yyyy-mm")</f>
        <v>2027-01</v>
      </c>
      <c r="AF878" s="6" t="str">
        <f>IF(Lessons[[#This Row],[Lesson_Date__c]]&lt;=Data_Audit!$F$1, "Yes", "No")</f>
        <v>No</v>
      </c>
    </row>
    <row r="879" spans="1:32">
      <c r="A879" t="s">
        <v>52</v>
      </c>
      <c r="B879" t="s">
        <v>2997</v>
      </c>
      <c r="C879">
        <v>30</v>
      </c>
      <c r="D879" t="s">
        <v>3191</v>
      </c>
      <c r="E879" t="s">
        <v>777</v>
      </c>
      <c r="F879" t="s">
        <v>778</v>
      </c>
      <c r="H879" t="s">
        <v>527</v>
      </c>
      <c r="I879" t="b">
        <v>0</v>
      </c>
      <c r="K879" t="s">
        <v>52</v>
      </c>
      <c r="L879" t="s">
        <v>2997</v>
      </c>
      <c r="O879" s="1">
        <v>46395</v>
      </c>
      <c r="P879" t="s">
        <v>3192</v>
      </c>
      <c r="Q879" t="s">
        <v>3193</v>
      </c>
      <c r="R879" t="s">
        <v>83</v>
      </c>
      <c r="S879" t="b">
        <v>0</v>
      </c>
      <c r="T879" t="b">
        <v>0</v>
      </c>
      <c r="U879" t="s">
        <v>3194</v>
      </c>
      <c r="V879" t="s">
        <v>94</v>
      </c>
      <c r="W879" t="s">
        <v>95</v>
      </c>
      <c r="X879" t="s">
        <v>1714</v>
      </c>
      <c r="Y879" t="s">
        <v>1715</v>
      </c>
      <c r="Z879" t="s">
        <v>2997</v>
      </c>
      <c r="AA879" t="b">
        <f>ISNUMBER(SEARCH(";"&amp;Lessons[[#This Row],[Instrument__c]]&amp;";",";"&amp;_xlfn.XLOOKUP(Lessons[[#This Row],[Instructor_External_Id__c]], Instructors[Id], Instructors[Instruments_Taught__c])&amp;";"))</f>
        <v>1</v>
      </c>
      <c r="AB879" t="str">
        <f>IF(LEFT(Lessons[[#This Row],[Status__c]],9)="Cancelled","",Lessons[[#This Row],[Instructor_External_Id__c]]&amp;"|"&amp;TEXT(Lessons[[#This Row],[Lesson_Date__c]],"yyyy-mm-dd")&amp;"|"&amp;Lessons[[#This Row],[Start_Time__c]])</f>
        <v>a06ak00000amzByAAI|2027-01-08|19:00:00.000Z</v>
      </c>
      <c r="AC879">
        <f>IF(Lessons[[#This Row],[Double Booked Key]]="","",COUNTIF(Lessons[Double Booked Key],Lessons[[#This Row],[Double Booked Key]]))</f>
        <v>1</v>
      </c>
      <c r="AD879" s="6" t="str">
        <f>_xlfn.XLOOKUP(Lessons[[#This Row],[Location_External_Id__c]], Locations[Location Id], Locations[Location Name])</f>
        <v>Brick</v>
      </c>
      <c r="AE879" s="6" t="str">
        <f>TEXT(Lessons[[#This Row],[Lesson_Date__c]], "yyyy-mm")</f>
        <v>2027-01</v>
      </c>
      <c r="AF879" s="6" t="str">
        <f>IF(Lessons[[#This Row],[Lesson_Date__c]]&lt;=Data_Audit!$F$1, "Yes", "No")</f>
        <v>No</v>
      </c>
    </row>
    <row r="880" spans="1:32">
      <c r="A880" t="s">
        <v>52</v>
      </c>
      <c r="B880" t="s">
        <v>2997</v>
      </c>
      <c r="C880">
        <v>45</v>
      </c>
      <c r="D880" t="s">
        <v>3195</v>
      </c>
      <c r="E880" t="s">
        <v>318</v>
      </c>
      <c r="F880" t="s">
        <v>319</v>
      </c>
      <c r="H880" t="s">
        <v>237</v>
      </c>
      <c r="I880" t="b">
        <v>0</v>
      </c>
      <c r="K880" t="s">
        <v>52</v>
      </c>
      <c r="L880" t="s">
        <v>2997</v>
      </c>
      <c r="O880" s="1">
        <v>46396</v>
      </c>
      <c r="P880" t="s">
        <v>3196</v>
      </c>
      <c r="Q880" t="s">
        <v>3197</v>
      </c>
      <c r="R880" t="s">
        <v>63</v>
      </c>
      <c r="S880" t="b">
        <v>0</v>
      </c>
      <c r="T880" t="b">
        <v>0</v>
      </c>
      <c r="U880" t="s">
        <v>3198</v>
      </c>
      <c r="V880" t="s">
        <v>64</v>
      </c>
      <c r="W880" t="s">
        <v>95</v>
      </c>
      <c r="X880" t="s">
        <v>905</v>
      </c>
      <c r="Y880" t="s">
        <v>906</v>
      </c>
      <c r="Z880" t="s">
        <v>2997</v>
      </c>
      <c r="AA880" t="b">
        <f>ISNUMBER(SEARCH(";"&amp;Lessons[[#This Row],[Instrument__c]]&amp;";",";"&amp;_xlfn.XLOOKUP(Lessons[[#This Row],[Instructor_External_Id__c]], Instructors[Id], Instructors[Instruments_Taught__c])&amp;";"))</f>
        <v>1</v>
      </c>
      <c r="AB880" t="str">
        <f>IF(LEFT(Lessons[[#This Row],[Status__c]],9)="Cancelled","",Lessons[[#This Row],[Instructor_External_Id__c]]&amp;"|"&amp;TEXT(Lessons[[#This Row],[Lesson_Date__c]],"yyyy-mm-dd")&amp;"|"&amp;Lessons[[#This Row],[Start_Time__c]])</f>
        <v>a06ak00000amzBzAAI|2027-01-09|11:00:00.000Z</v>
      </c>
      <c r="AC880">
        <f>IF(Lessons[[#This Row],[Double Booked Key]]="","",COUNTIF(Lessons[Double Booked Key],Lessons[[#This Row],[Double Booked Key]]))</f>
        <v>1</v>
      </c>
      <c r="AD880" s="6" t="str">
        <f>_xlfn.XLOOKUP(Lessons[[#This Row],[Location_External_Id__c]], Locations[Location Id], Locations[Location Name])</f>
        <v>Red Bank</v>
      </c>
      <c r="AE880" s="6" t="str">
        <f>TEXT(Lessons[[#This Row],[Lesson_Date__c]], "yyyy-mm")</f>
        <v>2027-01</v>
      </c>
      <c r="AF880" s="6" t="str">
        <f>IF(Lessons[[#This Row],[Lesson_Date__c]]&lt;=Data_Audit!$F$1, "Yes", "No")</f>
        <v>No</v>
      </c>
    </row>
    <row r="881" spans="1:32">
      <c r="A881" t="s">
        <v>52</v>
      </c>
      <c r="B881" t="s">
        <v>2997</v>
      </c>
      <c r="C881">
        <v>30</v>
      </c>
      <c r="D881" t="s">
        <v>3199</v>
      </c>
      <c r="E881" t="s">
        <v>548</v>
      </c>
      <c r="F881" t="s">
        <v>549</v>
      </c>
      <c r="H881" t="s">
        <v>203</v>
      </c>
      <c r="I881" t="b">
        <v>0</v>
      </c>
      <c r="K881" t="s">
        <v>52</v>
      </c>
      <c r="L881" t="s">
        <v>2997</v>
      </c>
      <c r="O881" s="1">
        <v>46396</v>
      </c>
      <c r="P881" t="s">
        <v>3200</v>
      </c>
      <c r="Q881" t="s">
        <v>3201</v>
      </c>
      <c r="R881" t="s">
        <v>63</v>
      </c>
      <c r="S881" t="b">
        <v>0</v>
      </c>
      <c r="T881" t="b">
        <v>0</v>
      </c>
      <c r="U881" t="s">
        <v>3202</v>
      </c>
      <c r="V881" t="s">
        <v>3203</v>
      </c>
      <c r="W881" t="s">
        <v>95</v>
      </c>
      <c r="X881" t="s">
        <v>1377</v>
      </c>
      <c r="Y881" t="s">
        <v>1378</v>
      </c>
      <c r="Z881" t="s">
        <v>2997</v>
      </c>
      <c r="AA881" t="b">
        <f>ISNUMBER(SEARCH(";"&amp;Lessons[[#This Row],[Instrument__c]]&amp;";",";"&amp;_xlfn.XLOOKUP(Lessons[[#This Row],[Instructor_External_Id__c]], Instructors[Id], Instructors[Instruments_Taught__c])&amp;";"))</f>
        <v>1</v>
      </c>
      <c r="AB881" t="str">
        <f>IF(LEFT(Lessons[[#This Row],[Status__c]],9)="Cancelled","",Lessons[[#This Row],[Instructor_External_Id__c]]&amp;"|"&amp;TEXT(Lessons[[#This Row],[Lesson_Date__c]],"yyyy-mm-dd")&amp;"|"&amp;Lessons[[#This Row],[Start_Time__c]])</f>
        <v>a06ak00000amzCHAAY|2027-01-09|11:30:00.000Z</v>
      </c>
      <c r="AC881">
        <f>IF(Lessons[[#This Row],[Double Booked Key]]="","",COUNTIF(Lessons[Double Booked Key],Lessons[[#This Row],[Double Booked Key]]))</f>
        <v>1</v>
      </c>
      <c r="AD881" s="6" t="str">
        <f>_xlfn.XLOOKUP(Lessons[[#This Row],[Location_External_Id__c]], Locations[Location Id], Locations[Location Name])</f>
        <v>Red Bank</v>
      </c>
      <c r="AE881" s="6" t="str">
        <f>TEXT(Lessons[[#This Row],[Lesson_Date__c]], "yyyy-mm")</f>
        <v>2027-01</v>
      </c>
      <c r="AF881" s="6" t="str">
        <f>IF(Lessons[[#This Row],[Lesson_Date__c]]&lt;=Data_Audit!$F$1, "Yes", "No")</f>
        <v>No</v>
      </c>
    </row>
    <row r="882" spans="1:32">
      <c r="A882" t="s">
        <v>52</v>
      </c>
      <c r="B882" t="s">
        <v>2997</v>
      </c>
      <c r="C882">
        <v>45</v>
      </c>
      <c r="D882" t="s">
        <v>3204</v>
      </c>
      <c r="E882" t="s">
        <v>573</v>
      </c>
      <c r="F882" t="s">
        <v>574</v>
      </c>
      <c r="H882" t="s">
        <v>461</v>
      </c>
      <c r="I882" t="b">
        <v>0</v>
      </c>
      <c r="K882" t="s">
        <v>52</v>
      </c>
      <c r="L882" t="s">
        <v>2997</v>
      </c>
      <c r="O882" s="1">
        <v>46396</v>
      </c>
      <c r="P882" t="s">
        <v>3205</v>
      </c>
      <c r="Q882" t="s">
        <v>3206</v>
      </c>
      <c r="R882" t="s">
        <v>150</v>
      </c>
      <c r="S882" t="b">
        <v>0</v>
      </c>
      <c r="T882" t="b">
        <v>0</v>
      </c>
      <c r="U882" t="s">
        <v>3207</v>
      </c>
      <c r="V882" t="s">
        <v>3208</v>
      </c>
      <c r="W882" t="s">
        <v>95</v>
      </c>
      <c r="X882" t="s">
        <v>464</v>
      </c>
      <c r="Y882" t="s">
        <v>465</v>
      </c>
      <c r="Z882" t="s">
        <v>2997</v>
      </c>
      <c r="AA882" t="b">
        <f>ISNUMBER(SEARCH(";"&amp;Lessons[[#This Row],[Instrument__c]]&amp;";",";"&amp;_xlfn.XLOOKUP(Lessons[[#This Row],[Instructor_External_Id__c]], Instructors[Id], Instructors[Instruments_Taught__c])&amp;";"))</f>
        <v>1</v>
      </c>
      <c r="AB882" t="str">
        <f>IF(LEFT(Lessons[[#This Row],[Status__c]],9)="Cancelled","",Lessons[[#This Row],[Instructor_External_Id__c]]&amp;"|"&amp;TEXT(Lessons[[#This Row],[Lesson_Date__c]],"yyyy-mm-dd")&amp;"|"&amp;Lessons[[#This Row],[Start_Time__c]])</f>
        <v>a06ak00000amzCCAAY|2027-01-09|12:30:00.000Z</v>
      </c>
      <c r="AC882">
        <f>IF(Lessons[[#This Row],[Double Booked Key]]="","",COUNTIF(Lessons[Double Booked Key],Lessons[[#This Row],[Double Booked Key]]))</f>
        <v>1</v>
      </c>
      <c r="AD882" s="6" t="str">
        <f>_xlfn.XLOOKUP(Lessons[[#This Row],[Location_External_Id__c]], Locations[Location Id], Locations[Location Name])</f>
        <v>Toms River</v>
      </c>
      <c r="AE882" s="6" t="str">
        <f>TEXT(Lessons[[#This Row],[Lesson_Date__c]], "yyyy-mm")</f>
        <v>2027-01</v>
      </c>
      <c r="AF882" s="6" t="str">
        <f>IF(Lessons[[#This Row],[Lesson_Date__c]]&lt;=Data_Audit!$F$1, "Yes", "No")</f>
        <v>No</v>
      </c>
    </row>
    <row r="883" spans="1:32">
      <c r="A883" t="s">
        <v>52</v>
      </c>
      <c r="B883" t="s">
        <v>2997</v>
      </c>
      <c r="C883">
        <v>60</v>
      </c>
      <c r="D883" t="s">
        <v>3209</v>
      </c>
      <c r="E883" t="s">
        <v>318</v>
      </c>
      <c r="F883" t="s">
        <v>319</v>
      </c>
      <c r="H883" t="s">
        <v>237</v>
      </c>
      <c r="I883" t="b">
        <v>0</v>
      </c>
      <c r="K883" t="s">
        <v>52</v>
      </c>
      <c r="L883" t="s">
        <v>2997</v>
      </c>
      <c r="O883" s="1">
        <v>46398</v>
      </c>
      <c r="P883" t="s">
        <v>3210</v>
      </c>
      <c r="Q883" t="s">
        <v>3211</v>
      </c>
      <c r="R883" t="s">
        <v>63</v>
      </c>
      <c r="S883" t="b">
        <v>0</v>
      </c>
      <c r="T883" t="b">
        <v>0</v>
      </c>
      <c r="U883" t="s">
        <v>3212</v>
      </c>
      <c r="V883" t="s">
        <v>135</v>
      </c>
      <c r="W883" t="s">
        <v>95</v>
      </c>
      <c r="X883" t="s">
        <v>1223</v>
      </c>
      <c r="Y883" t="s">
        <v>1224</v>
      </c>
      <c r="Z883" t="s">
        <v>2997</v>
      </c>
      <c r="AA883" t="b">
        <f>ISNUMBER(SEARCH(";"&amp;Lessons[[#This Row],[Instrument__c]]&amp;";",";"&amp;_xlfn.XLOOKUP(Lessons[[#This Row],[Instructor_External_Id__c]], Instructors[Id], Instructors[Instruments_Taught__c])&amp;";"))</f>
        <v>1</v>
      </c>
      <c r="AB883" t="str">
        <f>IF(LEFT(Lessons[[#This Row],[Status__c]],9)="Cancelled","",Lessons[[#This Row],[Instructor_External_Id__c]]&amp;"|"&amp;TEXT(Lessons[[#This Row],[Lesson_Date__c]],"yyyy-mm-dd")&amp;"|"&amp;Lessons[[#This Row],[Start_Time__c]])</f>
        <v>a06ak00000amzBzAAI|2027-01-11|15:30:00.000Z</v>
      </c>
      <c r="AC883">
        <f>IF(Lessons[[#This Row],[Double Booked Key]]="","",COUNTIF(Lessons[Double Booked Key],Lessons[[#This Row],[Double Booked Key]]))</f>
        <v>1</v>
      </c>
      <c r="AD883" s="6" t="str">
        <f>_xlfn.XLOOKUP(Lessons[[#This Row],[Location_External_Id__c]], Locations[Location Id], Locations[Location Name])</f>
        <v>Red Bank</v>
      </c>
      <c r="AE883" s="6" t="str">
        <f>TEXT(Lessons[[#This Row],[Lesson_Date__c]], "yyyy-mm")</f>
        <v>2027-01</v>
      </c>
      <c r="AF883" s="6" t="str">
        <f>IF(Lessons[[#This Row],[Lesson_Date__c]]&lt;=Data_Audit!$F$1, "Yes", "No")</f>
        <v>No</v>
      </c>
    </row>
    <row r="884" spans="1:32">
      <c r="A884" t="s">
        <v>52</v>
      </c>
      <c r="B884" t="s">
        <v>2997</v>
      </c>
      <c r="C884">
        <v>45</v>
      </c>
      <c r="D884" t="s">
        <v>3213</v>
      </c>
      <c r="E884" t="s">
        <v>76</v>
      </c>
      <c r="F884" t="s">
        <v>77</v>
      </c>
      <c r="H884" t="s">
        <v>78</v>
      </c>
      <c r="I884" t="b">
        <v>0</v>
      </c>
      <c r="K884" t="s">
        <v>52</v>
      </c>
      <c r="L884" t="s">
        <v>2997</v>
      </c>
      <c r="O884" s="1">
        <v>46398</v>
      </c>
      <c r="P884" t="s">
        <v>3214</v>
      </c>
      <c r="Q884" t="s">
        <v>3215</v>
      </c>
      <c r="R884" t="s">
        <v>83</v>
      </c>
      <c r="S884" t="b">
        <v>0</v>
      </c>
      <c r="T884" t="b">
        <v>0</v>
      </c>
      <c r="U884" t="s">
        <v>3216</v>
      </c>
      <c r="V884" t="s">
        <v>135</v>
      </c>
      <c r="W884" t="s">
        <v>95</v>
      </c>
      <c r="X884" t="s">
        <v>1922</v>
      </c>
      <c r="Y884" t="s">
        <v>1923</v>
      </c>
      <c r="Z884" t="s">
        <v>2997</v>
      </c>
      <c r="AA884" t="b">
        <f>ISNUMBER(SEARCH(";"&amp;Lessons[[#This Row],[Instrument__c]]&amp;";",";"&amp;_xlfn.XLOOKUP(Lessons[[#This Row],[Instructor_External_Id__c]], Instructors[Id], Instructors[Instruments_Taught__c])&amp;";"))</f>
        <v>1</v>
      </c>
      <c r="AB884" t="str">
        <f>IF(LEFT(Lessons[[#This Row],[Status__c]],9)="Cancelled","",Lessons[[#This Row],[Instructor_External_Id__c]]&amp;"|"&amp;TEXT(Lessons[[#This Row],[Lesson_Date__c]],"yyyy-mm-dd")&amp;"|"&amp;Lessons[[#This Row],[Start_Time__c]])</f>
        <v>a06ak00000amzBgAAI|2027-01-11|15:30:00.000Z</v>
      </c>
      <c r="AC884">
        <f>IF(Lessons[[#This Row],[Double Booked Key]]="","",COUNTIF(Lessons[Double Booked Key],Lessons[[#This Row],[Double Booked Key]]))</f>
        <v>1</v>
      </c>
      <c r="AD884" s="6" t="str">
        <f>_xlfn.XLOOKUP(Lessons[[#This Row],[Location_External_Id__c]], Locations[Location Id], Locations[Location Name])</f>
        <v>Brick</v>
      </c>
      <c r="AE884" s="6" t="str">
        <f>TEXT(Lessons[[#This Row],[Lesson_Date__c]], "yyyy-mm")</f>
        <v>2027-01</v>
      </c>
      <c r="AF884" s="6" t="str">
        <f>IF(Lessons[[#This Row],[Lesson_Date__c]]&lt;=Data_Audit!$F$1, "Yes", "No")</f>
        <v>No</v>
      </c>
    </row>
    <row r="885" spans="1:32">
      <c r="A885" t="s">
        <v>52</v>
      </c>
      <c r="B885" t="s">
        <v>2997</v>
      </c>
      <c r="C885">
        <v>60</v>
      </c>
      <c r="D885" t="s">
        <v>3217</v>
      </c>
      <c r="E885" t="s">
        <v>804</v>
      </c>
      <c r="F885" t="s">
        <v>805</v>
      </c>
      <c r="H885" t="s">
        <v>527</v>
      </c>
      <c r="I885" t="b">
        <v>0</v>
      </c>
      <c r="K885" t="s">
        <v>52</v>
      </c>
      <c r="L885" t="s">
        <v>2997</v>
      </c>
      <c r="O885" s="1">
        <v>46398</v>
      </c>
      <c r="P885" t="s">
        <v>3218</v>
      </c>
      <c r="Q885" t="s">
        <v>3219</v>
      </c>
      <c r="R885" t="s">
        <v>63</v>
      </c>
      <c r="S885" t="b">
        <v>0</v>
      </c>
      <c r="T885" t="b">
        <v>0</v>
      </c>
      <c r="U885" t="s">
        <v>3220</v>
      </c>
      <c r="V885" t="s">
        <v>74</v>
      </c>
      <c r="W885" t="s">
        <v>95</v>
      </c>
      <c r="X885" t="s">
        <v>2305</v>
      </c>
      <c r="Y885" t="s">
        <v>2306</v>
      </c>
      <c r="Z885" t="s">
        <v>2997</v>
      </c>
      <c r="AA885" t="b">
        <f>ISNUMBER(SEARCH(";"&amp;Lessons[[#This Row],[Instrument__c]]&amp;";",";"&amp;_xlfn.XLOOKUP(Lessons[[#This Row],[Instructor_External_Id__c]], Instructors[Id], Instructors[Instruments_Taught__c])&amp;";"))</f>
        <v>1</v>
      </c>
      <c r="AB885" t="str">
        <f>IF(LEFT(Lessons[[#This Row],[Status__c]],9)="Cancelled","",Lessons[[#This Row],[Instructor_External_Id__c]]&amp;"|"&amp;TEXT(Lessons[[#This Row],[Lesson_Date__c]],"yyyy-mm-dd")&amp;"|"&amp;Lessons[[#This Row],[Start_Time__c]])</f>
        <v>a06ak00000amzCBAAY|2027-01-11|16:30:00.000Z</v>
      </c>
      <c r="AC885">
        <f>IF(Lessons[[#This Row],[Double Booked Key]]="","",COUNTIF(Lessons[Double Booked Key],Lessons[[#This Row],[Double Booked Key]]))</f>
        <v>1</v>
      </c>
      <c r="AD885" s="6" t="str">
        <f>_xlfn.XLOOKUP(Lessons[[#This Row],[Location_External_Id__c]], Locations[Location Id], Locations[Location Name])</f>
        <v>Red Bank</v>
      </c>
      <c r="AE885" s="6" t="str">
        <f>TEXT(Lessons[[#This Row],[Lesson_Date__c]], "yyyy-mm")</f>
        <v>2027-01</v>
      </c>
      <c r="AF885" s="6" t="str">
        <f>IF(Lessons[[#This Row],[Lesson_Date__c]]&lt;=Data_Audit!$F$1, "Yes", "No")</f>
        <v>No</v>
      </c>
    </row>
    <row r="886" spans="1:32">
      <c r="A886" t="s">
        <v>52</v>
      </c>
      <c r="B886" t="s">
        <v>2997</v>
      </c>
      <c r="C886">
        <v>30</v>
      </c>
      <c r="D886" t="s">
        <v>3221</v>
      </c>
      <c r="E886" t="s">
        <v>243</v>
      </c>
      <c r="F886" t="s">
        <v>244</v>
      </c>
      <c r="H886" t="s">
        <v>650</v>
      </c>
      <c r="I886" t="b">
        <v>0</v>
      </c>
      <c r="K886" t="s">
        <v>52</v>
      </c>
      <c r="L886" t="s">
        <v>2997</v>
      </c>
      <c r="O886" s="1">
        <v>46398</v>
      </c>
      <c r="P886" t="s">
        <v>3222</v>
      </c>
      <c r="Q886" t="s">
        <v>3223</v>
      </c>
      <c r="R886" t="s">
        <v>83</v>
      </c>
      <c r="S886" t="b">
        <v>0</v>
      </c>
      <c r="T886" t="b">
        <v>0</v>
      </c>
      <c r="U886" t="s">
        <v>3224</v>
      </c>
      <c r="V886" t="s">
        <v>74</v>
      </c>
      <c r="W886" t="s">
        <v>95</v>
      </c>
      <c r="X886" t="s">
        <v>2521</v>
      </c>
      <c r="Y886" t="s">
        <v>2522</v>
      </c>
      <c r="Z886" t="s">
        <v>2997</v>
      </c>
      <c r="AA886" t="b">
        <f>ISNUMBER(SEARCH(";"&amp;Lessons[[#This Row],[Instrument__c]]&amp;";",";"&amp;_xlfn.XLOOKUP(Lessons[[#This Row],[Instructor_External_Id__c]], Instructors[Id], Instructors[Instruments_Taught__c])&amp;";"))</f>
        <v>1</v>
      </c>
      <c r="AB886" t="str">
        <f>IF(LEFT(Lessons[[#This Row],[Status__c]],9)="Cancelled","",Lessons[[#This Row],[Instructor_External_Id__c]]&amp;"|"&amp;TEXT(Lessons[[#This Row],[Lesson_Date__c]],"yyyy-mm-dd")&amp;"|"&amp;Lessons[[#This Row],[Start_Time__c]])</f>
        <v>a06ak00000amzC1AAI|2027-01-11|16:30:00.000Z</v>
      </c>
      <c r="AC886">
        <f>IF(Lessons[[#This Row],[Double Booked Key]]="","",COUNTIF(Lessons[Double Booked Key],Lessons[[#This Row],[Double Booked Key]]))</f>
        <v>1</v>
      </c>
      <c r="AD886" s="6" t="str">
        <f>_xlfn.XLOOKUP(Lessons[[#This Row],[Location_External_Id__c]], Locations[Location Id], Locations[Location Name])</f>
        <v>Brick</v>
      </c>
      <c r="AE886" s="6" t="str">
        <f>TEXT(Lessons[[#This Row],[Lesson_Date__c]], "yyyy-mm")</f>
        <v>2027-01</v>
      </c>
      <c r="AF886" s="6" t="str">
        <f>IF(Lessons[[#This Row],[Lesson_Date__c]]&lt;=Data_Audit!$F$1, "Yes", "No")</f>
        <v>No</v>
      </c>
    </row>
    <row r="887" spans="1:32">
      <c r="A887" t="s">
        <v>52</v>
      </c>
      <c r="B887" t="s">
        <v>2997</v>
      </c>
      <c r="C887">
        <v>45</v>
      </c>
      <c r="D887" t="s">
        <v>3225</v>
      </c>
      <c r="E887" t="s">
        <v>359</v>
      </c>
      <c r="F887" t="s">
        <v>360</v>
      </c>
      <c r="H887" t="s">
        <v>78</v>
      </c>
      <c r="I887" t="b">
        <v>0</v>
      </c>
      <c r="K887" t="s">
        <v>52</v>
      </c>
      <c r="L887" t="s">
        <v>2997</v>
      </c>
      <c r="O887" s="1">
        <v>46398</v>
      </c>
      <c r="P887" t="s">
        <v>3226</v>
      </c>
      <c r="Q887" t="s">
        <v>3227</v>
      </c>
      <c r="R887" t="s">
        <v>63</v>
      </c>
      <c r="S887" t="b">
        <v>0</v>
      </c>
      <c r="T887" t="b">
        <v>0</v>
      </c>
      <c r="U887" t="s">
        <v>3228</v>
      </c>
      <c r="V887" t="s">
        <v>116</v>
      </c>
      <c r="W887" t="s">
        <v>95</v>
      </c>
      <c r="X887" t="s">
        <v>1055</v>
      </c>
      <c r="Y887" t="s">
        <v>1056</v>
      </c>
      <c r="Z887" t="s">
        <v>2997</v>
      </c>
      <c r="AA887" t="b">
        <f>ISNUMBER(SEARCH(";"&amp;Lessons[[#This Row],[Instrument__c]]&amp;";",";"&amp;_xlfn.XLOOKUP(Lessons[[#This Row],[Instructor_External_Id__c]], Instructors[Id], Instructors[Instruments_Taught__c])&amp;";"))</f>
        <v>1</v>
      </c>
      <c r="AB887" t="str">
        <f>IF(LEFT(Lessons[[#This Row],[Status__c]],9)="Cancelled","",Lessons[[#This Row],[Instructor_External_Id__c]]&amp;"|"&amp;TEXT(Lessons[[#This Row],[Lesson_Date__c]],"yyyy-mm-dd")&amp;"|"&amp;Lessons[[#This Row],[Start_Time__c]])</f>
        <v>a06ak00000amzBiAAI|2027-01-11|17:30:00.000Z</v>
      </c>
      <c r="AC887">
        <f>IF(Lessons[[#This Row],[Double Booked Key]]="","",COUNTIF(Lessons[Double Booked Key],Lessons[[#This Row],[Double Booked Key]]))</f>
        <v>1</v>
      </c>
      <c r="AD887" s="6" t="str">
        <f>_xlfn.XLOOKUP(Lessons[[#This Row],[Location_External_Id__c]], Locations[Location Id], Locations[Location Name])</f>
        <v>Red Bank</v>
      </c>
      <c r="AE887" s="6" t="str">
        <f>TEXT(Lessons[[#This Row],[Lesson_Date__c]], "yyyy-mm")</f>
        <v>2027-01</v>
      </c>
      <c r="AF887" s="6" t="str">
        <f>IF(Lessons[[#This Row],[Lesson_Date__c]]&lt;=Data_Audit!$F$1, "Yes", "No")</f>
        <v>No</v>
      </c>
    </row>
    <row r="888" spans="1:32">
      <c r="A888" t="s">
        <v>52</v>
      </c>
      <c r="B888" t="s">
        <v>2997</v>
      </c>
      <c r="C888">
        <v>30</v>
      </c>
      <c r="D888" t="s">
        <v>3229</v>
      </c>
      <c r="E888" t="s">
        <v>318</v>
      </c>
      <c r="F888" t="s">
        <v>319</v>
      </c>
      <c r="H888" t="s">
        <v>58</v>
      </c>
      <c r="I888" t="b">
        <v>0</v>
      </c>
      <c r="K888" t="s">
        <v>52</v>
      </c>
      <c r="L888" t="s">
        <v>2997</v>
      </c>
      <c r="O888" s="1">
        <v>46398</v>
      </c>
      <c r="P888" t="s">
        <v>3230</v>
      </c>
      <c r="Q888" t="s">
        <v>3231</v>
      </c>
      <c r="R888" t="s">
        <v>63</v>
      </c>
      <c r="S888" t="b">
        <v>0</v>
      </c>
      <c r="T888" t="b">
        <v>0</v>
      </c>
      <c r="U888" t="s">
        <v>3232</v>
      </c>
      <c r="V888" t="s">
        <v>116</v>
      </c>
      <c r="W888" t="s">
        <v>95</v>
      </c>
      <c r="X888" t="s">
        <v>1442</v>
      </c>
      <c r="Y888" t="s">
        <v>1443</v>
      </c>
      <c r="Z888" t="s">
        <v>2997</v>
      </c>
      <c r="AA888" t="b">
        <f>ISNUMBER(SEARCH(";"&amp;Lessons[[#This Row],[Instrument__c]]&amp;";",";"&amp;_xlfn.XLOOKUP(Lessons[[#This Row],[Instructor_External_Id__c]], Instructors[Id], Instructors[Instruments_Taught__c])&amp;";"))</f>
        <v>1</v>
      </c>
      <c r="AB888" t="str">
        <f>IF(LEFT(Lessons[[#This Row],[Status__c]],9)="Cancelled","",Lessons[[#This Row],[Instructor_External_Id__c]]&amp;"|"&amp;TEXT(Lessons[[#This Row],[Lesson_Date__c]],"yyyy-mm-dd")&amp;"|"&amp;Lessons[[#This Row],[Start_Time__c]])</f>
        <v>a06ak00000amzBzAAI|2027-01-11|17:30:00.000Z</v>
      </c>
      <c r="AC888">
        <f>IF(Lessons[[#This Row],[Double Booked Key]]="","",COUNTIF(Lessons[Double Booked Key],Lessons[[#This Row],[Double Booked Key]]))</f>
        <v>1</v>
      </c>
      <c r="AD888" s="6" t="str">
        <f>_xlfn.XLOOKUP(Lessons[[#This Row],[Location_External_Id__c]], Locations[Location Id], Locations[Location Name])</f>
        <v>Red Bank</v>
      </c>
      <c r="AE888" s="6" t="str">
        <f>TEXT(Lessons[[#This Row],[Lesson_Date__c]], "yyyy-mm")</f>
        <v>2027-01</v>
      </c>
      <c r="AF888" s="6" t="str">
        <f>IF(Lessons[[#This Row],[Lesson_Date__c]]&lt;=Data_Audit!$F$1, "Yes", "No")</f>
        <v>No</v>
      </c>
    </row>
    <row r="889" spans="1:32">
      <c r="A889" t="s">
        <v>52</v>
      </c>
      <c r="B889" t="s">
        <v>2997</v>
      </c>
      <c r="C889">
        <v>45</v>
      </c>
      <c r="D889" t="s">
        <v>3233</v>
      </c>
      <c r="E889" t="s">
        <v>337</v>
      </c>
      <c r="F889" t="s">
        <v>338</v>
      </c>
      <c r="H889" t="s">
        <v>284</v>
      </c>
      <c r="I889" t="b">
        <v>0</v>
      </c>
      <c r="K889" t="s">
        <v>52</v>
      </c>
      <c r="L889" t="s">
        <v>2997</v>
      </c>
      <c r="O889" s="1">
        <v>46398</v>
      </c>
      <c r="P889" t="s">
        <v>3234</v>
      </c>
      <c r="Q889" t="s">
        <v>3235</v>
      </c>
      <c r="R889" t="s">
        <v>150</v>
      </c>
      <c r="S889" t="b">
        <v>0</v>
      </c>
      <c r="T889" t="b">
        <v>0</v>
      </c>
      <c r="U889" t="s">
        <v>3236</v>
      </c>
      <c r="V889" t="s">
        <v>94</v>
      </c>
      <c r="W889" t="s">
        <v>95</v>
      </c>
      <c r="X889" t="s">
        <v>341</v>
      </c>
      <c r="Y889" t="s">
        <v>342</v>
      </c>
      <c r="Z889" t="s">
        <v>2997</v>
      </c>
      <c r="AA889" t="b">
        <f>ISNUMBER(SEARCH(";"&amp;Lessons[[#This Row],[Instrument__c]]&amp;";",";"&amp;_xlfn.XLOOKUP(Lessons[[#This Row],[Instructor_External_Id__c]], Instructors[Id], Instructors[Instruments_Taught__c])&amp;";"))</f>
        <v>1</v>
      </c>
      <c r="AB889" t="str">
        <f>IF(LEFT(Lessons[[#This Row],[Status__c]],9)="Cancelled","",Lessons[[#This Row],[Instructor_External_Id__c]]&amp;"|"&amp;TEXT(Lessons[[#This Row],[Lesson_Date__c]],"yyyy-mm-dd")&amp;"|"&amp;Lessons[[#This Row],[Start_Time__c]])</f>
        <v>a06ak00000amzCIAAY|2027-01-11|19:00:00.000Z</v>
      </c>
      <c r="AC889">
        <f>IF(Lessons[[#This Row],[Double Booked Key]]="","",COUNTIF(Lessons[Double Booked Key],Lessons[[#This Row],[Double Booked Key]]))</f>
        <v>1</v>
      </c>
      <c r="AD889" s="6" t="str">
        <f>_xlfn.XLOOKUP(Lessons[[#This Row],[Location_External_Id__c]], Locations[Location Id], Locations[Location Name])</f>
        <v>Toms River</v>
      </c>
      <c r="AE889" s="6" t="str">
        <f>TEXT(Lessons[[#This Row],[Lesson_Date__c]], "yyyy-mm")</f>
        <v>2027-01</v>
      </c>
      <c r="AF889" s="6" t="str">
        <f>IF(Lessons[[#This Row],[Lesson_Date__c]]&lt;=Data_Audit!$F$1, "Yes", "No")</f>
        <v>No</v>
      </c>
    </row>
    <row r="890" spans="1:32">
      <c r="A890" t="s">
        <v>52</v>
      </c>
      <c r="B890" t="s">
        <v>2997</v>
      </c>
      <c r="C890">
        <v>45</v>
      </c>
      <c r="D890" t="s">
        <v>3237</v>
      </c>
      <c r="E890" t="s">
        <v>318</v>
      </c>
      <c r="F890" t="s">
        <v>319</v>
      </c>
      <c r="H890" t="s">
        <v>58</v>
      </c>
      <c r="I890" t="b">
        <v>0</v>
      </c>
      <c r="K890" t="s">
        <v>52</v>
      </c>
      <c r="L890" t="s">
        <v>2997</v>
      </c>
      <c r="O890" s="1">
        <v>46399</v>
      </c>
      <c r="P890" t="s">
        <v>3238</v>
      </c>
      <c r="Q890" t="s">
        <v>3239</v>
      </c>
      <c r="R890" t="s">
        <v>63</v>
      </c>
      <c r="S890" t="b">
        <v>0</v>
      </c>
      <c r="T890" t="b">
        <v>0</v>
      </c>
      <c r="U890" t="s">
        <v>3240</v>
      </c>
      <c r="V890" t="s">
        <v>128</v>
      </c>
      <c r="W890" t="s">
        <v>95</v>
      </c>
      <c r="X890" t="s">
        <v>306</v>
      </c>
      <c r="Y890" t="s">
        <v>307</v>
      </c>
      <c r="Z890" t="s">
        <v>2997</v>
      </c>
      <c r="AA890" t="b">
        <f>ISNUMBER(SEARCH(";"&amp;Lessons[[#This Row],[Instrument__c]]&amp;";",";"&amp;_xlfn.XLOOKUP(Lessons[[#This Row],[Instructor_External_Id__c]], Instructors[Id], Instructors[Instruments_Taught__c])&amp;";"))</f>
        <v>1</v>
      </c>
      <c r="AB890" t="str">
        <f>IF(LEFT(Lessons[[#This Row],[Status__c]],9)="Cancelled","",Lessons[[#This Row],[Instructor_External_Id__c]]&amp;"|"&amp;TEXT(Lessons[[#This Row],[Lesson_Date__c]],"yyyy-mm-dd")&amp;"|"&amp;Lessons[[#This Row],[Start_Time__c]])</f>
        <v>a06ak00000amzBzAAI|2027-01-12|18:30:00.000Z</v>
      </c>
      <c r="AC890">
        <f>IF(Lessons[[#This Row],[Double Booked Key]]="","",COUNTIF(Lessons[Double Booked Key],Lessons[[#This Row],[Double Booked Key]]))</f>
        <v>1</v>
      </c>
      <c r="AD890" s="6" t="str">
        <f>_xlfn.XLOOKUP(Lessons[[#This Row],[Location_External_Id__c]], Locations[Location Id], Locations[Location Name])</f>
        <v>Red Bank</v>
      </c>
      <c r="AE890" s="6" t="str">
        <f>TEXT(Lessons[[#This Row],[Lesson_Date__c]], "yyyy-mm")</f>
        <v>2027-01</v>
      </c>
      <c r="AF890" s="6" t="str">
        <f>IF(Lessons[[#This Row],[Lesson_Date__c]]&lt;=Data_Audit!$F$1, "Yes", "No")</f>
        <v>No</v>
      </c>
    </row>
    <row r="891" spans="1:32">
      <c r="A891" t="s">
        <v>52</v>
      </c>
      <c r="B891" t="s">
        <v>2997</v>
      </c>
      <c r="C891">
        <v>45</v>
      </c>
      <c r="D891" t="s">
        <v>3241</v>
      </c>
      <c r="E891" t="s">
        <v>548</v>
      </c>
      <c r="F891" t="s">
        <v>549</v>
      </c>
      <c r="H891" t="s">
        <v>203</v>
      </c>
      <c r="I891" t="b">
        <v>0</v>
      </c>
      <c r="K891" t="s">
        <v>52</v>
      </c>
      <c r="L891" t="s">
        <v>2997</v>
      </c>
      <c r="O891" s="1">
        <v>46399</v>
      </c>
      <c r="P891" t="s">
        <v>3242</v>
      </c>
      <c r="Q891" t="s">
        <v>3243</v>
      </c>
      <c r="R891" t="s">
        <v>83</v>
      </c>
      <c r="S891" t="b">
        <v>0</v>
      </c>
      <c r="T891" t="b">
        <v>0</v>
      </c>
      <c r="U891" t="s">
        <v>3244</v>
      </c>
      <c r="V891" t="s">
        <v>128</v>
      </c>
      <c r="W891" t="s">
        <v>95</v>
      </c>
      <c r="X891" t="s">
        <v>552</v>
      </c>
      <c r="Y891" t="s">
        <v>553</v>
      </c>
      <c r="Z891" t="s">
        <v>2997</v>
      </c>
      <c r="AA891" t="b">
        <f>ISNUMBER(SEARCH(";"&amp;Lessons[[#This Row],[Instrument__c]]&amp;";",";"&amp;_xlfn.XLOOKUP(Lessons[[#This Row],[Instructor_External_Id__c]], Instructors[Id], Instructors[Instruments_Taught__c])&amp;";"))</f>
        <v>1</v>
      </c>
      <c r="AB891" t="str">
        <f>IF(LEFT(Lessons[[#This Row],[Status__c]],9)="Cancelled","",Lessons[[#This Row],[Instructor_External_Id__c]]&amp;"|"&amp;TEXT(Lessons[[#This Row],[Lesson_Date__c]],"yyyy-mm-dd")&amp;"|"&amp;Lessons[[#This Row],[Start_Time__c]])</f>
        <v>a06ak00000amzCHAAY|2027-01-12|18:30:00.000Z</v>
      </c>
      <c r="AC891">
        <f>IF(Lessons[[#This Row],[Double Booked Key]]="","",COUNTIF(Lessons[Double Booked Key],Lessons[[#This Row],[Double Booked Key]]))</f>
        <v>1</v>
      </c>
      <c r="AD891" s="6" t="str">
        <f>_xlfn.XLOOKUP(Lessons[[#This Row],[Location_External_Id__c]], Locations[Location Id], Locations[Location Name])</f>
        <v>Brick</v>
      </c>
      <c r="AE891" s="6" t="str">
        <f>TEXT(Lessons[[#This Row],[Lesson_Date__c]], "yyyy-mm")</f>
        <v>2027-01</v>
      </c>
      <c r="AF891" s="6" t="str">
        <f>IF(Lessons[[#This Row],[Lesson_Date__c]]&lt;=Data_Audit!$F$1, "Yes", "No")</f>
        <v>No</v>
      </c>
    </row>
    <row r="892" spans="1:32">
      <c r="A892" t="s">
        <v>52</v>
      </c>
      <c r="B892" t="s">
        <v>2997</v>
      </c>
      <c r="C892">
        <v>30</v>
      </c>
      <c r="D892" t="s">
        <v>3245</v>
      </c>
      <c r="E892" t="s">
        <v>777</v>
      </c>
      <c r="F892" t="s">
        <v>778</v>
      </c>
      <c r="H892" t="s">
        <v>392</v>
      </c>
      <c r="I892" t="b">
        <v>0</v>
      </c>
      <c r="K892" t="s">
        <v>52</v>
      </c>
      <c r="L892" t="s">
        <v>2997</v>
      </c>
      <c r="O892" s="1">
        <v>46400</v>
      </c>
      <c r="P892" t="s">
        <v>3246</v>
      </c>
      <c r="Q892" t="s">
        <v>3247</v>
      </c>
      <c r="R892" t="s">
        <v>83</v>
      </c>
      <c r="S892" t="b">
        <v>0</v>
      </c>
      <c r="T892" t="b">
        <v>0</v>
      </c>
      <c r="U892" t="s">
        <v>3248</v>
      </c>
      <c r="V892" t="s">
        <v>140</v>
      </c>
      <c r="W892" t="s">
        <v>95</v>
      </c>
      <c r="X892" t="s">
        <v>1750</v>
      </c>
      <c r="Y892" t="s">
        <v>1751</v>
      </c>
      <c r="Z892" t="s">
        <v>2997</v>
      </c>
      <c r="AA892" t="b">
        <f>ISNUMBER(SEARCH(";"&amp;Lessons[[#This Row],[Instrument__c]]&amp;";",";"&amp;_xlfn.XLOOKUP(Lessons[[#This Row],[Instructor_External_Id__c]], Instructors[Id], Instructors[Instruments_Taught__c])&amp;";"))</f>
        <v>1</v>
      </c>
      <c r="AB892" t="str">
        <f>IF(LEFT(Lessons[[#This Row],[Status__c]],9)="Cancelled","",Lessons[[#This Row],[Instructor_External_Id__c]]&amp;"|"&amp;TEXT(Lessons[[#This Row],[Lesson_Date__c]],"yyyy-mm-dd")&amp;"|"&amp;Lessons[[#This Row],[Start_Time__c]])</f>
        <v>a06ak00000amzByAAI|2027-01-13|15:00:00.000Z</v>
      </c>
      <c r="AC892">
        <f>IF(Lessons[[#This Row],[Double Booked Key]]="","",COUNTIF(Lessons[Double Booked Key],Lessons[[#This Row],[Double Booked Key]]))</f>
        <v>1</v>
      </c>
      <c r="AD892" s="6" t="str">
        <f>_xlfn.XLOOKUP(Lessons[[#This Row],[Location_External_Id__c]], Locations[Location Id], Locations[Location Name])</f>
        <v>Brick</v>
      </c>
      <c r="AE892" s="6" t="str">
        <f>TEXT(Lessons[[#This Row],[Lesson_Date__c]], "yyyy-mm")</f>
        <v>2027-01</v>
      </c>
      <c r="AF892" s="6" t="str">
        <f>IF(Lessons[[#This Row],[Lesson_Date__c]]&lt;=Data_Audit!$F$1, "Yes", "No")</f>
        <v>No</v>
      </c>
    </row>
    <row r="893" spans="1:32">
      <c r="A893" t="s">
        <v>52</v>
      </c>
      <c r="B893" t="s">
        <v>2997</v>
      </c>
      <c r="C893">
        <v>30</v>
      </c>
      <c r="D893" t="s">
        <v>3249</v>
      </c>
      <c r="E893" t="s">
        <v>436</v>
      </c>
      <c r="F893" t="s">
        <v>437</v>
      </c>
      <c r="H893" t="s">
        <v>461</v>
      </c>
      <c r="I893" t="b">
        <v>0</v>
      </c>
      <c r="K893" t="s">
        <v>52</v>
      </c>
      <c r="L893" t="s">
        <v>2997</v>
      </c>
      <c r="O893" s="1">
        <v>46401</v>
      </c>
      <c r="P893" t="s">
        <v>3250</v>
      </c>
      <c r="Q893" t="s">
        <v>3251</v>
      </c>
      <c r="R893" t="s">
        <v>63</v>
      </c>
      <c r="S893" t="b">
        <v>0</v>
      </c>
      <c r="T893" t="b">
        <v>0</v>
      </c>
      <c r="U893" t="s">
        <v>3252</v>
      </c>
      <c r="V893" t="s">
        <v>140</v>
      </c>
      <c r="W893" t="s">
        <v>95</v>
      </c>
      <c r="X893" t="s">
        <v>585</v>
      </c>
      <c r="Y893" t="s">
        <v>586</v>
      </c>
      <c r="Z893" t="s">
        <v>2997</v>
      </c>
      <c r="AA893" t="b">
        <f>ISNUMBER(SEARCH(";"&amp;Lessons[[#This Row],[Instrument__c]]&amp;";",";"&amp;_xlfn.XLOOKUP(Lessons[[#This Row],[Instructor_External_Id__c]], Instructors[Id], Instructors[Instruments_Taught__c])&amp;";"))</f>
        <v>1</v>
      </c>
      <c r="AB893" t="str">
        <f>IF(LEFT(Lessons[[#This Row],[Status__c]],9)="Cancelled","",Lessons[[#This Row],[Instructor_External_Id__c]]&amp;"|"&amp;TEXT(Lessons[[#This Row],[Lesson_Date__c]],"yyyy-mm-dd")&amp;"|"&amp;Lessons[[#This Row],[Start_Time__c]])</f>
        <v>a06ak00000amzC0AAI|2027-01-14|15:00:00.000Z</v>
      </c>
      <c r="AC893">
        <f>IF(Lessons[[#This Row],[Double Booked Key]]="","",COUNTIF(Lessons[Double Booked Key],Lessons[[#This Row],[Double Booked Key]]))</f>
        <v>1</v>
      </c>
      <c r="AD893" s="6" t="str">
        <f>_xlfn.XLOOKUP(Lessons[[#This Row],[Location_External_Id__c]], Locations[Location Id], Locations[Location Name])</f>
        <v>Red Bank</v>
      </c>
      <c r="AE893" s="6" t="str">
        <f>TEXT(Lessons[[#This Row],[Lesson_Date__c]], "yyyy-mm")</f>
        <v>2027-01</v>
      </c>
      <c r="AF893" s="6" t="str">
        <f>IF(Lessons[[#This Row],[Lesson_Date__c]]&lt;=Data_Audit!$F$1, "Yes", "No")</f>
        <v>No</v>
      </c>
    </row>
    <row r="894" spans="1:32">
      <c r="A894" t="s">
        <v>52</v>
      </c>
      <c r="B894" t="s">
        <v>2997</v>
      </c>
      <c r="C894">
        <v>30</v>
      </c>
      <c r="D894" t="s">
        <v>3253</v>
      </c>
      <c r="E894" t="s">
        <v>359</v>
      </c>
      <c r="F894" t="s">
        <v>360</v>
      </c>
      <c r="H894" t="s">
        <v>284</v>
      </c>
      <c r="I894" t="b">
        <v>0</v>
      </c>
      <c r="K894" t="s">
        <v>52</v>
      </c>
      <c r="L894" t="s">
        <v>2997</v>
      </c>
      <c r="O894" s="1">
        <v>46401</v>
      </c>
      <c r="P894" t="s">
        <v>3254</v>
      </c>
      <c r="Q894" t="s">
        <v>3255</v>
      </c>
      <c r="R894" t="s">
        <v>63</v>
      </c>
      <c r="S894" t="b">
        <v>0</v>
      </c>
      <c r="T894" t="b">
        <v>0</v>
      </c>
      <c r="U894" t="s">
        <v>3256</v>
      </c>
      <c r="V894" t="s">
        <v>135</v>
      </c>
      <c r="W894" t="s">
        <v>95</v>
      </c>
      <c r="X894" t="s">
        <v>866</v>
      </c>
      <c r="Y894" t="s">
        <v>867</v>
      </c>
      <c r="Z894" t="s">
        <v>2997</v>
      </c>
      <c r="AA894" t="b">
        <f>ISNUMBER(SEARCH(";"&amp;Lessons[[#This Row],[Instrument__c]]&amp;";",";"&amp;_xlfn.XLOOKUP(Lessons[[#This Row],[Instructor_External_Id__c]], Instructors[Id], Instructors[Instruments_Taught__c])&amp;";"))</f>
        <v>1</v>
      </c>
      <c r="AB894" t="str">
        <f>IF(LEFT(Lessons[[#This Row],[Status__c]],9)="Cancelled","",Lessons[[#This Row],[Instructor_External_Id__c]]&amp;"|"&amp;TEXT(Lessons[[#This Row],[Lesson_Date__c]],"yyyy-mm-dd")&amp;"|"&amp;Lessons[[#This Row],[Start_Time__c]])</f>
        <v>a06ak00000amzBiAAI|2027-01-14|15:30:00.000Z</v>
      </c>
      <c r="AC894">
        <f>IF(Lessons[[#This Row],[Double Booked Key]]="","",COUNTIF(Lessons[Double Booked Key],Lessons[[#This Row],[Double Booked Key]]))</f>
        <v>1</v>
      </c>
      <c r="AD894" s="6" t="str">
        <f>_xlfn.XLOOKUP(Lessons[[#This Row],[Location_External_Id__c]], Locations[Location Id], Locations[Location Name])</f>
        <v>Red Bank</v>
      </c>
      <c r="AE894" s="6" t="str">
        <f>TEXT(Lessons[[#This Row],[Lesson_Date__c]], "yyyy-mm")</f>
        <v>2027-01</v>
      </c>
      <c r="AF894" s="6" t="str">
        <f>IF(Lessons[[#This Row],[Lesson_Date__c]]&lt;=Data_Audit!$F$1, "Yes", "No")</f>
        <v>No</v>
      </c>
    </row>
    <row r="895" spans="1:32">
      <c r="A895" t="s">
        <v>52</v>
      </c>
      <c r="B895" t="s">
        <v>2997</v>
      </c>
      <c r="C895">
        <v>30</v>
      </c>
      <c r="D895" t="s">
        <v>3257</v>
      </c>
      <c r="E895" t="s">
        <v>436</v>
      </c>
      <c r="F895" t="s">
        <v>437</v>
      </c>
      <c r="H895" t="s">
        <v>461</v>
      </c>
      <c r="I895" t="b">
        <v>0</v>
      </c>
      <c r="K895" t="s">
        <v>52</v>
      </c>
      <c r="L895" t="s">
        <v>2997</v>
      </c>
      <c r="O895" s="1">
        <v>46401</v>
      </c>
      <c r="P895" t="s">
        <v>3258</v>
      </c>
      <c r="Q895" t="s">
        <v>3259</v>
      </c>
      <c r="R895" t="s">
        <v>63</v>
      </c>
      <c r="S895" t="b">
        <v>0</v>
      </c>
      <c r="T895" t="b">
        <v>0</v>
      </c>
      <c r="U895" t="s">
        <v>3260</v>
      </c>
      <c r="V895" t="s">
        <v>102</v>
      </c>
      <c r="W895" t="s">
        <v>95</v>
      </c>
      <c r="X895" t="s">
        <v>1532</v>
      </c>
      <c r="Y895" t="s">
        <v>1533</v>
      </c>
      <c r="Z895" t="s">
        <v>2997</v>
      </c>
      <c r="AA895" t="b">
        <f>ISNUMBER(SEARCH(";"&amp;Lessons[[#This Row],[Instrument__c]]&amp;";",";"&amp;_xlfn.XLOOKUP(Lessons[[#This Row],[Instructor_External_Id__c]], Instructors[Id], Instructors[Instruments_Taught__c])&amp;";"))</f>
        <v>1</v>
      </c>
      <c r="AB895" t="str">
        <f>IF(LEFT(Lessons[[#This Row],[Status__c]],9)="Cancelled","",Lessons[[#This Row],[Instructor_External_Id__c]]&amp;"|"&amp;TEXT(Lessons[[#This Row],[Lesson_Date__c]],"yyyy-mm-dd")&amp;"|"&amp;Lessons[[#This Row],[Start_Time__c]])</f>
        <v>a06ak00000amzC0AAI|2027-01-14|16:00:00.000Z</v>
      </c>
      <c r="AC895">
        <f>IF(Lessons[[#This Row],[Double Booked Key]]="","",COUNTIF(Lessons[Double Booked Key],Lessons[[#This Row],[Double Booked Key]]))</f>
        <v>1</v>
      </c>
      <c r="AD895" s="6" t="str">
        <f>_xlfn.XLOOKUP(Lessons[[#This Row],[Location_External_Id__c]], Locations[Location Id], Locations[Location Name])</f>
        <v>Red Bank</v>
      </c>
      <c r="AE895" s="6" t="str">
        <f>TEXT(Lessons[[#This Row],[Lesson_Date__c]], "yyyy-mm")</f>
        <v>2027-01</v>
      </c>
      <c r="AF895" s="6" t="str">
        <f>IF(Lessons[[#This Row],[Lesson_Date__c]]&lt;=Data_Audit!$F$1, "Yes", "No")</f>
        <v>No</v>
      </c>
    </row>
    <row r="896" spans="1:32">
      <c r="A896" t="s">
        <v>52</v>
      </c>
      <c r="B896" t="s">
        <v>2997</v>
      </c>
      <c r="C896">
        <v>30</v>
      </c>
      <c r="D896" t="s">
        <v>3261</v>
      </c>
      <c r="E896" t="s">
        <v>76</v>
      </c>
      <c r="F896" t="s">
        <v>77</v>
      </c>
      <c r="H896" t="s">
        <v>392</v>
      </c>
      <c r="I896" t="b">
        <v>0</v>
      </c>
      <c r="K896" t="s">
        <v>52</v>
      </c>
      <c r="L896" t="s">
        <v>2997</v>
      </c>
      <c r="O896" s="1">
        <v>46401</v>
      </c>
      <c r="P896" t="s">
        <v>3262</v>
      </c>
      <c r="Q896" t="s">
        <v>3263</v>
      </c>
      <c r="R896" t="s">
        <v>83</v>
      </c>
      <c r="S896" t="b">
        <v>0</v>
      </c>
      <c r="T896" t="b">
        <v>0</v>
      </c>
      <c r="U896" t="s">
        <v>3264</v>
      </c>
      <c r="V896" t="s">
        <v>102</v>
      </c>
      <c r="W896" t="s">
        <v>95</v>
      </c>
      <c r="X896" t="s">
        <v>2765</v>
      </c>
      <c r="Y896" t="s">
        <v>2766</v>
      </c>
      <c r="Z896" t="s">
        <v>2997</v>
      </c>
      <c r="AA896" t="b">
        <f>ISNUMBER(SEARCH(";"&amp;Lessons[[#This Row],[Instrument__c]]&amp;";",";"&amp;_xlfn.XLOOKUP(Lessons[[#This Row],[Instructor_External_Id__c]], Instructors[Id], Instructors[Instruments_Taught__c])&amp;";"))</f>
        <v>1</v>
      </c>
      <c r="AB896" t="str">
        <f>IF(LEFT(Lessons[[#This Row],[Status__c]],9)="Cancelled","",Lessons[[#This Row],[Instructor_External_Id__c]]&amp;"|"&amp;TEXT(Lessons[[#This Row],[Lesson_Date__c]],"yyyy-mm-dd")&amp;"|"&amp;Lessons[[#This Row],[Start_Time__c]])</f>
        <v>a06ak00000amzBgAAI|2027-01-14|16:00:00.000Z</v>
      </c>
      <c r="AC896">
        <f>IF(Lessons[[#This Row],[Double Booked Key]]="","",COUNTIF(Lessons[Double Booked Key],Lessons[[#This Row],[Double Booked Key]]))</f>
        <v>1</v>
      </c>
      <c r="AD896" s="6" t="str">
        <f>_xlfn.XLOOKUP(Lessons[[#This Row],[Location_External_Id__c]], Locations[Location Id], Locations[Location Name])</f>
        <v>Brick</v>
      </c>
      <c r="AE896" s="6" t="str">
        <f>TEXT(Lessons[[#This Row],[Lesson_Date__c]], "yyyy-mm")</f>
        <v>2027-01</v>
      </c>
      <c r="AF896" s="6" t="str">
        <f>IF(Lessons[[#This Row],[Lesson_Date__c]]&lt;=Data_Audit!$F$1, "Yes", "No")</f>
        <v>No</v>
      </c>
    </row>
    <row r="897" spans="1:32">
      <c r="A897" t="s">
        <v>52</v>
      </c>
      <c r="B897" t="s">
        <v>2997</v>
      </c>
      <c r="C897">
        <v>30</v>
      </c>
      <c r="D897" t="s">
        <v>3265</v>
      </c>
      <c r="E897" t="s">
        <v>804</v>
      </c>
      <c r="F897" t="s">
        <v>805</v>
      </c>
      <c r="H897" t="s">
        <v>147</v>
      </c>
      <c r="I897" t="b">
        <v>0</v>
      </c>
      <c r="K897" t="s">
        <v>52</v>
      </c>
      <c r="L897" t="s">
        <v>2997</v>
      </c>
      <c r="O897" s="1">
        <v>46401</v>
      </c>
      <c r="P897" t="s">
        <v>3266</v>
      </c>
      <c r="Q897" t="s">
        <v>3267</v>
      </c>
      <c r="R897" t="s">
        <v>63</v>
      </c>
      <c r="S897" t="b">
        <v>0</v>
      </c>
      <c r="T897" t="b">
        <v>0</v>
      </c>
      <c r="U897" t="s">
        <v>3268</v>
      </c>
      <c r="V897" t="s">
        <v>116</v>
      </c>
      <c r="W897" t="s">
        <v>95</v>
      </c>
      <c r="X897" t="s">
        <v>1617</v>
      </c>
      <c r="Y897" t="s">
        <v>1618</v>
      </c>
      <c r="Z897" t="s">
        <v>2997</v>
      </c>
      <c r="AA897" t="b">
        <f>ISNUMBER(SEARCH(";"&amp;Lessons[[#This Row],[Instrument__c]]&amp;";",";"&amp;_xlfn.XLOOKUP(Lessons[[#This Row],[Instructor_External_Id__c]], Instructors[Id], Instructors[Instruments_Taught__c])&amp;";"))</f>
        <v>1</v>
      </c>
      <c r="AB897" t="str">
        <f>IF(LEFT(Lessons[[#This Row],[Status__c]],9)="Cancelled","",Lessons[[#This Row],[Instructor_External_Id__c]]&amp;"|"&amp;TEXT(Lessons[[#This Row],[Lesson_Date__c]],"yyyy-mm-dd")&amp;"|"&amp;Lessons[[#This Row],[Start_Time__c]])</f>
        <v>a06ak00000amzCBAAY|2027-01-14|17:30:00.000Z</v>
      </c>
      <c r="AC897">
        <f>IF(Lessons[[#This Row],[Double Booked Key]]="","",COUNTIF(Lessons[Double Booked Key],Lessons[[#This Row],[Double Booked Key]]))</f>
        <v>1</v>
      </c>
      <c r="AD897" s="6" t="str">
        <f>_xlfn.XLOOKUP(Lessons[[#This Row],[Location_External_Id__c]], Locations[Location Id], Locations[Location Name])</f>
        <v>Red Bank</v>
      </c>
      <c r="AE897" s="6" t="str">
        <f>TEXT(Lessons[[#This Row],[Lesson_Date__c]], "yyyy-mm")</f>
        <v>2027-01</v>
      </c>
      <c r="AF897" s="6" t="str">
        <f>IF(Lessons[[#This Row],[Lesson_Date__c]]&lt;=Data_Audit!$F$1, "Yes", "No")</f>
        <v>No</v>
      </c>
    </row>
    <row r="898" spans="1:32">
      <c r="A898" t="s">
        <v>52</v>
      </c>
      <c r="B898" t="s">
        <v>2997</v>
      </c>
      <c r="C898">
        <v>60</v>
      </c>
      <c r="D898" t="s">
        <v>3269</v>
      </c>
      <c r="E898" t="s">
        <v>337</v>
      </c>
      <c r="F898" t="s">
        <v>338</v>
      </c>
      <c r="H898" t="s">
        <v>284</v>
      </c>
      <c r="I898" t="b">
        <v>0</v>
      </c>
      <c r="K898" t="s">
        <v>52</v>
      </c>
      <c r="L898" t="s">
        <v>2997</v>
      </c>
      <c r="O898" s="1">
        <v>46401</v>
      </c>
      <c r="P898" t="s">
        <v>3270</v>
      </c>
      <c r="Q898" t="s">
        <v>3271</v>
      </c>
      <c r="R898" t="s">
        <v>150</v>
      </c>
      <c r="S898" t="b">
        <v>0</v>
      </c>
      <c r="T898" t="b">
        <v>0</v>
      </c>
      <c r="U898" t="s">
        <v>3272</v>
      </c>
      <c r="V898" t="s">
        <v>120</v>
      </c>
      <c r="W898" t="s">
        <v>95</v>
      </c>
      <c r="X898" t="s">
        <v>1964</v>
      </c>
      <c r="Y898" t="s">
        <v>1965</v>
      </c>
      <c r="Z898" t="s">
        <v>2997</v>
      </c>
      <c r="AA898" t="b">
        <f>ISNUMBER(SEARCH(";"&amp;Lessons[[#This Row],[Instrument__c]]&amp;";",";"&amp;_xlfn.XLOOKUP(Lessons[[#This Row],[Instructor_External_Id__c]], Instructors[Id], Instructors[Instruments_Taught__c])&amp;";"))</f>
        <v>1</v>
      </c>
      <c r="AB898" t="str">
        <f>IF(LEFT(Lessons[[#This Row],[Status__c]],9)="Cancelled","",Lessons[[#This Row],[Instructor_External_Id__c]]&amp;"|"&amp;TEXT(Lessons[[#This Row],[Lesson_Date__c]],"yyyy-mm-dd")&amp;"|"&amp;Lessons[[#This Row],[Start_Time__c]])</f>
        <v>a06ak00000amzCIAAY|2027-01-14|18:00:00.000Z</v>
      </c>
      <c r="AC898">
        <f>IF(Lessons[[#This Row],[Double Booked Key]]="","",COUNTIF(Lessons[Double Booked Key],Lessons[[#This Row],[Double Booked Key]]))</f>
        <v>1</v>
      </c>
      <c r="AD898" s="6" t="str">
        <f>_xlfn.XLOOKUP(Lessons[[#This Row],[Location_External_Id__c]], Locations[Location Id], Locations[Location Name])</f>
        <v>Toms River</v>
      </c>
      <c r="AE898" s="6" t="str">
        <f>TEXT(Lessons[[#This Row],[Lesson_Date__c]], "yyyy-mm")</f>
        <v>2027-01</v>
      </c>
      <c r="AF898" s="6" t="str">
        <f>IF(Lessons[[#This Row],[Lesson_Date__c]]&lt;=Data_Audit!$F$1, "Yes", "No")</f>
        <v>No</v>
      </c>
    </row>
    <row r="899" spans="1:32">
      <c r="A899" t="s">
        <v>52</v>
      </c>
      <c r="B899" t="s">
        <v>2997</v>
      </c>
      <c r="C899">
        <v>30</v>
      </c>
      <c r="D899" t="s">
        <v>3273</v>
      </c>
      <c r="E899" t="s">
        <v>359</v>
      </c>
      <c r="F899" t="s">
        <v>360</v>
      </c>
      <c r="H899" t="s">
        <v>392</v>
      </c>
      <c r="I899" t="b">
        <v>0</v>
      </c>
      <c r="K899" t="s">
        <v>52</v>
      </c>
      <c r="L899" t="s">
        <v>2997</v>
      </c>
      <c r="O899" s="1">
        <v>46401</v>
      </c>
      <c r="P899" t="s">
        <v>3274</v>
      </c>
      <c r="Q899" t="s">
        <v>3275</v>
      </c>
      <c r="R899" t="s">
        <v>63</v>
      </c>
      <c r="S899" t="b">
        <v>0</v>
      </c>
      <c r="T899" t="b">
        <v>0</v>
      </c>
      <c r="U899" t="s">
        <v>3276</v>
      </c>
      <c r="V899" t="s">
        <v>94</v>
      </c>
      <c r="W899" t="s">
        <v>95</v>
      </c>
      <c r="X899" t="s">
        <v>1248</v>
      </c>
      <c r="Y899" t="s">
        <v>1249</v>
      </c>
      <c r="Z899" t="s">
        <v>2997</v>
      </c>
      <c r="AA899" t="b">
        <f>ISNUMBER(SEARCH(";"&amp;Lessons[[#This Row],[Instrument__c]]&amp;";",";"&amp;_xlfn.XLOOKUP(Lessons[[#This Row],[Instructor_External_Id__c]], Instructors[Id], Instructors[Instruments_Taught__c])&amp;";"))</f>
        <v>1</v>
      </c>
      <c r="AB899" t="str">
        <f>IF(LEFT(Lessons[[#This Row],[Status__c]],9)="Cancelled","",Lessons[[#This Row],[Instructor_External_Id__c]]&amp;"|"&amp;TEXT(Lessons[[#This Row],[Lesson_Date__c]],"yyyy-mm-dd")&amp;"|"&amp;Lessons[[#This Row],[Start_Time__c]])</f>
        <v>a06ak00000amzBiAAI|2027-01-14|19:00:00.000Z</v>
      </c>
      <c r="AC899">
        <f>IF(Lessons[[#This Row],[Double Booked Key]]="","",COUNTIF(Lessons[Double Booked Key],Lessons[[#This Row],[Double Booked Key]]))</f>
        <v>1</v>
      </c>
      <c r="AD899" s="6" t="str">
        <f>_xlfn.XLOOKUP(Lessons[[#This Row],[Location_External_Id__c]], Locations[Location Id], Locations[Location Name])</f>
        <v>Red Bank</v>
      </c>
      <c r="AE899" s="6" t="str">
        <f>TEXT(Lessons[[#This Row],[Lesson_Date__c]], "yyyy-mm")</f>
        <v>2027-01</v>
      </c>
      <c r="AF899" s="6" t="str">
        <f>IF(Lessons[[#This Row],[Lesson_Date__c]]&lt;=Data_Audit!$F$1, "Yes", "No")</f>
        <v>No</v>
      </c>
    </row>
    <row r="900" spans="1:32">
      <c r="A900" t="s">
        <v>52</v>
      </c>
      <c r="B900" t="s">
        <v>2997</v>
      </c>
      <c r="C900">
        <v>30</v>
      </c>
      <c r="D900" t="s">
        <v>3277</v>
      </c>
      <c r="E900" t="s">
        <v>548</v>
      </c>
      <c r="F900" t="s">
        <v>549</v>
      </c>
      <c r="H900" t="s">
        <v>203</v>
      </c>
      <c r="I900" t="b">
        <v>0</v>
      </c>
      <c r="K900" t="s">
        <v>52</v>
      </c>
      <c r="L900" t="s">
        <v>2997</v>
      </c>
      <c r="O900" s="1">
        <v>46402</v>
      </c>
      <c r="P900" t="s">
        <v>3278</v>
      </c>
      <c r="Q900" t="s">
        <v>3279</v>
      </c>
      <c r="R900" t="s">
        <v>150</v>
      </c>
      <c r="S900" t="b">
        <v>0</v>
      </c>
      <c r="T900" t="b">
        <v>0</v>
      </c>
      <c r="U900" t="s">
        <v>3280</v>
      </c>
      <c r="V900" t="s">
        <v>74</v>
      </c>
      <c r="W900" t="s">
        <v>95</v>
      </c>
      <c r="X900" t="s">
        <v>206</v>
      </c>
      <c r="Y900" t="s">
        <v>207</v>
      </c>
      <c r="Z900" t="s">
        <v>2997</v>
      </c>
      <c r="AA900" t="b">
        <f>ISNUMBER(SEARCH(";"&amp;Lessons[[#This Row],[Instrument__c]]&amp;";",";"&amp;_xlfn.XLOOKUP(Lessons[[#This Row],[Instructor_External_Id__c]], Instructors[Id], Instructors[Instruments_Taught__c])&amp;";"))</f>
        <v>1</v>
      </c>
      <c r="AB900" t="str">
        <f>IF(LEFT(Lessons[[#This Row],[Status__c]],9)="Cancelled","",Lessons[[#This Row],[Instructor_External_Id__c]]&amp;"|"&amp;TEXT(Lessons[[#This Row],[Lesson_Date__c]],"yyyy-mm-dd")&amp;"|"&amp;Lessons[[#This Row],[Start_Time__c]])</f>
        <v>a06ak00000amzCHAAY|2027-01-15|16:30:00.000Z</v>
      </c>
      <c r="AC900">
        <f>IF(Lessons[[#This Row],[Double Booked Key]]="","",COUNTIF(Lessons[Double Booked Key],Lessons[[#This Row],[Double Booked Key]]))</f>
        <v>1</v>
      </c>
      <c r="AD900" s="6" t="str">
        <f>_xlfn.XLOOKUP(Lessons[[#This Row],[Location_External_Id__c]], Locations[Location Id], Locations[Location Name])</f>
        <v>Toms River</v>
      </c>
      <c r="AE900" s="6" t="str">
        <f>TEXT(Lessons[[#This Row],[Lesson_Date__c]], "yyyy-mm")</f>
        <v>2027-01</v>
      </c>
      <c r="AF900" s="6" t="str">
        <f>IF(Lessons[[#This Row],[Lesson_Date__c]]&lt;=Data_Audit!$F$1, "Yes", "No")</f>
        <v>No</v>
      </c>
    </row>
    <row r="901" spans="1:32">
      <c r="A901" t="s">
        <v>52</v>
      </c>
      <c r="B901" t="s">
        <v>2997</v>
      </c>
      <c r="C901">
        <v>45</v>
      </c>
      <c r="D901" t="s">
        <v>3281</v>
      </c>
      <c r="E901" t="s">
        <v>318</v>
      </c>
      <c r="F901" t="s">
        <v>319</v>
      </c>
      <c r="H901" t="s">
        <v>237</v>
      </c>
      <c r="I901" t="b">
        <v>0</v>
      </c>
      <c r="K901" t="s">
        <v>52</v>
      </c>
      <c r="L901" t="s">
        <v>2997</v>
      </c>
      <c r="O901" s="1">
        <v>46402</v>
      </c>
      <c r="P901" t="s">
        <v>3282</v>
      </c>
      <c r="Q901" t="s">
        <v>3283</v>
      </c>
      <c r="R901" t="s">
        <v>150</v>
      </c>
      <c r="S901" t="b">
        <v>0</v>
      </c>
      <c r="T901" t="b">
        <v>0</v>
      </c>
      <c r="U901" t="s">
        <v>3284</v>
      </c>
      <c r="V901" t="s">
        <v>74</v>
      </c>
      <c r="W901" t="s">
        <v>95</v>
      </c>
      <c r="X901" t="s">
        <v>416</v>
      </c>
      <c r="Y901" t="s">
        <v>417</v>
      </c>
      <c r="Z901" t="s">
        <v>2997</v>
      </c>
      <c r="AA901" t="b">
        <f>ISNUMBER(SEARCH(";"&amp;Lessons[[#This Row],[Instrument__c]]&amp;";",";"&amp;_xlfn.XLOOKUP(Lessons[[#This Row],[Instructor_External_Id__c]], Instructors[Id], Instructors[Instruments_Taught__c])&amp;";"))</f>
        <v>1</v>
      </c>
      <c r="AB901" t="str">
        <f>IF(LEFT(Lessons[[#This Row],[Status__c]],9)="Cancelled","",Lessons[[#This Row],[Instructor_External_Id__c]]&amp;"|"&amp;TEXT(Lessons[[#This Row],[Lesson_Date__c]],"yyyy-mm-dd")&amp;"|"&amp;Lessons[[#This Row],[Start_Time__c]])</f>
        <v>a06ak00000amzBzAAI|2027-01-15|16:30:00.000Z</v>
      </c>
      <c r="AC901">
        <f>IF(Lessons[[#This Row],[Double Booked Key]]="","",COUNTIF(Lessons[Double Booked Key],Lessons[[#This Row],[Double Booked Key]]))</f>
        <v>1</v>
      </c>
      <c r="AD901" s="6" t="str">
        <f>_xlfn.XLOOKUP(Lessons[[#This Row],[Location_External_Id__c]], Locations[Location Id], Locations[Location Name])</f>
        <v>Toms River</v>
      </c>
      <c r="AE901" s="6" t="str">
        <f>TEXT(Lessons[[#This Row],[Lesson_Date__c]], "yyyy-mm")</f>
        <v>2027-01</v>
      </c>
      <c r="AF901" s="6" t="str">
        <f>IF(Lessons[[#This Row],[Lesson_Date__c]]&lt;=Data_Audit!$F$1, "Yes", "No")</f>
        <v>No</v>
      </c>
    </row>
    <row r="902" spans="1:32">
      <c r="A902" t="s">
        <v>52</v>
      </c>
      <c r="B902" t="s">
        <v>2997</v>
      </c>
      <c r="C902">
        <v>45</v>
      </c>
      <c r="D902" t="s">
        <v>3285</v>
      </c>
      <c r="E902" t="s">
        <v>573</v>
      </c>
      <c r="F902" t="s">
        <v>574</v>
      </c>
      <c r="H902" t="s">
        <v>461</v>
      </c>
      <c r="I902" t="b">
        <v>0</v>
      </c>
      <c r="K902" t="s">
        <v>52</v>
      </c>
      <c r="L902" t="s">
        <v>2997</v>
      </c>
      <c r="O902" s="1">
        <v>46402</v>
      </c>
      <c r="P902" t="s">
        <v>3286</v>
      </c>
      <c r="Q902" t="s">
        <v>3287</v>
      </c>
      <c r="R902" t="s">
        <v>150</v>
      </c>
      <c r="S902" t="b">
        <v>0</v>
      </c>
      <c r="T902" t="b">
        <v>0</v>
      </c>
      <c r="U902" t="s">
        <v>3288</v>
      </c>
      <c r="V902" t="s">
        <v>84</v>
      </c>
      <c r="W902" t="s">
        <v>95</v>
      </c>
      <c r="X902" t="s">
        <v>2620</v>
      </c>
      <c r="Y902" t="s">
        <v>2621</v>
      </c>
      <c r="Z902" t="s">
        <v>2997</v>
      </c>
      <c r="AA902" t="b">
        <f>ISNUMBER(SEARCH(";"&amp;Lessons[[#This Row],[Instrument__c]]&amp;";",";"&amp;_xlfn.XLOOKUP(Lessons[[#This Row],[Instructor_External_Id__c]], Instructors[Id], Instructors[Instruments_Taught__c])&amp;";"))</f>
        <v>1</v>
      </c>
      <c r="AB902" t="str">
        <f>IF(LEFT(Lessons[[#This Row],[Status__c]],9)="Cancelled","",Lessons[[#This Row],[Instructor_External_Id__c]]&amp;"|"&amp;TEXT(Lessons[[#This Row],[Lesson_Date__c]],"yyyy-mm-dd")&amp;"|"&amp;Lessons[[#This Row],[Start_Time__c]])</f>
        <v>a06ak00000amzCCAAY|2027-01-15|17:00:00.000Z</v>
      </c>
      <c r="AC902">
        <f>IF(Lessons[[#This Row],[Double Booked Key]]="","",COUNTIF(Lessons[Double Booked Key],Lessons[[#This Row],[Double Booked Key]]))</f>
        <v>1</v>
      </c>
      <c r="AD902" s="6" t="str">
        <f>_xlfn.XLOOKUP(Lessons[[#This Row],[Location_External_Id__c]], Locations[Location Id], Locations[Location Name])</f>
        <v>Toms River</v>
      </c>
      <c r="AE902" s="6" t="str">
        <f>TEXT(Lessons[[#This Row],[Lesson_Date__c]], "yyyy-mm")</f>
        <v>2027-01</v>
      </c>
      <c r="AF902" s="6" t="str">
        <f>IF(Lessons[[#This Row],[Lesson_Date__c]]&lt;=Data_Audit!$F$1, "Yes", "No")</f>
        <v>No</v>
      </c>
    </row>
    <row r="903" spans="1:32">
      <c r="A903" t="s">
        <v>52</v>
      </c>
      <c r="B903" t="s">
        <v>2997</v>
      </c>
      <c r="C903">
        <v>45</v>
      </c>
      <c r="D903" t="s">
        <v>3289</v>
      </c>
      <c r="E903" t="s">
        <v>548</v>
      </c>
      <c r="F903" t="s">
        <v>549</v>
      </c>
      <c r="H903" t="s">
        <v>203</v>
      </c>
      <c r="I903" t="b">
        <v>0</v>
      </c>
      <c r="K903" t="s">
        <v>52</v>
      </c>
      <c r="L903" t="s">
        <v>2997</v>
      </c>
      <c r="O903" s="1">
        <v>46402</v>
      </c>
      <c r="P903" t="s">
        <v>3290</v>
      </c>
      <c r="Q903" t="s">
        <v>3291</v>
      </c>
      <c r="R903" t="s">
        <v>83</v>
      </c>
      <c r="S903" t="b">
        <v>0</v>
      </c>
      <c r="T903" t="b">
        <v>0</v>
      </c>
      <c r="U903" t="s">
        <v>3292</v>
      </c>
      <c r="V903" t="s">
        <v>120</v>
      </c>
      <c r="W903" t="s">
        <v>95</v>
      </c>
      <c r="X903" t="s">
        <v>1194</v>
      </c>
      <c r="Y903" t="s">
        <v>1195</v>
      </c>
      <c r="Z903" t="s">
        <v>2997</v>
      </c>
      <c r="AA903" t="b">
        <f>ISNUMBER(SEARCH(";"&amp;Lessons[[#This Row],[Instrument__c]]&amp;";",";"&amp;_xlfn.XLOOKUP(Lessons[[#This Row],[Instructor_External_Id__c]], Instructors[Id], Instructors[Instruments_Taught__c])&amp;";"))</f>
        <v>1</v>
      </c>
      <c r="AB903" t="str">
        <f>IF(LEFT(Lessons[[#This Row],[Status__c]],9)="Cancelled","",Lessons[[#This Row],[Instructor_External_Id__c]]&amp;"|"&amp;TEXT(Lessons[[#This Row],[Lesson_Date__c]],"yyyy-mm-dd")&amp;"|"&amp;Lessons[[#This Row],[Start_Time__c]])</f>
        <v>a06ak00000amzCHAAY|2027-01-15|18:00:00.000Z</v>
      </c>
      <c r="AC903">
        <f>IF(Lessons[[#This Row],[Double Booked Key]]="","",COUNTIF(Lessons[Double Booked Key],Lessons[[#This Row],[Double Booked Key]]))</f>
        <v>1</v>
      </c>
      <c r="AD903" s="6" t="str">
        <f>_xlfn.XLOOKUP(Lessons[[#This Row],[Location_External_Id__c]], Locations[Location Id], Locations[Location Name])</f>
        <v>Brick</v>
      </c>
      <c r="AE903" s="6" t="str">
        <f>TEXT(Lessons[[#This Row],[Lesson_Date__c]], "yyyy-mm")</f>
        <v>2027-01</v>
      </c>
      <c r="AF903" s="6" t="str">
        <f>IF(Lessons[[#This Row],[Lesson_Date__c]]&lt;=Data_Audit!$F$1, "Yes", "No")</f>
        <v>No</v>
      </c>
    </row>
    <row r="904" spans="1:32">
      <c r="A904" t="s">
        <v>52</v>
      </c>
      <c r="B904" t="s">
        <v>2997</v>
      </c>
      <c r="C904">
        <v>30</v>
      </c>
      <c r="D904" t="s">
        <v>3293</v>
      </c>
      <c r="E904" t="s">
        <v>459</v>
      </c>
      <c r="F904" t="s">
        <v>460</v>
      </c>
      <c r="H904" t="s">
        <v>107</v>
      </c>
      <c r="I904" t="b">
        <v>0</v>
      </c>
      <c r="K904" t="s">
        <v>52</v>
      </c>
      <c r="L904" t="s">
        <v>2997</v>
      </c>
      <c r="O904" s="1">
        <v>46402</v>
      </c>
      <c r="P904" t="s">
        <v>3294</v>
      </c>
      <c r="Q904" t="s">
        <v>3295</v>
      </c>
      <c r="R904" t="s">
        <v>83</v>
      </c>
      <c r="S904" t="b">
        <v>0</v>
      </c>
      <c r="T904" t="b">
        <v>0</v>
      </c>
      <c r="U904" t="s">
        <v>3296</v>
      </c>
      <c r="V904" t="s">
        <v>94</v>
      </c>
      <c r="W904" t="s">
        <v>95</v>
      </c>
      <c r="X904" t="s">
        <v>710</v>
      </c>
      <c r="Y904" t="s">
        <v>711</v>
      </c>
      <c r="Z904" t="s">
        <v>2997</v>
      </c>
      <c r="AA904" t="b">
        <f>ISNUMBER(SEARCH(";"&amp;Lessons[[#This Row],[Instrument__c]]&amp;";",";"&amp;_xlfn.XLOOKUP(Lessons[[#This Row],[Instructor_External_Id__c]], Instructors[Id], Instructors[Instruments_Taught__c])&amp;";"))</f>
        <v>1</v>
      </c>
      <c r="AB904" t="str">
        <f>IF(LEFT(Lessons[[#This Row],[Status__c]],9)="Cancelled","",Lessons[[#This Row],[Instructor_External_Id__c]]&amp;"|"&amp;TEXT(Lessons[[#This Row],[Lesson_Date__c]],"yyyy-mm-dd")&amp;"|"&amp;Lessons[[#This Row],[Start_Time__c]])</f>
        <v>a06ak00000amzC8AAI|2027-01-15|19:00:00.000Z</v>
      </c>
      <c r="AC904">
        <f>IF(Lessons[[#This Row],[Double Booked Key]]="","",COUNTIF(Lessons[Double Booked Key],Lessons[[#This Row],[Double Booked Key]]))</f>
        <v>1</v>
      </c>
      <c r="AD904" s="6" t="str">
        <f>_xlfn.XLOOKUP(Lessons[[#This Row],[Location_External_Id__c]], Locations[Location Id], Locations[Location Name])</f>
        <v>Brick</v>
      </c>
      <c r="AE904" s="6" t="str">
        <f>TEXT(Lessons[[#This Row],[Lesson_Date__c]], "yyyy-mm")</f>
        <v>2027-01</v>
      </c>
      <c r="AF904" s="6" t="str">
        <f>IF(Lessons[[#This Row],[Lesson_Date__c]]&lt;=Data_Audit!$F$1, "Yes", "No")</f>
        <v>No</v>
      </c>
    </row>
    <row r="905" spans="1:32">
      <c r="A905" t="s">
        <v>52</v>
      </c>
      <c r="B905" t="s">
        <v>2997</v>
      </c>
      <c r="C905">
        <v>30</v>
      </c>
      <c r="D905" t="s">
        <v>3297</v>
      </c>
      <c r="E905" t="s">
        <v>243</v>
      </c>
      <c r="F905" t="s">
        <v>244</v>
      </c>
      <c r="H905" t="s">
        <v>650</v>
      </c>
      <c r="I905" t="b">
        <v>0</v>
      </c>
      <c r="K905" t="s">
        <v>52</v>
      </c>
      <c r="L905" t="s">
        <v>2997</v>
      </c>
      <c r="O905" s="1">
        <v>46403</v>
      </c>
      <c r="P905" t="s">
        <v>3298</v>
      </c>
      <c r="Q905" t="s">
        <v>3299</v>
      </c>
      <c r="R905" t="s">
        <v>150</v>
      </c>
      <c r="S905" t="b">
        <v>0</v>
      </c>
      <c r="T905" t="b">
        <v>0</v>
      </c>
      <c r="U905" t="s">
        <v>3300</v>
      </c>
      <c r="V905" t="s">
        <v>3203</v>
      </c>
      <c r="W905" t="s">
        <v>95</v>
      </c>
      <c r="X905" t="s">
        <v>927</v>
      </c>
      <c r="Y905" t="s">
        <v>928</v>
      </c>
      <c r="Z905" t="s">
        <v>2997</v>
      </c>
      <c r="AA905" t="b">
        <f>ISNUMBER(SEARCH(";"&amp;Lessons[[#This Row],[Instrument__c]]&amp;";",";"&amp;_xlfn.XLOOKUP(Lessons[[#This Row],[Instructor_External_Id__c]], Instructors[Id], Instructors[Instruments_Taught__c])&amp;";"))</f>
        <v>1</v>
      </c>
      <c r="AB905" t="str">
        <f>IF(LEFT(Lessons[[#This Row],[Status__c]],9)="Cancelled","",Lessons[[#This Row],[Instructor_External_Id__c]]&amp;"|"&amp;TEXT(Lessons[[#This Row],[Lesson_Date__c]],"yyyy-mm-dd")&amp;"|"&amp;Lessons[[#This Row],[Start_Time__c]])</f>
        <v>a06ak00000amzC1AAI|2027-01-16|11:30:00.000Z</v>
      </c>
      <c r="AC905">
        <f>IF(Lessons[[#This Row],[Double Booked Key]]="","",COUNTIF(Lessons[Double Booked Key],Lessons[[#This Row],[Double Booked Key]]))</f>
        <v>1</v>
      </c>
      <c r="AD905" s="6" t="str">
        <f>_xlfn.XLOOKUP(Lessons[[#This Row],[Location_External_Id__c]], Locations[Location Id], Locations[Location Name])</f>
        <v>Toms River</v>
      </c>
      <c r="AE905" s="6" t="str">
        <f>TEXT(Lessons[[#This Row],[Lesson_Date__c]], "yyyy-mm")</f>
        <v>2027-01</v>
      </c>
      <c r="AF905" s="6" t="str">
        <f>IF(Lessons[[#This Row],[Lesson_Date__c]]&lt;=Data_Audit!$F$1, "Yes", "No")</f>
        <v>No</v>
      </c>
    </row>
    <row r="906" spans="1:32">
      <c r="A906" t="s">
        <v>52</v>
      </c>
      <c r="B906" t="s">
        <v>2997</v>
      </c>
      <c r="C906">
        <v>60</v>
      </c>
      <c r="D906" t="s">
        <v>3301</v>
      </c>
      <c r="E906" t="s">
        <v>318</v>
      </c>
      <c r="F906" t="s">
        <v>319</v>
      </c>
      <c r="H906" t="s">
        <v>237</v>
      </c>
      <c r="I906" t="b">
        <v>0</v>
      </c>
      <c r="K906" t="s">
        <v>52</v>
      </c>
      <c r="L906" t="s">
        <v>2997</v>
      </c>
      <c r="O906" s="1">
        <v>46405</v>
      </c>
      <c r="P906" t="s">
        <v>3302</v>
      </c>
      <c r="Q906" t="s">
        <v>3303</v>
      </c>
      <c r="R906" t="s">
        <v>63</v>
      </c>
      <c r="S906" t="b">
        <v>0</v>
      </c>
      <c r="T906" t="b">
        <v>0</v>
      </c>
      <c r="U906" t="s">
        <v>3304</v>
      </c>
      <c r="V906" t="s">
        <v>135</v>
      </c>
      <c r="W906" t="s">
        <v>95</v>
      </c>
      <c r="X906" t="s">
        <v>1223</v>
      </c>
      <c r="Y906" t="s">
        <v>1224</v>
      </c>
      <c r="Z906" t="s">
        <v>2997</v>
      </c>
      <c r="AA906" t="b">
        <f>ISNUMBER(SEARCH(";"&amp;Lessons[[#This Row],[Instrument__c]]&amp;";",";"&amp;_xlfn.XLOOKUP(Lessons[[#This Row],[Instructor_External_Id__c]], Instructors[Id], Instructors[Instruments_Taught__c])&amp;";"))</f>
        <v>1</v>
      </c>
      <c r="AB906" t="str">
        <f>IF(LEFT(Lessons[[#This Row],[Status__c]],9)="Cancelled","",Lessons[[#This Row],[Instructor_External_Id__c]]&amp;"|"&amp;TEXT(Lessons[[#This Row],[Lesson_Date__c]],"yyyy-mm-dd")&amp;"|"&amp;Lessons[[#This Row],[Start_Time__c]])</f>
        <v>a06ak00000amzBzAAI|2027-01-18|15:30:00.000Z</v>
      </c>
      <c r="AC906">
        <f>IF(Lessons[[#This Row],[Double Booked Key]]="","",COUNTIF(Lessons[Double Booked Key],Lessons[[#This Row],[Double Booked Key]]))</f>
        <v>1</v>
      </c>
      <c r="AD906" s="6" t="str">
        <f>_xlfn.XLOOKUP(Lessons[[#This Row],[Location_External_Id__c]], Locations[Location Id], Locations[Location Name])</f>
        <v>Red Bank</v>
      </c>
      <c r="AE906" s="6" t="str">
        <f>TEXT(Lessons[[#This Row],[Lesson_Date__c]], "yyyy-mm")</f>
        <v>2027-01</v>
      </c>
      <c r="AF906" s="6" t="str">
        <f>IF(Lessons[[#This Row],[Lesson_Date__c]]&lt;=Data_Audit!$F$1, "Yes", "No")</f>
        <v>No</v>
      </c>
    </row>
    <row r="907" spans="1:32">
      <c r="A907" t="s">
        <v>52</v>
      </c>
      <c r="B907" t="s">
        <v>2997</v>
      </c>
      <c r="C907">
        <v>45</v>
      </c>
      <c r="D907" t="s">
        <v>3305</v>
      </c>
      <c r="E907" t="s">
        <v>76</v>
      </c>
      <c r="F907" t="s">
        <v>77</v>
      </c>
      <c r="H907" t="s">
        <v>78</v>
      </c>
      <c r="I907" t="b">
        <v>0</v>
      </c>
      <c r="K907" t="s">
        <v>52</v>
      </c>
      <c r="L907" t="s">
        <v>2997</v>
      </c>
      <c r="O907" s="1">
        <v>46405</v>
      </c>
      <c r="P907" t="s">
        <v>3306</v>
      </c>
      <c r="Q907" t="s">
        <v>3307</v>
      </c>
      <c r="R907" t="s">
        <v>83</v>
      </c>
      <c r="S907" t="b">
        <v>0</v>
      </c>
      <c r="T907" t="b">
        <v>0</v>
      </c>
      <c r="U907" t="s">
        <v>3308</v>
      </c>
      <c r="V907" t="s">
        <v>135</v>
      </c>
      <c r="W907" t="s">
        <v>95</v>
      </c>
      <c r="X907" t="s">
        <v>1922</v>
      </c>
      <c r="Y907" t="s">
        <v>1923</v>
      </c>
      <c r="Z907" t="s">
        <v>2997</v>
      </c>
      <c r="AA907" t="b">
        <f>ISNUMBER(SEARCH(";"&amp;Lessons[[#This Row],[Instrument__c]]&amp;";",";"&amp;_xlfn.XLOOKUP(Lessons[[#This Row],[Instructor_External_Id__c]], Instructors[Id], Instructors[Instruments_Taught__c])&amp;";"))</f>
        <v>1</v>
      </c>
      <c r="AB907" t="str">
        <f>IF(LEFT(Lessons[[#This Row],[Status__c]],9)="Cancelled","",Lessons[[#This Row],[Instructor_External_Id__c]]&amp;"|"&amp;TEXT(Lessons[[#This Row],[Lesson_Date__c]],"yyyy-mm-dd")&amp;"|"&amp;Lessons[[#This Row],[Start_Time__c]])</f>
        <v>a06ak00000amzBgAAI|2027-01-18|15:30:00.000Z</v>
      </c>
      <c r="AC907">
        <f>IF(Lessons[[#This Row],[Double Booked Key]]="","",COUNTIF(Lessons[Double Booked Key],Lessons[[#This Row],[Double Booked Key]]))</f>
        <v>1</v>
      </c>
      <c r="AD907" s="6" t="str">
        <f>_xlfn.XLOOKUP(Lessons[[#This Row],[Location_External_Id__c]], Locations[Location Id], Locations[Location Name])</f>
        <v>Brick</v>
      </c>
      <c r="AE907" s="6" t="str">
        <f>TEXT(Lessons[[#This Row],[Lesson_Date__c]], "yyyy-mm")</f>
        <v>2027-01</v>
      </c>
      <c r="AF907" s="6" t="str">
        <f>IF(Lessons[[#This Row],[Lesson_Date__c]]&lt;=Data_Audit!$F$1, "Yes", "No")</f>
        <v>No</v>
      </c>
    </row>
    <row r="908" spans="1:32">
      <c r="A908" t="s">
        <v>52</v>
      </c>
      <c r="B908" t="s">
        <v>2997</v>
      </c>
      <c r="C908">
        <v>45</v>
      </c>
      <c r="D908" t="s">
        <v>3309</v>
      </c>
      <c r="E908" t="s">
        <v>243</v>
      </c>
      <c r="F908" t="s">
        <v>244</v>
      </c>
      <c r="H908" t="s">
        <v>237</v>
      </c>
      <c r="I908" t="b">
        <v>0</v>
      </c>
      <c r="K908" t="s">
        <v>52</v>
      </c>
      <c r="L908" t="s">
        <v>2997</v>
      </c>
      <c r="O908" s="1">
        <v>46405</v>
      </c>
      <c r="P908" t="s">
        <v>3310</v>
      </c>
      <c r="Q908" t="s">
        <v>3311</v>
      </c>
      <c r="R908" t="s">
        <v>83</v>
      </c>
      <c r="S908" t="b">
        <v>0</v>
      </c>
      <c r="T908" t="b">
        <v>0</v>
      </c>
      <c r="U908" t="s">
        <v>3312</v>
      </c>
      <c r="V908" t="s">
        <v>135</v>
      </c>
      <c r="W908" t="s">
        <v>95</v>
      </c>
      <c r="X908" t="s">
        <v>2745</v>
      </c>
      <c r="Y908" t="s">
        <v>2746</v>
      </c>
      <c r="Z908" t="s">
        <v>2997</v>
      </c>
      <c r="AA908" t="b">
        <f>ISNUMBER(SEARCH(";"&amp;Lessons[[#This Row],[Instrument__c]]&amp;";",";"&amp;_xlfn.XLOOKUP(Lessons[[#This Row],[Instructor_External_Id__c]], Instructors[Id], Instructors[Instruments_Taught__c])&amp;";"))</f>
        <v>1</v>
      </c>
      <c r="AB908" t="str">
        <f>IF(LEFT(Lessons[[#This Row],[Status__c]],9)="Cancelled","",Lessons[[#This Row],[Instructor_External_Id__c]]&amp;"|"&amp;TEXT(Lessons[[#This Row],[Lesson_Date__c]],"yyyy-mm-dd")&amp;"|"&amp;Lessons[[#This Row],[Start_Time__c]])</f>
        <v>a06ak00000amzC1AAI|2027-01-18|15:30:00.000Z</v>
      </c>
      <c r="AC908">
        <f>IF(Lessons[[#This Row],[Double Booked Key]]="","",COUNTIF(Lessons[Double Booked Key],Lessons[[#This Row],[Double Booked Key]]))</f>
        <v>1</v>
      </c>
      <c r="AD908" s="6" t="str">
        <f>_xlfn.XLOOKUP(Lessons[[#This Row],[Location_External_Id__c]], Locations[Location Id], Locations[Location Name])</f>
        <v>Brick</v>
      </c>
      <c r="AE908" s="6" t="str">
        <f>TEXT(Lessons[[#This Row],[Lesson_Date__c]], "yyyy-mm")</f>
        <v>2027-01</v>
      </c>
      <c r="AF908" s="6" t="str">
        <f>IF(Lessons[[#This Row],[Lesson_Date__c]]&lt;=Data_Audit!$F$1, "Yes", "No")</f>
        <v>No</v>
      </c>
    </row>
    <row r="909" spans="1:32">
      <c r="A909" t="s">
        <v>52</v>
      </c>
      <c r="B909" t="s">
        <v>2997</v>
      </c>
      <c r="C909">
        <v>60</v>
      </c>
      <c r="D909" t="s">
        <v>3313</v>
      </c>
      <c r="E909" t="s">
        <v>804</v>
      </c>
      <c r="F909" t="s">
        <v>805</v>
      </c>
      <c r="H909" t="s">
        <v>527</v>
      </c>
      <c r="I909" t="b">
        <v>0</v>
      </c>
      <c r="K909" t="s">
        <v>52</v>
      </c>
      <c r="L909" t="s">
        <v>2997</v>
      </c>
      <c r="O909" s="1">
        <v>46405</v>
      </c>
      <c r="P909" t="s">
        <v>3314</v>
      </c>
      <c r="Q909" t="s">
        <v>3315</v>
      </c>
      <c r="R909" t="s">
        <v>63</v>
      </c>
      <c r="S909" t="b">
        <v>0</v>
      </c>
      <c r="T909" t="b">
        <v>0</v>
      </c>
      <c r="U909" t="s">
        <v>3316</v>
      </c>
      <c r="V909" t="s">
        <v>74</v>
      </c>
      <c r="W909" t="s">
        <v>95</v>
      </c>
      <c r="X909" t="s">
        <v>2305</v>
      </c>
      <c r="Y909" t="s">
        <v>2306</v>
      </c>
      <c r="Z909" t="s">
        <v>2997</v>
      </c>
      <c r="AA909" t="b">
        <f>ISNUMBER(SEARCH(";"&amp;Lessons[[#This Row],[Instrument__c]]&amp;";",";"&amp;_xlfn.XLOOKUP(Lessons[[#This Row],[Instructor_External_Id__c]], Instructors[Id], Instructors[Instruments_Taught__c])&amp;";"))</f>
        <v>1</v>
      </c>
      <c r="AB909" t="str">
        <f>IF(LEFT(Lessons[[#This Row],[Status__c]],9)="Cancelled","",Lessons[[#This Row],[Instructor_External_Id__c]]&amp;"|"&amp;TEXT(Lessons[[#This Row],[Lesson_Date__c]],"yyyy-mm-dd")&amp;"|"&amp;Lessons[[#This Row],[Start_Time__c]])</f>
        <v>a06ak00000amzCBAAY|2027-01-18|16:30:00.000Z</v>
      </c>
      <c r="AC909">
        <f>IF(Lessons[[#This Row],[Double Booked Key]]="","",COUNTIF(Lessons[Double Booked Key],Lessons[[#This Row],[Double Booked Key]]))</f>
        <v>1</v>
      </c>
      <c r="AD909" s="6" t="str">
        <f>_xlfn.XLOOKUP(Lessons[[#This Row],[Location_External_Id__c]], Locations[Location Id], Locations[Location Name])</f>
        <v>Red Bank</v>
      </c>
      <c r="AE909" s="6" t="str">
        <f>TEXT(Lessons[[#This Row],[Lesson_Date__c]], "yyyy-mm")</f>
        <v>2027-01</v>
      </c>
      <c r="AF909" s="6" t="str">
        <f>IF(Lessons[[#This Row],[Lesson_Date__c]]&lt;=Data_Audit!$F$1, "Yes", "No")</f>
        <v>No</v>
      </c>
    </row>
    <row r="910" spans="1:32">
      <c r="A910" t="s">
        <v>52</v>
      </c>
      <c r="B910" t="s">
        <v>2997</v>
      </c>
      <c r="C910">
        <v>60</v>
      </c>
      <c r="D910" t="s">
        <v>3317</v>
      </c>
      <c r="E910" t="s">
        <v>573</v>
      </c>
      <c r="F910" t="s">
        <v>574</v>
      </c>
      <c r="H910" t="s">
        <v>147</v>
      </c>
      <c r="I910" t="b">
        <v>0</v>
      </c>
      <c r="K910" t="s">
        <v>52</v>
      </c>
      <c r="L910" t="s">
        <v>2997</v>
      </c>
      <c r="O910" s="1">
        <v>46405</v>
      </c>
      <c r="P910" t="s">
        <v>3318</v>
      </c>
      <c r="Q910" t="s">
        <v>3319</v>
      </c>
      <c r="R910" t="s">
        <v>83</v>
      </c>
      <c r="S910" t="b">
        <v>0</v>
      </c>
      <c r="T910" t="b">
        <v>0</v>
      </c>
      <c r="U910" t="s">
        <v>3320</v>
      </c>
      <c r="V910" t="s">
        <v>128</v>
      </c>
      <c r="W910" t="s">
        <v>95</v>
      </c>
      <c r="X910" t="s">
        <v>577</v>
      </c>
      <c r="Y910" t="s">
        <v>578</v>
      </c>
      <c r="Z910" t="s">
        <v>2997</v>
      </c>
      <c r="AA910" t="b">
        <f>ISNUMBER(SEARCH(";"&amp;Lessons[[#This Row],[Instrument__c]]&amp;";",";"&amp;_xlfn.XLOOKUP(Lessons[[#This Row],[Instructor_External_Id__c]], Instructors[Id], Instructors[Instruments_Taught__c])&amp;";"))</f>
        <v>1</v>
      </c>
      <c r="AB910" t="str">
        <f>IF(LEFT(Lessons[[#This Row],[Status__c]],9)="Cancelled","",Lessons[[#This Row],[Instructor_External_Id__c]]&amp;"|"&amp;TEXT(Lessons[[#This Row],[Lesson_Date__c]],"yyyy-mm-dd")&amp;"|"&amp;Lessons[[#This Row],[Start_Time__c]])</f>
        <v>a06ak00000amzCCAAY|2027-01-18|18:30:00.000Z</v>
      </c>
      <c r="AC910">
        <f>IF(Lessons[[#This Row],[Double Booked Key]]="","",COUNTIF(Lessons[Double Booked Key],Lessons[[#This Row],[Double Booked Key]]))</f>
        <v>1</v>
      </c>
      <c r="AD910" s="6" t="str">
        <f>_xlfn.XLOOKUP(Lessons[[#This Row],[Location_External_Id__c]], Locations[Location Id], Locations[Location Name])</f>
        <v>Brick</v>
      </c>
      <c r="AE910" s="6" t="str">
        <f>TEXT(Lessons[[#This Row],[Lesson_Date__c]], "yyyy-mm")</f>
        <v>2027-01</v>
      </c>
      <c r="AF910" s="6" t="str">
        <f>IF(Lessons[[#This Row],[Lesson_Date__c]]&lt;=Data_Audit!$F$1, "Yes", "No")</f>
        <v>No</v>
      </c>
    </row>
    <row r="911" spans="1:32">
      <c r="A911" t="s">
        <v>52</v>
      </c>
      <c r="B911" t="s">
        <v>2997</v>
      </c>
      <c r="C911">
        <v>30</v>
      </c>
      <c r="D911" t="s">
        <v>3321</v>
      </c>
      <c r="E911" t="s">
        <v>459</v>
      </c>
      <c r="F911" t="s">
        <v>460</v>
      </c>
      <c r="H911" t="s">
        <v>461</v>
      </c>
      <c r="I911" t="b">
        <v>0</v>
      </c>
      <c r="K911" t="s">
        <v>52</v>
      </c>
      <c r="L911" t="s">
        <v>2997</v>
      </c>
      <c r="O911" s="1">
        <v>46406</v>
      </c>
      <c r="P911" t="s">
        <v>3322</v>
      </c>
      <c r="Q911" t="s">
        <v>3323</v>
      </c>
      <c r="R911" t="s">
        <v>83</v>
      </c>
      <c r="S911" t="b">
        <v>0</v>
      </c>
      <c r="T911" t="b">
        <v>0</v>
      </c>
      <c r="U911" t="s">
        <v>3324</v>
      </c>
      <c r="V911" t="s">
        <v>74</v>
      </c>
      <c r="W911" t="s">
        <v>95</v>
      </c>
      <c r="X911" t="s">
        <v>2592</v>
      </c>
      <c r="Y911" t="s">
        <v>2593</v>
      </c>
      <c r="Z911" t="s">
        <v>2997</v>
      </c>
      <c r="AA911" t="b">
        <f>ISNUMBER(SEARCH(";"&amp;Lessons[[#This Row],[Instrument__c]]&amp;";",";"&amp;_xlfn.XLOOKUP(Lessons[[#This Row],[Instructor_External_Id__c]], Instructors[Id], Instructors[Instruments_Taught__c])&amp;";"))</f>
        <v>1</v>
      </c>
      <c r="AB911" t="str">
        <f>IF(LEFT(Lessons[[#This Row],[Status__c]],9)="Cancelled","",Lessons[[#This Row],[Instructor_External_Id__c]]&amp;"|"&amp;TEXT(Lessons[[#This Row],[Lesson_Date__c]],"yyyy-mm-dd")&amp;"|"&amp;Lessons[[#This Row],[Start_Time__c]])</f>
        <v>a06ak00000amzC8AAI|2027-01-19|16:30:00.000Z</v>
      </c>
      <c r="AC911">
        <f>IF(Lessons[[#This Row],[Double Booked Key]]="","",COUNTIF(Lessons[Double Booked Key],Lessons[[#This Row],[Double Booked Key]]))</f>
        <v>1</v>
      </c>
      <c r="AD911" s="6" t="str">
        <f>_xlfn.XLOOKUP(Lessons[[#This Row],[Location_External_Id__c]], Locations[Location Id], Locations[Location Name])</f>
        <v>Brick</v>
      </c>
      <c r="AE911" s="6" t="str">
        <f>TEXT(Lessons[[#This Row],[Lesson_Date__c]], "yyyy-mm")</f>
        <v>2027-01</v>
      </c>
      <c r="AF911" s="6" t="str">
        <f>IF(Lessons[[#This Row],[Lesson_Date__c]]&lt;=Data_Audit!$F$1, "Yes", "No")</f>
        <v>No</v>
      </c>
    </row>
    <row r="912" spans="1:32">
      <c r="A912" t="s">
        <v>52</v>
      </c>
      <c r="B912" t="s">
        <v>2997</v>
      </c>
      <c r="C912">
        <v>30</v>
      </c>
      <c r="D912" t="s">
        <v>3325</v>
      </c>
      <c r="E912" t="s">
        <v>573</v>
      </c>
      <c r="F912" t="s">
        <v>574</v>
      </c>
      <c r="H912" t="s">
        <v>461</v>
      </c>
      <c r="I912" t="b">
        <v>0</v>
      </c>
      <c r="K912" t="s">
        <v>52</v>
      </c>
      <c r="L912" t="s">
        <v>2997</v>
      </c>
      <c r="O912" s="1">
        <v>46406</v>
      </c>
      <c r="P912" t="s">
        <v>3326</v>
      </c>
      <c r="Q912" t="s">
        <v>3327</v>
      </c>
      <c r="R912" t="s">
        <v>150</v>
      </c>
      <c r="S912" t="b">
        <v>0</v>
      </c>
      <c r="T912" t="b">
        <v>0</v>
      </c>
      <c r="U912" t="s">
        <v>3328</v>
      </c>
      <c r="V912" t="s">
        <v>84</v>
      </c>
      <c r="W912" t="s">
        <v>95</v>
      </c>
      <c r="X912" t="s">
        <v>2567</v>
      </c>
      <c r="Y912" t="s">
        <v>2568</v>
      </c>
      <c r="Z912" t="s">
        <v>2997</v>
      </c>
      <c r="AA912" t="b">
        <f>ISNUMBER(SEARCH(";"&amp;Lessons[[#This Row],[Instrument__c]]&amp;";",";"&amp;_xlfn.XLOOKUP(Lessons[[#This Row],[Instructor_External_Id__c]], Instructors[Id], Instructors[Instruments_Taught__c])&amp;";"))</f>
        <v>1</v>
      </c>
      <c r="AB912" t="str">
        <f>IF(LEFT(Lessons[[#This Row],[Status__c]],9)="Cancelled","",Lessons[[#This Row],[Instructor_External_Id__c]]&amp;"|"&amp;TEXT(Lessons[[#This Row],[Lesson_Date__c]],"yyyy-mm-dd")&amp;"|"&amp;Lessons[[#This Row],[Start_Time__c]])</f>
        <v>a06ak00000amzCCAAY|2027-01-19|17:00:00.000Z</v>
      </c>
      <c r="AC912">
        <f>IF(Lessons[[#This Row],[Double Booked Key]]="","",COUNTIF(Lessons[Double Booked Key],Lessons[[#This Row],[Double Booked Key]]))</f>
        <v>1</v>
      </c>
      <c r="AD912" s="6" t="str">
        <f>_xlfn.XLOOKUP(Lessons[[#This Row],[Location_External_Id__c]], Locations[Location Id], Locations[Location Name])</f>
        <v>Toms River</v>
      </c>
      <c r="AE912" s="6" t="str">
        <f>TEXT(Lessons[[#This Row],[Lesson_Date__c]], "yyyy-mm")</f>
        <v>2027-01</v>
      </c>
      <c r="AF912" s="6" t="str">
        <f>IF(Lessons[[#This Row],[Lesson_Date__c]]&lt;=Data_Audit!$F$1, "Yes", "No")</f>
        <v>No</v>
      </c>
    </row>
    <row r="913" spans="1:32">
      <c r="A913" t="s">
        <v>52</v>
      </c>
      <c r="B913" t="s">
        <v>2997</v>
      </c>
      <c r="C913">
        <v>60</v>
      </c>
      <c r="D913" t="s">
        <v>3329</v>
      </c>
      <c r="E913" t="s">
        <v>459</v>
      </c>
      <c r="F913" t="s">
        <v>460</v>
      </c>
      <c r="H913" t="s">
        <v>461</v>
      </c>
      <c r="I913" t="b">
        <v>0</v>
      </c>
      <c r="K913" t="s">
        <v>52</v>
      </c>
      <c r="L913" t="s">
        <v>2997</v>
      </c>
      <c r="O913" s="1">
        <v>46406</v>
      </c>
      <c r="P913" t="s">
        <v>3330</v>
      </c>
      <c r="Q913" t="s">
        <v>3331</v>
      </c>
      <c r="R913" t="s">
        <v>150</v>
      </c>
      <c r="S913" t="b">
        <v>0</v>
      </c>
      <c r="T913" t="b">
        <v>0</v>
      </c>
      <c r="U913" t="s">
        <v>3332</v>
      </c>
      <c r="V913" t="s">
        <v>120</v>
      </c>
      <c r="W913" t="s">
        <v>95</v>
      </c>
      <c r="X913" t="s">
        <v>1642</v>
      </c>
      <c r="Y913" t="s">
        <v>1643</v>
      </c>
      <c r="Z913" t="s">
        <v>2997</v>
      </c>
      <c r="AA913" t="b">
        <f>ISNUMBER(SEARCH(";"&amp;Lessons[[#This Row],[Instrument__c]]&amp;";",";"&amp;_xlfn.XLOOKUP(Lessons[[#This Row],[Instructor_External_Id__c]], Instructors[Id], Instructors[Instruments_Taught__c])&amp;";"))</f>
        <v>1</v>
      </c>
      <c r="AB913" t="str">
        <f>IF(LEFT(Lessons[[#This Row],[Status__c]],9)="Cancelled","",Lessons[[#This Row],[Instructor_External_Id__c]]&amp;"|"&amp;TEXT(Lessons[[#This Row],[Lesson_Date__c]],"yyyy-mm-dd")&amp;"|"&amp;Lessons[[#This Row],[Start_Time__c]])</f>
        <v>a06ak00000amzC8AAI|2027-01-19|18:00:00.000Z</v>
      </c>
      <c r="AC913">
        <f>IF(Lessons[[#This Row],[Double Booked Key]]="","",COUNTIF(Lessons[Double Booked Key],Lessons[[#This Row],[Double Booked Key]]))</f>
        <v>1</v>
      </c>
      <c r="AD913" s="6" t="str">
        <f>_xlfn.XLOOKUP(Lessons[[#This Row],[Location_External_Id__c]], Locations[Location Id], Locations[Location Name])</f>
        <v>Toms River</v>
      </c>
      <c r="AE913" s="6" t="str">
        <f>TEXT(Lessons[[#This Row],[Lesson_Date__c]], "yyyy-mm")</f>
        <v>2027-01</v>
      </c>
      <c r="AF913" s="6" t="str">
        <f>IF(Lessons[[#This Row],[Lesson_Date__c]]&lt;=Data_Audit!$F$1, "Yes", "No")</f>
        <v>No</v>
      </c>
    </row>
    <row r="914" spans="1:32">
      <c r="A914" t="s">
        <v>52</v>
      </c>
      <c r="B914" t="s">
        <v>2997</v>
      </c>
      <c r="C914">
        <v>30</v>
      </c>
      <c r="D914" t="s">
        <v>3333</v>
      </c>
      <c r="E914" t="s">
        <v>804</v>
      </c>
      <c r="F914" t="s">
        <v>805</v>
      </c>
      <c r="H914" t="s">
        <v>147</v>
      </c>
      <c r="I914" t="b">
        <v>0</v>
      </c>
      <c r="K914" t="s">
        <v>52</v>
      </c>
      <c r="L914" t="s">
        <v>2997</v>
      </c>
      <c r="O914" s="1">
        <v>46406</v>
      </c>
      <c r="P914" t="s">
        <v>3334</v>
      </c>
      <c r="Q914" t="s">
        <v>3335</v>
      </c>
      <c r="R914" t="s">
        <v>63</v>
      </c>
      <c r="S914" t="b">
        <v>0</v>
      </c>
      <c r="T914" t="b">
        <v>0</v>
      </c>
      <c r="U914" t="s">
        <v>3336</v>
      </c>
      <c r="V914" t="s">
        <v>94</v>
      </c>
      <c r="W914" t="s">
        <v>95</v>
      </c>
      <c r="X914" t="s">
        <v>808</v>
      </c>
      <c r="Y914" t="s">
        <v>809</v>
      </c>
      <c r="Z914" t="s">
        <v>2997</v>
      </c>
      <c r="AA914" t="b">
        <f>ISNUMBER(SEARCH(";"&amp;Lessons[[#This Row],[Instrument__c]]&amp;";",";"&amp;_xlfn.XLOOKUP(Lessons[[#This Row],[Instructor_External_Id__c]], Instructors[Id], Instructors[Instruments_Taught__c])&amp;";"))</f>
        <v>1</v>
      </c>
      <c r="AB914" t="str">
        <f>IF(LEFT(Lessons[[#This Row],[Status__c]],9)="Cancelled","",Lessons[[#This Row],[Instructor_External_Id__c]]&amp;"|"&amp;TEXT(Lessons[[#This Row],[Lesson_Date__c]],"yyyy-mm-dd")&amp;"|"&amp;Lessons[[#This Row],[Start_Time__c]])</f>
        <v>a06ak00000amzCBAAY|2027-01-19|19:00:00.000Z</v>
      </c>
      <c r="AC914">
        <f>IF(Lessons[[#This Row],[Double Booked Key]]="","",COUNTIF(Lessons[Double Booked Key],Lessons[[#This Row],[Double Booked Key]]))</f>
        <v>1</v>
      </c>
      <c r="AD914" s="6" t="str">
        <f>_xlfn.XLOOKUP(Lessons[[#This Row],[Location_External_Id__c]], Locations[Location Id], Locations[Location Name])</f>
        <v>Red Bank</v>
      </c>
      <c r="AE914" s="6" t="str">
        <f>TEXT(Lessons[[#This Row],[Lesson_Date__c]], "yyyy-mm")</f>
        <v>2027-01</v>
      </c>
      <c r="AF914" s="6" t="str">
        <f>IF(Lessons[[#This Row],[Lesson_Date__c]]&lt;=Data_Audit!$F$1, "Yes", "No")</f>
        <v>No</v>
      </c>
    </row>
    <row r="915" spans="1:32">
      <c r="A915" t="s">
        <v>52</v>
      </c>
      <c r="B915" t="s">
        <v>2997</v>
      </c>
      <c r="C915">
        <v>30</v>
      </c>
      <c r="D915" t="s">
        <v>3337</v>
      </c>
      <c r="E915" t="s">
        <v>777</v>
      </c>
      <c r="F915" t="s">
        <v>778</v>
      </c>
      <c r="H915" t="s">
        <v>392</v>
      </c>
      <c r="I915" t="b">
        <v>0</v>
      </c>
      <c r="K915" t="s">
        <v>52</v>
      </c>
      <c r="L915" t="s">
        <v>2997</v>
      </c>
      <c r="O915" s="1">
        <v>46407</v>
      </c>
      <c r="P915" t="s">
        <v>3338</v>
      </c>
      <c r="Q915" t="s">
        <v>3339</v>
      </c>
      <c r="R915" t="s">
        <v>83</v>
      </c>
      <c r="S915" t="b">
        <v>0</v>
      </c>
      <c r="T915" t="b">
        <v>0</v>
      </c>
      <c r="U915" t="s">
        <v>3340</v>
      </c>
      <c r="V915" t="s">
        <v>140</v>
      </c>
      <c r="W915" t="s">
        <v>95</v>
      </c>
      <c r="X915" t="s">
        <v>1750</v>
      </c>
      <c r="Y915" t="s">
        <v>1751</v>
      </c>
      <c r="Z915" t="s">
        <v>2997</v>
      </c>
      <c r="AA915" t="b">
        <f>ISNUMBER(SEARCH(";"&amp;Lessons[[#This Row],[Instrument__c]]&amp;";",";"&amp;_xlfn.XLOOKUP(Lessons[[#This Row],[Instructor_External_Id__c]], Instructors[Id], Instructors[Instruments_Taught__c])&amp;";"))</f>
        <v>1</v>
      </c>
      <c r="AB915" t="str">
        <f>IF(LEFT(Lessons[[#This Row],[Status__c]],9)="Cancelled","",Lessons[[#This Row],[Instructor_External_Id__c]]&amp;"|"&amp;TEXT(Lessons[[#This Row],[Lesson_Date__c]],"yyyy-mm-dd")&amp;"|"&amp;Lessons[[#This Row],[Start_Time__c]])</f>
        <v>a06ak00000amzByAAI|2027-01-20|15:00:00.000Z</v>
      </c>
      <c r="AC915">
        <f>IF(Lessons[[#This Row],[Double Booked Key]]="","",COUNTIF(Lessons[Double Booked Key],Lessons[[#This Row],[Double Booked Key]]))</f>
        <v>1</v>
      </c>
      <c r="AD915" s="6" t="str">
        <f>_xlfn.XLOOKUP(Lessons[[#This Row],[Location_External_Id__c]], Locations[Location Id], Locations[Location Name])</f>
        <v>Brick</v>
      </c>
      <c r="AE915" s="6" t="str">
        <f>TEXT(Lessons[[#This Row],[Lesson_Date__c]], "yyyy-mm")</f>
        <v>2027-01</v>
      </c>
      <c r="AF915" s="6" t="str">
        <f>IF(Lessons[[#This Row],[Lesson_Date__c]]&lt;=Data_Audit!$F$1, "Yes", "No")</f>
        <v>No</v>
      </c>
    </row>
    <row r="916" spans="1:32">
      <c r="A916" t="s">
        <v>52</v>
      </c>
      <c r="B916" t="s">
        <v>2997</v>
      </c>
      <c r="C916">
        <v>30</v>
      </c>
      <c r="D916" t="s">
        <v>3341</v>
      </c>
      <c r="E916" t="s">
        <v>243</v>
      </c>
      <c r="F916" t="s">
        <v>244</v>
      </c>
      <c r="H916" t="s">
        <v>237</v>
      </c>
      <c r="I916" t="b">
        <v>0</v>
      </c>
      <c r="K916" t="s">
        <v>52</v>
      </c>
      <c r="L916" t="s">
        <v>2997</v>
      </c>
      <c r="O916" s="1">
        <v>46407</v>
      </c>
      <c r="P916" t="s">
        <v>3342</v>
      </c>
      <c r="Q916" t="s">
        <v>3343</v>
      </c>
      <c r="R916" t="s">
        <v>83</v>
      </c>
      <c r="S916" t="b">
        <v>0</v>
      </c>
      <c r="T916" t="b">
        <v>0</v>
      </c>
      <c r="U916" t="s">
        <v>3344</v>
      </c>
      <c r="V916" t="s">
        <v>102</v>
      </c>
      <c r="W916" t="s">
        <v>95</v>
      </c>
      <c r="X916" t="s">
        <v>240</v>
      </c>
      <c r="Y916" t="s">
        <v>241</v>
      </c>
      <c r="Z916" t="s">
        <v>2997</v>
      </c>
      <c r="AA916" t="b">
        <f>ISNUMBER(SEARCH(";"&amp;Lessons[[#This Row],[Instrument__c]]&amp;";",";"&amp;_xlfn.XLOOKUP(Lessons[[#This Row],[Instructor_External_Id__c]], Instructors[Id], Instructors[Instruments_Taught__c])&amp;";"))</f>
        <v>1</v>
      </c>
      <c r="AB916" t="str">
        <f>IF(LEFT(Lessons[[#This Row],[Status__c]],9)="Cancelled","",Lessons[[#This Row],[Instructor_External_Id__c]]&amp;"|"&amp;TEXT(Lessons[[#This Row],[Lesson_Date__c]],"yyyy-mm-dd")&amp;"|"&amp;Lessons[[#This Row],[Start_Time__c]])</f>
        <v>a06ak00000amzC1AAI|2027-01-20|16:00:00.000Z</v>
      </c>
      <c r="AC916">
        <f>IF(Lessons[[#This Row],[Double Booked Key]]="","",COUNTIF(Lessons[Double Booked Key],Lessons[[#This Row],[Double Booked Key]]))</f>
        <v>1</v>
      </c>
      <c r="AD916" s="6" t="str">
        <f>_xlfn.XLOOKUP(Lessons[[#This Row],[Location_External_Id__c]], Locations[Location Id], Locations[Location Name])</f>
        <v>Brick</v>
      </c>
      <c r="AE916" s="6" t="str">
        <f>TEXT(Lessons[[#This Row],[Lesson_Date__c]], "yyyy-mm")</f>
        <v>2027-01</v>
      </c>
      <c r="AF916" s="6" t="str">
        <f>IF(Lessons[[#This Row],[Lesson_Date__c]]&lt;=Data_Audit!$F$1, "Yes", "No")</f>
        <v>No</v>
      </c>
    </row>
    <row r="917" spans="1:32">
      <c r="A917" t="s">
        <v>52</v>
      </c>
      <c r="B917" t="s">
        <v>2997</v>
      </c>
      <c r="C917">
        <v>60</v>
      </c>
      <c r="D917" t="s">
        <v>3345</v>
      </c>
      <c r="E917" t="s">
        <v>401</v>
      </c>
      <c r="F917" t="s">
        <v>402</v>
      </c>
      <c r="H917" t="s">
        <v>263</v>
      </c>
      <c r="I917" t="b">
        <v>0</v>
      </c>
      <c r="K917" t="s">
        <v>52</v>
      </c>
      <c r="L917" t="s">
        <v>2997</v>
      </c>
      <c r="O917" s="1">
        <v>46407</v>
      </c>
      <c r="P917" t="s">
        <v>3346</v>
      </c>
      <c r="Q917" t="s">
        <v>3347</v>
      </c>
      <c r="R917" t="s">
        <v>150</v>
      </c>
      <c r="S917" t="b">
        <v>0</v>
      </c>
      <c r="T917" t="b">
        <v>0</v>
      </c>
      <c r="U917" t="s">
        <v>3348</v>
      </c>
      <c r="V917" t="s">
        <v>128</v>
      </c>
      <c r="W917" t="s">
        <v>95</v>
      </c>
      <c r="X917" t="s">
        <v>405</v>
      </c>
      <c r="Y917" t="s">
        <v>406</v>
      </c>
      <c r="Z917" t="s">
        <v>2997</v>
      </c>
      <c r="AA917" t="b">
        <f>ISNUMBER(SEARCH(";"&amp;Lessons[[#This Row],[Instrument__c]]&amp;";",";"&amp;_xlfn.XLOOKUP(Lessons[[#This Row],[Instructor_External_Id__c]], Instructors[Id], Instructors[Instruments_Taught__c])&amp;";"))</f>
        <v>1</v>
      </c>
      <c r="AB917" t="str">
        <f>IF(LEFT(Lessons[[#This Row],[Status__c]],9)="Cancelled","",Lessons[[#This Row],[Instructor_External_Id__c]]&amp;"|"&amp;TEXT(Lessons[[#This Row],[Lesson_Date__c]],"yyyy-mm-dd")&amp;"|"&amp;Lessons[[#This Row],[Start_Time__c]])</f>
        <v>a06ak00000amzBfAAI|2027-01-20|18:30:00.000Z</v>
      </c>
      <c r="AC917">
        <f>IF(Lessons[[#This Row],[Double Booked Key]]="","",COUNTIF(Lessons[Double Booked Key],Lessons[[#This Row],[Double Booked Key]]))</f>
        <v>1</v>
      </c>
      <c r="AD917" s="6" t="str">
        <f>_xlfn.XLOOKUP(Lessons[[#This Row],[Location_External_Id__c]], Locations[Location Id], Locations[Location Name])</f>
        <v>Toms River</v>
      </c>
      <c r="AE917" s="6" t="str">
        <f>TEXT(Lessons[[#This Row],[Lesson_Date__c]], "yyyy-mm")</f>
        <v>2027-01</v>
      </c>
      <c r="AF917" s="6" t="str">
        <f>IF(Lessons[[#This Row],[Lesson_Date__c]]&lt;=Data_Audit!$F$1, "Yes", "No")</f>
        <v>No</v>
      </c>
    </row>
    <row r="918" spans="1:32">
      <c r="A918" t="s">
        <v>52</v>
      </c>
      <c r="B918" t="s">
        <v>2997</v>
      </c>
      <c r="C918">
        <v>60</v>
      </c>
      <c r="D918" t="s">
        <v>3349</v>
      </c>
      <c r="E918" t="s">
        <v>777</v>
      </c>
      <c r="F918" t="s">
        <v>778</v>
      </c>
      <c r="H918" t="s">
        <v>392</v>
      </c>
      <c r="I918" t="b">
        <v>0</v>
      </c>
      <c r="K918" t="s">
        <v>52</v>
      </c>
      <c r="L918" t="s">
        <v>2997</v>
      </c>
      <c r="O918" s="1">
        <v>46408</v>
      </c>
      <c r="P918" t="s">
        <v>3350</v>
      </c>
      <c r="Q918" t="s">
        <v>3351</v>
      </c>
      <c r="R918" t="s">
        <v>83</v>
      </c>
      <c r="S918" t="b">
        <v>0</v>
      </c>
      <c r="T918" t="b">
        <v>0</v>
      </c>
      <c r="U918" t="s">
        <v>3352</v>
      </c>
      <c r="V918" t="s">
        <v>135</v>
      </c>
      <c r="W918" t="s">
        <v>95</v>
      </c>
      <c r="X918" t="s">
        <v>497</v>
      </c>
      <c r="Y918" t="s">
        <v>498</v>
      </c>
      <c r="Z918" t="s">
        <v>2997</v>
      </c>
      <c r="AA918" t="b">
        <f>ISNUMBER(SEARCH(";"&amp;Lessons[[#This Row],[Instrument__c]]&amp;";",";"&amp;_xlfn.XLOOKUP(Lessons[[#This Row],[Instructor_External_Id__c]], Instructors[Id], Instructors[Instruments_Taught__c])&amp;";"))</f>
        <v>1</v>
      </c>
      <c r="AB918" t="str">
        <f>IF(LEFT(Lessons[[#This Row],[Status__c]],9)="Cancelled","",Lessons[[#This Row],[Instructor_External_Id__c]]&amp;"|"&amp;TEXT(Lessons[[#This Row],[Lesson_Date__c]],"yyyy-mm-dd")&amp;"|"&amp;Lessons[[#This Row],[Start_Time__c]])</f>
        <v>a06ak00000amzByAAI|2027-01-21|15:30:00.000Z</v>
      </c>
      <c r="AC918">
        <f>IF(Lessons[[#This Row],[Double Booked Key]]="","",COUNTIF(Lessons[Double Booked Key],Lessons[[#This Row],[Double Booked Key]]))</f>
        <v>1</v>
      </c>
      <c r="AD918" s="6" t="str">
        <f>_xlfn.XLOOKUP(Lessons[[#This Row],[Location_External_Id__c]], Locations[Location Id], Locations[Location Name])</f>
        <v>Brick</v>
      </c>
      <c r="AE918" s="6" t="str">
        <f>TEXT(Lessons[[#This Row],[Lesson_Date__c]], "yyyy-mm")</f>
        <v>2027-01</v>
      </c>
      <c r="AF918" s="6" t="str">
        <f>IF(Lessons[[#This Row],[Lesson_Date__c]]&lt;=Data_Audit!$F$1, "Yes", "No")</f>
        <v>No</v>
      </c>
    </row>
    <row r="919" spans="1:32">
      <c r="A919" t="s">
        <v>52</v>
      </c>
      <c r="B919" t="s">
        <v>2997</v>
      </c>
      <c r="C919">
        <v>30</v>
      </c>
      <c r="D919" t="s">
        <v>3353</v>
      </c>
      <c r="E919" t="s">
        <v>804</v>
      </c>
      <c r="F919" t="s">
        <v>805</v>
      </c>
      <c r="H919" t="s">
        <v>147</v>
      </c>
      <c r="I919" t="b">
        <v>0</v>
      </c>
      <c r="K919" t="s">
        <v>52</v>
      </c>
      <c r="L919" t="s">
        <v>2997</v>
      </c>
      <c r="O919" s="1">
        <v>46408</v>
      </c>
      <c r="P919" t="s">
        <v>3354</v>
      </c>
      <c r="Q919" t="s">
        <v>3355</v>
      </c>
      <c r="R919" t="s">
        <v>63</v>
      </c>
      <c r="S919" t="b">
        <v>0</v>
      </c>
      <c r="T919" t="b">
        <v>0</v>
      </c>
      <c r="U919" t="s">
        <v>3356</v>
      </c>
      <c r="V919" t="s">
        <v>116</v>
      </c>
      <c r="W919" t="s">
        <v>95</v>
      </c>
      <c r="X919" t="s">
        <v>1617</v>
      </c>
      <c r="Y919" t="s">
        <v>1618</v>
      </c>
      <c r="Z919" t="s">
        <v>2997</v>
      </c>
      <c r="AA919" t="b">
        <f>ISNUMBER(SEARCH(";"&amp;Lessons[[#This Row],[Instrument__c]]&amp;";",";"&amp;_xlfn.XLOOKUP(Lessons[[#This Row],[Instructor_External_Id__c]], Instructors[Id], Instructors[Instruments_Taught__c])&amp;";"))</f>
        <v>1</v>
      </c>
      <c r="AB919" t="str">
        <f>IF(LEFT(Lessons[[#This Row],[Status__c]],9)="Cancelled","",Lessons[[#This Row],[Instructor_External_Id__c]]&amp;"|"&amp;TEXT(Lessons[[#This Row],[Lesson_Date__c]],"yyyy-mm-dd")&amp;"|"&amp;Lessons[[#This Row],[Start_Time__c]])</f>
        <v>a06ak00000amzCBAAY|2027-01-21|17:30:00.000Z</v>
      </c>
      <c r="AC919">
        <f>IF(Lessons[[#This Row],[Double Booked Key]]="","",COUNTIF(Lessons[Double Booked Key],Lessons[[#This Row],[Double Booked Key]]))</f>
        <v>1</v>
      </c>
      <c r="AD919" s="6" t="str">
        <f>_xlfn.XLOOKUP(Lessons[[#This Row],[Location_External_Id__c]], Locations[Location Id], Locations[Location Name])</f>
        <v>Red Bank</v>
      </c>
      <c r="AE919" s="6" t="str">
        <f>TEXT(Lessons[[#This Row],[Lesson_Date__c]], "yyyy-mm")</f>
        <v>2027-01</v>
      </c>
      <c r="AF919" s="6" t="str">
        <f>IF(Lessons[[#This Row],[Lesson_Date__c]]&lt;=Data_Audit!$F$1, "Yes", "No")</f>
        <v>No</v>
      </c>
    </row>
    <row r="920" spans="1:32">
      <c r="A920" t="s">
        <v>52</v>
      </c>
      <c r="B920" t="s">
        <v>2997</v>
      </c>
      <c r="C920">
        <v>45</v>
      </c>
      <c r="D920" t="s">
        <v>3357</v>
      </c>
      <c r="E920" t="s">
        <v>777</v>
      </c>
      <c r="F920" t="s">
        <v>778</v>
      </c>
      <c r="H920" t="s">
        <v>527</v>
      </c>
      <c r="I920" t="b">
        <v>0</v>
      </c>
      <c r="K920" t="s">
        <v>52</v>
      </c>
      <c r="L920" t="s">
        <v>2997</v>
      </c>
      <c r="O920" s="1">
        <v>46408</v>
      </c>
      <c r="P920" t="s">
        <v>3358</v>
      </c>
      <c r="Q920" t="s">
        <v>3359</v>
      </c>
      <c r="R920" t="s">
        <v>150</v>
      </c>
      <c r="S920" t="b">
        <v>0</v>
      </c>
      <c r="T920" t="b">
        <v>0</v>
      </c>
      <c r="U920" t="s">
        <v>3360</v>
      </c>
      <c r="V920" t="s">
        <v>94</v>
      </c>
      <c r="W920" t="s">
        <v>95</v>
      </c>
      <c r="X920" t="s">
        <v>2422</v>
      </c>
      <c r="Y920" t="s">
        <v>2423</v>
      </c>
      <c r="Z920" t="s">
        <v>2997</v>
      </c>
      <c r="AA920" t="b">
        <f>ISNUMBER(SEARCH(";"&amp;Lessons[[#This Row],[Instrument__c]]&amp;";",";"&amp;_xlfn.XLOOKUP(Lessons[[#This Row],[Instructor_External_Id__c]], Instructors[Id], Instructors[Instruments_Taught__c])&amp;";"))</f>
        <v>1</v>
      </c>
      <c r="AB920" t="str">
        <f>IF(LEFT(Lessons[[#This Row],[Status__c]],9)="Cancelled","",Lessons[[#This Row],[Instructor_External_Id__c]]&amp;"|"&amp;TEXT(Lessons[[#This Row],[Lesson_Date__c]],"yyyy-mm-dd")&amp;"|"&amp;Lessons[[#This Row],[Start_Time__c]])</f>
        <v>a06ak00000amzByAAI|2027-01-21|19:00:00.000Z</v>
      </c>
      <c r="AC920">
        <f>IF(Lessons[[#This Row],[Double Booked Key]]="","",COUNTIF(Lessons[Double Booked Key],Lessons[[#This Row],[Double Booked Key]]))</f>
        <v>1</v>
      </c>
      <c r="AD920" s="6" t="str">
        <f>_xlfn.XLOOKUP(Lessons[[#This Row],[Location_External_Id__c]], Locations[Location Id], Locations[Location Name])</f>
        <v>Toms River</v>
      </c>
      <c r="AE920" s="6" t="str">
        <f>TEXT(Lessons[[#This Row],[Lesson_Date__c]], "yyyy-mm")</f>
        <v>2027-01</v>
      </c>
      <c r="AF920" s="6" t="str">
        <f>IF(Lessons[[#This Row],[Lesson_Date__c]]&lt;=Data_Audit!$F$1, "Yes", "No")</f>
        <v>No</v>
      </c>
    </row>
    <row r="921" spans="1:32">
      <c r="A921" t="s">
        <v>52</v>
      </c>
      <c r="B921" t="s">
        <v>2997</v>
      </c>
      <c r="C921">
        <v>30</v>
      </c>
      <c r="D921" t="s">
        <v>3361</v>
      </c>
      <c r="E921" t="s">
        <v>573</v>
      </c>
      <c r="F921" t="s">
        <v>574</v>
      </c>
      <c r="H921" t="s">
        <v>461</v>
      </c>
      <c r="I921" t="b">
        <v>0</v>
      </c>
      <c r="K921" t="s">
        <v>52</v>
      </c>
      <c r="L921" t="s">
        <v>2997</v>
      </c>
      <c r="O921" s="1">
        <v>46409</v>
      </c>
      <c r="P921" t="s">
        <v>3362</v>
      </c>
      <c r="Q921" t="s">
        <v>3363</v>
      </c>
      <c r="R921" t="s">
        <v>83</v>
      </c>
      <c r="S921" t="b">
        <v>0</v>
      </c>
      <c r="T921" t="b">
        <v>0</v>
      </c>
      <c r="U921" t="s">
        <v>3364</v>
      </c>
      <c r="V921" t="s">
        <v>135</v>
      </c>
      <c r="W921" t="s">
        <v>95</v>
      </c>
      <c r="X921" t="s">
        <v>1047</v>
      </c>
      <c r="Y921" t="s">
        <v>1048</v>
      </c>
      <c r="Z921" t="s">
        <v>2997</v>
      </c>
      <c r="AA921" t="b">
        <f>ISNUMBER(SEARCH(";"&amp;Lessons[[#This Row],[Instrument__c]]&amp;";",";"&amp;_xlfn.XLOOKUP(Lessons[[#This Row],[Instructor_External_Id__c]], Instructors[Id], Instructors[Instruments_Taught__c])&amp;";"))</f>
        <v>1</v>
      </c>
      <c r="AB921" t="str">
        <f>IF(LEFT(Lessons[[#This Row],[Status__c]],9)="Cancelled","",Lessons[[#This Row],[Instructor_External_Id__c]]&amp;"|"&amp;TEXT(Lessons[[#This Row],[Lesson_Date__c]],"yyyy-mm-dd")&amp;"|"&amp;Lessons[[#This Row],[Start_Time__c]])</f>
        <v>a06ak00000amzCCAAY|2027-01-22|15:30:00.000Z</v>
      </c>
      <c r="AC921">
        <f>IF(Lessons[[#This Row],[Double Booked Key]]="","",COUNTIF(Lessons[Double Booked Key],Lessons[[#This Row],[Double Booked Key]]))</f>
        <v>1</v>
      </c>
      <c r="AD921" s="6" t="str">
        <f>_xlfn.XLOOKUP(Lessons[[#This Row],[Location_External_Id__c]], Locations[Location Id], Locations[Location Name])</f>
        <v>Brick</v>
      </c>
      <c r="AE921" s="6" t="str">
        <f>TEXT(Lessons[[#This Row],[Lesson_Date__c]], "yyyy-mm")</f>
        <v>2027-01</v>
      </c>
      <c r="AF921" s="6" t="str">
        <f>IF(Lessons[[#This Row],[Lesson_Date__c]]&lt;=Data_Audit!$F$1, "Yes", "No")</f>
        <v>No</v>
      </c>
    </row>
    <row r="922" spans="1:32">
      <c r="A922" t="s">
        <v>52</v>
      </c>
      <c r="B922" t="s">
        <v>2997</v>
      </c>
      <c r="C922">
        <v>30</v>
      </c>
      <c r="D922" t="s">
        <v>3365</v>
      </c>
      <c r="E922" t="s">
        <v>282</v>
      </c>
      <c r="F922" t="s">
        <v>283</v>
      </c>
      <c r="H922" t="s">
        <v>284</v>
      </c>
      <c r="I922" t="b">
        <v>0</v>
      </c>
      <c r="K922" t="s">
        <v>52</v>
      </c>
      <c r="L922" t="s">
        <v>2997</v>
      </c>
      <c r="O922" s="1">
        <v>46409</v>
      </c>
      <c r="P922" t="s">
        <v>3366</v>
      </c>
      <c r="Q922" t="s">
        <v>3367</v>
      </c>
      <c r="R922" t="s">
        <v>83</v>
      </c>
      <c r="S922" t="b">
        <v>0</v>
      </c>
      <c r="T922" t="b">
        <v>0</v>
      </c>
      <c r="U922" t="s">
        <v>3368</v>
      </c>
      <c r="V922" t="s">
        <v>74</v>
      </c>
      <c r="W922" t="s">
        <v>95</v>
      </c>
      <c r="X922" t="s">
        <v>287</v>
      </c>
      <c r="Y922" t="s">
        <v>288</v>
      </c>
      <c r="Z922" t="s">
        <v>2997</v>
      </c>
      <c r="AA922" t="b">
        <f>ISNUMBER(SEARCH(";"&amp;Lessons[[#This Row],[Instrument__c]]&amp;";",";"&amp;_xlfn.XLOOKUP(Lessons[[#This Row],[Instructor_External_Id__c]], Instructors[Id], Instructors[Instruments_Taught__c])&amp;";"))</f>
        <v>1</v>
      </c>
      <c r="AB922" t="str">
        <f>IF(LEFT(Lessons[[#This Row],[Status__c]],9)="Cancelled","",Lessons[[#This Row],[Instructor_External_Id__c]]&amp;"|"&amp;TEXT(Lessons[[#This Row],[Lesson_Date__c]],"yyyy-mm-dd")&amp;"|"&amp;Lessons[[#This Row],[Start_Time__c]])</f>
        <v>a06ak00000amzBxAAI|2027-01-22|16:30:00.000Z</v>
      </c>
      <c r="AC922">
        <f>IF(Lessons[[#This Row],[Double Booked Key]]="","",COUNTIF(Lessons[Double Booked Key],Lessons[[#This Row],[Double Booked Key]]))</f>
        <v>1</v>
      </c>
      <c r="AD922" s="6" t="str">
        <f>_xlfn.XLOOKUP(Lessons[[#This Row],[Location_External_Id__c]], Locations[Location Id], Locations[Location Name])</f>
        <v>Brick</v>
      </c>
      <c r="AE922" s="6" t="str">
        <f>TEXT(Lessons[[#This Row],[Lesson_Date__c]], "yyyy-mm")</f>
        <v>2027-01</v>
      </c>
      <c r="AF922" s="6" t="str">
        <f>IF(Lessons[[#This Row],[Lesson_Date__c]]&lt;=Data_Audit!$F$1, "Yes", "No")</f>
        <v>No</v>
      </c>
    </row>
    <row r="923" spans="1:32">
      <c r="A923" t="s">
        <v>52</v>
      </c>
      <c r="B923" t="s">
        <v>2997</v>
      </c>
      <c r="C923">
        <v>30</v>
      </c>
      <c r="D923" t="s">
        <v>3369</v>
      </c>
      <c r="E923" t="s">
        <v>318</v>
      </c>
      <c r="F923" t="s">
        <v>319</v>
      </c>
      <c r="H923" t="s">
        <v>237</v>
      </c>
      <c r="I923" t="b">
        <v>0</v>
      </c>
      <c r="K923" t="s">
        <v>52</v>
      </c>
      <c r="L923" t="s">
        <v>2997</v>
      </c>
      <c r="O923" s="1">
        <v>46410</v>
      </c>
      <c r="P923" t="s">
        <v>3370</v>
      </c>
      <c r="Q923" t="s">
        <v>3371</v>
      </c>
      <c r="R923" t="s">
        <v>63</v>
      </c>
      <c r="S923" t="b">
        <v>0</v>
      </c>
      <c r="T923" t="b">
        <v>0</v>
      </c>
      <c r="U923" t="s">
        <v>3372</v>
      </c>
      <c r="V923" t="s">
        <v>3373</v>
      </c>
      <c r="W923" t="s">
        <v>95</v>
      </c>
      <c r="X923" t="s">
        <v>2842</v>
      </c>
      <c r="Y923" t="s">
        <v>2843</v>
      </c>
      <c r="Z923" t="s">
        <v>2997</v>
      </c>
      <c r="AA923" t="b">
        <f>ISNUMBER(SEARCH(";"&amp;Lessons[[#This Row],[Instrument__c]]&amp;";",";"&amp;_xlfn.XLOOKUP(Lessons[[#This Row],[Instructor_External_Id__c]], Instructors[Id], Instructors[Instruments_Taught__c])&amp;";"))</f>
        <v>1</v>
      </c>
      <c r="AB923" t="str">
        <f>IF(LEFT(Lessons[[#This Row],[Status__c]],9)="Cancelled","",Lessons[[#This Row],[Instructor_External_Id__c]]&amp;"|"&amp;TEXT(Lessons[[#This Row],[Lesson_Date__c]],"yyyy-mm-dd")&amp;"|"&amp;Lessons[[#This Row],[Start_Time__c]])</f>
        <v>a06ak00000amzBzAAI|2027-01-23|09:00:00.000Z</v>
      </c>
      <c r="AC923">
        <f>IF(Lessons[[#This Row],[Double Booked Key]]="","",COUNTIF(Lessons[Double Booked Key],Lessons[[#This Row],[Double Booked Key]]))</f>
        <v>1</v>
      </c>
      <c r="AD923" s="6" t="str">
        <f>_xlfn.XLOOKUP(Lessons[[#This Row],[Location_External_Id__c]], Locations[Location Id], Locations[Location Name])</f>
        <v>Red Bank</v>
      </c>
      <c r="AE923" s="6" t="str">
        <f>TEXT(Lessons[[#This Row],[Lesson_Date__c]], "yyyy-mm")</f>
        <v>2027-01</v>
      </c>
      <c r="AF923" s="6" t="str">
        <f>IF(Lessons[[#This Row],[Lesson_Date__c]]&lt;=Data_Audit!$F$1, "Yes", "No")</f>
        <v>No</v>
      </c>
    </row>
    <row r="924" spans="1:32">
      <c r="A924" t="s">
        <v>52</v>
      </c>
      <c r="B924" t="s">
        <v>2997</v>
      </c>
      <c r="C924">
        <v>30</v>
      </c>
      <c r="D924" t="s">
        <v>3374</v>
      </c>
      <c r="E924" t="s">
        <v>359</v>
      </c>
      <c r="F924" t="s">
        <v>360</v>
      </c>
      <c r="H924" t="s">
        <v>392</v>
      </c>
      <c r="I924" t="b">
        <v>0</v>
      </c>
      <c r="K924" t="s">
        <v>52</v>
      </c>
      <c r="L924" t="s">
        <v>2997</v>
      </c>
      <c r="O924" s="1">
        <v>46410</v>
      </c>
      <c r="P924" t="s">
        <v>3375</v>
      </c>
      <c r="Q924" t="s">
        <v>3376</v>
      </c>
      <c r="R924" t="s">
        <v>63</v>
      </c>
      <c r="S924" t="b">
        <v>0</v>
      </c>
      <c r="T924" t="b">
        <v>0</v>
      </c>
      <c r="U924" t="s">
        <v>3377</v>
      </c>
      <c r="V924" t="s">
        <v>3378</v>
      </c>
      <c r="W924" t="s">
        <v>95</v>
      </c>
      <c r="X924" t="s">
        <v>2356</v>
      </c>
      <c r="Y924" t="s">
        <v>2357</v>
      </c>
      <c r="Z924" t="s">
        <v>2997</v>
      </c>
      <c r="AA924" t="b">
        <f>ISNUMBER(SEARCH(";"&amp;Lessons[[#This Row],[Instrument__c]]&amp;";",";"&amp;_xlfn.XLOOKUP(Lessons[[#This Row],[Instructor_External_Id__c]], Instructors[Id], Instructors[Instruments_Taught__c])&amp;";"))</f>
        <v>1</v>
      </c>
      <c r="AB924" t="str">
        <f>IF(LEFT(Lessons[[#This Row],[Status__c]],9)="Cancelled","",Lessons[[#This Row],[Instructor_External_Id__c]]&amp;"|"&amp;TEXT(Lessons[[#This Row],[Lesson_Date__c]],"yyyy-mm-dd")&amp;"|"&amp;Lessons[[#This Row],[Start_Time__c]])</f>
        <v>a06ak00000amzBiAAI|2027-01-23|09:30:00.000Z</v>
      </c>
      <c r="AC924">
        <f>IF(Lessons[[#This Row],[Double Booked Key]]="","",COUNTIF(Lessons[Double Booked Key],Lessons[[#This Row],[Double Booked Key]]))</f>
        <v>1</v>
      </c>
      <c r="AD924" s="6" t="str">
        <f>_xlfn.XLOOKUP(Lessons[[#This Row],[Location_External_Id__c]], Locations[Location Id], Locations[Location Name])</f>
        <v>Red Bank</v>
      </c>
      <c r="AE924" s="6" t="str">
        <f>TEXT(Lessons[[#This Row],[Lesson_Date__c]], "yyyy-mm")</f>
        <v>2027-01</v>
      </c>
      <c r="AF924" s="6" t="str">
        <f>IF(Lessons[[#This Row],[Lesson_Date__c]]&lt;=Data_Audit!$F$1, "Yes", "No")</f>
        <v>No</v>
      </c>
    </row>
    <row r="925" spans="1:32">
      <c r="A925" t="s">
        <v>52</v>
      </c>
      <c r="B925" t="s">
        <v>2997</v>
      </c>
      <c r="C925">
        <v>30</v>
      </c>
      <c r="D925" t="s">
        <v>3379</v>
      </c>
      <c r="E925" t="s">
        <v>359</v>
      </c>
      <c r="F925" t="s">
        <v>360</v>
      </c>
      <c r="H925" t="s">
        <v>78</v>
      </c>
      <c r="I925" t="b">
        <v>0</v>
      </c>
      <c r="K925" t="s">
        <v>52</v>
      </c>
      <c r="L925" t="s">
        <v>2997</v>
      </c>
      <c r="O925" s="1">
        <v>46410</v>
      </c>
      <c r="P925" t="s">
        <v>3380</v>
      </c>
      <c r="Q925" t="s">
        <v>3381</v>
      </c>
      <c r="R925" t="s">
        <v>63</v>
      </c>
      <c r="S925" t="b">
        <v>0</v>
      </c>
      <c r="T925" t="b">
        <v>0</v>
      </c>
      <c r="U925" t="s">
        <v>3382</v>
      </c>
      <c r="V925" t="s">
        <v>110</v>
      </c>
      <c r="W925" t="s">
        <v>95</v>
      </c>
      <c r="X925" t="s">
        <v>481</v>
      </c>
      <c r="Y925" t="s">
        <v>482</v>
      </c>
      <c r="Z925" t="s">
        <v>2997</v>
      </c>
      <c r="AA925" t="b">
        <f>ISNUMBER(SEARCH(";"&amp;Lessons[[#This Row],[Instrument__c]]&amp;";",";"&amp;_xlfn.XLOOKUP(Lessons[[#This Row],[Instructor_External_Id__c]], Instructors[Id], Instructors[Instruments_Taught__c])&amp;";"))</f>
        <v>1</v>
      </c>
      <c r="AB925" t="str">
        <f>IF(LEFT(Lessons[[#This Row],[Status__c]],9)="Cancelled","",Lessons[[#This Row],[Instructor_External_Id__c]]&amp;"|"&amp;TEXT(Lessons[[#This Row],[Lesson_Date__c]],"yyyy-mm-dd")&amp;"|"&amp;Lessons[[#This Row],[Start_Time__c]])</f>
        <v>a06ak00000amzBiAAI|2027-01-23|10:00:00.000Z</v>
      </c>
      <c r="AC925">
        <f>IF(Lessons[[#This Row],[Double Booked Key]]="","",COUNTIF(Lessons[Double Booked Key],Lessons[[#This Row],[Double Booked Key]]))</f>
        <v>1</v>
      </c>
      <c r="AD925" s="6" t="str">
        <f>_xlfn.XLOOKUP(Lessons[[#This Row],[Location_External_Id__c]], Locations[Location Id], Locations[Location Name])</f>
        <v>Red Bank</v>
      </c>
      <c r="AE925" s="6" t="str">
        <f>TEXT(Lessons[[#This Row],[Lesson_Date__c]], "yyyy-mm")</f>
        <v>2027-01</v>
      </c>
      <c r="AF925" s="6" t="str">
        <f>IF(Lessons[[#This Row],[Lesson_Date__c]]&lt;=Data_Audit!$F$1, "Yes", "No")</f>
        <v>No</v>
      </c>
    </row>
    <row r="926" spans="1:32">
      <c r="A926" t="s">
        <v>52</v>
      </c>
      <c r="B926" t="s">
        <v>2997</v>
      </c>
      <c r="C926">
        <v>45</v>
      </c>
      <c r="D926" t="s">
        <v>3383</v>
      </c>
      <c r="E926" t="s">
        <v>318</v>
      </c>
      <c r="F926" t="s">
        <v>319</v>
      </c>
      <c r="H926" t="s">
        <v>237</v>
      </c>
      <c r="I926" t="b">
        <v>0</v>
      </c>
      <c r="K926" t="s">
        <v>52</v>
      </c>
      <c r="L926" t="s">
        <v>2997</v>
      </c>
      <c r="O926" s="1">
        <v>46410</v>
      </c>
      <c r="P926" t="s">
        <v>3384</v>
      </c>
      <c r="Q926" t="s">
        <v>3385</v>
      </c>
      <c r="R926" t="s">
        <v>63</v>
      </c>
      <c r="S926" t="b">
        <v>0</v>
      </c>
      <c r="T926" t="b">
        <v>0</v>
      </c>
      <c r="U926" t="s">
        <v>3386</v>
      </c>
      <c r="V926" t="s">
        <v>64</v>
      </c>
      <c r="W926" t="s">
        <v>95</v>
      </c>
      <c r="X926" t="s">
        <v>905</v>
      </c>
      <c r="Y926" t="s">
        <v>906</v>
      </c>
      <c r="Z926" t="s">
        <v>2997</v>
      </c>
      <c r="AA926" t="b">
        <f>ISNUMBER(SEARCH(";"&amp;Lessons[[#This Row],[Instrument__c]]&amp;";",";"&amp;_xlfn.XLOOKUP(Lessons[[#This Row],[Instructor_External_Id__c]], Instructors[Id], Instructors[Instruments_Taught__c])&amp;";"))</f>
        <v>1</v>
      </c>
      <c r="AB926" t="str">
        <f>IF(LEFT(Lessons[[#This Row],[Status__c]],9)="Cancelled","",Lessons[[#This Row],[Instructor_External_Id__c]]&amp;"|"&amp;TEXT(Lessons[[#This Row],[Lesson_Date__c]],"yyyy-mm-dd")&amp;"|"&amp;Lessons[[#This Row],[Start_Time__c]])</f>
        <v>a06ak00000amzBzAAI|2027-01-23|11:00:00.000Z</v>
      </c>
      <c r="AC926">
        <f>IF(Lessons[[#This Row],[Double Booked Key]]="","",COUNTIF(Lessons[Double Booked Key],Lessons[[#This Row],[Double Booked Key]]))</f>
        <v>1</v>
      </c>
      <c r="AD926" s="6" t="str">
        <f>_xlfn.XLOOKUP(Lessons[[#This Row],[Location_External_Id__c]], Locations[Location Id], Locations[Location Name])</f>
        <v>Red Bank</v>
      </c>
      <c r="AE926" s="6" t="str">
        <f>TEXT(Lessons[[#This Row],[Lesson_Date__c]], "yyyy-mm")</f>
        <v>2027-01</v>
      </c>
      <c r="AF926" s="6" t="str">
        <f>IF(Lessons[[#This Row],[Lesson_Date__c]]&lt;=Data_Audit!$F$1, "Yes", "No")</f>
        <v>No</v>
      </c>
    </row>
    <row r="927" spans="1:32">
      <c r="A927" t="s">
        <v>52</v>
      </c>
      <c r="B927" t="s">
        <v>2997</v>
      </c>
      <c r="C927">
        <v>30</v>
      </c>
      <c r="D927" t="s">
        <v>3387</v>
      </c>
      <c r="E927" t="s">
        <v>243</v>
      </c>
      <c r="F927" t="s">
        <v>244</v>
      </c>
      <c r="H927" t="s">
        <v>650</v>
      </c>
      <c r="I927" t="b">
        <v>0</v>
      </c>
      <c r="K927" t="s">
        <v>52</v>
      </c>
      <c r="L927" t="s">
        <v>2997</v>
      </c>
      <c r="O927" s="1">
        <v>46410</v>
      </c>
      <c r="P927" t="s">
        <v>3388</v>
      </c>
      <c r="Q927" t="s">
        <v>3389</v>
      </c>
      <c r="R927" t="s">
        <v>150</v>
      </c>
      <c r="S927" t="b">
        <v>0</v>
      </c>
      <c r="T927" t="b">
        <v>0</v>
      </c>
      <c r="U927" t="s">
        <v>3390</v>
      </c>
      <c r="V927" t="s">
        <v>3203</v>
      </c>
      <c r="W927" t="s">
        <v>95</v>
      </c>
      <c r="X927" t="s">
        <v>927</v>
      </c>
      <c r="Y927" t="s">
        <v>928</v>
      </c>
      <c r="Z927" t="s">
        <v>2997</v>
      </c>
      <c r="AA927" t="b">
        <f>ISNUMBER(SEARCH(";"&amp;Lessons[[#This Row],[Instrument__c]]&amp;";",";"&amp;_xlfn.XLOOKUP(Lessons[[#This Row],[Instructor_External_Id__c]], Instructors[Id], Instructors[Instruments_Taught__c])&amp;";"))</f>
        <v>1</v>
      </c>
      <c r="AB927" t="str">
        <f>IF(LEFT(Lessons[[#This Row],[Status__c]],9)="Cancelled","",Lessons[[#This Row],[Instructor_External_Id__c]]&amp;"|"&amp;TEXT(Lessons[[#This Row],[Lesson_Date__c]],"yyyy-mm-dd")&amp;"|"&amp;Lessons[[#This Row],[Start_Time__c]])</f>
        <v>a06ak00000amzC1AAI|2027-01-23|11:30:00.000Z</v>
      </c>
      <c r="AC927">
        <f>IF(Lessons[[#This Row],[Double Booked Key]]="","",COUNTIF(Lessons[Double Booked Key],Lessons[[#This Row],[Double Booked Key]]))</f>
        <v>1</v>
      </c>
      <c r="AD927" s="6" t="str">
        <f>_xlfn.XLOOKUP(Lessons[[#This Row],[Location_External_Id__c]], Locations[Location Id], Locations[Location Name])</f>
        <v>Toms River</v>
      </c>
      <c r="AE927" s="6" t="str">
        <f>TEXT(Lessons[[#This Row],[Lesson_Date__c]], "yyyy-mm")</f>
        <v>2027-01</v>
      </c>
      <c r="AF927" s="6" t="str">
        <f>IF(Lessons[[#This Row],[Lesson_Date__c]]&lt;=Data_Audit!$F$1, "Yes", "No")</f>
        <v>No</v>
      </c>
    </row>
    <row r="928" spans="1:32">
      <c r="A928" t="s">
        <v>52</v>
      </c>
      <c r="B928" t="s">
        <v>2997</v>
      </c>
      <c r="C928">
        <v>60</v>
      </c>
      <c r="D928" t="s">
        <v>3391</v>
      </c>
      <c r="E928" t="s">
        <v>459</v>
      </c>
      <c r="F928" t="s">
        <v>460</v>
      </c>
      <c r="H928" t="s">
        <v>107</v>
      </c>
      <c r="I928" t="b">
        <v>0</v>
      </c>
      <c r="K928" t="s">
        <v>52</v>
      </c>
      <c r="L928" t="s">
        <v>2997</v>
      </c>
      <c r="O928" s="1">
        <v>46410</v>
      </c>
      <c r="P928" t="s">
        <v>3392</v>
      </c>
      <c r="Q928" t="s">
        <v>3393</v>
      </c>
      <c r="R928" t="s">
        <v>83</v>
      </c>
      <c r="S928" t="b">
        <v>0</v>
      </c>
      <c r="T928" t="b">
        <v>0</v>
      </c>
      <c r="U928" t="s">
        <v>3394</v>
      </c>
      <c r="V928" t="s">
        <v>3208</v>
      </c>
      <c r="W928" t="s">
        <v>95</v>
      </c>
      <c r="X928" t="s">
        <v>2430</v>
      </c>
      <c r="Y928" t="s">
        <v>2431</v>
      </c>
      <c r="Z928" t="s">
        <v>2997</v>
      </c>
      <c r="AA928" t="b">
        <f>ISNUMBER(SEARCH(";"&amp;Lessons[[#This Row],[Instrument__c]]&amp;";",";"&amp;_xlfn.XLOOKUP(Lessons[[#This Row],[Instructor_External_Id__c]], Instructors[Id], Instructors[Instruments_Taught__c])&amp;";"))</f>
        <v>1</v>
      </c>
      <c r="AB928" t="str">
        <f>IF(LEFT(Lessons[[#This Row],[Status__c]],9)="Cancelled","",Lessons[[#This Row],[Instructor_External_Id__c]]&amp;"|"&amp;TEXT(Lessons[[#This Row],[Lesson_Date__c]],"yyyy-mm-dd")&amp;"|"&amp;Lessons[[#This Row],[Start_Time__c]])</f>
        <v>a06ak00000amzC8AAI|2027-01-23|12:30:00.000Z</v>
      </c>
      <c r="AC928">
        <f>IF(Lessons[[#This Row],[Double Booked Key]]="","",COUNTIF(Lessons[Double Booked Key],Lessons[[#This Row],[Double Booked Key]]))</f>
        <v>1</v>
      </c>
      <c r="AD928" s="6" t="str">
        <f>_xlfn.XLOOKUP(Lessons[[#This Row],[Location_External_Id__c]], Locations[Location Id], Locations[Location Name])</f>
        <v>Brick</v>
      </c>
      <c r="AE928" s="6" t="str">
        <f>TEXT(Lessons[[#This Row],[Lesson_Date__c]], "yyyy-mm")</f>
        <v>2027-01</v>
      </c>
      <c r="AF928" s="6" t="str">
        <f>IF(Lessons[[#This Row],[Lesson_Date__c]]&lt;=Data_Audit!$F$1, "Yes", "No")</f>
        <v>No</v>
      </c>
    </row>
    <row r="929" spans="1:32">
      <c r="A929" t="s">
        <v>52</v>
      </c>
      <c r="B929" t="s">
        <v>3395</v>
      </c>
      <c r="C929">
        <v>30</v>
      </c>
      <c r="D929" t="s">
        <v>3396</v>
      </c>
      <c r="E929" t="s">
        <v>318</v>
      </c>
      <c r="F929" t="s">
        <v>319</v>
      </c>
      <c r="G929" t="s">
        <v>69</v>
      </c>
      <c r="H929" t="s">
        <v>237</v>
      </c>
      <c r="I929" t="b">
        <v>0</v>
      </c>
      <c r="K929" t="s">
        <v>52</v>
      </c>
      <c r="L929" t="s">
        <v>3395</v>
      </c>
      <c r="O929" s="1">
        <v>46303</v>
      </c>
      <c r="P929" t="s">
        <v>3397</v>
      </c>
      <c r="Q929" t="s">
        <v>3398</v>
      </c>
      <c r="R929" t="s">
        <v>63</v>
      </c>
      <c r="S929" t="b">
        <v>0</v>
      </c>
      <c r="T929" t="b">
        <v>0</v>
      </c>
      <c r="U929" t="s">
        <v>3399</v>
      </c>
      <c r="V929" t="s">
        <v>140</v>
      </c>
      <c r="W929" t="s">
        <v>65</v>
      </c>
      <c r="X929" t="s">
        <v>1944</v>
      </c>
      <c r="Y929" t="s">
        <v>1945</v>
      </c>
      <c r="Z929" t="s">
        <v>3395</v>
      </c>
      <c r="AA929" t="b">
        <f>ISNUMBER(SEARCH(";"&amp;Lessons[[#This Row],[Instrument__c]]&amp;";",";"&amp;_xlfn.XLOOKUP(Lessons[[#This Row],[Instructor_External_Id__c]], Instructors[Id], Instructors[Instruments_Taught__c])&amp;";"))</f>
        <v>1</v>
      </c>
      <c r="AB929" t="str">
        <f>IF(LEFT(Lessons[[#This Row],[Status__c]],9)="Cancelled","",Lessons[[#This Row],[Instructor_External_Id__c]]&amp;"|"&amp;TEXT(Lessons[[#This Row],[Lesson_Date__c]],"yyyy-mm-dd")&amp;"|"&amp;Lessons[[#This Row],[Start_Time__c]])</f>
        <v>a06ak00000amzBzAAI|2026-10-08|15:00:00.000Z</v>
      </c>
      <c r="AC929">
        <f>IF(Lessons[[#This Row],[Double Booked Key]]="","",COUNTIF(Lessons[Double Booked Key],Lessons[[#This Row],[Double Booked Key]]))</f>
        <v>1</v>
      </c>
      <c r="AD929" s="6" t="str">
        <f>_xlfn.XLOOKUP(Lessons[[#This Row],[Location_External_Id__c]], Locations[Location Id], Locations[Location Name])</f>
        <v>Red Bank</v>
      </c>
      <c r="AE929" s="6" t="str">
        <f>TEXT(Lessons[[#This Row],[Lesson_Date__c]], "yyyy-mm")</f>
        <v>2026-10</v>
      </c>
      <c r="AF929" s="6" t="str">
        <f>IF(Lessons[[#This Row],[Lesson_Date__c]]&lt;=Data_Audit!$F$1, "Yes", "No")</f>
        <v>Yes</v>
      </c>
    </row>
    <row r="930" spans="1:32">
      <c r="A930" t="s">
        <v>52</v>
      </c>
      <c r="B930" t="s">
        <v>3395</v>
      </c>
      <c r="C930">
        <v>30</v>
      </c>
      <c r="D930" t="s">
        <v>3400</v>
      </c>
      <c r="E930" t="s">
        <v>401</v>
      </c>
      <c r="F930" t="s">
        <v>402</v>
      </c>
      <c r="G930" t="s">
        <v>106</v>
      </c>
      <c r="H930" t="s">
        <v>263</v>
      </c>
      <c r="I930" t="b">
        <v>0</v>
      </c>
      <c r="K930" t="s">
        <v>52</v>
      </c>
      <c r="L930" t="s">
        <v>3395</v>
      </c>
      <c r="O930" s="1">
        <v>46303</v>
      </c>
      <c r="P930" t="s">
        <v>3401</v>
      </c>
      <c r="Q930" t="s">
        <v>3402</v>
      </c>
      <c r="R930" t="s">
        <v>83</v>
      </c>
      <c r="S930" t="b">
        <v>0</v>
      </c>
      <c r="T930" t="b">
        <v>0</v>
      </c>
      <c r="U930" t="s">
        <v>3403</v>
      </c>
      <c r="V930" t="s">
        <v>120</v>
      </c>
      <c r="W930" t="s">
        <v>65</v>
      </c>
      <c r="X930" t="s">
        <v>2876</v>
      </c>
      <c r="Y930" t="s">
        <v>2877</v>
      </c>
      <c r="Z930" t="s">
        <v>3395</v>
      </c>
      <c r="AA930" t="b">
        <f>ISNUMBER(SEARCH(";"&amp;Lessons[[#This Row],[Instrument__c]]&amp;";",";"&amp;_xlfn.XLOOKUP(Lessons[[#This Row],[Instructor_External_Id__c]], Instructors[Id], Instructors[Instruments_Taught__c])&amp;";"))</f>
        <v>1</v>
      </c>
      <c r="AB930" t="str">
        <f>IF(LEFT(Lessons[[#This Row],[Status__c]],9)="Cancelled","",Lessons[[#This Row],[Instructor_External_Id__c]]&amp;"|"&amp;TEXT(Lessons[[#This Row],[Lesson_Date__c]],"yyyy-mm-dd")&amp;"|"&amp;Lessons[[#This Row],[Start_Time__c]])</f>
        <v>a06ak00000amzBfAAI|2026-10-08|18:00:00.000Z</v>
      </c>
      <c r="AC930">
        <f>IF(Lessons[[#This Row],[Double Booked Key]]="","",COUNTIF(Lessons[Double Booked Key],Lessons[[#This Row],[Double Booked Key]]))</f>
        <v>1</v>
      </c>
      <c r="AD930" s="6" t="str">
        <f>_xlfn.XLOOKUP(Lessons[[#This Row],[Location_External_Id__c]], Locations[Location Id], Locations[Location Name])</f>
        <v>Brick</v>
      </c>
      <c r="AE930" s="6" t="str">
        <f>TEXT(Lessons[[#This Row],[Lesson_Date__c]], "yyyy-mm")</f>
        <v>2026-10</v>
      </c>
      <c r="AF930" s="6" t="str">
        <f>IF(Lessons[[#This Row],[Lesson_Date__c]]&lt;=Data_Audit!$F$1, "Yes", "No")</f>
        <v>Yes</v>
      </c>
    </row>
    <row r="931" spans="1:32">
      <c r="A931" t="s">
        <v>52</v>
      </c>
      <c r="B931" t="s">
        <v>3395</v>
      </c>
      <c r="C931">
        <v>45</v>
      </c>
      <c r="D931" t="s">
        <v>3404</v>
      </c>
      <c r="E931" t="s">
        <v>944</v>
      </c>
      <c r="F931" t="s">
        <v>945</v>
      </c>
      <c r="G931" t="s">
        <v>99</v>
      </c>
      <c r="H931" t="s">
        <v>107</v>
      </c>
      <c r="I931" t="b">
        <v>0</v>
      </c>
      <c r="K931" t="s">
        <v>52</v>
      </c>
      <c r="L931" t="s">
        <v>3395</v>
      </c>
      <c r="O931" s="1">
        <v>46304</v>
      </c>
      <c r="P931" t="s">
        <v>3405</v>
      </c>
      <c r="Q931" t="s">
        <v>3406</v>
      </c>
      <c r="R931" t="s">
        <v>63</v>
      </c>
      <c r="S931" t="b">
        <v>0</v>
      </c>
      <c r="T931" t="b">
        <v>0</v>
      </c>
      <c r="U931" t="s">
        <v>3407</v>
      </c>
      <c r="V931" t="s">
        <v>135</v>
      </c>
      <c r="W931" t="s">
        <v>65</v>
      </c>
      <c r="X931" t="s">
        <v>111</v>
      </c>
      <c r="Y931" t="s">
        <v>112</v>
      </c>
      <c r="Z931" t="s">
        <v>3395</v>
      </c>
      <c r="AA931" t="b">
        <f>ISNUMBER(SEARCH(";"&amp;Lessons[[#This Row],[Instrument__c]]&amp;";",";"&amp;_xlfn.XLOOKUP(Lessons[[#This Row],[Instructor_External_Id__c]], Instructors[Id], Instructors[Instruments_Taught__c])&amp;";"))</f>
        <v>1</v>
      </c>
      <c r="AB931" t="str">
        <f>IF(LEFT(Lessons[[#This Row],[Status__c]],9)="Cancelled","",Lessons[[#This Row],[Instructor_External_Id__c]]&amp;"|"&amp;TEXT(Lessons[[#This Row],[Lesson_Date__c]],"yyyy-mm-dd")&amp;"|"&amp;Lessons[[#This Row],[Start_Time__c]])</f>
        <v>a06ak00000amzBtAAI|2026-10-09|15:30:00.000Z</v>
      </c>
      <c r="AC931">
        <f>IF(Lessons[[#This Row],[Double Booked Key]]="","",COUNTIF(Lessons[Double Booked Key],Lessons[[#This Row],[Double Booked Key]]))</f>
        <v>1</v>
      </c>
      <c r="AD931" s="6" t="str">
        <f>_xlfn.XLOOKUP(Lessons[[#This Row],[Location_External_Id__c]], Locations[Location Id], Locations[Location Name])</f>
        <v>Red Bank</v>
      </c>
      <c r="AE931" s="6" t="str">
        <f>TEXT(Lessons[[#This Row],[Lesson_Date__c]], "yyyy-mm")</f>
        <v>2026-10</v>
      </c>
      <c r="AF931" s="6" t="str">
        <f>IF(Lessons[[#This Row],[Lesson_Date__c]]&lt;=Data_Audit!$F$1, "Yes", "No")</f>
        <v>Yes</v>
      </c>
    </row>
    <row r="932" spans="1:32">
      <c r="A932" t="s">
        <v>52</v>
      </c>
      <c r="B932" t="s">
        <v>3395</v>
      </c>
      <c r="C932">
        <v>30</v>
      </c>
      <c r="D932" t="s">
        <v>3408</v>
      </c>
      <c r="E932" t="s">
        <v>573</v>
      </c>
      <c r="F932" t="s">
        <v>574</v>
      </c>
      <c r="G932" t="s">
        <v>57</v>
      </c>
      <c r="H932" t="s">
        <v>461</v>
      </c>
      <c r="I932" t="b">
        <v>0</v>
      </c>
      <c r="K932" t="s">
        <v>52</v>
      </c>
      <c r="L932" t="s">
        <v>3395</v>
      </c>
      <c r="O932" s="1">
        <v>46304</v>
      </c>
      <c r="P932" t="s">
        <v>3409</v>
      </c>
      <c r="Q932" t="s">
        <v>3410</v>
      </c>
      <c r="R932" t="s">
        <v>83</v>
      </c>
      <c r="S932" t="b">
        <v>0</v>
      </c>
      <c r="T932" t="b">
        <v>0</v>
      </c>
      <c r="U932" t="s">
        <v>3411</v>
      </c>
      <c r="V932" t="s">
        <v>135</v>
      </c>
      <c r="W932" t="s">
        <v>65</v>
      </c>
      <c r="X932" t="s">
        <v>1047</v>
      </c>
      <c r="Y932" t="s">
        <v>1048</v>
      </c>
      <c r="Z932" t="s">
        <v>3395</v>
      </c>
      <c r="AA932" t="b">
        <f>ISNUMBER(SEARCH(";"&amp;Lessons[[#This Row],[Instrument__c]]&amp;";",";"&amp;_xlfn.XLOOKUP(Lessons[[#This Row],[Instructor_External_Id__c]], Instructors[Id], Instructors[Instruments_Taught__c])&amp;";"))</f>
        <v>1</v>
      </c>
      <c r="AB932" t="str">
        <f>IF(LEFT(Lessons[[#This Row],[Status__c]],9)="Cancelled","",Lessons[[#This Row],[Instructor_External_Id__c]]&amp;"|"&amp;TEXT(Lessons[[#This Row],[Lesson_Date__c]],"yyyy-mm-dd")&amp;"|"&amp;Lessons[[#This Row],[Start_Time__c]])</f>
        <v>a06ak00000amzCCAAY|2026-10-09|15:30:00.000Z</v>
      </c>
      <c r="AC932">
        <f>IF(Lessons[[#This Row],[Double Booked Key]]="","",COUNTIF(Lessons[Double Booked Key],Lessons[[#This Row],[Double Booked Key]]))</f>
        <v>1</v>
      </c>
      <c r="AD932" s="6" t="str">
        <f>_xlfn.XLOOKUP(Lessons[[#This Row],[Location_External_Id__c]], Locations[Location Id], Locations[Location Name])</f>
        <v>Brick</v>
      </c>
      <c r="AE932" s="6" t="str">
        <f>TEXT(Lessons[[#This Row],[Lesson_Date__c]], "yyyy-mm")</f>
        <v>2026-10</v>
      </c>
      <c r="AF932" s="6" t="str">
        <f>IF(Lessons[[#This Row],[Lesson_Date__c]]&lt;=Data_Audit!$F$1, "Yes", "No")</f>
        <v>Yes</v>
      </c>
    </row>
    <row r="933" spans="1:32">
      <c r="A933" t="s">
        <v>52</v>
      </c>
      <c r="B933" t="s">
        <v>3395</v>
      </c>
      <c r="C933">
        <v>30</v>
      </c>
      <c r="D933" t="s">
        <v>3412</v>
      </c>
      <c r="E933" t="s">
        <v>359</v>
      </c>
      <c r="F933" t="s">
        <v>360</v>
      </c>
      <c r="G933" t="s">
        <v>164</v>
      </c>
      <c r="H933" t="s">
        <v>78</v>
      </c>
      <c r="I933" t="b">
        <v>0</v>
      </c>
      <c r="K933" t="s">
        <v>52</v>
      </c>
      <c r="L933" t="s">
        <v>3395</v>
      </c>
      <c r="O933" s="1">
        <v>46305</v>
      </c>
      <c r="P933" t="s">
        <v>3413</v>
      </c>
      <c r="Q933" t="s">
        <v>3414</v>
      </c>
      <c r="R933" t="s">
        <v>63</v>
      </c>
      <c r="S933" t="b">
        <v>0</v>
      </c>
      <c r="T933" t="b">
        <v>0</v>
      </c>
      <c r="U933" t="s">
        <v>3415</v>
      </c>
      <c r="V933" t="s">
        <v>110</v>
      </c>
      <c r="W933" t="s">
        <v>65</v>
      </c>
      <c r="X933" t="s">
        <v>481</v>
      </c>
      <c r="Y933" t="s">
        <v>482</v>
      </c>
      <c r="Z933" t="s">
        <v>3395</v>
      </c>
      <c r="AA933" t="b">
        <f>ISNUMBER(SEARCH(";"&amp;Lessons[[#This Row],[Instrument__c]]&amp;";",";"&amp;_xlfn.XLOOKUP(Lessons[[#This Row],[Instructor_External_Id__c]], Instructors[Id], Instructors[Instruments_Taught__c])&amp;";"))</f>
        <v>1</v>
      </c>
      <c r="AB933" t="str">
        <f>IF(LEFT(Lessons[[#This Row],[Status__c]],9)="Cancelled","",Lessons[[#This Row],[Instructor_External_Id__c]]&amp;"|"&amp;TEXT(Lessons[[#This Row],[Lesson_Date__c]],"yyyy-mm-dd")&amp;"|"&amp;Lessons[[#This Row],[Start_Time__c]])</f>
        <v>a06ak00000amzBiAAI|2026-10-10|10:00:00.000Z</v>
      </c>
      <c r="AC933">
        <f>IF(Lessons[[#This Row],[Double Booked Key]]="","",COUNTIF(Lessons[Double Booked Key],Lessons[[#This Row],[Double Booked Key]]))</f>
        <v>1</v>
      </c>
      <c r="AD933" s="6" t="str">
        <f>_xlfn.XLOOKUP(Lessons[[#This Row],[Location_External_Id__c]], Locations[Location Id], Locations[Location Name])</f>
        <v>Red Bank</v>
      </c>
      <c r="AE933" s="6" t="str">
        <f>TEXT(Lessons[[#This Row],[Lesson_Date__c]], "yyyy-mm")</f>
        <v>2026-10</v>
      </c>
      <c r="AF933" s="6" t="str">
        <f>IF(Lessons[[#This Row],[Lesson_Date__c]]&lt;=Data_Audit!$F$1, "Yes", "No")</f>
        <v>Yes</v>
      </c>
    </row>
    <row r="934" spans="1:32">
      <c r="A934" t="s">
        <v>52</v>
      </c>
      <c r="B934" t="s">
        <v>3395</v>
      </c>
      <c r="C934">
        <v>45</v>
      </c>
      <c r="D934" t="s">
        <v>3416</v>
      </c>
      <c r="E934" t="s">
        <v>777</v>
      </c>
      <c r="F934" t="s">
        <v>778</v>
      </c>
      <c r="G934" t="s">
        <v>106</v>
      </c>
      <c r="H934" t="s">
        <v>527</v>
      </c>
      <c r="I934" t="b">
        <v>0</v>
      </c>
      <c r="K934" t="s">
        <v>52</v>
      </c>
      <c r="L934" t="s">
        <v>3395</v>
      </c>
      <c r="O934" s="1">
        <v>46305</v>
      </c>
      <c r="P934" t="s">
        <v>3417</v>
      </c>
      <c r="Q934" t="s">
        <v>3418</v>
      </c>
      <c r="R934" t="s">
        <v>83</v>
      </c>
      <c r="S934" t="b">
        <v>0</v>
      </c>
      <c r="T934" t="b">
        <v>0</v>
      </c>
      <c r="U934" t="s">
        <v>3419</v>
      </c>
      <c r="V934" t="s">
        <v>110</v>
      </c>
      <c r="W934" t="s">
        <v>65</v>
      </c>
      <c r="X934" t="s">
        <v>935</v>
      </c>
      <c r="Y934" t="s">
        <v>936</v>
      </c>
      <c r="Z934" t="s">
        <v>3395</v>
      </c>
      <c r="AA934" t="b">
        <f>ISNUMBER(SEARCH(";"&amp;Lessons[[#This Row],[Instrument__c]]&amp;";",";"&amp;_xlfn.XLOOKUP(Lessons[[#This Row],[Instructor_External_Id__c]], Instructors[Id], Instructors[Instruments_Taught__c])&amp;";"))</f>
        <v>1</v>
      </c>
      <c r="AB934" t="str">
        <f>IF(LEFT(Lessons[[#This Row],[Status__c]],9)="Cancelled","",Lessons[[#This Row],[Instructor_External_Id__c]]&amp;"|"&amp;TEXT(Lessons[[#This Row],[Lesson_Date__c]],"yyyy-mm-dd")&amp;"|"&amp;Lessons[[#This Row],[Start_Time__c]])</f>
        <v>a06ak00000amzByAAI|2026-10-10|10:00:00.000Z</v>
      </c>
      <c r="AC934">
        <f>IF(Lessons[[#This Row],[Double Booked Key]]="","",COUNTIF(Lessons[Double Booked Key],Lessons[[#This Row],[Double Booked Key]]))</f>
        <v>1</v>
      </c>
      <c r="AD934" s="6" t="str">
        <f>_xlfn.XLOOKUP(Lessons[[#This Row],[Location_External_Id__c]], Locations[Location Id], Locations[Location Name])</f>
        <v>Brick</v>
      </c>
      <c r="AE934" s="6" t="str">
        <f>TEXT(Lessons[[#This Row],[Lesson_Date__c]], "yyyy-mm")</f>
        <v>2026-10</v>
      </c>
      <c r="AF934" s="6" t="str">
        <f>IF(Lessons[[#This Row],[Lesson_Date__c]]&lt;=Data_Audit!$F$1, "Yes", "No")</f>
        <v>Yes</v>
      </c>
    </row>
    <row r="935" spans="1:32">
      <c r="A935" t="s">
        <v>52</v>
      </c>
      <c r="B935" t="s">
        <v>3395</v>
      </c>
      <c r="C935">
        <v>30</v>
      </c>
      <c r="D935" t="s">
        <v>3420</v>
      </c>
      <c r="E935" t="s">
        <v>282</v>
      </c>
      <c r="F935" t="s">
        <v>283</v>
      </c>
      <c r="H935" t="s">
        <v>284</v>
      </c>
      <c r="I935" t="b">
        <v>0</v>
      </c>
      <c r="K935" t="s">
        <v>52</v>
      </c>
      <c r="L935" t="s">
        <v>3395</v>
      </c>
      <c r="O935" s="1">
        <v>46305</v>
      </c>
      <c r="P935" t="s">
        <v>3421</v>
      </c>
      <c r="Q935" t="s">
        <v>3422</v>
      </c>
      <c r="R935" t="s">
        <v>83</v>
      </c>
      <c r="S935" t="b">
        <v>0</v>
      </c>
      <c r="T935" t="b">
        <v>0</v>
      </c>
      <c r="U935" t="s">
        <v>3423</v>
      </c>
      <c r="V935" t="s">
        <v>64</v>
      </c>
      <c r="W935" t="s">
        <v>121</v>
      </c>
      <c r="X935" t="s">
        <v>1282</v>
      </c>
      <c r="Y935" t="s">
        <v>1283</v>
      </c>
      <c r="Z935" t="s">
        <v>3395</v>
      </c>
      <c r="AA935" t="b">
        <f>ISNUMBER(SEARCH(";"&amp;Lessons[[#This Row],[Instrument__c]]&amp;";",";"&amp;_xlfn.XLOOKUP(Lessons[[#This Row],[Instructor_External_Id__c]], Instructors[Id], Instructors[Instruments_Taught__c])&amp;";"))</f>
        <v>1</v>
      </c>
      <c r="AB935" t="str">
        <f>IF(LEFT(Lessons[[#This Row],[Status__c]],9)="Cancelled","",Lessons[[#This Row],[Instructor_External_Id__c]]&amp;"|"&amp;TEXT(Lessons[[#This Row],[Lesson_Date__c]],"yyyy-mm-dd")&amp;"|"&amp;Lessons[[#This Row],[Start_Time__c]])</f>
        <v>a06ak00000amzBxAAI|2026-10-10|11:00:00.000Z</v>
      </c>
      <c r="AC935">
        <f>IF(Lessons[[#This Row],[Double Booked Key]]="","",COUNTIF(Lessons[Double Booked Key],Lessons[[#This Row],[Double Booked Key]]))</f>
        <v>1</v>
      </c>
      <c r="AD935" s="6" t="str">
        <f>_xlfn.XLOOKUP(Lessons[[#This Row],[Location_External_Id__c]], Locations[Location Id], Locations[Location Name])</f>
        <v>Brick</v>
      </c>
      <c r="AE935" s="6" t="str">
        <f>TEXT(Lessons[[#This Row],[Lesson_Date__c]], "yyyy-mm")</f>
        <v>2026-10</v>
      </c>
      <c r="AF935" s="6" t="str">
        <f>IF(Lessons[[#This Row],[Lesson_Date__c]]&lt;=Data_Audit!$F$1, "Yes", "No")</f>
        <v>Yes</v>
      </c>
    </row>
    <row r="936" spans="1:32">
      <c r="A936" t="s">
        <v>52</v>
      </c>
      <c r="B936" t="s">
        <v>3395</v>
      </c>
      <c r="C936">
        <v>45</v>
      </c>
      <c r="D936" t="s">
        <v>3424</v>
      </c>
      <c r="E936" t="s">
        <v>944</v>
      </c>
      <c r="F936" t="s">
        <v>945</v>
      </c>
      <c r="H936" t="s">
        <v>392</v>
      </c>
      <c r="I936" t="b">
        <v>0</v>
      </c>
      <c r="K936" t="s">
        <v>52</v>
      </c>
      <c r="L936" t="s">
        <v>3395</v>
      </c>
      <c r="O936" s="1">
        <v>46307</v>
      </c>
      <c r="P936" t="s">
        <v>3425</v>
      </c>
      <c r="Q936" t="s">
        <v>3426</v>
      </c>
      <c r="R936" t="s">
        <v>150</v>
      </c>
      <c r="S936" t="b">
        <v>1</v>
      </c>
      <c r="T936" t="b">
        <v>0</v>
      </c>
      <c r="U936" t="s">
        <v>3427</v>
      </c>
      <c r="V936" t="s">
        <v>128</v>
      </c>
      <c r="W936" t="s">
        <v>136</v>
      </c>
      <c r="X936" t="s">
        <v>2482</v>
      </c>
      <c r="Y936" t="s">
        <v>2483</v>
      </c>
      <c r="Z936" t="s">
        <v>3395</v>
      </c>
      <c r="AA936" t="b">
        <f>ISNUMBER(SEARCH(";"&amp;Lessons[[#This Row],[Instrument__c]]&amp;";",";"&amp;_xlfn.XLOOKUP(Lessons[[#This Row],[Instructor_External_Id__c]], Instructors[Id], Instructors[Instruments_Taught__c])&amp;";"))</f>
        <v>1</v>
      </c>
      <c r="AB936" t="str">
        <f>IF(LEFT(Lessons[[#This Row],[Status__c]],9)="Cancelled","",Lessons[[#This Row],[Instructor_External_Id__c]]&amp;"|"&amp;TEXT(Lessons[[#This Row],[Lesson_Date__c]],"yyyy-mm-dd")&amp;"|"&amp;Lessons[[#This Row],[Start_Time__c]])</f>
        <v/>
      </c>
      <c r="AC936" t="str">
        <f>IF(Lessons[[#This Row],[Double Booked Key]]="","",COUNTIF(Lessons[Double Booked Key],Lessons[[#This Row],[Double Booked Key]]))</f>
        <v/>
      </c>
      <c r="AD936" s="6" t="str">
        <f>_xlfn.XLOOKUP(Lessons[[#This Row],[Location_External_Id__c]], Locations[Location Id], Locations[Location Name])</f>
        <v>Toms River</v>
      </c>
      <c r="AE936" s="6" t="str">
        <f>TEXT(Lessons[[#This Row],[Lesson_Date__c]], "yyyy-mm")</f>
        <v>2026-10</v>
      </c>
      <c r="AF936" s="6" t="str">
        <f>IF(Lessons[[#This Row],[Lesson_Date__c]]&lt;=Data_Audit!$F$1, "Yes", "No")</f>
        <v>Yes</v>
      </c>
    </row>
    <row r="937" spans="1:32">
      <c r="A937" t="s">
        <v>52</v>
      </c>
      <c r="B937" t="s">
        <v>3395</v>
      </c>
      <c r="C937">
        <v>60</v>
      </c>
      <c r="D937" t="s">
        <v>3428</v>
      </c>
      <c r="E937" t="s">
        <v>243</v>
      </c>
      <c r="F937" t="s">
        <v>244</v>
      </c>
      <c r="G937" t="s">
        <v>164</v>
      </c>
      <c r="H937" t="s">
        <v>237</v>
      </c>
      <c r="I937" t="b">
        <v>0</v>
      </c>
      <c r="K937" t="s">
        <v>52</v>
      </c>
      <c r="L937" t="s">
        <v>3395</v>
      </c>
      <c r="O937" s="1">
        <v>46308</v>
      </c>
      <c r="P937" t="s">
        <v>3429</v>
      </c>
      <c r="Q937" t="s">
        <v>3430</v>
      </c>
      <c r="R937" t="s">
        <v>83</v>
      </c>
      <c r="S937" t="b">
        <v>0</v>
      </c>
      <c r="T937" t="b">
        <v>0</v>
      </c>
      <c r="U937" t="s">
        <v>3431</v>
      </c>
      <c r="V937" t="s">
        <v>135</v>
      </c>
      <c r="W937" t="s">
        <v>65</v>
      </c>
      <c r="X937" t="s">
        <v>965</v>
      </c>
      <c r="Y937" t="s">
        <v>966</v>
      </c>
      <c r="Z937" t="s">
        <v>3395</v>
      </c>
      <c r="AA937" t="b">
        <f>ISNUMBER(SEARCH(";"&amp;Lessons[[#This Row],[Instrument__c]]&amp;";",";"&amp;_xlfn.XLOOKUP(Lessons[[#This Row],[Instructor_External_Id__c]], Instructors[Id], Instructors[Instruments_Taught__c])&amp;";"))</f>
        <v>1</v>
      </c>
      <c r="AB937" t="str">
        <f>IF(LEFT(Lessons[[#This Row],[Status__c]],9)="Cancelled","",Lessons[[#This Row],[Instructor_External_Id__c]]&amp;"|"&amp;TEXT(Lessons[[#This Row],[Lesson_Date__c]],"yyyy-mm-dd")&amp;"|"&amp;Lessons[[#This Row],[Start_Time__c]])</f>
        <v>a06ak00000amzC1AAI|2026-10-13|15:30:00.000Z</v>
      </c>
      <c r="AC937">
        <f>IF(Lessons[[#This Row],[Double Booked Key]]="","",COUNTIF(Lessons[Double Booked Key],Lessons[[#This Row],[Double Booked Key]]))</f>
        <v>1</v>
      </c>
      <c r="AD937" s="6" t="str">
        <f>_xlfn.XLOOKUP(Lessons[[#This Row],[Location_External_Id__c]], Locations[Location Id], Locations[Location Name])</f>
        <v>Brick</v>
      </c>
      <c r="AE937" s="6" t="str">
        <f>TEXT(Lessons[[#This Row],[Lesson_Date__c]], "yyyy-mm")</f>
        <v>2026-10</v>
      </c>
      <c r="AF937" s="6" t="str">
        <f>IF(Lessons[[#This Row],[Lesson_Date__c]]&lt;=Data_Audit!$F$1, "Yes", "No")</f>
        <v>Yes</v>
      </c>
    </row>
    <row r="938" spans="1:32">
      <c r="A938" t="s">
        <v>52</v>
      </c>
      <c r="B938" t="s">
        <v>3432</v>
      </c>
      <c r="C938">
        <v>45</v>
      </c>
      <c r="D938" t="s">
        <v>3433</v>
      </c>
      <c r="E938" t="s">
        <v>436</v>
      </c>
      <c r="F938" t="s">
        <v>437</v>
      </c>
      <c r="H938" t="s">
        <v>461</v>
      </c>
      <c r="I938" t="b">
        <v>0</v>
      </c>
      <c r="K938" t="s">
        <v>52</v>
      </c>
      <c r="L938" t="s">
        <v>3432</v>
      </c>
      <c r="O938" s="1">
        <v>46305</v>
      </c>
      <c r="P938" t="s">
        <v>3434</v>
      </c>
      <c r="Q938" t="s">
        <v>3435</v>
      </c>
      <c r="R938" t="s">
        <v>63</v>
      </c>
      <c r="S938" t="b">
        <v>0</v>
      </c>
      <c r="T938" t="b">
        <v>0</v>
      </c>
      <c r="U938" t="s">
        <v>3436</v>
      </c>
      <c r="V938" t="s">
        <v>110</v>
      </c>
      <c r="W938" t="s">
        <v>121</v>
      </c>
      <c r="X938" t="s">
        <v>1625</v>
      </c>
      <c r="Y938" t="s">
        <v>1626</v>
      </c>
      <c r="Z938" t="s">
        <v>3432</v>
      </c>
      <c r="AA938" t="b">
        <f>ISNUMBER(SEARCH(";"&amp;Lessons[[#This Row],[Instrument__c]]&amp;";",";"&amp;_xlfn.XLOOKUP(Lessons[[#This Row],[Instructor_External_Id__c]], Instructors[Id], Instructors[Instruments_Taught__c])&amp;";"))</f>
        <v>1</v>
      </c>
      <c r="AB938" t="str">
        <f>IF(LEFT(Lessons[[#This Row],[Status__c]],9)="Cancelled","",Lessons[[#This Row],[Instructor_External_Id__c]]&amp;"|"&amp;TEXT(Lessons[[#This Row],[Lesson_Date__c]],"yyyy-mm-dd")&amp;"|"&amp;Lessons[[#This Row],[Start_Time__c]])</f>
        <v>a06ak00000amzC0AAI|2026-10-10|10:00:00.000Z</v>
      </c>
      <c r="AC938">
        <f>IF(Lessons[[#This Row],[Double Booked Key]]="","",COUNTIF(Lessons[Double Booked Key],Lessons[[#This Row],[Double Booked Key]]))</f>
        <v>1</v>
      </c>
      <c r="AD938" s="6" t="str">
        <f>_xlfn.XLOOKUP(Lessons[[#This Row],[Location_External_Id__c]], Locations[Location Id], Locations[Location Name])</f>
        <v>Red Bank</v>
      </c>
      <c r="AE938" s="6" t="str">
        <f>TEXT(Lessons[[#This Row],[Lesson_Date__c]], "yyyy-mm")</f>
        <v>2026-10</v>
      </c>
      <c r="AF938" s="6" t="str">
        <f>IF(Lessons[[#This Row],[Lesson_Date__c]]&lt;=Data_Audit!$F$1, "Yes", "No")</f>
        <v>Yes</v>
      </c>
    </row>
    <row r="939" spans="1:32">
      <c r="A939" t="s">
        <v>52</v>
      </c>
      <c r="B939" t="s">
        <v>3437</v>
      </c>
      <c r="C939">
        <v>60</v>
      </c>
      <c r="D939" t="s">
        <v>3438</v>
      </c>
      <c r="E939" t="s">
        <v>548</v>
      </c>
      <c r="F939" t="s">
        <v>549</v>
      </c>
      <c r="G939" t="s">
        <v>106</v>
      </c>
      <c r="H939" t="s">
        <v>203</v>
      </c>
      <c r="I939" t="b">
        <v>0</v>
      </c>
      <c r="K939" t="s">
        <v>52</v>
      </c>
      <c r="L939" t="s">
        <v>3437</v>
      </c>
      <c r="O939" s="1">
        <v>46308</v>
      </c>
      <c r="P939" t="s">
        <v>3439</v>
      </c>
      <c r="Q939" t="s">
        <v>3440</v>
      </c>
      <c r="R939" t="s">
        <v>63</v>
      </c>
      <c r="S939" t="b">
        <v>0</v>
      </c>
      <c r="T939" t="b">
        <v>0</v>
      </c>
      <c r="U939" t="s">
        <v>3441</v>
      </c>
      <c r="V939" t="s">
        <v>74</v>
      </c>
      <c r="W939" t="s">
        <v>65</v>
      </c>
      <c r="X939" t="s">
        <v>2456</v>
      </c>
      <c r="Y939" t="s">
        <v>2457</v>
      </c>
      <c r="Z939" t="s">
        <v>3437</v>
      </c>
      <c r="AA939" t="b">
        <f>ISNUMBER(SEARCH(";"&amp;Lessons[[#This Row],[Instrument__c]]&amp;";",";"&amp;_xlfn.XLOOKUP(Lessons[[#This Row],[Instructor_External_Id__c]], Instructors[Id], Instructors[Instruments_Taught__c])&amp;";"))</f>
        <v>1</v>
      </c>
      <c r="AB939" t="str">
        <f>IF(LEFT(Lessons[[#This Row],[Status__c]],9)="Cancelled","",Lessons[[#This Row],[Instructor_External_Id__c]]&amp;"|"&amp;TEXT(Lessons[[#This Row],[Lesson_Date__c]],"yyyy-mm-dd")&amp;"|"&amp;Lessons[[#This Row],[Start_Time__c]])</f>
        <v>a06ak00000amzCHAAY|2026-10-13|16:30:00.000Z</v>
      </c>
      <c r="AC939">
        <f>IF(Lessons[[#This Row],[Double Booked Key]]="","",COUNTIF(Lessons[Double Booked Key],Lessons[[#This Row],[Double Booked Key]]))</f>
        <v>1</v>
      </c>
      <c r="AD939" s="6" t="str">
        <f>_xlfn.XLOOKUP(Lessons[[#This Row],[Location_External_Id__c]], Locations[Location Id], Locations[Location Name])</f>
        <v>Red Bank</v>
      </c>
      <c r="AE939" s="6" t="str">
        <f>TEXT(Lessons[[#This Row],[Lesson_Date__c]], "yyyy-mm")</f>
        <v>2026-10</v>
      </c>
      <c r="AF939" s="6" t="str">
        <f>IF(Lessons[[#This Row],[Lesson_Date__c]]&lt;=Data_Audit!$F$1, "Yes", "No")</f>
        <v>Yes</v>
      </c>
    </row>
    <row r="940" spans="1:32">
      <c r="A940" t="s">
        <v>52</v>
      </c>
      <c r="B940" t="s">
        <v>3437</v>
      </c>
      <c r="C940">
        <v>30</v>
      </c>
      <c r="D940" t="s">
        <v>3442</v>
      </c>
      <c r="E940" t="s">
        <v>573</v>
      </c>
      <c r="F940" t="s">
        <v>574</v>
      </c>
      <c r="G940" t="s">
        <v>69</v>
      </c>
      <c r="H940" t="s">
        <v>461</v>
      </c>
      <c r="I940" t="b">
        <v>0</v>
      </c>
      <c r="K940" t="s">
        <v>52</v>
      </c>
      <c r="L940" t="s">
        <v>3437</v>
      </c>
      <c r="O940" s="1">
        <v>46308</v>
      </c>
      <c r="P940" t="s">
        <v>3443</v>
      </c>
      <c r="Q940" t="s">
        <v>3444</v>
      </c>
      <c r="R940" t="s">
        <v>150</v>
      </c>
      <c r="S940" t="b">
        <v>0</v>
      </c>
      <c r="T940" t="b">
        <v>0</v>
      </c>
      <c r="U940" t="s">
        <v>3445</v>
      </c>
      <c r="V940" t="s">
        <v>84</v>
      </c>
      <c r="W940" t="s">
        <v>65</v>
      </c>
      <c r="X940" t="s">
        <v>2567</v>
      </c>
      <c r="Y940" t="s">
        <v>2568</v>
      </c>
      <c r="Z940" t="s">
        <v>3437</v>
      </c>
      <c r="AA940" t="b">
        <f>ISNUMBER(SEARCH(";"&amp;Lessons[[#This Row],[Instrument__c]]&amp;";",";"&amp;_xlfn.XLOOKUP(Lessons[[#This Row],[Instructor_External_Id__c]], Instructors[Id], Instructors[Instruments_Taught__c])&amp;";"))</f>
        <v>1</v>
      </c>
      <c r="AB940" t="str">
        <f>IF(LEFT(Lessons[[#This Row],[Status__c]],9)="Cancelled","",Lessons[[#This Row],[Instructor_External_Id__c]]&amp;"|"&amp;TEXT(Lessons[[#This Row],[Lesson_Date__c]],"yyyy-mm-dd")&amp;"|"&amp;Lessons[[#This Row],[Start_Time__c]])</f>
        <v>a06ak00000amzCCAAY|2026-10-13|17:00:00.000Z</v>
      </c>
      <c r="AC940">
        <f>IF(Lessons[[#This Row],[Double Booked Key]]="","",COUNTIF(Lessons[Double Booked Key],Lessons[[#This Row],[Double Booked Key]]))</f>
        <v>1</v>
      </c>
      <c r="AD940" s="6" t="str">
        <f>_xlfn.XLOOKUP(Lessons[[#This Row],[Location_External_Id__c]], Locations[Location Id], Locations[Location Name])</f>
        <v>Toms River</v>
      </c>
      <c r="AE940" s="6" t="str">
        <f>TEXT(Lessons[[#This Row],[Lesson_Date__c]], "yyyy-mm")</f>
        <v>2026-10</v>
      </c>
      <c r="AF940" s="6" t="str">
        <f>IF(Lessons[[#This Row],[Lesson_Date__c]]&lt;=Data_Audit!$F$1, "Yes", "No")</f>
        <v>Yes</v>
      </c>
    </row>
    <row r="941" spans="1:32">
      <c r="A941" t="s">
        <v>52</v>
      </c>
      <c r="B941" t="s">
        <v>3437</v>
      </c>
      <c r="C941">
        <v>30</v>
      </c>
      <c r="D941" t="s">
        <v>3446</v>
      </c>
      <c r="E941" t="s">
        <v>944</v>
      </c>
      <c r="F941" t="s">
        <v>945</v>
      </c>
      <c r="H941" t="s">
        <v>107</v>
      </c>
      <c r="I941" t="b">
        <v>0</v>
      </c>
      <c r="K941" t="s">
        <v>52</v>
      </c>
      <c r="L941" t="s">
        <v>3437</v>
      </c>
      <c r="O941" s="1">
        <v>46308</v>
      </c>
      <c r="P941" t="s">
        <v>3447</v>
      </c>
      <c r="Q941" t="s">
        <v>3448</v>
      </c>
      <c r="R941" t="s">
        <v>63</v>
      </c>
      <c r="S941" t="b">
        <v>0</v>
      </c>
      <c r="T941" t="b">
        <v>0</v>
      </c>
      <c r="U941" t="s">
        <v>3449</v>
      </c>
      <c r="V941" t="s">
        <v>120</v>
      </c>
      <c r="W941" t="s">
        <v>65</v>
      </c>
      <c r="X941" t="s">
        <v>2717</v>
      </c>
      <c r="Y941" t="s">
        <v>2718</v>
      </c>
      <c r="Z941" t="s">
        <v>3437</v>
      </c>
      <c r="AA941" t="b">
        <f>ISNUMBER(SEARCH(";"&amp;Lessons[[#This Row],[Instrument__c]]&amp;";",";"&amp;_xlfn.XLOOKUP(Lessons[[#This Row],[Instructor_External_Id__c]], Instructors[Id], Instructors[Instruments_Taught__c])&amp;";"))</f>
        <v>1</v>
      </c>
      <c r="AB941" t="str">
        <f>IF(LEFT(Lessons[[#This Row],[Status__c]],9)="Cancelled","",Lessons[[#This Row],[Instructor_External_Id__c]]&amp;"|"&amp;TEXT(Lessons[[#This Row],[Lesson_Date__c]],"yyyy-mm-dd")&amp;"|"&amp;Lessons[[#This Row],[Start_Time__c]])</f>
        <v>a06ak00000amzBtAAI|2026-10-13|18:00:00.000Z</v>
      </c>
      <c r="AC941">
        <f>IF(Lessons[[#This Row],[Double Booked Key]]="","",COUNTIF(Lessons[Double Booked Key],Lessons[[#This Row],[Double Booked Key]]))</f>
        <v>1</v>
      </c>
      <c r="AD941" s="6" t="str">
        <f>_xlfn.XLOOKUP(Lessons[[#This Row],[Location_External_Id__c]], Locations[Location Id], Locations[Location Name])</f>
        <v>Red Bank</v>
      </c>
      <c r="AE941" s="6" t="str">
        <f>TEXT(Lessons[[#This Row],[Lesson_Date__c]], "yyyy-mm")</f>
        <v>2026-10</v>
      </c>
      <c r="AF941" s="6" t="str">
        <f>IF(Lessons[[#This Row],[Lesson_Date__c]]&lt;=Data_Audit!$F$1, "Yes", "No")</f>
        <v>Yes</v>
      </c>
    </row>
    <row r="942" spans="1:32">
      <c r="A942" t="s">
        <v>52</v>
      </c>
      <c r="B942" t="s">
        <v>3437</v>
      </c>
      <c r="C942">
        <v>30</v>
      </c>
      <c r="D942" t="s">
        <v>3450</v>
      </c>
      <c r="E942" t="s">
        <v>804</v>
      </c>
      <c r="F942" t="s">
        <v>805</v>
      </c>
      <c r="G942" t="s">
        <v>99</v>
      </c>
      <c r="H942" t="s">
        <v>147</v>
      </c>
      <c r="I942" t="b">
        <v>0</v>
      </c>
      <c r="K942" t="s">
        <v>52</v>
      </c>
      <c r="L942" t="s">
        <v>3437</v>
      </c>
      <c r="O942" s="1">
        <v>46308</v>
      </c>
      <c r="P942" t="s">
        <v>3451</v>
      </c>
      <c r="Q942" t="s">
        <v>3452</v>
      </c>
      <c r="R942" t="s">
        <v>63</v>
      </c>
      <c r="S942" t="b">
        <v>0</v>
      </c>
      <c r="T942" t="b">
        <v>0</v>
      </c>
      <c r="U942" t="s">
        <v>3453</v>
      </c>
      <c r="V942" t="s">
        <v>94</v>
      </c>
      <c r="W942" t="s">
        <v>65</v>
      </c>
      <c r="X942" t="s">
        <v>808</v>
      </c>
      <c r="Y942" t="s">
        <v>809</v>
      </c>
      <c r="Z942" t="s">
        <v>3437</v>
      </c>
      <c r="AA942" t="b">
        <f>ISNUMBER(SEARCH(";"&amp;Lessons[[#This Row],[Instrument__c]]&amp;";",";"&amp;_xlfn.XLOOKUP(Lessons[[#This Row],[Instructor_External_Id__c]], Instructors[Id], Instructors[Instruments_Taught__c])&amp;";"))</f>
        <v>1</v>
      </c>
      <c r="AB942" t="str">
        <f>IF(LEFT(Lessons[[#This Row],[Status__c]],9)="Cancelled","",Lessons[[#This Row],[Instructor_External_Id__c]]&amp;"|"&amp;TEXT(Lessons[[#This Row],[Lesson_Date__c]],"yyyy-mm-dd")&amp;"|"&amp;Lessons[[#This Row],[Start_Time__c]])</f>
        <v>a06ak00000amzCBAAY|2026-10-13|19:00:00.000Z</v>
      </c>
      <c r="AC942">
        <f>IF(Lessons[[#This Row],[Double Booked Key]]="","",COUNTIF(Lessons[Double Booked Key],Lessons[[#This Row],[Double Booked Key]]))</f>
        <v>1</v>
      </c>
      <c r="AD942" s="6" t="str">
        <f>_xlfn.XLOOKUP(Lessons[[#This Row],[Location_External_Id__c]], Locations[Location Id], Locations[Location Name])</f>
        <v>Red Bank</v>
      </c>
      <c r="AE942" s="6" t="str">
        <f>TEXT(Lessons[[#This Row],[Lesson_Date__c]], "yyyy-mm")</f>
        <v>2026-10</v>
      </c>
      <c r="AF942" s="6" t="str">
        <f>IF(Lessons[[#This Row],[Lesson_Date__c]]&lt;=Data_Audit!$F$1, "Yes", "No")</f>
        <v>Yes</v>
      </c>
    </row>
    <row r="943" spans="1:32">
      <c r="A943" t="s">
        <v>52</v>
      </c>
      <c r="B943" t="s">
        <v>3437</v>
      </c>
      <c r="C943">
        <v>30</v>
      </c>
      <c r="D943" t="s">
        <v>3454</v>
      </c>
      <c r="E943" t="s">
        <v>243</v>
      </c>
      <c r="F943" t="s">
        <v>244</v>
      </c>
      <c r="H943" t="s">
        <v>237</v>
      </c>
      <c r="I943" t="b">
        <v>0</v>
      </c>
      <c r="K943" t="s">
        <v>52</v>
      </c>
      <c r="L943" t="s">
        <v>3437</v>
      </c>
      <c r="O943" s="1">
        <v>46309</v>
      </c>
      <c r="P943" t="s">
        <v>3455</v>
      </c>
      <c r="Q943" t="s">
        <v>3456</v>
      </c>
      <c r="R943" t="s">
        <v>83</v>
      </c>
      <c r="S943" t="b">
        <v>0</v>
      </c>
      <c r="T943" t="b">
        <v>0</v>
      </c>
      <c r="U943" t="s">
        <v>3457</v>
      </c>
      <c r="V943" t="s">
        <v>102</v>
      </c>
      <c r="W943" t="s">
        <v>121</v>
      </c>
      <c r="X943" t="s">
        <v>240</v>
      </c>
      <c r="Y943" t="s">
        <v>241</v>
      </c>
      <c r="Z943" t="s">
        <v>3437</v>
      </c>
      <c r="AA943" t="b">
        <f>ISNUMBER(SEARCH(";"&amp;Lessons[[#This Row],[Instrument__c]]&amp;";",";"&amp;_xlfn.XLOOKUP(Lessons[[#This Row],[Instructor_External_Id__c]], Instructors[Id], Instructors[Instruments_Taught__c])&amp;";"))</f>
        <v>1</v>
      </c>
      <c r="AB943" t="str">
        <f>IF(LEFT(Lessons[[#This Row],[Status__c]],9)="Cancelled","",Lessons[[#This Row],[Instructor_External_Id__c]]&amp;"|"&amp;TEXT(Lessons[[#This Row],[Lesson_Date__c]],"yyyy-mm-dd")&amp;"|"&amp;Lessons[[#This Row],[Start_Time__c]])</f>
        <v>a06ak00000amzC1AAI|2026-10-14|16:00:00.000Z</v>
      </c>
      <c r="AC943">
        <f>IF(Lessons[[#This Row],[Double Booked Key]]="","",COUNTIF(Lessons[Double Booked Key],Lessons[[#This Row],[Double Booked Key]]))</f>
        <v>1</v>
      </c>
      <c r="AD943" s="6" t="str">
        <f>_xlfn.XLOOKUP(Lessons[[#This Row],[Location_External_Id__c]], Locations[Location Id], Locations[Location Name])</f>
        <v>Brick</v>
      </c>
      <c r="AE943" s="6" t="str">
        <f>TEXT(Lessons[[#This Row],[Lesson_Date__c]], "yyyy-mm")</f>
        <v>2026-10</v>
      </c>
      <c r="AF943" s="6" t="str">
        <f>IF(Lessons[[#This Row],[Lesson_Date__c]]&lt;=Data_Audit!$F$1, "Yes", "No")</f>
        <v>Yes</v>
      </c>
    </row>
    <row r="944" spans="1:32">
      <c r="A944" t="s">
        <v>52</v>
      </c>
      <c r="B944" t="s">
        <v>3437</v>
      </c>
      <c r="C944">
        <v>30</v>
      </c>
      <c r="D944" t="s">
        <v>3458</v>
      </c>
      <c r="E944" t="s">
        <v>401</v>
      </c>
      <c r="F944" t="s">
        <v>402</v>
      </c>
      <c r="H944" t="s">
        <v>263</v>
      </c>
      <c r="I944" t="b">
        <v>0</v>
      </c>
      <c r="K944" t="s">
        <v>52</v>
      </c>
      <c r="L944" t="s">
        <v>3437</v>
      </c>
      <c r="O944" s="1">
        <v>46310</v>
      </c>
      <c r="P944" t="s">
        <v>3459</v>
      </c>
      <c r="Q944" t="s">
        <v>3460</v>
      </c>
      <c r="R944" t="s">
        <v>83</v>
      </c>
      <c r="S944" t="b">
        <v>0</v>
      </c>
      <c r="T944" t="b">
        <v>0</v>
      </c>
      <c r="U944" t="s">
        <v>3461</v>
      </c>
      <c r="V944" t="s">
        <v>140</v>
      </c>
      <c r="W944" t="s">
        <v>95</v>
      </c>
      <c r="X944" t="s">
        <v>720</v>
      </c>
      <c r="Y944" t="s">
        <v>721</v>
      </c>
      <c r="Z944" t="s">
        <v>3437</v>
      </c>
      <c r="AA944" t="b">
        <f>ISNUMBER(SEARCH(";"&amp;Lessons[[#This Row],[Instrument__c]]&amp;";",";"&amp;_xlfn.XLOOKUP(Lessons[[#This Row],[Instructor_External_Id__c]], Instructors[Id], Instructors[Instruments_Taught__c])&amp;";"))</f>
        <v>1</v>
      </c>
      <c r="AB944" t="str">
        <f>IF(LEFT(Lessons[[#This Row],[Status__c]],9)="Cancelled","",Lessons[[#This Row],[Instructor_External_Id__c]]&amp;"|"&amp;TEXT(Lessons[[#This Row],[Lesson_Date__c]],"yyyy-mm-dd")&amp;"|"&amp;Lessons[[#This Row],[Start_Time__c]])</f>
        <v>a06ak00000amzBfAAI|2026-10-15|15:00:00.000Z</v>
      </c>
      <c r="AC944">
        <f>IF(Lessons[[#This Row],[Double Booked Key]]="","",COUNTIF(Lessons[Double Booked Key],Lessons[[#This Row],[Double Booked Key]]))</f>
        <v>1</v>
      </c>
      <c r="AD944" s="6" t="str">
        <f>_xlfn.XLOOKUP(Lessons[[#This Row],[Location_External_Id__c]], Locations[Location Id], Locations[Location Name])</f>
        <v>Brick</v>
      </c>
      <c r="AE944" s="6" t="str">
        <f>TEXT(Lessons[[#This Row],[Lesson_Date__c]], "yyyy-mm")</f>
        <v>2026-10</v>
      </c>
      <c r="AF944" s="6" t="str">
        <f>IF(Lessons[[#This Row],[Lesson_Date__c]]&lt;=Data_Audit!$F$1, "Yes", "No")</f>
        <v>No</v>
      </c>
    </row>
    <row r="945" spans="1:32">
      <c r="A945" t="s">
        <v>52</v>
      </c>
      <c r="B945" t="s">
        <v>3437</v>
      </c>
      <c r="C945">
        <v>30</v>
      </c>
      <c r="D945" t="s">
        <v>3462</v>
      </c>
      <c r="E945" t="s">
        <v>243</v>
      </c>
      <c r="F945" t="s">
        <v>244</v>
      </c>
      <c r="H945" t="s">
        <v>650</v>
      </c>
      <c r="I945" t="b">
        <v>0</v>
      </c>
      <c r="K945" t="s">
        <v>52</v>
      </c>
      <c r="L945" t="s">
        <v>3437</v>
      </c>
      <c r="O945" s="1">
        <v>46310</v>
      </c>
      <c r="P945" t="s">
        <v>3463</v>
      </c>
      <c r="Q945" t="s">
        <v>3464</v>
      </c>
      <c r="R945" t="s">
        <v>83</v>
      </c>
      <c r="S945" t="b">
        <v>0</v>
      </c>
      <c r="T945" t="b">
        <v>0</v>
      </c>
      <c r="U945" t="s">
        <v>3465</v>
      </c>
      <c r="V945" t="s">
        <v>140</v>
      </c>
      <c r="W945" t="s">
        <v>95</v>
      </c>
      <c r="X945" t="s">
        <v>743</v>
      </c>
      <c r="Y945" t="s">
        <v>744</v>
      </c>
      <c r="Z945" t="s">
        <v>3437</v>
      </c>
      <c r="AA945" t="b">
        <f>ISNUMBER(SEARCH(";"&amp;Lessons[[#This Row],[Instrument__c]]&amp;";",";"&amp;_xlfn.XLOOKUP(Lessons[[#This Row],[Instructor_External_Id__c]], Instructors[Id], Instructors[Instruments_Taught__c])&amp;";"))</f>
        <v>1</v>
      </c>
      <c r="AB945" t="str">
        <f>IF(LEFT(Lessons[[#This Row],[Status__c]],9)="Cancelled","",Lessons[[#This Row],[Instructor_External_Id__c]]&amp;"|"&amp;TEXT(Lessons[[#This Row],[Lesson_Date__c]],"yyyy-mm-dd")&amp;"|"&amp;Lessons[[#This Row],[Start_Time__c]])</f>
        <v>a06ak00000amzC1AAI|2026-10-15|15:00:00.000Z</v>
      </c>
      <c r="AC945">
        <f>IF(Lessons[[#This Row],[Double Booked Key]]="","",COUNTIF(Lessons[Double Booked Key],Lessons[[#This Row],[Double Booked Key]]))</f>
        <v>1</v>
      </c>
      <c r="AD945" s="6" t="str">
        <f>_xlfn.XLOOKUP(Lessons[[#This Row],[Location_External_Id__c]], Locations[Location Id], Locations[Location Name])</f>
        <v>Brick</v>
      </c>
      <c r="AE945" s="6" t="str">
        <f>TEXT(Lessons[[#This Row],[Lesson_Date__c]], "yyyy-mm")</f>
        <v>2026-10</v>
      </c>
      <c r="AF945" s="6" t="str">
        <f>IF(Lessons[[#This Row],[Lesson_Date__c]]&lt;=Data_Audit!$F$1, "Yes", "No")</f>
        <v>No</v>
      </c>
    </row>
    <row r="946" spans="1:32">
      <c r="A946" t="s">
        <v>52</v>
      </c>
      <c r="B946" t="s">
        <v>3437</v>
      </c>
      <c r="C946">
        <v>30</v>
      </c>
      <c r="D946" t="s">
        <v>3466</v>
      </c>
      <c r="E946" t="s">
        <v>318</v>
      </c>
      <c r="F946" t="s">
        <v>319</v>
      </c>
      <c r="H946" t="s">
        <v>237</v>
      </c>
      <c r="I946" t="b">
        <v>0</v>
      </c>
      <c r="K946" t="s">
        <v>52</v>
      </c>
      <c r="L946" t="s">
        <v>3437</v>
      </c>
      <c r="O946" s="1">
        <v>46310</v>
      </c>
      <c r="P946" t="s">
        <v>3467</v>
      </c>
      <c r="Q946" t="s">
        <v>3468</v>
      </c>
      <c r="R946" t="s">
        <v>63</v>
      </c>
      <c r="S946" t="b">
        <v>0</v>
      </c>
      <c r="T946" t="b">
        <v>0</v>
      </c>
      <c r="U946" t="s">
        <v>3469</v>
      </c>
      <c r="V946" t="s">
        <v>140</v>
      </c>
      <c r="W946" t="s">
        <v>95</v>
      </c>
      <c r="X946" t="s">
        <v>1944</v>
      </c>
      <c r="Y946" t="s">
        <v>1945</v>
      </c>
      <c r="Z946" t="s">
        <v>3437</v>
      </c>
      <c r="AA946" t="b">
        <f>ISNUMBER(SEARCH(";"&amp;Lessons[[#This Row],[Instrument__c]]&amp;";",";"&amp;_xlfn.XLOOKUP(Lessons[[#This Row],[Instructor_External_Id__c]], Instructors[Id], Instructors[Instruments_Taught__c])&amp;";"))</f>
        <v>1</v>
      </c>
      <c r="AB946" t="str">
        <f>IF(LEFT(Lessons[[#This Row],[Status__c]],9)="Cancelled","",Lessons[[#This Row],[Instructor_External_Id__c]]&amp;"|"&amp;TEXT(Lessons[[#This Row],[Lesson_Date__c]],"yyyy-mm-dd")&amp;"|"&amp;Lessons[[#This Row],[Start_Time__c]])</f>
        <v>a06ak00000amzBzAAI|2026-10-15|15:00:00.000Z</v>
      </c>
      <c r="AC946">
        <f>IF(Lessons[[#This Row],[Double Booked Key]]="","",COUNTIF(Lessons[Double Booked Key],Lessons[[#This Row],[Double Booked Key]]))</f>
        <v>1</v>
      </c>
      <c r="AD946" s="6" t="str">
        <f>_xlfn.XLOOKUP(Lessons[[#This Row],[Location_External_Id__c]], Locations[Location Id], Locations[Location Name])</f>
        <v>Red Bank</v>
      </c>
      <c r="AE946" s="6" t="str">
        <f>TEXT(Lessons[[#This Row],[Lesson_Date__c]], "yyyy-mm")</f>
        <v>2026-10</v>
      </c>
      <c r="AF946" s="6" t="str">
        <f>IF(Lessons[[#This Row],[Lesson_Date__c]]&lt;=Data_Audit!$F$1, "Yes", "No")</f>
        <v>No</v>
      </c>
    </row>
    <row r="947" spans="1:32">
      <c r="A947" t="s">
        <v>52</v>
      </c>
      <c r="B947" t="s">
        <v>3437</v>
      </c>
      <c r="C947">
        <v>30</v>
      </c>
      <c r="D947" t="s">
        <v>3470</v>
      </c>
      <c r="E947" t="s">
        <v>401</v>
      </c>
      <c r="F947" t="s">
        <v>402</v>
      </c>
      <c r="H947" t="s">
        <v>392</v>
      </c>
      <c r="I947" t="b">
        <v>0</v>
      </c>
      <c r="K947" t="s">
        <v>52</v>
      </c>
      <c r="L947" t="s">
        <v>3437</v>
      </c>
      <c r="O947" s="1">
        <v>46310</v>
      </c>
      <c r="P947" t="s">
        <v>3471</v>
      </c>
      <c r="Q947" t="s">
        <v>3472</v>
      </c>
      <c r="R947" t="s">
        <v>83</v>
      </c>
      <c r="S947" t="b">
        <v>0</v>
      </c>
      <c r="T947" t="b">
        <v>0</v>
      </c>
      <c r="U947" t="s">
        <v>3473</v>
      </c>
      <c r="V947" t="s">
        <v>84</v>
      </c>
      <c r="W947" t="s">
        <v>95</v>
      </c>
      <c r="X947" t="s">
        <v>2068</v>
      </c>
      <c r="Y947" t="s">
        <v>2069</v>
      </c>
      <c r="Z947" t="s">
        <v>3437</v>
      </c>
      <c r="AA947" t="b">
        <f>ISNUMBER(SEARCH(";"&amp;Lessons[[#This Row],[Instrument__c]]&amp;";",";"&amp;_xlfn.XLOOKUP(Lessons[[#This Row],[Instructor_External_Id__c]], Instructors[Id], Instructors[Instruments_Taught__c])&amp;";"))</f>
        <v>1</v>
      </c>
      <c r="AB947" t="str">
        <f>IF(LEFT(Lessons[[#This Row],[Status__c]],9)="Cancelled","",Lessons[[#This Row],[Instructor_External_Id__c]]&amp;"|"&amp;TEXT(Lessons[[#This Row],[Lesson_Date__c]],"yyyy-mm-dd")&amp;"|"&amp;Lessons[[#This Row],[Start_Time__c]])</f>
        <v>a06ak00000amzBfAAI|2026-10-15|17:00:00.000Z</v>
      </c>
      <c r="AC947">
        <f>IF(Lessons[[#This Row],[Double Booked Key]]="","",COUNTIF(Lessons[Double Booked Key],Lessons[[#This Row],[Double Booked Key]]))</f>
        <v>1</v>
      </c>
      <c r="AD947" s="6" t="str">
        <f>_xlfn.XLOOKUP(Lessons[[#This Row],[Location_External_Id__c]], Locations[Location Id], Locations[Location Name])</f>
        <v>Brick</v>
      </c>
      <c r="AE947" s="6" t="str">
        <f>TEXT(Lessons[[#This Row],[Lesson_Date__c]], "yyyy-mm")</f>
        <v>2026-10</v>
      </c>
      <c r="AF947" s="6" t="str">
        <f>IF(Lessons[[#This Row],[Lesson_Date__c]]&lt;=Data_Audit!$F$1, "Yes", "No")</f>
        <v>No</v>
      </c>
    </row>
    <row r="948" spans="1:32">
      <c r="A948" t="s">
        <v>52</v>
      </c>
      <c r="B948" t="s">
        <v>3437</v>
      </c>
      <c r="C948">
        <v>60</v>
      </c>
      <c r="D948" t="s">
        <v>3474</v>
      </c>
      <c r="E948" t="s">
        <v>318</v>
      </c>
      <c r="F948" t="s">
        <v>319</v>
      </c>
      <c r="H948" t="s">
        <v>650</v>
      </c>
      <c r="I948" t="b">
        <v>0</v>
      </c>
      <c r="K948" t="s">
        <v>52</v>
      </c>
      <c r="L948" t="s">
        <v>3437</v>
      </c>
      <c r="O948" s="1">
        <v>46311</v>
      </c>
      <c r="P948" t="s">
        <v>3475</v>
      </c>
      <c r="Q948" t="s">
        <v>3476</v>
      </c>
      <c r="R948" t="s">
        <v>63</v>
      </c>
      <c r="S948" t="b">
        <v>0</v>
      </c>
      <c r="T948" t="b">
        <v>0</v>
      </c>
      <c r="U948" t="s">
        <v>3477</v>
      </c>
      <c r="V948" t="s">
        <v>128</v>
      </c>
      <c r="W948" t="s">
        <v>95</v>
      </c>
      <c r="X948" t="s">
        <v>1858</v>
      </c>
      <c r="Y948" t="s">
        <v>1859</v>
      </c>
      <c r="Z948" t="s">
        <v>3437</v>
      </c>
      <c r="AA948" t="b">
        <f>ISNUMBER(SEARCH(";"&amp;Lessons[[#This Row],[Instrument__c]]&amp;";",";"&amp;_xlfn.XLOOKUP(Lessons[[#This Row],[Instructor_External_Id__c]], Instructors[Id], Instructors[Instruments_Taught__c])&amp;";"))</f>
        <v>1</v>
      </c>
      <c r="AB948" t="str">
        <f>IF(LEFT(Lessons[[#This Row],[Status__c]],9)="Cancelled","",Lessons[[#This Row],[Instructor_External_Id__c]]&amp;"|"&amp;TEXT(Lessons[[#This Row],[Lesson_Date__c]],"yyyy-mm-dd")&amp;"|"&amp;Lessons[[#This Row],[Start_Time__c]])</f>
        <v>a06ak00000amzBzAAI|2026-10-16|18:30:00.000Z</v>
      </c>
      <c r="AC948">
        <f>IF(Lessons[[#This Row],[Double Booked Key]]="","",COUNTIF(Lessons[Double Booked Key],Lessons[[#This Row],[Double Booked Key]]))</f>
        <v>1</v>
      </c>
      <c r="AD948" s="6" t="str">
        <f>_xlfn.XLOOKUP(Lessons[[#This Row],[Location_External_Id__c]], Locations[Location Id], Locations[Location Name])</f>
        <v>Red Bank</v>
      </c>
      <c r="AE948" s="6" t="str">
        <f>TEXT(Lessons[[#This Row],[Lesson_Date__c]], "yyyy-mm")</f>
        <v>2026-10</v>
      </c>
      <c r="AF948" s="6" t="str">
        <f>IF(Lessons[[#This Row],[Lesson_Date__c]]&lt;=Data_Audit!$F$1, "Yes", "No")</f>
        <v>No</v>
      </c>
    </row>
    <row r="949" spans="1:32">
      <c r="A949" t="s">
        <v>52</v>
      </c>
      <c r="B949" t="s">
        <v>3437</v>
      </c>
      <c r="C949">
        <v>30</v>
      </c>
      <c r="D949" t="s">
        <v>3478</v>
      </c>
      <c r="E949" t="s">
        <v>777</v>
      </c>
      <c r="F949" t="s">
        <v>778</v>
      </c>
      <c r="H949" t="s">
        <v>527</v>
      </c>
      <c r="I949" t="b">
        <v>0</v>
      </c>
      <c r="K949" t="s">
        <v>52</v>
      </c>
      <c r="L949" t="s">
        <v>3437</v>
      </c>
      <c r="O949" s="1">
        <v>46311</v>
      </c>
      <c r="P949" t="s">
        <v>3479</v>
      </c>
      <c r="Q949" t="s">
        <v>3480</v>
      </c>
      <c r="R949" t="s">
        <v>83</v>
      </c>
      <c r="S949" t="b">
        <v>0</v>
      </c>
      <c r="T949" t="b">
        <v>0</v>
      </c>
      <c r="U949" t="s">
        <v>3481</v>
      </c>
      <c r="V949" t="s">
        <v>94</v>
      </c>
      <c r="W949" t="s">
        <v>95</v>
      </c>
      <c r="X949" t="s">
        <v>1714</v>
      </c>
      <c r="Y949" t="s">
        <v>1715</v>
      </c>
      <c r="Z949" t="s">
        <v>3437</v>
      </c>
      <c r="AA949" t="b">
        <f>ISNUMBER(SEARCH(";"&amp;Lessons[[#This Row],[Instrument__c]]&amp;";",";"&amp;_xlfn.XLOOKUP(Lessons[[#This Row],[Instructor_External_Id__c]], Instructors[Id], Instructors[Instruments_Taught__c])&amp;";"))</f>
        <v>1</v>
      </c>
      <c r="AB949" t="str">
        <f>IF(LEFT(Lessons[[#This Row],[Status__c]],9)="Cancelled","",Lessons[[#This Row],[Instructor_External_Id__c]]&amp;"|"&amp;TEXT(Lessons[[#This Row],[Lesson_Date__c]],"yyyy-mm-dd")&amp;"|"&amp;Lessons[[#This Row],[Start_Time__c]])</f>
        <v>a06ak00000amzByAAI|2026-10-16|19:00:00.000Z</v>
      </c>
      <c r="AC949">
        <f>IF(Lessons[[#This Row],[Double Booked Key]]="","",COUNTIF(Lessons[Double Booked Key],Lessons[[#This Row],[Double Booked Key]]))</f>
        <v>1</v>
      </c>
      <c r="AD949" s="6" t="str">
        <f>_xlfn.XLOOKUP(Lessons[[#This Row],[Location_External_Id__c]], Locations[Location Id], Locations[Location Name])</f>
        <v>Brick</v>
      </c>
      <c r="AE949" s="6" t="str">
        <f>TEXT(Lessons[[#This Row],[Lesson_Date__c]], "yyyy-mm")</f>
        <v>2026-10</v>
      </c>
      <c r="AF949" s="6" t="str">
        <f>IF(Lessons[[#This Row],[Lesson_Date__c]]&lt;=Data_Audit!$F$1, "Yes", "No")</f>
        <v>No</v>
      </c>
    </row>
    <row r="950" spans="1:32">
      <c r="A950" t="s">
        <v>52</v>
      </c>
      <c r="B950" t="s">
        <v>3437</v>
      </c>
      <c r="C950">
        <v>30</v>
      </c>
      <c r="D950" t="s">
        <v>3482</v>
      </c>
      <c r="E950" t="s">
        <v>318</v>
      </c>
      <c r="F950" t="s">
        <v>319</v>
      </c>
      <c r="H950" t="s">
        <v>237</v>
      </c>
      <c r="I950" t="b">
        <v>0</v>
      </c>
      <c r="K950" t="s">
        <v>52</v>
      </c>
      <c r="L950" t="s">
        <v>3437</v>
      </c>
      <c r="O950" s="1">
        <v>46312</v>
      </c>
      <c r="P950" t="s">
        <v>3483</v>
      </c>
      <c r="Q950" t="s">
        <v>3484</v>
      </c>
      <c r="R950" t="s">
        <v>63</v>
      </c>
      <c r="S950" t="b">
        <v>0</v>
      </c>
      <c r="T950" t="b">
        <v>0</v>
      </c>
      <c r="U950" t="s">
        <v>3485</v>
      </c>
      <c r="V950" t="s">
        <v>3373</v>
      </c>
      <c r="W950" t="s">
        <v>95</v>
      </c>
      <c r="X950" t="s">
        <v>2842</v>
      </c>
      <c r="Y950" t="s">
        <v>2843</v>
      </c>
      <c r="Z950" t="s">
        <v>3437</v>
      </c>
      <c r="AA950" t="b">
        <f>ISNUMBER(SEARCH(";"&amp;Lessons[[#This Row],[Instrument__c]]&amp;";",";"&amp;_xlfn.XLOOKUP(Lessons[[#This Row],[Instructor_External_Id__c]], Instructors[Id], Instructors[Instruments_Taught__c])&amp;";"))</f>
        <v>1</v>
      </c>
      <c r="AB950" t="str">
        <f>IF(LEFT(Lessons[[#This Row],[Status__c]],9)="Cancelled","",Lessons[[#This Row],[Instructor_External_Id__c]]&amp;"|"&amp;TEXT(Lessons[[#This Row],[Lesson_Date__c]],"yyyy-mm-dd")&amp;"|"&amp;Lessons[[#This Row],[Start_Time__c]])</f>
        <v>a06ak00000amzBzAAI|2026-10-17|09:00:00.000Z</v>
      </c>
      <c r="AC950">
        <f>IF(Lessons[[#This Row],[Double Booked Key]]="","",COUNTIF(Lessons[Double Booked Key],Lessons[[#This Row],[Double Booked Key]]))</f>
        <v>1</v>
      </c>
      <c r="AD950" s="6" t="str">
        <f>_xlfn.XLOOKUP(Lessons[[#This Row],[Location_External_Id__c]], Locations[Location Id], Locations[Location Name])</f>
        <v>Red Bank</v>
      </c>
      <c r="AE950" s="6" t="str">
        <f>TEXT(Lessons[[#This Row],[Lesson_Date__c]], "yyyy-mm")</f>
        <v>2026-10</v>
      </c>
      <c r="AF950" s="6" t="str">
        <f>IF(Lessons[[#This Row],[Lesson_Date__c]]&lt;=Data_Audit!$F$1, "Yes", "No")</f>
        <v>No</v>
      </c>
    </row>
    <row r="951" spans="1:32">
      <c r="A951" t="s">
        <v>52</v>
      </c>
      <c r="B951" t="s">
        <v>3437</v>
      </c>
      <c r="C951">
        <v>45</v>
      </c>
      <c r="D951" t="s">
        <v>3486</v>
      </c>
      <c r="E951" t="s">
        <v>359</v>
      </c>
      <c r="F951" t="s">
        <v>360</v>
      </c>
      <c r="H951" t="s">
        <v>284</v>
      </c>
      <c r="I951" t="b">
        <v>0</v>
      </c>
      <c r="K951" t="s">
        <v>52</v>
      </c>
      <c r="L951" t="s">
        <v>3437</v>
      </c>
      <c r="O951" s="1">
        <v>46312</v>
      </c>
      <c r="P951" t="s">
        <v>3487</v>
      </c>
      <c r="Q951" t="s">
        <v>3488</v>
      </c>
      <c r="R951" t="s">
        <v>63</v>
      </c>
      <c r="S951" t="b">
        <v>0</v>
      </c>
      <c r="T951" t="b">
        <v>0</v>
      </c>
      <c r="U951" t="s">
        <v>3489</v>
      </c>
      <c r="V951" t="s">
        <v>3208</v>
      </c>
      <c r="W951" t="s">
        <v>95</v>
      </c>
      <c r="X951" t="s">
        <v>2266</v>
      </c>
      <c r="Y951" t="s">
        <v>2267</v>
      </c>
      <c r="Z951" t="s">
        <v>3437</v>
      </c>
      <c r="AA951" t="b">
        <f>ISNUMBER(SEARCH(";"&amp;Lessons[[#This Row],[Instrument__c]]&amp;";",";"&amp;_xlfn.XLOOKUP(Lessons[[#This Row],[Instructor_External_Id__c]], Instructors[Id], Instructors[Instruments_Taught__c])&amp;";"))</f>
        <v>1</v>
      </c>
      <c r="AB951" t="str">
        <f>IF(LEFT(Lessons[[#This Row],[Status__c]],9)="Cancelled","",Lessons[[#This Row],[Instructor_External_Id__c]]&amp;"|"&amp;TEXT(Lessons[[#This Row],[Lesson_Date__c]],"yyyy-mm-dd")&amp;"|"&amp;Lessons[[#This Row],[Start_Time__c]])</f>
        <v>a06ak00000amzBiAAI|2026-10-17|12:30:00.000Z</v>
      </c>
      <c r="AC951">
        <f>IF(Lessons[[#This Row],[Double Booked Key]]="","",COUNTIF(Lessons[Double Booked Key],Lessons[[#This Row],[Double Booked Key]]))</f>
        <v>1</v>
      </c>
      <c r="AD951" s="6" t="str">
        <f>_xlfn.XLOOKUP(Lessons[[#This Row],[Location_External_Id__c]], Locations[Location Id], Locations[Location Name])</f>
        <v>Red Bank</v>
      </c>
      <c r="AE951" s="6" t="str">
        <f>TEXT(Lessons[[#This Row],[Lesson_Date__c]], "yyyy-mm")</f>
        <v>2026-10</v>
      </c>
      <c r="AF951" s="6" t="str">
        <f>IF(Lessons[[#This Row],[Lesson_Date__c]]&lt;=Data_Audit!$F$1, "Yes", "No")</f>
        <v>No</v>
      </c>
    </row>
    <row r="952" spans="1:32">
      <c r="A952" t="s">
        <v>52</v>
      </c>
      <c r="B952" t="s">
        <v>3437</v>
      </c>
      <c r="C952">
        <v>60</v>
      </c>
      <c r="D952" t="s">
        <v>3490</v>
      </c>
      <c r="E952" t="s">
        <v>804</v>
      </c>
      <c r="F952" t="s">
        <v>805</v>
      </c>
      <c r="H952" t="s">
        <v>527</v>
      </c>
      <c r="I952" t="b">
        <v>0</v>
      </c>
      <c r="K952" t="s">
        <v>52</v>
      </c>
      <c r="L952" t="s">
        <v>3437</v>
      </c>
      <c r="O952" s="1">
        <v>46312</v>
      </c>
      <c r="P952" t="s">
        <v>3491</v>
      </c>
      <c r="Q952" t="s">
        <v>3492</v>
      </c>
      <c r="R952" t="s">
        <v>63</v>
      </c>
      <c r="S952" t="b">
        <v>0</v>
      </c>
      <c r="T952" t="b">
        <v>0</v>
      </c>
      <c r="U952" t="s">
        <v>3493</v>
      </c>
      <c r="V952" t="s">
        <v>3208</v>
      </c>
      <c r="W952" t="s">
        <v>95</v>
      </c>
      <c r="X952" t="s">
        <v>2328</v>
      </c>
      <c r="Y952" t="s">
        <v>2329</v>
      </c>
      <c r="Z952" t="s">
        <v>3437</v>
      </c>
      <c r="AA952" t="b">
        <f>ISNUMBER(SEARCH(";"&amp;Lessons[[#This Row],[Instrument__c]]&amp;";",";"&amp;_xlfn.XLOOKUP(Lessons[[#This Row],[Instructor_External_Id__c]], Instructors[Id], Instructors[Instruments_Taught__c])&amp;";"))</f>
        <v>1</v>
      </c>
      <c r="AB952" t="str">
        <f>IF(LEFT(Lessons[[#This Row],[Status__c]],9)="Cancelled","",Lessons[[#This Row],[Instructor_External_Id__c]]&amp;"|"&amp;TEXT(Lessons[[#This Row],[Lesson_Date__c]],"yyyy-mm-dd")&amp;"|"&amp;Lessons[[#This Row],[Start_Time__c]])</f>
        <v>a06ak00000amzCBAAY|2026-10-17|12:30:00.000Z</v>
      </c>
      <c r="AC952">
        <f>IF(Lessons[[#This Row],[Double Booked Key]]="","",COUNTIF(Lessons[Double Booked Key],Lessons[[#This Row],[Double Booked Key]]))</f>
        <v>1</v>
      </c>
      <c r="AD952" s="6" t="str">
        <f>_xlfn.XLOOKUP(Lessons[[#This Row],[Location_External_Id__c]], Locations[Location Id], Locations[Location Name])</f>
        <v>Red Bank</v>
      </c>
      <c r="AE952" s="6" t="str">
        <f>TEXT(Lessons[[#This Row],[Lesson_Date__c]], "yyyy-mm")</f>
        <v>2026-10</v>
      </c>
      <c r="AF952" s="6" t="str">
        <f>IF(Lessons[[#This Row],[Lesson_Date__c]]&lt;=Data_Audit!$F$1, "Yes", "No")</f>
        <v>No</v>
      </c>
    </row>
    <row r="953" spans="1:32">
      <c r="A953" t="s">
        <v>52</v>
      </c>
      <c r="B953" t="s">
        <v>3437</v>
      </c>
      <c r="C953">
        <v>30</v>
      </c>
      <c r="D953" t="s">
        <v>3494</v>
      </c>
      <c r="E953" t="s">
        <v>359</v>
      </c>
      <c r="F953" t="s">
        <v>360</v>
      </c>
      <c r="H953" t="s">
        <v>284</v>
      </c>
      <c r="I953" t="b">
        <v>0</v>
      </c>
      <c r="K953" t="s">
        <v>52</v>
      </c>
      <c r="L953" t="s">
        <v>3437</v>
      </c>
      <c r="O953" s="1">
        <v>46314</v>
      </c>
      <c r="P953" t="s">
        <v>3495</v>
      </c>
      <c r="Q953" t="s">
        <v>3496</v>
      </c>
      <c r="R953" t="s">
        <v>63</v>
      </c>
      <c r="S953" t="b">
        <v>0</v>
      </c>
      <c r="T953" t="b">
        <v>0</v>
      </c>
      <c r="U953" t="s">
        <v>3497</v>
      </c>
      <c r="V953" t="s">
        <v>140</v>
      </c>
      <c r="W953" t="s">
        <v>95</v>
      </c>
      <c r="X953" t="s">
        <v>2788</v>
      </c>
      <c r="Y953" t="s">
        <v>2789</v>
      </c>
      <c r="Z953" t="s">
        <v>3437</v>
      </c>
      <c r="AA953" t="b">
        <f>ISNUMBER(SEARCH(";"&amp;Lessons[[#This Row],[Instrument__c]]&amp;";",";"&amp;_xlfn.XLOOKUP(Lessons[[#This Row],[Instructor_External_Id__c]], Instructors[Id], Instructors[Instruments_Taught__c])&amp;";"))</f>
        <v>1</v>
      </c>
      <c r="AB953" t="str">
        <f>IF(LEFT(Lessons[[#This Row],[Status__c]],9)="Cancelled","",Lessons[[#This Row],[Instructor_External_Id__c]]&amp;"|"&amp;TEXT(Lessons[[#This Row],[Lesson_Date__c]],"yyyy-mm-dd")&amp;"|"&amp;Lessons[[#This Row],[Start_Time__c]])</f>
        <v>a06ak00000amzBiAAI|2026-10-19|15:00:00.000Z</v>
      </c>
      <c r="AC953">
        <f>IF(Lessons[[#This Row],[Double Booked Key]]="","",COUNTIF(Lessons[Double Booked Key],Lessons[[#This Row],[Double Booked Key]]))</f>
        <v>1</v>
      </c>
      <c r="AD953" s="6" t="str">
        <f>_xlfn.XLOOKUP(Lessons[[#This Row],[Location_External_Id__c]], Locations[Location Id], Locations[Location Name])</f>
        <v>Red Bank</v>
      </c>
      <c r="AE953" s="6" t="str">
        <f>TEXT(Lessons[[#This Row],[Lesson_Date__c]], "yyyy-mm")</f>
        <v>2026-10</v>
      </c>
      <c r="AF953" s="6" t="str">
        <f>IF(Lessons[[#This Row],[Lesson_Date__c]]&lt;=Data_Audit!$F$1, "Yes", "No")</f>
        <v>No</v>
      </c>
    </row>
    <row r="954" spans="1:32">
      <c r="A954" t="s">
        <v>52</v>
      </c>
      <c r="B954" t="s">
        <v>3437</v>
      </c>
      <c r="C954">
        <v>60</v>
      </c>
      <c r="D954" t="s">
        <v>3498</v>
      </c>
      <c r="E954" t="s">
        <v>76</v>
      </c>
      <c r="F954" t="s">
        <v>77</v>
      </c>
      <c r="H954" t="s">
        <v>58</v>
      </c>
      <c r="I954" t="b">
        <v>0</v>
      </c>
      <c r="K954" t="s">
        <v>52</v>
      </c>
      <c r="L954" t="s">
        <v>3437</v>
      </c>
      <c r="O954" s="1">
        <v>46314</v>
      </c>
      <c r="P954" t="s">
        <v>3499</v>
      </c>
      <c r="Q954" t="s">
        <v>3500</v>
      </c>
      <c r="R954" t="s">
        <v>83</v>
      </c>
      <c r="S954" t="b">
        <v>0</v>
      </c>
      <c r="T954" t="b">
        <v>0</v>
      </c>
      <c r="U954" t="s">
        <v>3501</v>
      </c>
      <c r="V954" t="s">
        <v>116</v>
      </c>
      <c r="W954" t="s">
        <v>95</v>
      </c>
      <c r="X954" t="s">
        <v>1103</v>
      </c>
      <c r="Y954" t="s">
        <v>1104</v>
      </c>
      <c r="Z954" t="s">
        <v>3437</v>
      </c>
      <c r="AA954" t="b">
        <f>ISNUMBER(SEARCH(";"&amp;Lessons[[#This Row],[Instrument__c]]&amp;";",";"&amp;_xlfn.XLOOKUP(Lessons[[#This Row],[Instructor_External_Id__c]], Instructors[Id], Instructors[Instruments_Taught__c])&amp;";"))</f>
        <v>1</v>
      </c>
      <c r="AB954" t="str">
        <f>IF(LEFT(Lessons[[#This Row],[Status__c]],9)="Cancelled","",Lessons[[#This Row],[Instructor_External_Id__c]]&amp;"|"&amp;TEXT(Lessons[[#This Row],[Lesson_Date__c]],"yyyy-mm-dd")&amp;"|"&amp;Lessons[[#This Row],[Start_Time__c]])</f>
        <v>a06ak00000amzBgAAI|2026-10-19|17:30:00.000Z</v>
      </c>
      <c r="AC954">
        <f>IF(Lessons[[#This Row],[Double Booked Key]]="","",COUNTIF(Lessons[Double Booked Key],Lessons[[#This Row],[Double Booked Key]]))</f>
        <v>1</v>
      </c>
      <c r="AD954" s="6" t="str">
        <f>_xlfn.XLOOKUP(Lessons[[#This Row],[Location_External_Id__c]], Locations[Location Id], Locations[Location Name])</f>
        <v>Brick</v>
      </c>
      <c r="AE954" s="6" t="str">
        <f>TEXT(Lessons[[#This Row],[Lesson_Date__c]], "yyyy-mm")</f>
        <v>2026-10</v>
      </c>
      <c r="AF954" s="6" t="str">
        <f>IF(Lessons[[#This Row],[Lesson_Date__c]]&lt;=Data_Audit!$F$1, "Yes", "No")</f>
        <v>No</v>
      </c>
    </row>
    <row r="955" spans="1:32">
      <c r="A955" t="s">
        <v>52</v>
      </c>
      <c r="B955" t="s">
        <v>3437</v>
      </c>
      <c r="C955">
        <v>45</v>
      </c>
      <c r="D955" t="s">
        <v>3502</v>
      </c>
      <c r="E955" t="s">
        <v>359</v>
      </c>
      <c r="F955" t="s">
        <v>360</v>
      </c>
      <c r="H955" t="s">
        <v>78</v>
      </c>
      <c r="I955" t="b">
        <v>0</v>
      </c>
      <c r="K955" t="s">
        <v>52</v>
      </c>
      <c r="L955" t="s">
        <v>3437</v>
      </c>
      <c r="O955" s="1">
        <v>46314</v>
      </c>
      <c r="P955" t="s">
        <v>3503</v>
      </c>
      <c r="Q955" t="s">
        <v>3504</v>
      </c>
      <c r="R955" t="s">
        <v>63</v>
      </c>
      <c r="S955" t="b">
        <v>0</v>
      </c>
      <c r="T955" t="b">
        <v>0</v>
      </c>
      <c r="U955" t="s">
        <v>3505</v>
      </c>
      <c r="V955" t="s">
        <v>128</v>
      </c>
      <c r="W955" t="s">
        <v>95</v>
      </c>
      <c r="X955" t="s">
        <v>667</v>
      </c>
      <c r="Y955" t="s">
        <v>668</v>
      </c>
      <c r="Z955" t="s">
        <v>3437</v>
      </c>
      <c r="AA955" t="b">
        <f>ISNUMBER(SEARCH(";"&amp;Lessons[[#This Row],[Instrument__c]]&amp;";",";"&amp;_xlfn.XLOOKUP(Lessons[[#This Row],[Instructor_External_Id__c]], Instructors[Id], Instructors[Instruments_Taught__c])&amp;";"))</f>
        <v>1</v>
      </c>
      <c r="AB955" t="str">
        <f>IF(LEFT(Lessons[[#This Row],[Status__c]],9)="Cancelled","",Lessons[[#This Row],[Instructor_External_Id__c]]&amp;"|"&amp;TEXT(Lessons[[#This Row],[Lesson_Date__c]],"yyyy-mm-dd")&amp;"|"&amp;Lessons[[#This Row],[Start_Time__c]])</f>
        <v>a06ak00000amzBiAAI|2026-10-19|18:30:00.000Z</v>
      </c>
      <c r="AC955">
        <f>IF(Lessons[[#This Row],[Double Booked Key]]="","",COUNTIF(Lessons[Double Booked Key],Lessons[[#This Row],[Double Booked Key]]))</f>
        <v>1</v>
      </c>
      <c r="AD955" s="6" t="str">
        <f>_xlfn.XLOOKUP(Lessons[[#This Row],[Location_External_Id__c]], Locations[Location Id], Locations[Location Name])</f>
        <v>Red Bank</v>
      </c>
      <c r="AE955" s="6" t="str">
        <f>TEXT(Lessons[[#This Row],[Lesson_Date__c]], "yyyy-mm")</f>
        <v>2026-10</v>
      </c>
      <c r="AF955" s="6" t="str">
        <f>IF(Lessons[[#This Row],[Lesson_Date__c]]&lt;=Data_Audit!$F$1, "Yes", "No")</f>
        <v>No</v>
      </c>
    </row>
    <row r="956" spans="1:32">
      <c r="A956" t="s">
        <v>52</v>
      </c>
      <c r="B956" t="s">
        <v>3437</v>
      </c>
      <c r="C956">
        <v>30</v>
      </c>
      <c r="D956" t="s">
        <v>3506</v>
      </c>
      <c r="E956" t="s">
        <v>804</v>
      </c>
      <c r="F956" t="s">
        <v>805</v>
      </c>
      <c r="H956" t="s">
        <v>147</v>
      </c>
      <c r="I956" t="b">
        <v>0</v>
      </c>
      <c r="K956" t="s">
        <v>52</v>
      </c>
      <c r="L956" t="s">
        <v>3437</v>
      </c>
      <c r="O956" s="1">
        <v>46315</v>
      </c>
      <c r="P956" t="s">
        <v>3507</v>
      </c>
      <c r="Q956" t="s">
        <v>3508</v>
      </c>
      <c r="R956" t="s">
        <v>63</v>
      </c>
      <c r="S956" t="b">
        <v>0</v>
      </c>
      <c r="T956" t="b">
        <v>0</v>
      </c>
      <c r="U956" t="s">
        <v>3509</v>
      </c>
      <c r="V956" t="s">
        <v>140</v>
      </c>
      <c r="W956" t="s">
        <v>95</v>
      </c>
      <c r="X956" t="s">
        <v>2830</v>
      </c>
      <c r="Y956" t="s">
        <v>2831</v>
      </c>
      <c r="Z956" t="s">
        <v>3437</v>
      </c>
      <c r="AA956" t="b">
        <f>ISNUMBER(SEARCH(";"&amp;Lessons[[#This Row],[Instrument__c]]&amp;";",";"&amp;_xlfn.XLOOKUP(Lessons[[#This Row],[Instructor_External_Id__c]], Instructors[Id], Instructors[Instruments_Taught__c])&amp;";"))</f>
        <v>1</v>
      </c>
      <c r="AB956" t="str">
        <f>IF(LEFT(Lessons[[#This Row],[Status__c]],9)="Cancelled","",Lessons[[#This Row],[Instructor_External_Id__c]]&amp;"|"&amp;TEXT(Lessons[[#This Row],[Lesson_Date__c]],"yyyy-mm-dd")&amp;"|"&amp;Lessons[[#This Row],[Start_Time__c]])</f>
        <v>a06ak00000amzCBAAY|2026-10-20|15:00:00.000Z</v>
      </c>
      <c r="AC956">
        <f>IF(Lessons[[#This Row],[Double Booked Key]]="","",COUNTIF(Lessons[Double Booked Key],Lessons[[#This Row],[Double Booked Key]]))</f>
        <v>1</v>
      </c>
      <c r="AD956" s="6" t="str">
        <f>_xlfn.XLOOKUP(Lessons[[#This Row],[Location_External_Id__c]], Locations[Location Id], Locations[Location Name])</f>
        <v>Red Bank</v>
      </c>
      <c r="AE956" s="6" t="str">
        <f>TEXT(Lessons[[#This Row],[Lesson_Date__c]], "yyyy-mm")</f>
        <v>2026-10</v>
      </c>
      <c r="AF956" s="6" t="str">
        <f>IF(Lessons[[#This Row],[Lesson_Date__c]]&lt;=Data_Audit!$F$1, "Yes", "No")</f>
        <v>No</v>
      </c>
    </row>
    <row r="957" spans="1:32">
      <c r="A957" t="s">
        <v>52</v>
      </c>
      <c r="B957" t="s">
        <v>3437</v>
      </c>
      <c r="C957">
        <v>60</v>
      </c>
      <c r="D957" t="s">
        <v>3510</v>
      </c>
      <c r="E957" t="s">
        <v>243</v>
      </c>
      <c r="F957" t="s">
        <v>244</v>
      </c>
      <c r="H957" t="s">
        <v>237</v>
      </c>
      <c r="I957" t="b">
        <v>0</v>
      </c>
      <c r="K957" t="s">
        <v>52</v>
      </c>
      <c r="L957" t="s">
        <v>3437</v>
      </c>
      <c r="O957" s="1">
        <v>46315</v>
      </c>
      <c r="P957" t="s">
        <v>3511</v>
      </c>
      <c r="Q957" t="s">
        <v>3512</v>
      </c>
      <c r="R957" t="s">
        <v>83</v>
      </c>
      <c r="S957" t="b">
        <v>0</v>
      </c>
      <c r="T957" t="b">
        <v>0</v>
      </c>
      <c r="U957" t="s">
        <v>3513</v>
      </c>
      <c r="V957" t="s">
        <v>135</v>
      </c>
      <c r="W957" t="s">
        <v>95</v>
      </c>
      <c r="X957" t="s">
        <v>965</v>
      </c>
      <c r="Y957" t="s">
        <v>966</v>
      </c>
      <c r="Z957" t="s">
        <v>3437</v>
      </c>
      <c r="AA957" t="b">
        <f>ISNUMBER(SEARCH(";"&amp;Lessons[[#This Row],[Instrument__c]]&amp;";",";"&amp;_xlfn.XLOOKUP(Lessons[[#This Row],[Instructor_External_Id__c]], Instructors[Id], Instructors[Instruments_Taught__c])&amp;";"))</f>
        <v>1</v>
      </c>
      <c r="AB957" t="str">
        <f>IF(LEFT(Lessons[[#This Row],[Status__c]],9)="Cancelled","",Lessons[[#This Row],[Instructor_External_Id__c]]&amp;"|"&amp;TEXT(Lessons[[#This Row],[Lesson_Date__c]],"yyyy-mm-dd")&amp;"|"&amp;Lessons[[#This Row],[Start_Time__c]])</f>
        <v>a06ak00000amzC1AAI|2026-10-20|15:30:00.000Z</v>
      </c>
      <c r="AC957">
        <f>IF(Lessons[[#This Row],[Double Booked Key]]="","",COUNTIF(Lessons[Double Booked Key],Lessons[[#This Row],[Double Booked Key]]))</f>
        <v>1</v>
      </c>
      <c r="AD957" s="6" t="str">
        <f>_xlfn.XLOOKUP(Lessons[[#This Row],[Location_External_Id__c]], Locations[Location Id], Locations[Location Name])</f>
        <v>Brick</v>
      </c>
      <c r="AE957" s="6" t="str">
        <f>TEXT(Lessons[[#This Row],[Lesson_Date__c]], "yyyy-mm")</f>
        <v>2026-10</v>
      </c>
      <c r="AF957" s="6" t="str">
        <f>IF(Lessons[[#This Row],[Lesson_Date__c]]&lt;=Data_Audit!$F$1, "Yes", "No")</f>
        <v>No</v>
      </c>
    </row>
    <row r="958" spans="1:32">
      <c r="A958" t="s">
        <v>52</v>
      </c>
      <c r="B958" t="s">
        <v>3437</v>
      </c>
      <c r="C958">
        <v>45</v>
      </c>
      <c r="D958" t="s">
        <v>3514</v>
      </c>
      <c r="E958" t="s">
        <v>804</v>
      </c>
      <c r="F958" t="s">
        <v>805</v>
      </c>
      <c r="H958" t="s">
        <v>527</v>
      </c>
      <c r="I958" t="b">
        <v>0</v>
      </c>
      <c r="K958" t="s">
        <v>52</v>
      </c>
      <c r="L958" t="s">
        <v>3437</v>
      </c>
      <c r="O958" s="1">
        <v>46315</v>
      </c>
      <c r="P958" t="s">
        <v>3515</v>
      </c>
      <c r="Q958" t="s">
        <v>3516</v>
      </c>
      <c r="R958" t="s">
        <v>63</v>
      </c>
      <c r="S958" t="b">
        <v>0</v>
      </c>
      <c r="T958" t="b">
        <v>0</v>
      </c>
      <c r="U958" t="s">
        <v>3517</v>
      </c>
      <c r="V958" t="s">
        <v>74</v>
      </c>
      <c r="W958" t="s">
        <v>95</v>
      </c>
      <c r="X958" t="s">
        <v>1293</v>
      </c>
      <c r="Y958" t="s">
        <v>1294</v>
      </c>
      <c r="Z958" t="s">
        <v>3437</v>
      </c>
      <c r="AA958" t="b">
        <f>ISNUMBER(SEARCH(";"&amp;Lessons[[#This Row],[Instrument__c]]&amp;";",";"&amp;_xlfn.XLOOKUP(Lessons[[#This Row],[Instructor_External_Id__c]], Instructors[Id], Instructors[Instruments_Taught__c])&amp;";"))</f>
        <v>1</v>
      </c>
      <c r="AB958" t="str">
        <f>IF(LEFT(Lessons[[#This Row],[Status__c]],9)="Cancelled","",Lessons[[#This Row],[Instructor_External_Id__c]]&amp;"|"&amp;TEXT(Lessons[[#This Row],[Lesson_Date__c]],"yyyy-mm-dd")&amp;"|"&amp;Lessons[[#This Row],[Start_Time__c]])</f>
        <v>a06ak00000amzCBAAY|2026-10-20|16:30:00.000Z</v>
      </c>
      <c r="AC958">
        <f>IF(Lessons[[#This Row],[Double Booked Key]]="","",COUNTIF(Lessons[Double Booked Key],Lessons[[#This Row],[Double Booked Key]]))</f>
        <v>1</v>
      </c>
      <c r="AD958" s="6" t="str">
        <f>_xlfn.XLOOKUP(Lessons[[#This Row],[Location_External_Id__c]], Locations[Location Id], Locations[Location Name])</f>
        <v>Red Bank</v>
      </c>
      <c r="AE958" s="6" t="str">
        <f>TEXT(Lessons[[#This Row],[Lesson_Date__c]], "yyyy-mm")</f>
        <v>2026-10</v>
      </c>
      <c r="AF958" s="6" t="str">
        <f>IF(Lessons[[#This Row],[Lesson_Date__c]]&lt;=Data_Audit!$F$1, "Yes", "No")</f>
        <v>No</v>
      </c>
    </row>
    <row r="959" spans="1:32">
      <c r="A959" t="s">
        <v>52</v>
      </c>
      <c r="B959" t="s">
        <v>3437</v>
      </c>
      <c r="C959">
        <v>60</v>
      </c>
      <c r="D959" t="s">
        <v>3518</v>
      </c>
      <c r="E959" t="s">
        <v>459</v>
      </c>
      <c r="F959" t="s">
        <v>460</v>
      </c>
      <c r="H959" t="s">
        <v>461</v>
      </c>
      <c r="I959" t="b">
        <v>0</v>
      </c>
      <c r="K959" t="s">
        <v>52</v>
      </c>
      <c r="L959" t="s">
        <v>3437</v>
      </c>
      <c r="O959" s="1">
        <v>46315</v>
      </c>
      <c r="P959" t="s">
        <v>3519</v>
      </c>
      <c r="Q959" t="s">
        <v>3520</v>
      </c>
      <c r="R959" t="s">
        <v>150</v>
      </c>
      <c r="S959" t="b">
        <v>0</v>
      </c>
      <c r="T959" t="b">
        <v>0</v>
      </c>
      <c r="U959" t="s">
        <v>3521</v>
      </c>
      <c r="V959" t="s">
        <v>120</v>
      </c>
      <c r="W959" t="s">
        <v>95</v>
      </c>
      <c r="X959" t="s">
        <v>1642</v>
      </c>
      <c r="Y959" t="s">
        <v>1643</v>
      </c>
      <c r="Z959" t="s">
        <v>3437</v>
      </c>
      <c r="AA959" t="b">
        <f>ISNUMBER(SEARCH(";"&amp;Lessons[[#This Row],[Instrument__c]]&amp;";",";"&amp;_xlfn.XLOOKUP(Lessons[[#This Row],[Instructor_External_Id__c]], Instructors[Id], Instructors[Instruments_Taught__c])&amp;";"))</f>
        <v>1</v>
      </c>
      <c r="AB959" t="str">
        <f>IF(LEFT(Lessons[[#This Row],[Status__c]],9)="Cancelled","",Lessons[[#This Row],[Instructor_External_Id__c]]&amp;"|"&amp;TEXT(Lessons[[#This Row],[Lesson_Date__c]],"yyyy-mm-dd")&amp;"|"&amp;Lessons[[#This Row],[Start_Time__c]])</f>
        <v>a06ak00000amzC8AAI|2026-10-20|18:00:00.000Z</v>
      </c>
      <c r="AC959">
        <f>IF(Lessons[[#This Row],[Double Booked Key]]="","",COUNTIF(Lessons[Double Booked Key],Lessons[[#This Row],[Double Booked Key]]))</f>
        <v>1</v>
      </c>
      <c r="AD959" s="6" t="str">
        <f>_xlfn.XLOOKUP(Lessons[[#This Row],[Location_External_Id__c]], Locations[Location Id], Locations[Location Name])</f>
        <v>Toms River</v>
      </c>
      <c r="AE959" s="6" t="str">
        <f>TEXT(Lessons[[#This Row],[Lesson_Date__c]], "yyyy-mm")</f>
        <v>2026-10</v>
      </c>
      <c r="AF959" s="6" t="str">
        <f>IF(Lessons[[#This Row],[Lesson_Date__c]]&lt;=Data_Audit!$F$1, "Yes", "No")</f>
        <v>No</v>
      </c>
    </row>
    <row r="960" spans="1:32">
      <c r="A960" t="s">
        <v>52</v>
      </c>
      <c r="B960" t="s">
        <v>3437</v>
      </c>
      <c r="C960">
        <v>60</v>
      </c>
      <c r="D960" t="s">
        <v>3522</v>
      </c>
      <c r="E960" t="s">
        <v>359</v>
      </c>
      <c r="F960" t="s">
        <v>360</v>
      </c>
      <c r="H960" t="s">
        <v>284</v>
      </c>
      <c r="I960" t="b">
        <v>0</v>
      </c>
      <c r="K960" t="s">
        <v>52</v>
      </c>
      <c r="L960" t="s">
        <v>3437</v>
      </c>
      <c r="O960" s="1">
        <v>46316</v>
      </c>
      <c r="P960" t="s">
        <v>3523</v>
      </c>
      <c r="Q960" t="s">
        <v>3524</v>
      </c>
      <c r="R960" t="s">
        <v>63</v>
      </c>
      <c r="S960" t="b">
        <v>0</v>
      </c>
      <c r="T960" t="b">
        <v>0</v>
      </c>
      <c r="U960" t="s">
        <v>3525</v>
      </c>
      <c r="V960" t="s">
        <v>102</v>
      </c>
      <c r="W960" t="s">
        <v>95</v>
      </c>
      <c r="X960" t="s">
        <v>768</v>
      </c>
      <c r="Y960" t="s">
        <v>769</v>
      </c>
      <c r="Z960" t="s">
        <v>3437</v>
      </c>
      <c r="AA960" t="b">
        <f>ISNUMBER(SEARCH(";"&amp;Lessons[[#This Row],[Instrument__c]]&amp;";",";"&amp;_xlfn.XLOOKUP(Lessons[[#This Row],[Instructor_External_Id__c]], Instructors[Id], Instructors[Instruments_Taught__c])&amp;";"))</f>
        <v>1</v>
      </c>
      <c r="AB960" t="str">
        <f>IF(LEFT(Lessons[[#This Row],[Status__c]],9)="Cancelled","",Lessons[[#This Row],[Instructor_External_Id__c]]&amp;"|"&amp;TEXT(Lessons[[#This Row],[Lesson_Date__c]],"yyyy-mm-dd")&amp;"|"&amp;Lessons[[#This Row],[Start_Time__c]])</f>
        <v>a06ak00000amzBiAAI|2026-10-21|16:00:00.000Z</v>
      </c>
      <c r="AC960">
        <f>IF(Lessons[[#This Row],[Double Booked Key]]="","",COUNTIF(Lessons[Double Booked Key],Lessons[[#This Row],[Double Booked Key]]))</f>
        <v>1</v>
      </c>
      <c r="AD960" s="6" t="str">
        <f>_xlfn.XLOOKUP(Lessons[[#This Row],[Location_External_Id__c]], Locations[Location Id], Locations[Location Name])</f>
        <v>Red Bank</v>
      </c>
      <c r="AE960" s="6" t="str">
        <f>TEXT(Lessons[[#This Row],[Lesson_Date__c]], "yyyy-mm")</f>
        <v>2026-10</v>
      </c>
      <c r="AF960" s="6" t="str">
        <f>IF(Lessons[[#This Row],[Lesson_Date__c]]&lt;=Data_Audit!$F$1, "Yes", "No")</f>
        <v>No</v>
      </c>
    </row>
    <row r="961" spans="1:32">
      <c r="A961" t="s">
        <v>52</v>
      </c>
      <c r="B961" t="s">
        <v>3437</v>
      </c>
      <c r="C961">
        <v>60</v>
      </c>
      <c r="D961" t="s">
        <v>3526</v>
      </c>
      <c r="E961" t="s">
        <v>318</v>
      </c>
      <c r="F961" t="s">
        <v>319</v>
      </c>
      <c r="H961" t="s">
        <v>650</v>
      </c>
      <c r="I961" t="b">
        <v>0</v>
      </c>
      <c r="K961" t="s">
        <v>52</v>
      </c>
      <c r="L961" t="s">
        <v>3437</v>
      </c>
      <c r="O961" s="1">
        <v>46316</v>
      </c>
      <c r="P961" t="s">
        <v>3527</v>
      </c>
      <c r="Q961" t="s">
        <v>3528</v>
      </c>
      <c r="R961" t="s">
        <v>63</v>
      </c>
      <c r="S961" t="b">
        <v>0</v>
      </c>
      <c r="T961" t="b">
        <v>0</v>
      </c>
      <c r="U961" t="s">
        <v>3529</v>
      </c>
      <c r="V961" t="s">
        <v>116</v>
      </c>
      <c r="W961" t="s">
        <v>95</v>
      </c>
      <c r="X961" t="s">
        <v>653</v>
      </c>
      <c r="Y961" t="s">
        <v>654</v>
      </c>
      <c r="Z961" t="s">
        <v>3437</v>
      </c>
      <c r="AA961" t="b">
        <f>ISNUMBER(SEARCH(";"&amp;Lessons[[#This Row],[Instrument__c]]&amp;";",";"&amp;_xlfn.XLOOKUP(Lessons[[#This Row],[Instructor_External_Id__c]], Instructors[Id], Instructors[Instruments_Taught__c])&amp;";"))</f>
        <v>1</v>
      </c>
      <c r="AB961" t="str">
        <f>IF(LEFT(Lessons[[#This Row],[Status__c]],9)="Cancelled","",Lessons[[#This Row],[Instructor_External_Id__c]]&amp;"|"&amp;TEXT(Lessons[[#This Row],[Lesson_Date__c]],"yyyy-mm-dd")&amp;"|"&amp;Lessons[[#This Row],[Start_Time__c]])</f>
        <v>a06ak00000amzBzAAI|2026-10-21|17:30:00.000Z</v>
      </c>
      <c r="AC961">
        <f>IF(Lessons[[#This Row],[Double Booked Key]]="","",COUNTIF(Lessons[Double Booked Key],Lessons[[#This Row],[Double Booked Key]]))</f>
        <v>1</v>
      </c>
      <c r="AD961" s="6" t="str">
        <f>_xlfn.XLOOKUP(Lessons[[#This Row],[Location_External_Id__c]], Locations[Location Id], Locations[Location Name])</f>
        <v>Red Bank</v>
      </c>
      <c r="AE961" s="6" t="str">
        <f>TEXT(Lessons[[#This Row],[Lesson_Date__c]], "yyyy-mm")</f>
        <v>2026-10</v>
      </c>
      <c r="AF961" s="6" t="str">
        <f>IF(Lessons[[#This Row],[Lesson_Date__c]]&lt;=Data_Audit!$F$1, "Yes", "No")</f>
        <v>No</v>
      </c>
    </row>
    <row r="962" spans="1:32">
      <c r="A962" t="s">
        <v>52</v>
      </c>
      <c r="B962" t="s">
        <v>3437</v>
      </c>
      <c r="C962">
        <v>30</v>
      </c>
      <c r="D962" t="s">
        <v>3530</v>
      </c>
      <c r="E962" t="s">
        <v>573</v>
      </c>
      <c r="F962" t="s">
        <v>574</v>
      </c>
      <c r="H962" t="s">
        <v>147</v>
      </c>
      <c r="I962" t="b">
        <v>0</v>
      </c>
      <c r="K962" t="s">
        <v>52</v>
      </c>
      <c r="L962" t="s">
        <v>3437</v>
      </c>
      <c r="O962" s="1">
        <v>46316</v>
      </c>
      <c r="P962" t="s">
        <v>3531</v>
      </c>
      <c r="Q962" t="s">
        <v>3532</v>
      </c>
      <c r="R962" t="s">
        <v>83</v>
      </c>
      <c r="S962" t="b">
        <v>0</v>
      </c>
      <c r="T962" t="b">
        <v>0</v>
      </c>
      <c r="U962" t="s">
        <v>3533</v>
      </c>
      <c r="V962" t="s">
        <v>120</v>
      </c>
      <c r="W962" t="s">
        <v>95</v>
      </c>
      <c r="X962" t="s">
        <v>2016</v>
      </c>
      <c r="Y962" t="s">
        <v>2017</v>
      </c>
      <c r="Z962" t="s">
        <v>3437</v>
      </c>
      <c r="AA962" t="b">
        <f>ISNUMBER(SEARCH(";"&amp;Lessons[[#This Row],[Instrument__c]]&amp;";",";"&amp;_xlfn.XLOOKUP(Lessons[[#This Row],[Instructor_External_Id__c]], Instructors[Id], Instructors[Instruments_Taught__c])&amp;";"))</f>
        <v>1</v>
      </c>
      <c r="AB962" t="str">
        <f>IF(LEFT(Lessons[[#This Row],[Status__c]],9)="Cancelled","",Lessons[[#This Row],[Instructor_External_Id__c]]&amp;"|"&amp;TEXT(Lessons[[#This Row],[Lesson_Date__c]],"yyyy-mm-dd")&amp;"|"&amp;Lessons[[#This Row],[Start_Time__c]])</f>
        <v>a06ak00000amzCCAAY|2026-10-21|18:00:00.000Z</v>
      </c>
      <c r="AC962">
        <f>IF(Lessons[[#This Row],[Double Booked Key]]="","",COUNTIF(Lessons[Double Booked Key],Lessons[[#This Row],[Double Booked Key]]))</f>
        <v>1</v>
      </c>
      <c r="AD962" s="6" t="str">
        <f>_xlfn.XLOOKUP(Lessons[[#This Row],[Location_External_Id__c]], Locations[Location Id], Locations[Location Name])</f>
        <v>Brick</v>
      </c>
      <c r="AE962" s="6" t="str">
        <f>TEXT(Lessons[[#This Row],[Lesson_Date__c]], "yyyy-mm")</f>
        <v>2026-10</v>
      </c>
      <c r="AF962" s="6" t="str">
        <f>IF(Lessons[[#This Row],[Lesson_Date__c]]&lt;=Data_Audit!$F$1, "Yes", "No")</f>
        <v>No</v>
      </c>
    </row>
    <row r="963" spans="1:32">
      <c r="A963" t="s">
        <v>52</v>
      </c>
      <c r="B963" t="s">
        <v>3437</v>
      </c>
      <c r="C963">
        <v>30</v>
      </c>
      <c r="D963" t="s">
        <v>3534</v>
      </c>
      <c r="E963" t="s">
        <v>401</v>
      </c>
      <c r="F963" t="s">
        <v>402</v>
      </c>
      <c r="H963" t="s">
        <v>263</v>
      </c>
      <c r="I963" t="b">
        <v>0</v>
      </c>
      <c r="K963" t="s">
        <v>52</v>
      </c>
      <c r="L963" t="s">
        <v>3437</v>
      </c>
      <c r="O963" s="1">
        <v>46317</v>
      </c>
      <c r="P963" t="s">
        <v>3535</v>
      </c>
      <c r="Q963" t="s">
        <v>3536</v>
      </c>
      <c r="R963" t="s">
        <v>83</v>
      </c>
      <c r="S963" t="b">
        <v>0</v>
      </c>
      <c r="T963" t="b">
        <v>0</v>
      </c>
      <c r="U963" t="s">
        <v>3537</v>
      </c>
      <c r="V963" t="s">
        <v>140</v>
      </c>
      <c r="W963" t="s">
        <v>95</v>
      </c>
      <c r="X963" t="s">
        <v>720</v>
      </c>
      <c r="Y963" t="s">
        <v>721</v>
      </c>
      <c r="Z963" t="s">
        <v>3437</v>
      </c>
      <c r="AA963" t="b">
        <f>ISNUMBER(SEARCH(";"&amp;Lessons[[#This Row],[Instrument__c]]&amp;";",";"&amp;_xlfn.XLOOKUP(Lessons[[#This Row],[Instructor_External_Id__c]], Instructors[Id], Instructors[Instruments_Taught__c])&amp;";"))</f>
        <v>1</v>
      </c>
      <c r="AB963" t="str">
        <f>IF(LEFT(Lessons[[#This Row],[Status__c]],9)="Cancelled","",Lessons[[#This Row],[Instructor_External_Id__c]]&amp;"|"&amp;TEXT(Lessons[[#This Row],[Lesson_Date__c]],"yyyy-mm-dd")&amp;"|"&amp;Lessons[[#This Row],[Start_Time__c]])</f>
        <v>a06ak00000amzBfAAI|2026-10-22|15:00:00.000Z</v>
      </c>
      <c r="AC963">
        <f>IF(Lessons[[#This Row],[Double Booked Key]]="","",COUNTIF(Lessons[Double Booked Key],Lessons[[#This Row],[Double Booked Key]]))</f>
        <v>1</v>
      </c>
      <c r="AD963" s="6" t="str">
        <f>_xlfn.XLOOKUP(Lessons[[#This Row],[Location_External_Id__c]], Locations[Location Id], Locations[Location Name])</f>
        <v>Brick</v>
      </c>
      <c r="AE963" s="6" t="str">
        <f>TEXT(Lessons[[#This Row],[Lesson_Date__c]], "yyyy-mm")</f>
        <v>2026-10</v>
      </c>
      <c r="AF963" s="6" t="str">
        <f>IF(Lessons[[#This Row],[Lesson_Date__c]]&lt;=Data_Audit!$F$1, "Yes", "No")</f>
        <v>No</v>
      </c>
    </row>
    <row r="964" spans="1:32">
      <c r="A964" t="s">
        <v>52</v>
      </c>
      <c r="B964" t="s">
        <v>3437</v>
      </c>
      <c r="C964">
        <v>30</v>
      </c>
      <c r="D964" t="s">
        <v>3538</v>
      </c>
      <c r="E964" t="s">
        <v>243</v>
      </c>
      <c r="F964" t="s">
        <v>244</v>
      </c>
      <c r="H964" t="s">
        <v>650</v>
      </c>
      <c r="I964" t="b">
        <v>0</v>
      </c>
      <c r="K964" t="s">
        <v>52</v>
      </c>
      <c r="L964" t="s">
        <v>3437</v>
      </c>
      <c r="O964" s="1">
        <v>46317</v>
      </c>
      <c r="P964" t="s">
        <v>3539</v>
      </c>
      <c r="Q964" t="s">
        <v>3540</v>
      </c>
      <c r="R964" t="s">
        <v>83</v>
      </c>
      <c r="S964" t="b">
        <v>0</v>
      </c>
      <c r="T964" t="b">
        <v>0</v>
      </c>
      <c r="U964" t="s">
        <v>3541</v>
      </c>
      <c r="V964" t="s">
        <v>140</v>
      </c>
      <c r="W964" t="s">
        <v>95</v>
      </c>
      <c r="X964" t="s">
        <v>743</v>
      </c>
      <c r="Y964" t="s">
        <v>744</v>
      </c>
      <c r="Z964" t="s">
        <v>3437</v>
      </c>
      <c r="AA964" t="b">
        <f>ISNUMBER(SEARCH(";"&amp;Lessons[[#This Row],[Instrument__c]]&amp;";",";"&amp;_xlfn.XLOOKUP(Lessons[[#This Row],[Instructor_External_Id__c]], Instructors[Id], Instructors[Instruments_Taught__c])&amp;";"))</f>
        <v>1</v>
      </c>
      <c r="AB964" t="str">
        <f>IF(LEFT(Lessons[[#This Row],[Status__c]],9)="Cancelled","",Lessons[[#This Row],[Instructor_External_Id__c]]&amp;"|"&amp;TEXT(Lessons[[#This Row],[Lesson_Date__c]],"yyyy-mm-dd")&amp;"|"&amp;Lessons[[#This Row],[Start_Time__c]])</f>
        <v>a06ak00000amzC1AAI|2026-10-22|15:00:00.000Z</v>
      </c>
      <c r="AC964">
        <f>IF(Lessons[[#This Row],[Double Booked Key]]="","",COUNTIF(Lessons[Double Booked Key],Lessons[[#This Row],[Double Booked Key]]))</f>
        <v>1</v>
      </c>
      <c r="AD964" s="6" t="str">
        <f>_xlfn.XLOOKUP(Lessons[[#This Row],[Location_External_Id__c]], Locations[Location Id], Locations[Location Name])</f>
        <v>Brick</v>
      </c>
      <c r="AE964" s="6" t="str">
        <f>TEXT(Lessons[[#This Row],[Lesson_Date__c]], "yyyy-mm")</f>
        <v>2026-10</v>
      </c>
      <c r="AF964" s="6" t="str">
        <f>IF(Lessons[[#This Row],[Lesson_Date__c]]&lt;=Data_Audit!$F$1, "Yes", "No")</f>
        <v>No</v>
      </c>
    </row>
    <row r="965" spans="1:32">
      <c r="A965" t="s">
        <v>52</v>
      </c>
      <c r="B965" t="s">
        <v>3437</v>
      </c>
      <c r="C965">
        <v>60</v>
      </c>
      <c r="D965" t="s">
        <v>3542</v>
      </c>
      <c r="E965" t="s">
        <v>318</v>
      </c>
      <c r="F965" t="s">
        <v>319</v>
      </c>
      <c r="H965" t="s">
        <v>237</v>
      </c>
      <c r="I965" t="b">
        <v>0</v>
      </c>
      <c r="K965" t="s">
        <v>52</v>
      </c>
      <c r="L965" t="s">
        <v>3437</v>
      </c>
      <c r="O965" s="1">
        <v>46317</v>
      </c>
      <c r="P965" t="s">
        <v>3543</v>
      </c>
      <c r="Q965" t="s">
        <v>3544</v>
      </c>
      <c r="R965" t="s">
        <v>63</v>
      </c>
      <c r="S965" t="b">
        <v>0</v>
      </c>
      <c r="T965" t="b">
        <v>0</v>
      </c>
      <c r="U965" t="s">
        <v>3545</v>
      </c>
      <c r="V965" t="s">
        <v>135</v>
      </c>
      <c r="W965" t="s">
        <v>95</v>
      </c>
      <c r="X965" t="s">
        <v>2240</v>
      </c>
      <c r="Y965" t="s">
        <v>2241</v>
      </c>
      <c r="Z965" t="s">
        <v>3437</v>
      </c>
      <c r="AA965" t="b">
        <f>ISNUMBER(SEARCH(";"&amp;Lessons[[#This Row],[Instrument__c]]&amp;";",";"&amp;_xlfn.XLOOKUP(Lessons[[#This Row],[Instructor_External_Id__c]], Instructors[Id], Instructors[Instruments_Taught__c])&amp;";"))</f>
        <v>1</v>
      </c>
      <c r="AB965" t="str">
        <f>IF(LEFT(Lessons[[#This Row],[Status__c]],9)="Cancelled","",Lessons[[#This Row],[Instructor_External_Id__c]]&amp;"|"&amp;TEXT(Lessons[[#This Row],[Lesson_Date__c]],"yyyy-mm-dd")&amp;"|"&amp;Lessons[[#This Row],[Start_Time__c]])</f>
        <v>a06ak00000amzBzAAI|2026-10-22|15:30:00.000Z</v>
      </c>
      <c r="AC965">
        <f>IF(Lessons[[#This Row],[Double Booked Key]]="","",COUNTIF(Lessons[Double Booked Key],Lessons[[#This Row],[Double Booked Key]]))</f>
        <v>1</v>
      </c>
      <c r="AD965" s="6" t="str">
        <f>_xlfn.XLOOKUP(Lessons[[#This Row],[Location_External_Id__c]], Locations[Location Id], Locations[Location Name])</f>
        <v>Red Bank</v>
      </c>
      <c r="AE965" s="6" t="str">
        <f>TEXT(Lessons[[#This Row],[Lesson_Date__c]], "yyyy-mm")</f>
        <v>2026-10</v>
      </c>
      <c r="AF965" s="6" t="str">
        <f>IF(Lessons[[#This Row],[Lesson_Date__c]]&lt;=Data_Audit!$F$1, "Yes", "No")</f>
        <v>No</v>
      </c>
    </row>
    <row r="966" spans="1:32">
      <c r="A966" t="s">
        <v>52</v>
      </c>
      <c r="B966" t="s">
        <v>3437</v>
      </c>
      <c r="C966">
        <v>30</v>
      </c>
      <c r="D966" t="s">
        <v>3546</v>
      </c>
      <c r="E966" t="s">
        <v>76</v>
      </c>
      <c r="F966" t="s">
        <v>77</v>
      </c>
      <c r="H966" t="s">
        <v>392</v>
      </c>
      <c r="I966" t="b">
        <v>0</v>
      </c>
      <c r="K966" t="s">
        <v>52</v>
      </c>
      <c r="L966" t="s">
        <v>3437</v>
      </c>
      <c r="O966" s="1">
        <v>46317</v>
      </c>
      <c r="P966" t="s">
        <v>3547</v>
      </c>
      <c r="Q966" t="s">
        <v>3548</v>
      </c>
      <c r="R966" t="s">
        <v>83</v>
      </c>
      <c r="S966" t="b">
        <v>0</v>
      </c>
      <c r="T966" t="b">
        <v>0</v>
      </c>
      <c r="U966" t="s">
        <v>3549</v>
      </c>
      <c r="V966" t="s">
        <v>102</v>
      </c>
      <c r="W966" t="s">
        <v>95</v>
      </c>
      <c r="X966" t="s">
        <v>2765</v>
      </c>
      <c r="Y966" t="s">
        <v>2766</v>
      </c>
      <c r="Z966" t="s">
        <v>3437</v>
      </c>
      <c r="AA966" t="b">
        <f>ISNUMBER(SEARCH(";"&amp;Lessons[[#This Row],[Instrument__c]]&amp;";",";"&amp;_xlfn.XLOOKUP(Lessons[[#This Row],[Instructor_External_Id__c]], Instructors[Id], Instructors[Instruments_Taught__c])&amp;";"))</f>
        <v>1</v>
      </c>
      <c r="AB966" t="str">
        <f>IF(LEFT(Lessons[[#This Row],[Status__c]],9)="Cancelled","",Lessons[[#This Row],[Instructor_External_Id__c]]&amp;"|"&amp;TEXT(Lessons[[#This Row],[Lesson_Date__c]],"yyyy-mm-dd")&amp;"|"&amp;Lessons[[#This Row],[Start_Time__c]])</f>
        <v>a06ak00000amzBgAAI|2026-10-22|16:00:00.000Z</v>
      </c>
      <c r="AC966">
        <f>IF(Lessons[[#This Row],[Double Booked Key]]="","",COUNTIF(Lessons[Double Booked Key],Lessons[[#This Row],[Double Booked Key]]))</f>
        <v>1</v>
      </c>
      <c r="AD966" s="6" t="str">
        <f>_xlfn.XLOOKUP(Lessons[[#This Row],[Location_External_Id__c]], Locations[Location Id], Locations[Location Name])</f>
        <v>Brick</v>
      </c>
      <c r="AE966" s="6" t="str">
        <f>TEXT(Lessons[[#This Row],[Lesson_Date__c]], "yyyy-mm")</f>
        <v>2026-10</v>
      </c>
      <c r="AF966" s="6" t="str">
        <f>IF(Lessons[[#This Row],[Lesson_Date__c]]&lt;=Data_Audit!$F$1, "Yes", "No")</f>
        <v>No</v>
      </c>
    </row>
    <row r="967" spans="1:32">
      <c r="A967" t="s">
        <v>52</v>
      </c>
      <c r="B967" t="s">
        <v>3437</v>
      </c>
      <c r="C967">
        <v>30</v>
      </c>
      <c r="D967" t="s">
        <v>3550</v>
      </c>
      <c r="E967" t="s">
        <v>548</v>
      </c>
      <c r="F967" t="s">
        <v>549</v>
      </c>
      <c r="H967" t="s">
        <v>203</v>
      </c>
      <c r="I967" t="b">
        <v>0</v>
      </c>
      <c r="K967" t="s">
        <v>52</v>
      </c>
      <c r="L967" t="s">
        <v>3437</v>
      </c>
      <c r="O967" s="1">
        <v>46317</v>
      </c>
      <c r="P967" t="s">
        <v>3551</v>
      </c>
      <c r="Q967" t="s">
        <v>3552</v>
      </c>
      <c r="R967" t="s">
        <v>150</v>
      </c>
      <c r="S967" t="b">
        <v>0</v>
      </c>
      <c r="T967" t="b">
        <v>0</v>
      </c>
      <c r="U967" t="s">
        <v>3553</v>
      </c>
      <c r="V967" t="s">
        <v>120</v>
      </c>
      <c r="W967" t="s">
        <v>95</v>
      </c>
      <c r="X967" t="s">
        <v>1784</v>
      </c>
      <c r="Y967" t="s">
        <v>1785</v>
      </c>
      <c r="Z967" t="s">
        <v>3437</v>
      </c>
      <c r="AA967" t="b">
        <f>ISNUMBER(SEARCH(";"&amp;Lessons[[#This Row],[Instrument__c]]&amp;";",";"&amp;_xlfn.XLOOKUP(Lessons[[#This Row],[Instructor_External_Id__c]], Instructors[Id], Instructors[Instruments_Taught__c])&amp;";"))</f>
        <v>1</v>
      </c>
      <c r="AB967" t="str">
        <f>IF(LEFT(Lessons[[#This Row],[Status__c]],9)="Cancelled","",Lessons[[#This Row],[Instructor_External_Id__c]]&amp;"|"&amp;TEXT(Lessons[[#This Row],[Lesson_Date__c]],"yyyy-mm-dd")&amp;"|"&amp;Lessons[[#This Row],[Start_Time__c]])</f>
        <v>a06ak00000amzCHAAY|2026-10-22|18:00:00.000Z</v>
      </c>
      <c r="AC967">
        <f>IF(Lessons[[#This Row],[Double Booked Key]]="","",COUNTIF(Lessons[Double Booked Key],Lessons[[#This Row],[Double Booked Key]]))</f>
        <v>1</v>
      </c>
      <c r="AD967" s="6" t="str">
        <f>_xlfn.XLOOKUP(Lessons[[#This Row],[Location_External_Id__c]], Locations[Location Id], Locations[Location Name])</f>
        <v>Toms River</v>
      </c>
      <c r="AE967" s="6" t="str">
        <f>TEXT(Lessons[[#This Row],[Lesson_Date__c]], "yyyy-mm")</f>
        <v>2026-10</v>
      </c>
      <c r="AF967" s="6" t="str">
        <f>IF(Lessons[[#This Row],[Lesson_Date__c]]&lt;=Data_Audit!$F$1, "Yes", "No")</f>
        <v>No</v>
      </c>
    </row>
    <row r="968" spans="1:32">
      <c r="A968" t="s">
        <v>52</v>
      </c>
      <c r="B968" t="s">
        <v>3437</v>
      </c>
      <c r="C968">
        <v>30</v>
      </c>
      <c r="D968" t="s">
        <v>3554</v>
      </c>
      <c r="E968" t="s">
        <v>243</v>
      </c>
      <c r="F968" t="s">
        <v>244</v>
      </c>
      <c r="H968" t="s">
        <v>650</v>
      </c>
      <c r="I968" t="b">
        <v>0</v>
      </c>
      <c r="K968" t="s">
        <v>52</v>
      </c>
      <c r="L968" t="s">
        <v>3437</v>
      </c>
      <c r="O968" s="1">
        <v>46317</v>
      </c>
      <c r="P968" t="s">
        <v>3555</v>
      </c>
      <c r="Q968" t="s">
        <v>3556</v>
      </c>
      <c r="R968" t="s">
        <v>63</v>
      </c>
      <c r="S968" t="b">
        <v>0</v>
      </c>
      <c r="T968" t="b">
        <v>0</v>
      </c>
      <c r="U968" t="s">
        <v>3557</v>
      </c>
      <c r="V968" t="s">
        <v>128</v>
      </c>
      <c r="W968" t="s">
        <v>95</v>
      </c>
      <c r="X968" t="s">
        <v>2385</v>
      </c>
      <c r="Y968" t="s">
        <v>2386</v>
      </c>
      <c r="Z968" t="s">
        <v>3437</v>
      </c>
      <c r="AA968" t="b">
        <f>ISNUMBER(SEARCH(";"&amp;Lessons[[#This Row],[Instrument__c]]&amp;";",";"&amp;_xlfn.XLOOKUP(Lessons[[#This Row],[Instructor_External_Id__c]], Instructors[Id], Instructors[Instruments_Taught__c])&amp;";"))</f>
        <v>1</v>
      </c>
      <c r="AB968" t="str">
        <f>IF(LEFT(Lessons[[#This Row],[Status__c]],9)="Cancelled","",Lessons[[#This Row],[Instructor_External_Id__c]]&amp;"|"&amp;TEXT(Lessons[[#This Row],[Lesson_Date__c]],"yyyy-mm-dd")&amp;"|"&amp;Lessons[[#This Row],[Start_Time__c]])</f>
        <v>a06ak00000amzC1AAI|2026-10-22|18:30:00.000Z</v>
      </c>
      <c r="AC968">
        <f>IF(Lessons[[#This Row],[Double Booked Key]]="","",COUNTIF(Lessons[Double Booked Key],Lessons[[#This Row],[Double Booked Key]]))</f>
        <v>1</v>
      </c>
      <c r="AD968" s="6" t="str">
        <f>_xlfn.XLOOKUP(Lessons[[#This Row],[Location_External_Id__c]], Locations[Location Id], Locations[Location Name])</f>
        <v>Red Bank</v>
      </c>
      <c r="AE968" s="6" t="str">
        <f>TEXT(Lessons[[#This Row],[Lesson_Date__c]], "yyyy-mm")</f>
        <v>2026-10</v>
      </c>
      <c r="AF968" s="6" t="str">
        <f>IF(Lessons[[#This Row],[Lesson_Date__c]]&lt;=Data_Audit!$F$1, "Yes", "No")</f>
        <v>No</v>
      </c>
    </row>
    <row r="969" spans="1:32">
      <c r="A969" t="s">
        <v>52</v>
      </c>
      <c r="B969" t="s">
        <v>3437</v>
      </c>
      <c r="C969">
        <v>30</v>
      </c>
      <c r="D969" t="s">
        <v>3558</v>
      </c>
      <c r="E969" t="s">
        <v>359</v>
      </c>
      <c r="F969" t="s">
        <v>360</v>
      </c>
      <c r="H969" t="s">
        <v>392</v>
      </c>
      <c r="I969" t="b">
        <v>0</v>
      </c>
      <c r="K969" t="s">
        <v>52</v>
      </c>
      <c r="L969" t="s">
        <v>3437</v>
      </c>
      <c r="O969" s="1">
        <v>46317</v>
      </c>
      <c r="P969" t="s">
        <v>3559</v>
      </c>
      <c r="Q969" t="s">
        <v>3560</v>
      </c>
      <c r="R969" t="s">
        <v>63</v>
      </c>
      <c r="S969" t="b">
        <v>0</v>
      </c>
      <c r="T969" t="b">
        <v>0</v>
      </c>
      <c r="U969" t="s">
        <v>3561</v>
      </c>
      <c r="V969" t="s">
        <v>94</v>
      </c>
      <c r="W969" t="s">
        <v>95</v>
      </c>
      <c r="X969" t="s">
        <v>1248</v>
      </c>
      <c r="Y969" t="s">
        <v>1249</v>
      </c>
      <c r="Z969" t="s">
        <v>3437</v>
      </c>
      <c r="AA969" t="b">
        <f>ISNUMBER(SEARCH(";"&amp;Lessons[[#This Row],[Instrument__c]]&amp;";",";"&amp;_xlfn.XLOOKUP(Lessons[[#This Row],[Instructor_External_Id__c]], Instructors[Id], Instructors[Instruments_Taught__c])&amp;";"))</f>
        <v>1</v>
      </c>
      <c r="AB969" t="str">
        <f>IF(LEFT(Lessons[[#This Row],[Status__c]],9)="Cancelled","",Lessons[[#This Row],[Instructor_External_Id__c]]&amp;"|"&amp;TEXT(Lessons[[#This Row],[Lesson_Date__c]],"yyyy-mm-dd")&amp;"|"&amp;Lessons[[#This Row],[Start_Time__c]])</f>
        <v>a06ak00000amzBiAAI|2026-10-22|19:00:00.000Z</v>
      </c>
      <c r="AC969">
        <f>IF(Lessons[[#This Row],[Double Booked Key]]="","",COUNTIF(Lessons[Double Booked Key],Lessons[[#This Row],[Double Booked Key]]))</f>
        <v>1</v>
      </c>
      <c r="AD969" s="6" t="str">
        <f>_xlfn.XLOOKUP(Lessons[[#This Row],[Location_External_Id__c]], Locations[Location Id], Locations[Location Name])</f>
        <v>Red Bank</v>
      </c>
      <c r="AE969" s="6" t="str">
        <f>TEXT(Lessons[[#This Row],[Lesson_Date__c]], "yyyy-mm")</f>
        <v>2026-10</v>
      </c>
      <c r="AF969" s="6" t="str">
        <f>IF(Lessons[[#This Row],[Lesson_Date__c]]&lt;=Data_Audit!$F$1, "Yes", "No")</f>
        <v>No</v>
      </c>
    </row>
    <row r="970" spans="1:32">
      <c r="A970" t="s">
        <v>52</v>
      </c>
      <c r="B970" t="s">
        <v>3437</v>
      </c>
      <c r="C970">
        <v>45</v>
      </c>
      <c r="D970" t="s">
        <v>3562</v>
      </c>
      <c r="E970" t="s">
        <v>777</v>
      </c>
      <c r="F970" t="s">
        <v>778</v>
      </c>
      <c r="H970" t="s">
        <v>527</v>
      </c>
      <c r="I970" t="b">
        <v>0</v>
      </c>
      <c r="K970" t="s">
        <v>52</v>
      </c>
      <c r="L970" t="s">
        <v>3437</v>
      </c>
      <c r="O970" s="1">
        <v>46317</v>
      </c>
      <c r="P970" t="s">
        <v>3563</v>
      </c>
      <c r="Q970" t="s">
        <v>3564</v>
      </c>
      <c r="R970" t="s">
        <v>150</v>
      </c>
      <c r="S970" t="b">
        <v>0</v>
      </c>
      <c r="T970" t="b">
        <v>0</v>
      </c>
      <c r="U970" t="s">
        <v>3565</v>
      </c>
      <c r="V970" t="s">
        <v>94</v>
      </c>
      <c r="W970" t="s">
        <v>95</v>
      </c>
      <c r="X970" t="s">
        <v>2422</v>
      </c>
      <c r="Y970" t="s">
        <v>2423</v>
      </c>
      <c r="Z970" t="s">
        <v>3437</v>
      </c>
      <c r="AA970" t="b">
        <f>ISNUMBER(SEARCH(";"&amp;Lessons[[#This Row],[Instrument__c]]&amp;";",";"&amp;_xlfn.XLOOKUP(Lessons[[#This Row],[Instructor_External_Id__c]], Instructors[Id], Instructors[Instruments_Taught__c])&amp;";"))</f>
        <v>1</v>
      </c>
      <c r="AB970" t="str">
        <f>IF(LEFT(Lessons[[#This Row],[Status__c]],9)="Cancelled","",Lessons[[#This Row],[Instructor_External_Id__c]]&amp;"|"&amp;TEXT(Lessons[[#This Row],[Lesson_Date__c]],"yyyy-mm-dd")&amp;"|"&amp;Lessons[[#This Row],[Start_Time__c]])</f>
        <v>a06ak00000amzByAAI|2026-10-22|19:00:00.000Z</v>
      </c>
      <c r="AC970">
        <f>IF(Lessons[[#This Row],[Double Booked Key]]="","",COUNTIF(Lessons[Double Booked Key],Lessons[[#This Row],[Double Booked Key]]))</f>
        <v>1</v>
      </c>
      <c r="AD970" s="6" t="str">
        <f>_xlfn.XLOOKUP(Lessons[[#This Row],[Location_External_Id__c]], Locations[Location Id], Locations[Location Name])</f>
        <v>Toms River</v>
      </c>
      <c r="AE970" s="6" t="str">
        <f>TEXT(Lessons[[#This Row],[Lesson_Date__c]], "yyyy-mm")</f>
        <v>2026-10</v>
      </c>
      <c r="AF970" s="6" t="str">
        <f>IF(Lessons[[#This Row],[Lesson_Date__c]]&lt;=Data_Audit!$F$1, "Yes", "No")</f>
        <v>No</v>
      </c>
    </row>
    <row r="971" spans="1:32">
      <c r="A971" t="s">
        <v>52</v>
      </c>
      <c r="B971" t="s">
        <v>3437</v>
      </c>
      <c r="C971">
        <v>45</v>
      </c>
      <c r="D971" t="s">
        <v>3566</v>
      </c>
      <c r="E971" t="s">
        <v>573</v>
      </c>
      <c r="F971" t="s">
        <v>574</v>
      </c>
      <c r="H971" t="s">
        <v>461</v>
      </c>
      <c r="I971" t="b">
        <v>0</v>
      </c>
      <c r="K971" t="s">
        <v>52</v>
      </c>
      <c r="L971" t="s">
        <v>3437</v>
      </c>
      <c r="O971" s="1">
        <v>46318</v>
      </c>
      <c r="P971" t="s">
        <v>3567</v>
      </c>
      <c r="Q971" t="s">
        <v>3568</v>
      </c>
      <c r="R971" t="s">
        <v>150</v>
      </c>
      <c r="S971" t="b">
        <v>0</v>
      </c>
      <c r="T971" t="b">
        <v>0</v>
      </c>
      <c r="U971" t="s">
        <v>3569</v>
      </c>
      <c r="V971" t="s">
        <v>84</v>
      </c>
      <c r="W971" t="s">
        <v>95</v>
      </c>
      <c r="X971" t="s">
        <v>2620</v>
      </c>
      <c r="Y971" t="s">
        <v>2621</v>
      </c>
      <c r="Z971" t="s">
        <v>3437</v>
      </c>
      <c r="AA971" t="b">
        <f>ISNUMBER(SEARCH(";"&amp;Lessons[[#This Row],[Instrument__c]]&amp;";",";"&amp;_xlfn.XLOOKUP(Lessons[[#This Row],[Instructor_External_Id__c]], Instructors[Id], Instructors[Instruments_Taught__c])&amp;";"))</f>
        <v>1</v>
      </c>
      <c r="AB971" t="str">
        <f>IF(LEFT(Lessons[[#This Row],[Status__c]],9)="Cancelled","",Lessons[[#This Row],[Instructor_External_Id__c]]&amp;"|"&amp;TEXT(Lessons[[#This Row],[Lesson_Date__c]],"yyyy-mm-dd")&amp;"|"&amp;Lessons[[#This Row],[Start_Time__c]])</f>
        <v>a06ak00000amzCCAAY|2026-10-23|17:00:00.000Z</v>
      </c>
      <c r="AC971">
        <f>IF(Lessons[[#This Row],[Double Booked Key]]="","",COUNTIF(Lessons[Double Booked Key],Lessons[[#This Row],[Double Booked Key]]))</f>
        <v>1</v>
      </c>
      <c r="AD971" s="6" t="str">
        <f>_xlfn.XLOOKUP(Lessons[[#This Row],[Location_External_Id__c]], Locations[Location Id], Locations[Location Name])</f>
        <v>Toms River</v>
      </c>
      <c r="AE971" s="6" t="str">
        <f>TEXT(Lessons[[#This Row],[Lesson_Date__c]], "yyyy-mm")</f>
        <v>2026-10</v>
      </c>
      <c r="AF971" s="6" t="str">
        <f>IF(Lessons[[#This Row],[Lesson_Date__c]]&lt;=Data_Audit!$F$1, "Yes", "No")</f>
        <v>No</v>
      </c>
    </row>
    <row r="972" spans="1:32">
      <c r="A972" t="s">
        <v>52</v>
      </c>
      <c r="B972" t="s">
        <v>3437</v>
      </c>
      <c r="C972">
        <v>45</v>
      </c>
      <c r="D972" t="s">
        <v>3570</v>
      </c>
      <c r="E972" t="s">
        <v>548</v>
      </c>
      <c r="F972" t="s">
        <v>549</v>
      </c>
      <c r="H972" t="s">
        <v>203</v>
      </c>
      <c r="I972" t="b">
        <v>0</v>
      </c>
      <c r="K972" t="s">
        <v>52</v>
      </c>
      <c r="L972" t="s">
        <v>3437</v>
      </c>
      <c r="O972" s="1">
        <v>46318</v>
      </c>
      <c r="P972" t="s">
        <v>3571</v>
      </c>
      <c r="Q972" t="s">
        <v>3572</v>
      </c>
      <c r="R972" t="s">
        <v>83</v>
      </c>
      <c r="S972" t="b">
        <v>0</v>
      </c>
      <c r="T972" t="b">
        <v>0</v>
      </c>
      <c r="U972" t="s">
        <v>3573</v>
      </c>
      <c r="V972" t="s">
        <v>120</v>
      </c>
      <c r="W972" t="s">
        <v>95</v>
      </c>
      <c r="X972" t="s">
        <v>1194</v>
      </c>
      <c r="Y972" t="s">
        <v>1195</v>
      </c>
      <c r="Z972" t="s">
        <v>3437</v>
      </c>
      <c r="AA972" t="b">
        <f>ISNUMBER(SEARCH(";"&amp;Lessons[[#This Row],[Instrument__c]]&amp;";",";"&amp;_xlfn.XLOOKUP(Lessons[[#This Row],[Instructor_External_Id__c]], Instructors[Id], Instructors[Instruments_Taught__c])&amp;";"))</f>
        <v>1</v>
      </c>
      <c r="AB972" t="str">
        <f>IF(LEFT(Lessons[[#This Row],[Status__c]],9)="Cancelled","",Lessons[[#This Row],[Instructor_External_Id__c]]&amp;"|"&amp;TEXT(Lessons[[#This Row],[Lesson_Date__c]],"yyyy-mm-dd")&amp;"|"&amp;Lessons[[#This Row],[Start_Time__c]])</f>
        <v>a06ak00000amzCHAAY|2026-10-23|18:00:00.000Z</v>
      </c>
      <c r="AC972">
        <f>IF(Lessons[[#This Row],[Double Booked Key]]="","",COUNTIF(Lessons[Double Booked Key],Lessons[[#This Row],[Double Booked Key]]))</f>
        <v>1</v>
      </c>
      <c r="AD972" s="6" t="str">
        <f>_xlfn.XLOOKUP(Lessons[[#This Row],[Location_External_Id__c]], Locations[Location Id], Locations[Location Name])</f>
        <v>Brick</v>
      </c>
      <c r="AE972" s="6" t="str">
        <f>TEXT(Lessons[[#This Row],[Lesson_Date__c]], "yyyy-mm")</f>
        <v>2026-10</v>
      </c>
      <c r="AF972" s="6" t="str">
        <f>IF(Lessons[[#This Row],[Lesson_Date__c]]&lt;=Data_Audit!$F$1, "Yes", "No")</f>
        <v>No</v>
      </c>
    </row>
    <row r="973" spans="1:32">
      <c r="A973" t="s">
        <v>52</v>
      </c>
      <c r="B973" t="s">
        <v>3437</v>
      </c>
      <c r="C973">
        <v>30</v>
      </c>
      <c r="D973" t="s">
        <v>3574</v>
      </c>
      <c r="E973" t="s">
        <v>318</v>
      </c>
      <c r="F973" t="s">
        <v>319</v>
      </c>
      <c r="H973" t="s">
        <v>237</v>
      </c>
      <c r="I973" t="b">
        <v>0</v>
      </c>
      <c r="K973" t="s">
        <v>52</v>
      </c>
      <c r="L973" t="s">
        <v>3437</v>
      </c>
      <c r="O973" s="1">
        <v>46319</v>
      </c>
      <c r="P973" t="s">
        <v>3575</v>
      </c>
      <c r="Q973" t="s">
        <v>3576</v>
      </c>
      <c r="R973" t="s">
        <v>63</v>
      </c>
      <c r="S973" t="b">
        <v>0</v>
      </c>
      <c r="T973" t="b">
        <v>0</v>
      </c>
      <c r="U973" t="s">
        <v>3577</v>
      </c>
      <c r="V973" t="s">
        <v>3378</v>
      </c>
      <c r="W973" t="s">
        <v>95</v>
      </c>
      <c r="X973" t="s">
        <v>2039</v>
      </c>
      <c r="Y973" t="s">
        <v>2040</v>
      </c>
      <c r="Z973" t="s">
        <v>3437</v>
      </c>
      <c r="AA973" t="b">
        <f>ISNUMBER(SEARCH(";"&amp;Lessons[[#This Row],[Instrument__c]]&amp;";",";"&amp;_xlfn.XLOOKUP(Lessons[[#This Row],[Instructor_External_Id__c]], Instructors[Id], Instructors[Instruments_Taught__c])&amp;";"))</f>
        <v>1</v>
      </c>
      <c r="AB973" t="str">
        <f>IF(LEFT(Lessons[[#This Row],[Status__c]],9)="Cancelled","",Lessons[[#This Row],[Instructor_External_Id__c]]&amp;"|"&amp;TEXT(Lessons[[#This Row],[Lesson_Date__c]],"yyyy-mm-dd")&amp;"|"&amp;Lessons[[#This Row],[Start_Time__c]])</f>
        <v>a06ak00000amzBzAAI|2026-10-24|09:30:00.000Z</v>
      </c>
      <c r="AC973">
        <f>IF(Lessons[[#This Row],[Double Booked Key]]="","",COUNTIF(Lessons[Double Booked Key],Lessons[[#This Row],[Double Booked Key]]))</f>
        <v>1</v>
      </c>
      <c r="AD973" s="6" t="str">
        <f>_xlfn.XLOOKUP(Lessons[[#This Row],[Location_External_Id__c]], Locations[Location Id], Locations[Location Name])</f>
        <v>Red Bank</v>
      </c>
      <c r="AE973" s="6" t="str">
        <f>TEXT(Lessons[[#This Row],[Lesson_Date__c]], "yyyy-mm")</f>
        <v>2026-10</v>
      </c>
      <c r="AF973" s="6" t="str">
        <f>IF(Lessons[[#This Row],[Lesson_Date__c]]&lt;=Data_Audit!$F$1, "Yes", "No")</f>
        <v>No</v>
      </c>
    </row>
    <row r="974" spans="1:32">
      <c r="A974" t="s">
        <v>52</v>
      </c>
      <c r="B974" t="s">
        <v>3437</v>
      </c>
      <c r="C974">
        <v>30</v>
      </c>
      <c r="D974" t="s">
        <v>3578</v>
      </c>
      <c r="E974" t="s">
        <v>359</v>
      </c>
      <c r="F974" t="s">
        <v>360</v>
      </c>
      <c r="H974" t="s">
        <v>392</v>
      </c>
      <c r="I974" t="b">
        <v>0</v>
      </c>
      <c r="K974" t="s">
        <v>52</v>
      </c>
      <c r="L974" t="s">
        <v>3437</v>
      </c>
      <c r="O974" s="1">
        <v>46319</v>
      </c>
      <c r="P974" t="s">
        <v>3579</v>
      </c>
      <c r="Q974" t="s">
        <v>3580</v>
      </c>
      <c r="R974" t="s">
        <v>63</v>
      </c>
      <c r="S974" t="b">
        <v>0</v>
      </c>
      <c r="T974" t="b">
        <v>0</v>
      </c>
      <c r="U974" t="s">
        <v>3581</v>
      </c>
      <c r="V974" t="s">
        <v>3378</v>
      </c>
      <c r="W974" t="s">
        <v>95</v>
      </c>
      <c r="X974" t="s">
        <v>2356</v>
      </c>
      <c r="Y974" t="s">
        <v>2357</v>
      </c>
      <c r="Z974" t="s">
        <v>3437</v>
      </c>
      <c r="AA974" t="b">
        <f>ISNUMBER(SEARCH(";"&amp;Lessons[[#This Row],[Instrument__c]]&amp;";",";"&amp;_xlfn.XLOOKUP(Lessons[[#This Row],[Instructor_External_Id__c]], Instructors[Id], Instructors[Instruments_Taught__c])&amp;";"))</f>
        <v>1</v>
      </c>
      <c r="AB974" t="str">
        <f>IF(LEFT(Lessons[[#This Row],[Status__c]],9)="Cancelled","",Lessons[[#This Row],[Instructor_External_Id__c]]&amp;"|"&amp;TEXT(Lessons[[#This Row],[Lesson_Date__c]],"yyyy-mm-dd")&amp;"|"&amp;Lessons[[#This Row],[Start_Time__c]])</f>
        <v>a06ak00000amzBiAAI|2026-10-24|09:30:00.000Z</v>
      </c>
      <c r="AC974">
        <f>IF(Lessons[[#This Row],[Double Booked Key]]="","",COUNTIF(Lessons[Double Booked Key],Lessons[[#This Row],[Double Booked Key]]))</f>
        <v>1</v>
      </c>
      <c r="AD974" s="6" t="str">
        <f>_xlfn.XLOOKUP(Lessons[[#This Row],[Location_External_Id__c]], Locations[Location Id], Locations[Location Name])</f>
        <v>Red Bank</v>
      </c>
      <c r="AE974" s="6" t="str">
        <f>TEXT(Lessons[[#This Row],[Lesson_Date__c]], "yyyy-mm")</f>
        <v>2026-10</v>
      </c>
      <c r="AF974" s="6" t="str">
        <f>IF(Lessons[[#This Row],[Lesson_Date__c]]&lt;=Data_Audit!$F$1, "Yes", "No")</f>
        <v>No</v>
      </c>
    </row>
    <row r="975" spans="1:32">
      <c r="A975" t="s">
        <v>52</v>
      </c>
      <c r="B975" t="s">
        <v>3437</v>
      </c>
      <c r="C975">
        <v>30</v>
      </c>
      <c r="D975" t="s">
        <v>3582</v>
      </c>
      <c r="E975" t="s">
        <v>282</v>
      </c>
      <c r="F975" t="s">
        <v>283</v>
      </c>
      <c r="H975" t="s">
        <v>284</v>
      </c>
      <c r="I975" t="b">
        <v>0</v>
      </c>
      <c r="K975" t="s">
        <v>52</v>
      </c>
      <c r="L975" t="s">
        <v>3437</v>
      </c>
      <c r="O975" s="1">
        <v>46319</v>
      </c>
      <c r="P975" t="s">
        <v>3583</v>
      </c>
      <c r="Q975" t="s">
        <v>3584</v>
      </c>
      <c r="R975" t="s">
        <v>83</v>
      </c>
      <c r="S975" t="b">
        <v>0</v>
      </c>
      <c r="T975" t="b">
        <v>0</v>
      </c>
      <c r="U975" t="s">
        <v>3585</v>
      </c>
      <c r="V975" t="s">
        <v>110</v>
      </c>
      <c r="W975" t="s">
        <v>95</v>
      </c>
      <c r="X975" t="s">
        <v>2816</v>
      </c>
      <c r="Y975" t="s">
        <v>2817</v>
      </c>
      <c r="Z975" t="s">
        <v>3437</v>
      </c>
      <c r="AA975" t="b">
        <f>ISNUMBER(SEARCH(";"&amp;Lessons[[#This Row],[Instrument__c]]&amp;";",";"&amp;_xlfn.XLOOKUP(Lessons[[#This Row],[Instructor_External_Id__c]], Instructors[Id], Instructors[Instruments_Taught__c])&amp;";"))</f>
        <v>1</v>
      </c>
      <c r="AB975" t="str">
        <f>IF(LEFT(Lessons[[#This Row],[Status__c]],9)="Cancelled","",Lessons[[#This Row],[Instructor_External_Id__c]]&amp;"|"&amp;TEXT(Lessons[[#This Row],[Lesson_Date__c]],"yyyy-mm-dd")&amp;"|"&amp;Lessons[[#This Row],[Start_Time__c]])</f>
        <v>a06ak00000amzBxAAI|2026-10-24|10:00:00.000Z</v>
      </c>
      <c r="AC975">
        <f>IF(Lessons[[#This Row],[Double Booked Key]]="","",COUNTIF(Lessons[Double Booked Key],Lessons[[#This Row],[Double Booked Key]]))</f>
        <v>1</v>
      </c>
      <c r="AD975" s="6" t="str">
        <f>_xlfn.XLOOKUP(Lessons[[#This Row],[Location_External_Id__c]], Locations[Location Id], Locations[Location Name])</f>
        <v>Brick</v>
      </c>
      <c r="AE975" s="6" t="str">
        <f>TEXT(Lessons[[#This Row],[Lesson_Date__c]], "yyyy-mm")</f>
        <v>2026-10</v>
      </c>
      <c r="AF975" s="6" t="str">
        <f>IF(Lessons[[#This Row],[Lesson_Date__c]]&lt;=Data_Audit!$F$1, "Yes", "No")</f>
        <v>No</v>
      </c>
    </row>
    <row r="976" spans="1:32">
      <c r="A976" t="s">
        <v>52</v>
      </c>
      <c r="B976" t="s">
        <v>3437</v>
      </c>
      <c r="C976">
        <v>30</v>
      </c>
      <c r="D976" t="s">
        <v>3586</v>
      </c>
      <c r="E976" t="s">
        <v>282</v>
      </c>
      <c r="F976" t="s">
        <v>283</v>
      </c>
      <c r="H976" t="s">
        <v>284</v>
      </c>
      <c r="I976" t="b">
        <v>0</v>
      </c>
      <c r="K976" t="s">
        <v>52</v>
      </c>
      <c r="L976" t="s">
        <v>3437</v>
      </c>
      <c r="O976" s="1">
        <v>46319</v>
      </c>
      <c r="P976" t="s">
        <v>3587</v>
      </c>
      <c r="Q976" t="s">
        <v>3588</v>
      </c>
      <c r="R976" t="s">
        <v>83</v>
      </c>
      <c r="S976" t="b">
        <v>0</v>
      </c>
      <c r="T976" t="b">
        <v>0</v>
      </c>
      <c r="U976" t="s">
        <v>3589</v>
      </c>
      <c r="V976" t="s">
        <v>64</v>
      </c>
      <c r="W976" t="s">
        <v>95</v>
      </c>
      <c r="X976" t="s">
        <v>1282</v>
      </c>
      <c r="Y976" t="s">
        <v>1283</v>
      </c>
      <c r="Z976" t="s">
        <v>3437</v>
      </c>
      <c r="AA976" t="b">
        <f>ISNUMBER(SEARCH(";"&amp;Lessons[[#This Row],[Instrument__c]]&amp;";",";"&amp;_xlfn.XLOOKUP(Lessons[[#This Row],[Instructor_External_Id__c]], Instructors[Id], Instructors[Instruments_Taught__c])&amp;";"))</f>
        <v>1</v>
      </c>
      <c r="AB976" t="str">
        <f>IF(LEFT(Lessons[[#This Row],[Status__c]],9)="Cancelled","",Lessons[[#This Row],[Instructor_External_Id__c]]&amp;"|"&amp;TEXT(Lessons[[#This Row],[Lesson_Date__c]],"yyyy-mm-dd")&amp;"|"&amp;Lessons[[#This Row],[Start_Time__c]])</f>
        <v>a06ak00000amzBxAAI|2026-10-24|11:00:00.000Z</v>
      </c>
      <c r="AC976">
        <f>IF(Lessons[[#This Row],[Double Booked Key]]="","",COUNTIF(Lessons[Double Booked Key],Lessons[[#This Row],[Double Booked Key]]))</f>
        <v>1</v>
      </c>
      <c r="AD976" s="6" t="str">
        <f>_xlfn.XLOOKUP(Lessons[[#This Row],[Location_External_Id__c]], Locations[Location Id], Locations[Location Name])</f>
        <v>Brick</v>
      </c>
      <c r="AE976" s="6" t="str">
        <f>TEXT(Lessons[[#This Row],[Lesson_Date__c]], "yyyy-mm")</f>
        <v>2026-10</v>
      </c>
      <c r="AF976" s="6" t="str">
        <f>IF(Lessons[[#This Row],[Lesson_Date__c]]&lt;=Data_Audit!$F$1, "Yes", "No")</f>
        <v>No</v>
      </c>
    </row>
    <row r="977" spans="1:32">
      <c r="A977" t="s">
        <v>52</v>
      </c>
      <c r="B977" t="s">
        <v>3437</v>
      </c>
      <c r="C977">
        <v>30</v>
      </c>
      <c r="D977" t="s">
        <v>3590</v>
      </c>
      <c r="E977" t="s">
        <v>548</v>
      </c>
      <c r="F977" t="s">
        <v>549</v>
      </c>
      <c r="H977" t="s">
        <v>203</v>
      </c>
      <c r="I977" t="b">
        <v>0</v>
      </c>
      <c r="K977" t="s">
        <v>52</v>
      </c>
      <c r="L977" t="s">
        <v>3437</v>
      </c>
      <c r="O977" s="1">
        <v>46319</v>
      </c>
      <c r="P977" t="s">
        <v>3591</v>
      </c>
      <c r="Q977" t="s">
        <v>3592</v>
      </c>
      <c r="R977" t="s">
        <v>63</v>
      </c>
      <c r="S977" t="b">
        <v>0</v>
      </c>
      <c r="T977" t="b">
        <v>0</v>
      </c>
      <c r="U977" t="s">
        <v>3593</v>
      </c>
      <c r="V977" t="s">
        <v>3594</v>
      </c>
      <c r="W977" t="s">
        <v>95</v>
      </c>
      <c r="X977" t="s">
        <v>1936</v>
      </c>
      <c r="Y977" t="s">
        <v>1937</v>
      </c>
      <c r="Z977" t="s">
        <v>3437</v>
      </c>
      <c r="AA977" t="b">
        <f>ISNUMBER(SEARCH(";"&amp;Lessons[[#This Row],[Instrument__c]]&amp;";",";"&amp;_xlfn.XLOOKUP(Lessons[[#This Row],[Instructor_External_Id__c]], Instructors[Id], Instructors[Instruments_Taught__c])&amp;";"))</f>
        <v>1</v>
      </c>
      <c r="AB977" t="str">
        <f>IF(LEFT(Lessons[[#This Row],[Status__c]],9)="Cancelled","",Lessons[[#This Row],[Instructor_External_Id__c]]&amp;"|"&amp;TEXT(Lessons[[#This Row],[Lesson_Date__c]],"yyyy-mm-dd")&amp;"|"&amp;Lessons[[#This Row],[Start_Time__c]])</f>
        <v>a06ak00000amzCHAAY|2026-10-24|12:00:00.000Z</v>
      </c>
      <c r="AC977">
        <f>IF(Lessons[[#This Row],[Double Booked Key]]="","",COUNTIF(Lessons[Double Booked Key],Lessons[[#This Row],[Double Booked Key]]))</f>
        <v>1</v>
      </c>
      <c r="AD977" s="6" t="str">
        <f>_xlfn.XLOOKUP(Lessons[[#This Row],[Location_External_Id__c]], Locations[Location Id], Locations[Location Name])</f>
        <v>Red Bank</v>
      </c>
      <c r="AE977" s="6" t="str">
        <f>TEXT(Lessons[[#This Row],[Lesson_Date__c]], "yyyy-mm")</f>
        <v>2026-10</v>
      </c>
      <c r="AF977" s="6" t="str">
        <f>IF(Lessons[[#This Row],[Lesson_Date__c]]&lt;=Data_Audit!$F$1, "Yes", "No")</f>
        <v>No</v>
      </c>
    </row>
    <row r="978" spans="1:32">
      <c r="A978" t="s">
        <v>52</v>
      </c>
      <c r="B978" t="s">
        <v>3437</v>
      </c>
      <c r="C978">
        <v>45</v>
      </c>
      <c r="D978" t="s">
        <v>3595</v>
      </c>
      <c r="E978" t="s">
        <v>359</v>
      </c>
      <c r="F978" t="s">
        <v>360</v>
      </c>
      <c r="H978" t="s">
        <v>284</v>
      </c>
      <c r="I978" t="b">
        <v>0</v>
      </c>
      <c r="K978" t="s">
        <v>52</v>
      </c>
      <c r="L978" t="s">
        <v>3437</v>
      </c>
      <c r="O978" s="1">
        <v>46319</v>
      </c>
      <c r="P978" t="s">
        <v>3596</v>
      </c>
      <c r="Q978" t="s">
        <v>3597</v>
      </c>
      <c r="R978" t="s">
        <v>63</v>
      </c>
      <c r="S978" t="b">
        <v>0</v>
      </c>
      <c r="T978" t="b">
        <v>0</v>
      </c>
      <c r="U978" t="s">
        <v>3598</v>
      </c>
      <c r="V978" t="s">
        <v>3208</v>
      </c>
      <c r="W978" t="s">
        <v>95</v>
      </c>
      <c r="X978" t="s">
        <v>2266</v>
      </c>
      <c r="Y978" t="s">
        <v>2267</v>
      </c>
      <c r="Z978" t="s">
        <v>3437</v>
      </c>
      <c r="AA978" t="b">
        <f>ISNUMBER(SEARCH(";"&amp;Lessons[[#This Row],[Instrument__c]]&amp;";",";"&amp;_xlfn.XLOOKUP(Lessons[[#This Row],[Instructor_External_Id__c]], Instructors[Id], Instructors[Instruments_Taught__c])&amp;";"))</f>
        <v>1</v>
      </c>
      <c r="AB978" t="str">
        <f>IF(LEFT(Lessons[[#This Row],[Status__c]],9)="Cancelled","",Lessons[[#This Row],[Instructor_External_Id__c]]&amp;"|"&amp;TEXT(Lessons[[#This Row],[Lesson_Date__c]],"yyyy-mm-dd")&amp;"|"&amp;Lessons[[#This Row],[Start_Time__c]])</f>
        <v>a06ak00000amzBiAAI|2026-10-24|12:30:00.000Z</v>
      </c>
      <c r="AC978">
        <f>IF(Lessons[[#This Row],[Double Booked Key]]="","",COUNTIF(Lessons[Double Booked Key],Lessons[[#This Row],[Double Booked Key]]))</f>
        <v>1</v>
      </c>
      <c r="AD978" s="6" t="str">
        <f>_xlfn.XLOOKUP(Lessons[[#This Row],[Location_External_Id__c]], Locations[Location Id], Locations[Location Name])</f>
        <v>Red Bank</v>
      </c>
      <c r="AE978" s="6" t="str">
        <f>TEXT(Lessons[[#This Row],[Lesson_Date__c]], "yyyy-mm")</f>
        <v>2026-10</v>
      </c>
      <c r="AF978" s="6" t="str">
        <f>IF(Lessons[[#This Row],[Lesson_Date__c]]&lt;=Data_Audit!$F$1, "Yes", "No")</f>
        <v>No</v>
      </c>
    </row>
    <row r="979" spans="1:32">
      <c r="A979" t="s">
        <v>52</v>
      </c>
      <c r="B979" t="s">
        <v>3437</v>
      </c>
      <c r="C979">
        <v>60</v>
      </c>
      <c r="D979" t="s">
        <v>3599</v>
      </c>
      <c r="E979" t="s">
        <v>76</v>
      </c>
      <c r="F979" t="s">
        <v>77</v>
      </c>
      <c r="H979" t="s">
        <v>58</v>
      </c>
      <c r="I979" t="b">
        <v>0</v>
      </c>
      <c r="K979" t="s">
        <v>52</v>
      </c>
      <c r="L979" t="s">
        <v>3437</v>
      </c>
      <c r="O979" s="1">
        <v>46321</v>
      </c>
      <c r="P979" t="s">
        <v>3600</v>
      </c>
      <c r="Q979" t="s">
        <v>3601</v>
      </c>
      <c r="R979" t="s">
        <v>83</v>
      </c>
      <c r="S979" t="b">
        <v>0</v>
      </c>
      <c r="T979" t="b">
        <v>0</v>
      </c>
      <c r="U979" t="s">
        <v>3602</v>
      </c>
      <c r="V979" t="s">
        <v>128</v>
      </c>
      <c r="W979" t="s">
        <v>95</v>
      </c>
      <c r="X979" t="s">
        <v>844</v>
      </c>
      <c r="Y979" t="s">
        <v>845</v>
      </c>
      <c r="Z979" t="s">
        <v>3437</v>
      </c>
      <c r="AA979" t="b">
        <f>ISNUMBER(SEARCH(";"&amp;Lessons[[#This Row],[Instrument__c]]&amp;";",";"&amp;_xlfn.XLOOKUP(Lessons[[#This Row],[Instructor_External_Id__c]], Instructors[Id], Instructors[Instruments_Taught__c])&amp;";"))</f>
        <v>1</v>
      </c>
      <c r="AB979" t="str">
        <f>IF(LEFT(Lessons[[#This Row],[Status__c]],9)="Cancelled","",Lessons[[#This Row],[Instructor_External_Id__c]]&amp;"|"&amp;TEXT(Lessons[[#This Row],[Lesson_Date__c]],"yyyy-mm-dd")&amp;"|"&amp;Lessons[[#This Row],[Start_Time__c]])</f>
        <v>a06ak00000amzBgAAI|2026-10-26|18:30:00.000Z</v>
      </c>
      <c r="AC979">
        <f>IF(Lessons[[#This Row],[Double Booked Key]]="","",COUNTIF(Lessons[Double Booked Key],Lessons[[#This Row],[Double Booked Key]]))</f>
        <v>1</v>
      </c>
      <c r="AD979" s="6" t="str">
        <f>_xlfn.XLOOKUP(Lessons[[#This Row],[Location_External_Id__c]], Locations[Location Id], Locations[Location Name])</f>
        <v>Brick</v>
      </c>
      <c r="AE979" s="6" t="str">
        <f>TEXT(Lessons[[#This Row],[Lesson_Date__c]], "yyyy-mm")</f>
        <v>2026-10</v>
      </c>
      <c r="AF979" s="6" t="str">
        <f>IF(Lessons[[#This Row],[Lesson_Date__c]]&lt;=Data_Audit!$F$1, "Yes", "No")</f>
        <v>No</v>
      </c>
    </row>
    <row r="980" spans="1:32">
      <c r="A980" t="s">
        <v>52</v>
      </c>
      <c r="B980" t="s">
        <v>3437</v>
      </c>
      <c r="C980">
        <v>60</v>
      </c>
      <c r="D980" t="s">
        <v>3603</v>
      </c>
      <c r="E980" t="s">
        <v>548</v>
      </c>
      <c r="F980" t="s">
        <v>549</v>
      </c>
      <c r="H980" t="s">
        <v>203</v>
      </c>
      <c r="I980" t="b">
        <v>0</v>
      </c>
      <c r="K980" t="s">
        <v>52</v>
      </c>
      <c r="L980" t="s">
        <v>3437</v>
      </c>
      <c r="O980" s="1">
        <v>46321</v>
      </c>
      <c r="P980" t="s">
        <v>3604</v>
      </c>
      <c r="Q980" t="s">
        <v>3605</v>
      </c>
      <c r="R980" t="s">
        <v>83</v>
      </c>
      <c r="S980" t="b">
        <v>0</v>
      </c>
      <c r="T980" t="b">
        <v>0</v>
      </c>
      <c r="U980" t="s">
        <v>3606</v>
      </c>
      <c r="V980" t="s">
        <v>128</v>
      </c>
      <c r="W980" t="s">
        <v>95</v>
      </c>
      <c r="X980" t="s">
        <v>2510</v>
      </c>
      <c r="Y980" t="s">
        <v>2511</v>
      </c>
      <c r="Z980" t="s">
        <v>3437</v>
      </c>
      <c r="AA980" t="b">
        <f>ISNUMBER(SEARCH(";"&amp;Lessons[[#This Row],[Instrument__c]]&amp;";",";"&amp;_xlfn.XLOOKUP(Lessons[[#This Row],[Instructor_External_Id__c]], Instructors[Id], Instructors[Instruments_Taught__c])&amp;";"))</f>
        <v>1</v>
      </c>
      <c r="AB980" t="str">
        <f>IF(LEFT(Lessons[[#This Row],[Status__c]],9)="Cancelled","",Lessons[[#This Row],[Instructor_External_Id__c]]&amp;"|"&amp;TEXT(Lessons[[#This Row],[Lesson_Date__c]],"yyyy-mm-dd")&amp;"|"&amp;Lessons[[#This Row],[Start_Time__c]])</f>
        <v>a06ak00000amzCHAAY|2026-10-26|18:30:00.000Z</v>
      </c>
      <c r="AC980">
        <f>IF(Lessons[[#This Row],[Double Booked Key]]="","",COUNTIF(Lessons[Double Booked Key],Lessons[[#This Row],[Double Booked Key]]))</f>
        <v>1</v>
      </c>
      <c r="AD980" s="6" t="str">
        <f>_xlfn.XLOOKUP(Lessons[[#This Row],[Location_External_Id__c]], Locations[Location Id], Locations[Location Name])</f>
        <v>Brick</v>
      </c>
      <c r="AE980" s="6" t="str">
        <f>TEXT(Lessons[[#This Row],[Lesson_Date__c]], "yyyy-mm")</f>
        <v>2026-10</v>
      </c>
      <c r="AF980" s="6" t="str">
        <f>IF(Lessons[[#This Row],[Lesson_Date__c]]&lt;=Data_Audit!$F$1, "Yes", "No")</f>
        <v>No</v>
      </c>
    </row>
    <row r="981" spans="1:32">
      <c r="A981" t="s">
        <v>52</v>
      </c>
      <c r="B981" t="s">
        <v>3437</v>
      </c>
      <c r="C981">
        <v>30</v>
      </c>
      <c r="D981" t="s">
        <v>3607</v>
      </c>
      <c r="E981" t="s">
        <v>282</v>
      </c>
      <c r="F981" t="s">
        <v>283</v>
      </c>
      <c r="H981" t="s">
        <v>284</v>
      </c>
      <c r="I981" t="b">
        <v>0</v>
      </c>
      <c r="K981" t="s">
        <v>52</v>
      </c>
      <c r="L981" t="s">
        <v>3437</v>
      </c>
      <c r="O981" s="1">
        <v>46322</v>
      </c>
      <c r="P981" t="s">
        <v>3608</v>
      </c>
      <c r="Q981" t="s">
        <v>3609</v>
      </c>
      <c r="R981" t="s">
        <v>83</v>
      </c>
      <c r="S981" t="b">
        <v>0</v>
      </c>
      <c r="T981" t="b">
        <v>0</v>
      </c>
      <c r="U981" t="s">
        <v>3610</v>
      </c>
      <c r="V981" t="s">
        <v>140</v>
      </c>
      <c r="W981" t="s">
        <v>95</v>
      </c>
      <c r="X981" t="s">
        <v>2114</v>
      </c>
      <c r="Y981" t="s">
        <v>2115</v>
      </c>
      <c r="Z981" t="s">
        <v>3437</v>
      </c>
      <c r="AA981" t="b">
        <f>ISNUMBER(SEARCH(";"&amp;Lessons[[#This Row],[Instrument__c]]&amp;";",";"&amp;_xlfn.XLOOKUP(Lessons[[#This Row],[Instructor_External_Id__c]], Instructors[Id], Instructors[Instruments_Taught__c])&amp;";"))</f>
        <v>1</v>
      </c>
      <c r="AB981" t="str">
        <f>IF(LEFT(Lessons[[#This Row],[Status__c]],9)="Cancelled","",Lessons[[#This Row],[Instructor_External_Id__c]]&amp;"|"&amp;TEXT(Lessons[[#This Row],[Lesson_Date__c]],"yyyy-mm-dd")&amp;"|"&amp;Lessons[[#This Row],[Start_Time__c]])</f>
        <v>a06ak00000amzBxAAI|2026-10-27|15:00:00.000Z</v>
      </c>
      <c r="AC981">
        <f>IF(Lessons[[#This Row],[Double Booked Key]]="","",COUNTIF(Lessons[Double Booked Key],Lessons[[#This Row],[Double Booked Key]]))</f>
        <v>1</v>
      </c>
      <c r="AD981" s="6" t="str">
        <f>_xlfn.XLOOKUP(Lessons[[#This Row],[Location_External_Id__c]], Locations[Location Id], Locations[Location Name])</f>
        <v>Brick</v>
      </c>
      <c r="AE981" s="6" t="str">
        <f>TEXT(Lessons[[#This Row],[Lesson_Date__c]], "yyyy-mm")</f>
        <v>2026-10</v>
      </c>
      <c r="AF981" s="6" t="str">
        <f>IF(Lessons[[#This Row],[Lesson_Date__c]]&lt;=Data_Audit!$F$1, "Yes", "No")</f>
        <v>No</v>
      </c>
    </row>
    <row r="982" spans="1:32">
      <c r="A982" t="s">
        <v>52</v>
      </c>
      <c r="B982" t="s">
        <v>3437</v>
      </c>
      <c r="C982">
        <v>45</v>
      </c>
      <c r="D982" t="s">
        <v>3611</v>
      </c>
      <c r="E982" t="s">
        <v>944</v>
      </c>
      <c r="F982" t="s">
        <v>945</v>
      </c>
      <c r="H982" t="s">
        <v>392</v>
      </c>
      <c r="I982" t="b">
        <v>0</v>
      </c>
      <c r="K982" t="s">
        <v>52</v>
      </c>
      <c r="L982" t="s">
        <v>3437</v>
      </c>
      <c r="O982" s="1">
        <v>46322</v>
      </c>
      <c r="P982" t="s">
        <v>3612</v>
      </c>
      <c r="Q982" t="s">
        <v>3613</v>
      </c>
      <c r="R982" t="s">
        <v>150</v>
      </c>
      <c r="S982" t="b">
        <v>0</v>
      </c>
      <c r="T982" t="b">
        <v>0</v>
      </c>
      <c r="U982" t="s">
        <v>3614</v>
      </c>
      <c r="V982" t="s">
        <v>135</v>
      </c>
      <c r="W982" t="s">
        <v>95</v>
      </c>
      <c r="X982" t="s">
        <v>2609</v>
      </c>
      <c r="Y982" t="s">
        <v>2610</v>
      </c>
      <c r="Z982" t="s">
        <v>3437</v>
      </c>
      <c r="AA982" t="b">
        <f>ISNUMBER(SEARCH(";"&amp;Lessons[[#This Row],[Instrument__c]]&amp;";",";"&amp;_xlfn.XLOOKUP(Lessons[[#This Row],[Instructor_External_Id__c]], Instructors[Id], Instructors[Instruments_Taught__c])&amp;";"))</f>
        <v>1</v>
      </c>
      <c r="AB982" t="str">
        <f>IF(LEFT(Lessons[[#This Row],[Status__c]],9)="Cancelled","",Lessons[[#This Row],[Instructor_External_Id__c]]&amp;"|"&amp;TEXT(Lessons[[#This Row],[Lesson_Date__c]],"yyyy-mm-dd")&amp;"|"&amp;Lessons[[#This Row],[Start_Time__c]])</f>
        <v>a06ak00000amzBtAAI|2026-10-27|15:30:00.000Z</v>
      </c>
      <c r="AC982">
        <f>IF(Lessons[[#This Row],[Double Booked Key]]="","",COUNTIF(Lessons[Double Booked Key],Lessons[[#This Row],[Double Booked Key]]))</f>
        <v>1</v>
      </c>
      <c r="AD982" s="6" t="str">
        <f>_xlfn.XLOOKUP(Lessons[[#This Row],[Location_External_Id__c]], Locations[Location Id], Locations[Location Name])</f>
        <v>Toms River</v>
      </c>
      <c r="AE982" s="6" t="str">
        <f>TEXT(Lessons[[#This Row],[Lesson_Date__c]], "yyyy-mm")</f>
        <v>2026-10</v>
      </c>
      <c r="AF982" s="6" t="str">
        <f>IF(Lessons[[#This Row],[Lesson_Date__c]]&lt;=Data_Audit!$F$1, "Yes", "No")</f>
        <v>No</v>
      </c>
    </row>
    <row r="983" spans="1:32">
      <c r="A983" t="s">
        <v>52</v>
      </c>
      <c r="B983" t="s">
        <v>3437</v>
      </c>
      <c r="C983">
        <v>45</v>
      </c>
      <c r="D983" t="s">
        <v>3615</v>
      </c>
      <c r="E983" t="s">
        <v>318</v>
      </c>
      <c r="F983" t="s">
        <v>319</v>
      </c>
      <c r="H983" t="s">
        <v>58</v>
      </c>
      <c r="I983" t="b">
        <v>0</v>
      </c>
      <c r="K983" t="s">
        <v>52</v>
      </c>
      <c r="L983" t="s">
        <v>3437</v>
      </c>
      <c r="O983" s="1">
        <v>46322</v>
      </c>
      <c r="P983" t="s">
        <v>3616</v>
      </c>
      <c r="Q983" t="s">
        <v>3617</v>
      </c>
      <c r="R983" t="s">
        <v>63</v>
      </c>
      <c r="S983" t="b">
        <v>0</v>
      </c>
      <c r="T983" t="b">
        <v>0</v>
      </c>
      <c r="U983" t="s">
        <v>3618</v>
      </c>
      <c r="V983" t="s">
        <v>128</v>
      </c>
      <c r="W983" t="s">
        <v>95</v>
      </c>
      <c r="X983" t="s">
        <v>306</v>
      </c>
      <c r="Y983" t="s">
        <v>307</v>
      </c>
      <c r="Z983" t="s">
        <v>3437</v>
      </c>
      <c r="AA983" t="b">
        <f>ISNUMBER(SEARCH(";"&amp;Lessons[[#This Row],[Instrument__c]]&amp;";",";"&amp;_xlfn.XLOOKUP(Lessons[[#This Row],[Instructor_External_Id__c]], Instructors[Id], Instructors[Instruments_Taught__c])&amp;";"))</f>
        <v>1</v>
      </c>
      <c r="AB983" t="str">
        <f>IF(LEFT(Lessons[[#This Row],[Status__c]],9)="Cancelled","",Lessons[[#This Row],[Instructor_External_Id__c]]&amp;"|"&amp;TEXT(Lessons[[#This Row],[Lesson_Date__c]],"yyyy-mm-dd")&amp;"|"&amp;Lessons[[#This Row],[Start_Time__c]])</f>
        <v>a06ak00000amzBzAAI|2026-10-27|18:30:00.000Z</v>
      </c>
      <c r="AC983">
        <f>IF(Lessons[[#This Row],[Double Booked Key]]="","",COUNTIF(Lessons[Double Booked Key],Lessons[[#This Row],[Double Booked Key]]))</f>
        <v>1</v>
      </c>
      <c r="AD983" s="6" t="str">
        <f>_xlfn.XLOOKUP(Lessons[[#This Row],[Location_External_Id__c]], Locations[Location Id], Locations[Location Name])</f>
        <v>Red Bank</v>
      </c>
      <c r="AE983" s="6" t="str">
        <f>TEXT(Lessons[[#This Row],[Lesson_Date__c]], "yyyy-mm")</f>
        <v>2026-10</v>
      </c>
      <c r="AF983" s="6" t="str">
        <f>IF(Lessons[[#This Row],[Lesson_Date__c]]&lt;=Data_Audit!$F$1, "Yes", "No")</f>
        <v>No</v>
      </c>
    </row>
    <row r="984" spans="1:32">
      <c r="A984" t="s">
        <v>52</v>
      </c>
      <c r="B984" t="s">
        <v>3437</v>
      </c>
      <c r="C984">
        <v>30</v>
      </c>
      <c r="D984" t="s">
        <v>3619</v>
      </c>
      <c r="E984" t="s">
        <v>436</v>
      </c>
      <c r="F984" t="s">
        <v>437</v>
      </c>
      <c r="H984" t="s">
        <v>527</v>
      </c>
      <c r="I984" t="b">
        <v>0</v>
      </c>
      <c r="K984" t="s">
        <v>52</v>
      </c>
      <c r="L984" t="s">
        <v>3437</v>
      </c>
      <c r="O984" s="1">
        <v>46322</v>
      </c>
      <c r="P984" t="s">
        <v>3620</v>
      </c>
      <c r="Q984" t="s">
        <v>3621</v>
      </c>
      <c r="R984" t="s">
        <v>63</v>
      </c>
      <c r="S984" t="b">
        <v>0</v>
      </c>
      <c r="T984" t="b">
        <v>0</v>
      </c>
      <c r="U984" t="s">
        <v>3622</v>
      </c>
      <c r="V984" t="s">
        <v>94</v>
      </c>
      <c r="W984" t="s">
        <v>95</v>
      </c>
      <c r="X984" t="s">
        <v>2578</v>
      </c>
      <c r="Y984" t="s">
        <v>2579</v>
      </c>
      <c r="Z984" t="s">
        <v>3437</v>
      </c>
      <c r="AA984" t="b">
        <f>ISNUMBER(SEARCH(";"&amp;Lessons[[#This Row],[Instrument__c]]&amp;";",";"&amp;_xlfn.XLOOKUP(Lessons[[#This Row],[Instructor_External_Id__c]], Instructors[Id], Instructors[Instruments_Taught__c])&amp;";"))</f>
        <v>1</v>
      </c>
      <c r="AB984" t="str">
        <f>IF(LEFT(Lessons[[#This Row],[Status__c]],9)="Cancelled","",Lessons[[#This Row],[Instructor_External_Id__c]]&amp;"|"&amp;TEXT(Lessons[[#This Row],[Lesson_Date__c]],"yyyy-mm-dd")&amp;"|"&amp;Lessons[[#This Row],[Start_Time__c]])</f>
        <v>a06ak00000amzC0AAI|2026-10-27|19:00:00.000Z</v>
      </c>
      <c r="AC984">
        <f>IF(Lessons[[#This Row],[Double Booked Key]]="","",COUNTIF(Lessons[Double Booked Key],Lessons[[#This Row],[Double Booked Key]]))</f>
        <v>1</v>
      </c>
      <c r="AD984" s="6" t="str">
        <f>_xlfn.XLOOKUP(Lessons[[#This Row],[Location_External_Id__c]], Locations[Location Id], Locations[Location Name])</f>
        <v>Red Bank</v>
      </c>
      <c r="AE984" s="6" t="str">
        <f>TEXT(Lessons[[#This Row],[Lesson_Date__c]], "yyyy-mm")</f>
        <v>2026-10</v>
      </c>
      <c r="AF984" s="6" t="str">
        <f>IF(Lessons[[#This Row],[Lesson_Date__c]]&lt;=Data_Audit!$F$1, "Yes", "No")</f>
        <v>No</v>
      </c>
    </row>
    <row r="985" spans="1:32">
      <c r="A985" t="s">
        <v>52</v>
      </c>
      <c r="B985" t="s">
        <v>3437</v>
      </c>
      <c r="C985">
        <v>30</v>
      </c>
      <c r="D985" t="s">
        <v>3623</v>
      </c>
      <c r="E985" t="s">
        <v>76</v>
      </c>
      <c r="F985" t="s">
        <v>77</v>
      </c>
      <c r="H985" t="s">
        <v>78</v>
      </c>
      <c r="I985" t="b">
        <v>0</v>
      </c>
      <c r="K985" t="s">
        <v>52</v>
      </c>
      <c r="L985" t="s">
        <v>3437</v>
      </c>
      <c r="O985" s="1">
        <v>46323</v>
      </c>
      <c r="P985" t="s">
        <v>3624</v>
      </c>
      <c r="Q985" t="s">
        <v>3625</v>
      </c>
      <c r="R985" t="s">
        <v>83</v>
      </c>
      <c r="S985" t="b">
        <v>0</v>
      </c>
      <c r="T985" t="b">
        <v>0</v>
      </c>
      <c r="U985" t="s">
        <v>3626</v>
      </c>
      <c r="V985" t="s">
        <v>135</v>
      </c>
      <c r="W985" t="s">
        <v>95</v>
      </c>
      <c r="X985" t="s">
        <v>220</v>
      </c>
      <c r="Y985" t="s">
        <v>221</v>
      </c>
      <c r="Z985" t="s">
        <v>3437</v>
      </c>
      <c r="AA985" t="b">
        <f>ISNUMBER(SEARCH(";"&amp;Lessons[[#This Row],[Instrument__c]]&amp;";",";"&amp;_xlfn.XLOOKUP(Lessons[[#This Row],[Instructor_External_Id__c]], Instructors[Id], Instructors[Instruments_Taught__c])&amp;";"))</f>
        <v>1</v>
      </c>
      <c r="AB985" t="str">
        <f>IF(LEFT(Lessons[[#This Row],[Status__c]],9)="Cancelled","",Lessons[[#This Row],[Instructor_External_Id__c]]&amp;"|"&amp;TEXT(Lessons[[#This Row],[Lesson_Date__c]],"yyyy-mm-dd")&amp;"|"&amp;Lessons[[#This Row],[Start_Time__c]])</f>
        <v>a06ak00000amzBgAAI|2026-10-28|15:30:00.000Z</v>
      </c>
      <c r="AC985">
        <f>IF(Lessons[[#This Row],[Double Booked Key]]="","",COUNTIF(Lessons[Double Booked Key],Lessons[[#This Row],[Double Booked Key]]))</f>
        <v>1</v>
      </c>
      <c r="AD985" s="6" t="str">
        <f>_xlfn.XLOOKUP(Lessons[[#This Row],[Location_External_Id__c]], Locations[Location Id], Locations[Location Name])</f>
        <v>Brick</v>
      </c>
      <c r="AE985" s="6" t="str">
        <f>TEXT(Lessons[[#This Row],[Lesson_Date__c]], "yyyy-mm")</f>
        <v>2026-10</v>
      </c>
      <c r="AF985" s="6" t="str">
        <f>IF(Lessons[[#This Row],[Lesson_Date__c]]&lt;=Data_Audit!$F$1, "Yes", "No")</f>
        <v>No</v>
      </c>
    </row>
    <row r="986" spans="1:32">
      <c r="A986" t="s">
        <v>52</v>
      </c>
      <c r="B986" t="s">
        <v>3437</v>
      </c>
      <c r="C986">
        <v>30</v>
      </c>
      <c r="D986" t="s">
        <v>3627</v>
      </c>
      <c r="E986" t="s">
        <v>337</v>
      </c>
      <c r="F986" t="s">
        <v>338</v>
      </c>
      <c r="H986" t="s">
        <v>284</v>
      </c>
      <c r="I986" t="b">
        <v>0</v>
      </c>
      <c r="K986" t="s">
        <v>52</v>
      </c>
      <c r="L986" t="s">
        <v>3437</v>
      </c>
      <c r="O986" s="1">
        <v>46323</v>
      </c>
      <c r="P986" t="s">
        <v>3628</v>
      </c>
      <c r="Q986" t="s">
        <v>3629</v>
      </c>
      <c r="R986" t="s">
        <v>150</v>
      </c>
      <c r="S986" t="b">
        <v>0</v>
      </c>
      <c r="T986" t="b">
        <v>0</v>
      </c>
      <c r="U986" t="s">
        <v>3630</v>
      </c>
      <c r="V986" t="s">
        <v>84</v>
      </c>
      <c r="W986" t="s">
        <v>95</v>
      </c>
      <c r="X986" t="s">
        <v>611</v>
      </c>
      <c r="Y986" t="s">
        <v>612</v>
      </c>
      <c r="Z986" t="s">
        <v>3437</v>
      </c>
      <c r="AA986" t="b">
        <f>ISNUMBER(SEARCH(";"&amp;Lessons[[#This Row],[Instrument__c]]&amp;";",";"&amp;_xlfn.XLOOKUP(Lessons[[#This Row],[Instructor_External_Id__c]], Instructors[Id], Instructors[Instruments_Taught__c])&amp;";"))</f>
        <v>1</v>
      </c>
      <c r="AB986" t="str">
        <f>IF(LEFT(Lessons[[#This Row],[Status__c]],9)="Cancelled","",Lessons[[#This Row],[Instructor_External_Id__c]]&amp;"|"&amp;TEXT(Lessons[[#This Row],[Lesson_Date__c]],"yyyy-mm-dd")&amp;"|"&amp;Lessons[[#This Row],[Start_Time__c]])</f>
        <v>a06ak00000amzCIAAY|2026-10-28|17:00:00.000Z</v>
      </c>
      <c r="AC986">
        <f>IF(Lessons[[#This Row],[Double Booked Key]]="","",COUNTIF(Lessons[Double Booked Key],Lessons[[#This Row],[Double Booked Key]]))</f>
        <v>1</v>
      </c>
      <c r="AD986" s="6" t="str">
        <f>_xlfn.XLOOKUP(Lessons[[#This Row],[Location_External_Id__c]], Locations[Location Id], Locations[Location Name])</f>
        <v>Toms River</v>
      </c>
      <c r="AE986" s="6" t="str">
        <f>TEXT(Lessons[[#This Row],[Lesson_Date__c]], "yyyy-mm")</f>
        <v>2026-10</v>
      </c>
      <c r="AF986" s="6" t="str">
        <f>IF(Lessons[[#This Row],[Lesson_Date__c]]&lt;=Data_Audit!$F$1, "Yes", "No")</f>
        <v>No</v>
      </c>
    </row>
    <row r="987" spans="1:32">
      <c r="A987" t="s">
        <v>52</v>
      </c>
      <c r="B987" t="s">
        <v>3437</v>
      </c>
      <c r="C987">
        <v>45</v>
      </c>
      <c r="D987" t="s">
        <v>3631</v>
      </c>
      <c r="E987" t="s">
        <v>436</v>
      </c>
      <c r="F987" t="s">
        <v>437</v>
      </c>
      <c r="H987" t="s">
        <v>263</v>
      </c>
      <c r="I987" t="b">
        <v>0</v>
      </c>
      <c r="K987" t="s">
        <v>52</v>
      </c>
      <c r="L987" t="s">
        <v>3437</v>
      </c>
      <c r="O987" s="1">
        <v>46323</v>
      </c>
      <c r="P987" t="s">
        <v>3632</v>
      </c>
      <c r="Q987" t="s">
        <v>3633</v>
      </c>
      <c r="R987" t="s">
        <v>63</v>
      </c>
      <c r="S987" t="b">
        <v>0</v>
      </c>
      <c r="T987" t="b">
        <v>0</v>
      </c>
      <c r="U987" t="s">
        <v>3634</v>
      </c>
      <c r="V987" t="s">
        <v>84</v>
      </c>
      <c r="W987" t="s">
        <v>95</v>
      </c>
      <c r="X987" t="s">
        <v>1142</v>
      </c>
      <c r="Y987" t="s">
        <v>1143</v>
      </c>
      <c r="Z987" t="s">
        <v>3437</v>
      </c>
      <c r="AA987" t="b">
        <f>ISNUMBER(SEARCH(";"&amp;Lessons[[#This Row],[Instrument__c]]&amp;";",";"&amp;_xlfn.XLOOKUP(Lessons[[#This Row],[Instructor_External_Id__c]], Instructors[Id], Instructors[Instruments_Taught__c])&amp;";"))</f>
        <v>1</v>
      </c>
      <c r="AB987" t="str">
        <f>IF(LEFT(Lessons[[#This Row],[Status__c]],9)="Cancelled","",Lessons[[#This Row],[Instructor_External_Id__c]]&amp;"|"&amp;TEXT(Lessons[[#This Row],[Lesson_Date__c]],"yyyy-mm-dd")&amp;"|"&amp;Lessons[[#This Row],[Start_Time__c]])</f>
        <v>a06ak00000amzC0AAI|2026-10-28|17:00:00.000Z</v>
      </c>
      <c r="AC987">
        <f>IF(Lessons[[#This Row],[Double Booked Key]]="","",COUNTIF(Lessons[Double Booked Key],Lessons[[#This Row],[Double Booked Key]]))</f>
        <v>1</v>
      </c>
      <c r="AD987" s="6" t="str">
        <f>_xlfn.XLOOKUP(Lessons[[#This Row],[Location_External_Id__c]], Locations[Location Id], Locations[Location Name])</f>
        <v>Red Bank</v>
      </c>
      <c r="AE987" s="6" t="str">
        <f>TEXT(Lessons[[#This Row],[Lesson_Date__c]], "yyyy-mm")</f>
        <v>2026-10</v>
      </c>
      <c r="AF987" s="6" t="str">
        <f>IF(Lessons[[#This Row],[Lesson_Date__c]]&lt;=Data_Audit!$F$1, "Yes", "No")</f>
        <v>No</v>
      </c>
    </row>
    <row r="988" spans="1:32">
      <c r="A988" t="s">
        <v>52</v>
      </c>
      <c r="B988" t="s">
        <v>3437</v>
      </c>
      <c r="C988">
        <v>60</v>
      </c>
      <c r="D988" t="s">
        <v>3635</v>
      </c>
      <c r="E988" t="s">
        <v>318</v>
      </c>
      <c r="F988" t="s">
        <v>319</v>
      </c>
      <c r="H988" t="s">
        <v>650</v>
      </c>
      <c r="I988" t="b">
        <v>0</v>
      </c>
      <c r="K988" t="s">
        <v>52</v>
      </c>
      <c r="L988" t="s">
        <v>3437</v>
      </c>
      <c r="O988" s="1">
        <v>46323</v>
      </c>
      <c r="P988" t="s">
        <v>3636</v>
      </c>
      <c r="Q988" t="s">
        <v>3637</v>
      </c>
      <c r="R988" t="s">
        <v>63</v>
      </c>
      <c r="S988" t="b">
        <v>0</v>
      </c>
      <c r="T988" t="b">
        <v>0</v>
      </c>
      <c r="U988" t="s">
        <v>3638</v>
      </c>
      <c r="V988" t="s">
        <v>116</v>
      </c>
      <c r="W988" t="s">
        <v>95</v>
      </c>
      <c r="X988" t="s">
        <v>653</v>
      </c>
      <c r="Y988" t="s">
        <v>654</v>
      </c>
      <c r="Z988" t="s">
        <v>3437</v>
      </c>
      <c r="AA988" t="b">
        <f>ISNUMBER(SEARCH(";"&amp;Lessons[[#This Row],[Instrument__c]]&amp;";",";"&amp;_xlfn.XLOOKUP(Lessons[[#This Row],[Instructor_External_Id__c]], Instructors[Id], Instructors[Instruments_Taught__c])&amp;";"))</f>
        <v>1</v>
      </c>
      <c r="AB988" t="str">
        <f>IF(LEFT(Lessons[[#This Row],[Status__c]],9)="Cancelled","",Lessons[[#This Row],[Instructor_External_Id__c]]&amp;"|"&amp;TEXT(Lessons[[#This Row],[Lesson_Date__c]],"yyyy-mm-dd")&amp;"|"&amp;Lessons[[#This Row],[Start_Time__c]])</f>
        <v>a06ak00000amzBzAAI|2026-10-28|17:30:00.000Z</v>
      </c>
      <c r="AC988">
        <f>IF(Lessons[[#This Row],[Double Booked Key]]="","",COUNTIF(Lessons[Double Booked Key],Lessons[[#This Row],[Double Booked Key]]))</f>
        <v>1</v>
      </c>
      <c r="AD988" s="6" t="str">
        <f>_xlfn.XLOOKUP(Lessons[[#This Row],[Location_External_Id__c]], Locations[Location Id], Locations[Location Name])</f>
        <v>Red Bank</v>
      </c>
      <c r="AE988" s="6" t="str">
        <f>TEXT(Lessons[[#This Row],[Lesson_Date__c]], "yyyy-mm")</f>
        <v>2026-10</v>
      </c>
      <c r="AF988" s="6" t="str">
        <f>IF(Lessons[[#This Row],[Lesson_Date__c]]&lt;=Data_Audit!$F$1, "Yes", "No")</f>
        <v>No</v>
      </c>
    </row>
    <row r="989" spans="1:32">
      <c r="A989" t="s">
        <v>52</v>
      </c>
      <c r="B989" t="s">
        <v>3437</v>
      </c>
      <c r="C989">
        <v>60</v>
      </c>
      <c r="D989" t="s">
        <v>3639</v>
      </c>
      <c r="E989" t="s">
        <v>401</v>
      </c>
      <c r="F989" t="s">
        <v>402</v>
      </c>
      <c r="H989" t="s">
        <v>263</v>
      </c>
      <c r="I989" t="b">
        <v>0</v>
      </c>
      <c r="K989" t="s">
        <v>52</v>
      </c>
      <c r="L989" t="s">
        <v>3437</v>
      </c>
      <c r="O989" s="1">
        <v>46323</v>
      </c>
      <c r="P989" t="s">
        <v>3640</v>
      </c>
      <c r="Q989" t="s">
        <v>3641</v>
      </c>
      <c r="R989" t="s">
        <v>150</v>
      </c>
      <c r="S989" t="b">
        <v>0</v>
      </c>
      <c r="T989" t="b">
        <v>0</v>
      </c>
      <c r="U989" t="s">
        <v>3642</v>
      </c>
      <c r="V989" t="s">
        <v>128</v>
      </c>
      <c r="W989" t="s">
        <v>95</v>
      </c>
      <c r="X989" t="s">
        <v>405</v>
      </c>
      <c r="Y989" t="s">
        <v>406</v>
      </c>
      <c r="Z989" t="s">
        <v>3437</v>
      </c>
      <c r="AA989" t="b">
        <f>ISNUMBER(SEARCH(";"&amp;Lessons[[#This Row],[Instrument__c]]&amp;";",";"&amp;_xlfn.XLOOKUP(Lessons[[#This Row],[Instructor_External_Id__c]], Instructors[Id], Instructors[Instruments_Taught__c])&amp;";"))</f>
        <v>1</v>
      </c>
      <c r="AB989" t="str">
        <f>IF(LEFT(Lessons[[#This Row],[Status__c]],9)="Cancelled","",Lessons[[#This Row],[Instructor_External_Id__c]]&amp;"|"&amp;TEXT(Lessons[[#This Row],[Lesson_Date__c]],"yyyy-mm-dd")&amp;"|"&amp;Lessons[[#This Row],[Start_Time__c]])</f>
        <v>a06ak00000amzBfAAI|2026-10-28|18:30:00.000Z</v>
      </c>
      <c r="AC989">
        <f>IF(Lessons[[#This Row],[Double Booked Key]]="","",COUNTIF(Lessons[Double Booked Key],Lessons[[#This Row],[Double Booked Key]]))</f>
        <v>1</v>
      </c>
      <c r="AD989" s="6" t="str">
        <f>_xlfn.XLOOKUP(Lessons[[#This Row],[Location_External_Id__c]], Locations[Location Id], Locations[Location Name])</f>
        <v>Toms River</v>
      </c>
      <c r="AE989" s="6" t="str">
        <f>TEXT(Lessons[[#This Row],[Lesson_Date__c]], "yyyy-mm")</f>
        <v>2026-10</v>
      </c>
      <c r="AF989" s="6" t="str">
        <f>IF(Lessons[[#This Row],[Lesson_Date__c]]&lt;=Data_Audit!$F$1, "Yes", "No")</f>
        <v>No</v>
      </c>
    </row>
    <row r="990" spans="1:32">
      <c r="A990" t="s">
        <v>52</v>
      </c>
      <c r="B990" t="s">
        <v>3437</v>
      </c>
      <c r="C990">
        <v>30</v>
      </c>
      <c r="D990" t="s">
        <v>3643</v>
      </c>
      <c r="E990" t="s">
        <v>359</v>
      </c>
      <c r="F990" t="s">
        <v>360</v>
      </c>
      <c r="H990" t="s">
        <v>392</v>
      </c>
      <c r="I990" t="b">
        <v>0</v>
      </c>
      <c r="K990" t="s">
        <v>52</v>
      </c>
      <c r="L990" t="s">
        <v>3437</v>
      </c>
      <c r="O990" s="1">
        <v>46324</v>
      </c>
      <c r="P990" t="s">
        <v>3644</v>
      </c>
      <c r="Q990" t="s">
        <v>3645</v>
      </c>
      <c r="R990" t="s">
        <v>63</v>
      </c>
      <c r="S990" t="b">
        <v>0</v>
      </c>
      <c r="T990" t="b">
        <v>0</v>
      </c>
      <c r="U990" t="s">
        <v>3646</v>
      </c>
      <c r="V990" t="s">
        <v>140</v>
      </c>
      <c r="W990" t="s">
        <v>95</v>
      </c>
      <c r="X990" t="s">
        <v>1886</v>
      </c>
      <c r="Y990" t="s">
        <v>1887</v>
      </c>
      <c r="Z990" t="s">
        <v>3437</v>
      </c>
      <c r="AA990" t="b">
        <f>ISNUMBER(SEARCH(";"&amp;Lessons[[#This Row],[Instrument__c]]&amp;";",";"&amp;_xlfn.XLOOKUP(Lessons[[#This Row],[Instructor_External_Id__c]], Instructors[Id], Instructors[Instruments_Taught__c])&amp;";"))</f>
        <v>1</v>
      </c>
      <c r="AB990" t="str">
        <f>IF(LEFT(Lessons[[#This Row],[Status__c]],9)="Cancelled","",Lessons[[#This Row],[Instructor_External_Id__c]]&amp;"|"&amp;TEXT(Lessons[[#This Row],[Lesson_Date__c]],"yyyy-mm-dd")&amp;"|"&amp;Lessons[[#This Row],[Start_Time__c]])</f>
        <v>a06ak00000amzBiAAI|2026-10-29|15:00:00.000Z</v>
      </c>
      <c r="AC990">
        <f>IF(Lessons[[#This Row],[Double Booked Key]]="","",COUNTIF(Lessons[Double Booked Key],Lessons[[#This Row],[Double Booked Key]]))</f>
        <v>1</v>
      </c>
      <c r="AD990" s="6" t="str">
        <f>_xlfn.XLOOKUP(Lessons[[#This Row],[Location_External_Id__c]], Locations[Location Id], Locations[Location Name])</f>
        <v>Red Bank</v>
      </c>
      <c r="AE990" s="6" t="str">
        <f>TEXT(Lessons[[#This Row],[Lesson_Date__c]], "yyyy-mm")</f>
        <v>2026-10</v>
      </c>
      <c r="AF990" s="6" t="str">
        <f>IF(Lessons[[#This Row],[Lesson_Date__c]]&lt;=Data_Audit!$F$1, "Yes", "No")</f>
        <v>No</v>
      </c>
    </row>
    <row r="991" spans="1:32">
      <c r="A991" t="s">
        <v>52</v>
      </c>
      <c r="B991" t="s">
        <v>3437</v>
      </c>
      <c r="C991">
        <v>30</v>
      </c>
      <c r="D991" t="s">
        <v>3647</v>
      </c>
      <c r="E991" t="s">
        <v>318</v>
      </c>
      <c r="F991" t="s">
        <v>319</v>
      </c>
      <c r="H991" t="s">
        <v>237</v>
      </c>
      <c r="I991" t="b">
        <v>0</v>
      </c>
      <c r="K991" t="s">
        <v>52</v>
      </c>
      <c r="L991" t="s">
        <v>3437</v>
      </c>
      <c r="O991" s="1">
        <v>46324</v>
      </c>
      <c r="P991" t="s">
        <v>3648</v>
      </c>
      <c r="Q991" t="s">
        <v>3649</v>
      </c>
      <c r="R991" t="s">
        <v>63</v>
      </c>
      <c r="S991" t="b">
        <v>0</v>
      </c>
      <c r="T991" t="b">
        <v>0</v>
      </c>
      <c r="U991" t="s">
        <v>3650</v>
      </c>
      <c r="V991" t="s">
        <v>140</v>
      </c>
      <c r="W991" t="s">
        <v>95</v>
      </c>
      <c r="X991" t="s">
        <v>1944</v>
      </c>
      <c r="Y991" t="s">
        <v>1945</v>
      </c>
      <c r="Z991" t="s">
        <v>3437</v>
      </c>
      <c r="AA991" t="b">
        <f>ISNUMBER(SEARCH(";"&amp;Lessons[[#This Row],[Instrument__c]]&amp;";",";"&amp;_xlfn.XLOOKUP(Lessons[[#This Row],[Instructor_External_Id__c]], Instructors[Id], Instructors[Instruments_Taught__c])&amp;";"))</f>
        <v>1</v>
      </c>
      <c r="AB991" t="str">
        <f>IF(LEFT(Lessons[[#This Row],[Status__c]],9)="Cancelled","",Lessons[[#This Row],[Instructor_External_Id__c]]&amp;"|"&amp;TEXT(Lessons[[#This Row],[Lesson_Date__c]],"yyyy-mm-dd")&amp;"|"&amp;Lessons[[#This Row],[Start_Time__c]])</f>
        <v>a06ak00000amzBzAAI|2026-10-29|15:00:00.000Z</v>
      </c>
      <c r="AC991">
        <f>IF(Lessons[[#This Row],[Double Booked Key]]="","",COUNTIF(Lessons[Double Booked Key],Lessons[[#This Row],[Double Booked Key]]))</f>
        <v>1</v>
      </c>
      <c r="AD991" s="6" t="str">
        <f>_xlfn.XLOOKUP(Lessons[[#This Row],[Location_External_Id__c]], Locations[Location Id], Locations[Location Name])</f>
        <v>Red Bank</v>
      </c>
      <c r="AE991" s="6" t="str">
        <f>TEXT(Lessons[[#This Row],[Lesson_Date__c]], "yyyy-mm")</f>
        <v>2026-10</v>
      </c>
      <c r="AF991" s="6" t="str">
        <f>IF(Lessons[[#This Row],[Lesson_Date__c]]&lt;=Data_Audit!$F$1, "Yes", "No")</f>
        <v>No</v>
      </c>
    </row>
    <row r="992" spans="1:32">
      <c r="A992" t="s">
        <v>52</v>
      </c>
      <c r="B992" t="s">
        <v>3437</v>
      </c>
      <c r="C992">
        <v>60</v>
      </c>
      <c r="D992" t="s">
        <v>3651</v>
      </c>
      <c r="E992" t="s">
        <v>804</v>
      </c>
      <c r="F992" t="s">
        <v>805</v>
      </c>
      <c r="H992" t="s">
        <v>527</v>
      </c>
      <c r="I992" t="b">
        <v>0</v>
      </c>
      <c r="K992" t="s">
        <v>52</v>
      </c>
      <c r="L992" t="s">
        <v>3437</v>
      </c>
      <c r="O992" s="1">
        <v>46324</v>
      </c>
      <c r="P992" t="s">
        <v>3652</v>
      </c>
      <c r="Q992" t="s">
        <v>3653</v>
      </c>
      <c r="R992" t="s">
        <v>63</v>
      </c>
      <c r="S992" t="b">
        <v>0</v>
      </c>
      <c r="T992" t="b">
        <v>0</v>
      </c>
      <c r="U992" t="s">
        <v>3654</v>
      </c>
      <c r="V992" t="s">
        <v>140</v>
      </c>
      <c r="W992" t="s">
        <v>95</v>
      </c>
      <c r="X992" t="s">
        <v>2229</v>
      </c>
      <c r="Y992" t="s">
        <v>2230</v>
      </c>
      <c r="Z992" t="s">
        <v>3437</v>
      </c>
      <c r="AA992" t="b">
        <f>ISNUMBER(SEARCH(";"&amp;Lessons[[#This Row],[Instrument__c]]&amp;";",";"&amp;_xlfn.XLOOKUP(Lessons[[#This Row],[Instructor_External_Id__c]], Instructors[Id], Instructors[Instruments_Taught__c])&amp;";"))</f>
        <v>1</v>
      </c>
      <c r="AB992" t="str">
        <f>IF(LEFT(Lessons[[#This Row],[Status__c]],9)="Cancelled","",Lessons[[#This Row],[Instructor_External_Id__c]]&amp;"|"&amp;TEXT(Lessons[[#This Row],[Lesson_Date__c]],"yyyy-mm-dd")&amp;"|"&amp;Lessons[[#This Row],[Start_Time__c]])</f>
        <v>a06ak00000amzCBAAY|2026-10-29|15:00:00.000Z</v>
      </c>
      <c r="AC992">
        <f>IF(Lessons[[#This Row],[Double Booked Key]]="","",COUNTIF(Lessons[Double Booked Key],Lessons[[#This Row],[Double Booked Key]]))</f>
        <v>1</v>
      </c>
      <c r="AD992" s="6" t="str">
        <f>_xlfn.XLOOKUP(Lessons[[#This Row],[Location_External_Id__c]], Locations[Location Id], Locations[Location Name])</f>
        <v>Red Bank</v>
      </c>
      <c r="AE992" s="6" t="str">
        <f>TEXT(Lessons[[#This Row],[Lesson_Date__c]], "yyyy-mm")</f>
        <v>2026-10</v>
      </c>
      <c r="AF992" s="6" t="str">
        <f>IF(Lessons[[#This Row],[Lesson_Date__c]]&lt;=Data_Audit!$F$1, "Yes", "No")</f>
        <v>No</v>
      </c>
    </row>
    <row r="993" spans="1:32">
      <c r="A993" t="s">
        <v>52</v>
      </c>
      <c r="B993" t="s">
        <v>3437</v>
      </c>
      <c r="C993">
        <v>60</v>
      </c>
      <c r="D993" t="s">
        <v>3655</v>
      </c>
      <c r="E993" t="s">
        <v>318</v>
      </c>
      <c r="F993" t="s">
        <v>319</v>
      </c>
      <c r="H993" t="s">
        <v>237</v>
      </c>
      <c r="I993" t="b">
        <v>0</v>
      </c>
      <c r="K993" t="s">
        <v>52</v>
      </c>
      <c r="L993" t="s">
        <v>3437</v>
      </c>
      <c r="O993" s="1">
        <v>46324</v>
      </c>
      <c r="P993" t="s">
        <v>3656</v>
      </c>
      <c r="Q993" t="s">
        <v>3657</v>
      </c>
      <c r="R993" t="s">
        <v>150</v>
      </c>
      <c r="S993" t="b">
        <v>0</v>
      </c>
      <c r="T993" t="b">
        <v>0</v>
      </c>
      <c r="U993" t="s">
        <v>3658</v>
      </c>
      <c r="V993" t="s">
        <v>116</v>
      </c>
      <c r="W993" t="s">
        <v>95</v>
      </c>
      <c r="X993" t="s">
        <v>1004</v>
      </c>
      <c r="Y993" t="s">
        <v>1005</v>
      </c>
      <c r="Z993" t="s">
        <v>3437</v>
      </c>
      <c r="AA993" t="b">
        <f>ISNUMBER(SEARCH(";"&amp;Lessons[[#This Row],[Instrument__c]]&amp;";",";"&amp;_xlfn.XLOOKUP(Lessons[[#This Row],[Instructor_External_Id__c]], Instructors[Id], Instructors[Instruments_Taught__c])&amp;";"))</f>
        <v>1</v>
      </c>
      <c r="AB993" t="str">
        <f>IF(LEFT(Lessons[[#This Row],[Status__c]],9)="Cancelled","",Lessons[[#This Row],[Instructor_External_Id__c]]&amp;"|"&amp;TEXT(Lessons[[#This Row],[Lesson_Date__c]],"yyyy-mm-dd")&amp;"|"&amp;Lessons[[#This Row],[Start_Time__c]])</f>
        <v>a06ak00000amzBzAAI|2026-10-29|17:30:00.000Z</v>
      </c>
      <c r="AC993">
        <f>IF(Lessons[[#This Row],[Double Booked Key]]="","",COUNTIF(Lessons[Double Booked Key],Lessons[[#This Row],[Double Booked Key]]))</f>
        <v>1</v>
      </c>
      <c r="AD993" s="6" t="str">
        <f>_xlfn.XLOOKUP(Lessons[[#This Row],[Location_External_Id__c]], Locations[Location Id], Locations[Location Name])</f>
        <v>Toms River</v>
      </c>
      <c r="AE993" s="6" t="str">
        <f>TEXT(Lessons[[#This Row],[Lesson_Date__c]], "yyyy-mm")</f>
        <v>2026-10</v>
      </c>
      <c r="AF993" s="6" t="str">
        <f>IF(Lessons[[#This Row],[Lesson_Date__c]]&lt;=Data_Audit!$F$1, "Yes", "No")</f>
        <v>No</v>
      </c>
    </row>
    <row r="994" spans="1:32">
      <c r="A994" t="s">
        <v>52</v>
      </c>
      <c r="B994" t="s">
        <v>3437</v>
      </c>
      <c r="C994">
        <v>30</v>
      </c>
      <c r="D994" t="s">
        <v>3659</v>
      </c>
      <c r="E994" t="s">
        <v>459</v>
      </c>
      <c r="F994" t="s">
        <v>460</v>
      </c>
      <c r="H994" t="s">
        <v>107</v>
      </c>
      <c r="I994" t="b">
        <v>0</v>
      </c>
      <c r="K994" t="s">
        <v>52</v>
      </c>
      <c r="L994" t="s">
        <v>3437</v>
      </c>
      <c r="O994" s="1">
        <v>46324</v>
      </c>
      <c r="P994" t="s">
        <v>3660</v>
      </c>
      <c r="Q994" t="s">
        <v>3661</v>
      </c>
      <c r="R994" t="s">
        <v>83</v>
      </c>
      <c r="S994" t="b">
        <v>0</v>
      </c>
      <c r="T994" t="b">
        <v>0</v>
      </c>
      <c r="U994" t="s">
        <v>3662</v>
      </c>
      <c r="V994" t="s">
        <v>120</v>
      </c>
      <c r="W994" t="s">
        <v>95</v>
      </c>
      <c r="X994" t="s">
        <v>1514</v>
      </c>
      <c r="Y994" t="s">
        <v>1515</v>
      </c>
      <c r="Z994" t="s">
        <v>3437</v>
      </c>
      <c r="AA994" t="b">
        <f>ISNUMBER(SEARCH(";"&amp;Lessons[[#This Row],[Instrument__c]]&amp;";",";"&amp;_xlfn.XLOOKUP(Lessons[[#This Row],[Instructor_External_Id__c]], Instructors[Id], Instructors[Instruments_Taught__c])&amp;";"))</f>
        <v>1</v>
      </c>
      <c r="AB994" t="str">
        <f>IF(LEFT(Lessons[[#This Row],[Status__c]],9)="Cancelled","",Lessons[[#This Row],[Instructor_External_Id__c]]&amp;"|"&amp;TEXT(Lessons[[#This Row],[Lesson_Date__c]],"yyyy-mm-dd")&amp;"|"&amp;Lessons[[#This Row],[Start_Time__c]])</f>
        <v>a06ak00000amzC8AAI|2026-10-29|18:00:00.000Z</v>
      </c>
      <c r="AC994">
        <f>IF(Lessons[[#This Row],[Double Booked Key]]="","",COUNTIF(Lessons[Double Booked Key],Lessons[[#This Row],[Double Booked Key]]))</f>
        <v>1</v>
      </c>
      <c r="AD994" s="6" t="str">
        <f>_xlfn.XLOOKUP(Lessons[[#This Row],[Location_External_Id__c]], Locations[Location Id], Locations[Location Name])</f>
        <v>Brick</v>
      </c>
      <c r="AE994" s="6" t="str">
        <f>TEXT(Lessons[[#This Row],[Lesson_Date__c]], "yyyy-mm")</f>
        <v>2026-10</v>
      </c>
      <c r="AF994" s="6" t="str">
        <f>IF(Lessons[[#This Row],[Lesson_Date__c]]&lt;=Data_Audit!$F$1, "Yes", "No")</f>
        <v>No</v>
      </c>
    </row>
    <row r="995" spans="1:32">
      <c r="A995" t="s">
        <v>52</v>
      </c>
      <c r="B995" t="s">
        <v>3437</v>
      </c>
      <c r="C995">
        <v>30</v>
      </c>
      <c r="D995" t="s">
        <v>3663</v>
      </c>
      <c r="E995" t="s">
        <v>548</v>
      </c>
      <c r="F995" t="s">
        <v>549</v>
      </c>
      <c r="H995" t="s">
        <v>203</v>
      </c>
      <c r="I995" t="b">
        <v>0</v>
      </c>
      <c r="K995" t="s">
        <v>52</v>
      </c>
      <c r="L995" t="s">
        <v>3437</v>
      </c>
      <c r="O995" s="1">
        <v>46325</v>
      </c>
      <c r="P995" t="s">
        <v>3664</v>
      </c>
      <c r="Q995" t="s">
        <v>3665</v>
      </c>
      <c r="R995" t="s">
        <v>150</v>
      </c>
      <c r="S995" t="b">
        <v>0</v>
      </c>
      <c r="T995" t="b">
        <v>0</v>
      </c>
      <c r="U995" t="s">
        <v>3666</v>
      </c>
      <c r="V995" t="s">
        <v>74</v>
      </c>
      <c r="W995" t="s">
        <v>95</v>
      </c>
      <c r="X995" t="s">
        <v>206</v>
      </c>
      <c r="Y995" t="s">
        <v>207</v>
      </c>
      <c r="Z995" t="s">
        <v>3437</v>
      </c>
      <c r="AA995" t="b">
        <f>ISNUMBER(SEARCH(";"&amp;Lessons[[#This Row],[Instrument__c]]&amp;";",";"&amp;_xlfn.XLOOKUP(Lessons[[#This Row],[Instructor_External_Id__c]], Instructors[Id], Instructors[Instruments_Taught__c])&amp;";"))</f>
        <v>1</v>
      </c>
      <c r="AB995" t="str">
        <f>IF(LEFT(Lessons[[#This Row],[Status__c]],9)="Cancelled","",Lessons[[#This Row],[Instructor_External_Id__c]]&amp;"|"&amp;TEXT(Lessons[[#This Row],[Lesson_Date__c]],"yyyy-mm-dd")&amp;"|"&amp;Lessons[[#This Row],[Start_Time__c]])</f>
        <v>a06ak00000amzCHAAY|2026-10-30|16:30:00.000Z</v>
      </c>
      <c r="AC995">
        <f>IF(Lessons[[#This Row],[Double Booked Key]]="","",COUNTIF(Lessons[Double Booked Key],Lessons[[#This Row],[Double Booked Key]]))</f>
        <v>1</v>
      </c>
      <c r="AD995" s="6" t="str">
        <f>_xlfn.XLOOKUP(Lessons[[#This Row],[Location_External_Id__c]], Locations[Location Id], Locations[Location Name])</f>
        <v>Toms River</v>
      </c>
      <c r="AE995" s="6" t="str">
        <f>TEXT(Lessons[[#This Row],[Lesson_Date__c]], "yyyy-mm")</f>
        <v>2026-10</v>
      </c>
      <c r="AF995" s="6" t="str">
        <f>IF(Lessons[[#This Row],[Lesson_Date__c]]&lt;=Data_Audit!$F$1, "Yes", "No")</f>
        <v>No</v>
      </c>
    </row>
    <row r="996" spans="1:32">
      <c r="A996" t="s">
        <v>52</v>
      </c>
      <c r="B996" t="s">
        <v>3437</v>
      </c>
      <c r="C996">
        <v>30</v>
      </c>
      <c r="D996" t="s">
        <v>3667</v>
      </c>
      <c r="E996" t="s">
        <v>282</v>
      </c>
      <c r="F996" t="s">
        <v>283</v>
      </c>
      <c r="H996" t="s">
        <v>284</v>
      </c>
      <c r="I996" t="b">
        <v>0</v>
      </c>
      <c r="K996" t="s">
        <v>52</v>
      </c>
      <c r="L996" t="s">
        <v>3437</v>
      </c>
      <c r="O996" s="1">
        <v>46325</v>
      </c>
      <c r="P996" t="s">
        <v>3668</v>
      </c>
      <c r="Q996" t="s">
        <v>3669</v>
      </c>
      <c r="R996" t="s">
        <v>83</v>
      </c>
      <c r="S996" t="b">
        <v>0</v>
      </c>
      <c r="T996" t="b">
        <v>0</v>
      </c>
      <c r="U996" t="s">
        <v>3670</v>
      </c>
      <c r="V996" t="s">
        <v>74</v>
      </c>
      <c r="W996" t="s">
        <v>95</v>
      </c>
      <c r="X996" t="s">
        <v>287</v>
      </c>
      <c r="Y996" t="s">
        <v>288</v>
      </c>
      <c r="Z996" t="s">
        <v>3437</v>
      </c>
      <c r="AA996" t="b">
        <f>ISNUMBER(SEARCH(";"&amp;Lessons[[#This Row],[Instrument__c]]&amp;";",";"&amp;_xlfn.XLOOKUP(Lessons[[#This Row],[Instructor_External_Id__c]], Instructors[Id], Instructors[Instruments_Taught__c])&amp;";"))</f>
        <v>1</v>
      </c>
      <c r="AB996" t="str">
        <f>IF(LEFT(Lessons[[#This Row],[Status__c]],9)="Cancelled","",Lessons[[#This Row],[Instructor_External_Id__c]]&amp;"|"&amp;TEXT(Lessons[[#This Row],[Lesson_Date__c]],"yyyy-mm-dd")&amp;"|"&amp;Lessons[[#This Row],[Start_Time__c]])</f>
        <v>a06ak00000amzBxAAI|2026-10-30|16:30:00.000Z</v>
      </c>
      <c r="AC996">
        <f>IF(Lessons[[#This Row],[Double Booked Key]]="","",COUNTIF(Lessons[Double Booked Key],Lessons[[#This Row],[Double Booked Key]]))</f>
        <v>1</v>
      </c>
      <c r="AD996" s="6" t="str">
        <f>_xlfn.XLOOKUP(Lessons[[#This Row],[Location_External_Id__c]], Locations[Location Id], Locations[Location Name])</f>
        <v>Brick</v>
      </c>
      <c r="AE996" s="6" t="str">
        <f>TEXT(Lessons[[#This Row],[Lesson_Date__c]], "yyyy-mm")</f>
        <v>2026-10</v>
      </c>
      <c r="AF996" s="6" t="str">
        <f>IF(Lessons[[#This Row],[Lesson_Date__c]]&lt;=Data_Audit!$F$1, "Yes", "No")</f>
        <v>No</v>
      </c>
    </row>
    <row r="997" spans="1:32">
      <c r="A997" t="s">
        <v>52</v>
      </c>
      <c r="B997" t="s">
        <v>3437</v>
      </c>
      <c r="C997">
        <v>45</v>
      </c>
      <c r="D997" t="s">
        <v>3671</v>
      </c>
      <c r="E997" t="s">
        <v>318</v>
      </c>
      <c r="F997" t="s">
        <v>319</v>
      </c>
      <c r="H997" t="s">
        <v>237</v>
      </c>
      <c r="I997" t="b">
        <v>0</v>
      </c>
      <c r="K997" t="s">
        <v>52</v>
      </c>
      <c r="L997" t="s">
        <v>3437</v>
      </c>
      <c r="O997" s="1">
        <v>46325</v>
      </c>
      <c r="P997" t="s">
        <v>3672</v>
      </c>
      <c r="Q997" t="s">
        <v>3673</v>
      </c>
      <c r="R997" t="s">
        <v>150</v>
      </c>
      <c r="S997" t="b">
        <v>0</v>
      </c>
      <c r="T997" t="b">
        <v>0</v>
      </c>
      <c r="U997" t="s">
        <v>3674</v>
      </c>
      <c r="V997" t="s">
        <v>74</v>
      </c>
      <c r="W997" t="s">
        <v>95</v>
      </c>
      <c r="X997" t="s">
        <v>416</v>
      </c>
      <c r="Y997" t="s">
        <v>417</v>
      </c>
      <c r="Z997" t="s">
        <v>3437</v>
      </c>
      <c r="AA997" t="b">
        <f>ISNUMBER(SEARCH(";"&amp;Lessons[[#This Row],[Instrument__c]]&amp;";",";"&amp;_xlfn.XLOOKUP(Lessons[[#This Row],[Instructor_External_Id__c]], Instructors[Id], Instructors[Instruments_Taught__c])&amp;";"))</f>
        <v>1</v>
      </c>
      <c r="AB997" t="str">
        <f>IF(LEFT(Lessons[[#This Row],[Status__c]],9)="Cancelled","",Lessons[[#This Row],[Instructor_External_Id__c]]&amp;"|"&amp;TEXT(Lessons[[#This Row],[Lesson_Date__c]],"yyyy-mm-dd")&amp;"|"&amp;Lessons[[#This Row],[Start_Time__c]])</f>
        <v>a06ak00000amzBzAAI|2026-10-30|16:30:00.000Z</v>
      </c>
      <c r="AC997">
        <f>IF(Lessons[[#This Row],[Double Booked Key]]="","",COUNTIF(Lessons[Double Booked Key],Lessons[[#This Row],[Double Booked Key]]))</f>
        <v>1</v>
      </c>
      <c r="AD997" s="6" t="str">
        <f>_xlfn.XLOOKUP(Lessons[[#This Row],[Location_External_Id__c]], Locations[Location Id], Locations[Location Name])</f>
        <v>Toms River</v>
      </c>
      <c r="AE997" s="6" t="str">
        <f>TEXT(Lessons[[#This Row],[Lesson_Date__c]], "yyyy-mm")</f>
        <v>2026-10</v>
      </c>
      <c r="AF997" s="6" t="str">
        <f>IF(Lessons[[#This Row],[Lesson_Date__c]]&lt;=Data_Audit!$F$1, "Yes", "No")</f>
        <v>No</v>
      </c>
    </row>
    <row r="998" spans="1:32">
      <c r="A998" t="s">
        <v>52</v>
      </c>
      <c r="B998" t="s">
        <v>3437</v>
      </c>
      <c r="C998">
        <v>30</v>
      </c>
      <c r="D998" t="s">
        <v>3675</v>
      </c>
      <c r="E998" t="s">
        <v>777</v>
      </c>
      <c r="F998" t="s">
        <v>778</v>
      </c>
      <c r="H998" t="s">
        <v>392</v>
      </c>
      <c r="I998" t="b">
        <v>0</v>
      </c>
      <c r="K998" t="s">
        <v>52</v>
      </c>
      <c r="L998" t="s">
        <v>3437</v>
      </c>
      <c r="O998" s="1">
        <v>46325</v>
      </c>
      <c r="P998" t="s">
        <v>3676</v>
      </c>
      <c r="Q998" t="s">
        <v>3677</v>
      </c>
      <c r="R998" t="s">
        <v>83</v>
      </c>
      <c r="S998" t="b">
        <v>0</v>
      </c>
      <c r="T998" t="b">
        <v>0</v>
      </c>
      <c r="U998" t="s">
        <v>3678</v>
      </c>
      <c r="V998" t="s">
        <v>84</v>
      </c>
      <c r="W998" t="s">
        <v>95</v>
      </c>
      <c r="X998" t="s">
        <v>395</v>
      </c>
      <c r="Y998" t="s">
        <v>396</v>
      </c>
      <c r="Z998" t="s">
        <v>3437</v>
      </c>
      <c r="AA998" t="b">
        <f>ISNUMBER(SEARCH(";"&amp;Lessons[[#This Row],[Instrument__c]]&amp;";",";"&amp;_xlfn.XLOOKUP(Lessons[[#This Row],[Instructor_External_Id__c]], Instructors[Id], Instructors[Instruments_Taught__c])&amp;";"))</f>
        <v>1</v>
      </c>
      <c r="AB998" t="str">
        <f>IF(LEFT(Lessons[[#This Row],[Status__c]],9)="Cancelled","",Lessons[[#This Row],[Instructor_External_Id__c]]&amp;"|"&amp;TEXT(Lessons[[#This Row],[Lesson_Date__c]],"yyyy-mm-dd")&amp;"|"&amp;Lessons[[#This Row],[Start_Time__c]])</f>
        <v>a06ak00000amzByAAI|2026-10-30|17:00:00.000Z</v>
      </c>
      <c r="AC998">
        <f>IF(Lessons[[#This Row],[Double Booked Key]]="","",COUNTIF(Lessons[Double Booked Key],Lessons[[#This Row],[Double Booked Key]]))</f>
        <v>1</v>
      </c>
      <c r="AD998" s="6" t="str">
        <f>_xlfn.XLOOKUP(Lessons[[#This Row],[Location_External_Id__c]], Locations[Location Id], Locations[Location Name])</f>
        <v>Brick</v>
      </c>
      <c r="AE998" s="6" t="str">
        <f>TEXT(Lessons[[#This Row],[Lesson_Date__c]], "yyyy-mm")</f>
        <v>2026-10</v>
      </c>
      <c r="AF998" s="6" t="str">
        <f>IF(Lessons[[#This Row],[Lesson_Date__c]]&lt;=Data_Audit!$F$1, "Yes", "No")</f>
        <v>No</v>
      </c>
    </row>
    <row r="999" spans="1:32">
      <c r="A999" t="s">
        <v>52</v>
      </c>
      <c r="B999" t="s">
        <v>3437</v>
      </c>
      <c r="C999">
        <v>60</v>
      </c>
      <c r="D999" t="s">
        <v>3679</v>
      </c>
      <c r="E999" t="s">
        <v>318</v>
      </c>
      <c r="F999" t="s">
        <v>319</v>
      </c>
      <c r="H999" t="s">
        <v>650</v>
      </c>
      <c r="I999" t="b">
        <v>0</v>
      </c>
      <c r="K999" t="s">
        <v>52</v>
      </c>
      <c r="L999" t="s">
        <v>3437</v>
      </c>
      <c r="O999" s="1">
        <v>46325</v>
      </c>
      <c r="P999" t="s">
        <v>3680</v>
      </c>
      <c r="Q999" t="s">
        <v>3681</v>
      </c>
      <c r="R999" t="s">
        <v>63</v>
      </c>
      <c r="S999" t="b">
        <v>0</v>
      </c>
      <c r="T999" t="b">
        <v>0</v>
      </c>
      <c r="U999" t="s">
        <v>3682</v>
      </c>
      <c r="V999" t="s">
        <v>128</v>
      </c>
      <c r="W999" t="s">
        <v>95</v>
      </c>
      <c r="X999" t="s">
        <v>1858</v>
      </c>
      <c r="Y999" t="s">
        <v>1859</v>
      </c>
      <c r="Z999" t="s">
        <v>3437</v>
      </c>
      <c r="AA999" t="b">
        <f>ISNUMBER(SEARCH(";"&amp;Lessons[[#This Row],[Instrument__c]]&amp;";",";"&amp;_xlfn.XLOOKUP(Lessons[[#This Row],[Instructor_External_Id__c]], Instructors[Id], Instructors[Instruments_Taught__c])&amp;";"))</f>
        <v>1</v>
      </c>
      <c r="AB999" t="str">
        <f>IF(LEFT(Lessons[[#This Row],[Status__c]],9)="Cancelled","",Lessons[[#This Row],[Instructor_External_Id__c]]&amp;"|"&amp;TEXT(Lessons[[#This Row],[Lesson_Date__c]],"yyyy-mm-dd")&amp;"|"&amp;Lessons[[#This Row],[Start_Time__c]])</f>
        <v>a06ak00000amzBzAAI|2026-10-30|18:30:00.000Z</v>
      </c>
      <c r="AC999">
        <f>IF(Lessons[[#This Row],[Double Booked Key]]="","",COUNTIF(Lessons[Double Booked Key],Lessons[[#This Row],[Double Booked Key]]))</f>
        <v>1</v>
      </c>
      <c r="AD999" s="6" t="str">
        <f>_xlfn.XLOOKUP(Lessons[[#This Row],[Location_External_Id__c]], Locations[Location Id], Locations[Location Name])</f>
        <v>Red Bank</v>
      </c>
      <c r="AE999" s="6" t="str">
        <f>TEXT(Lessons[[#This Row],[Lesson_Date__c]], "yyyy-mm")</f>
        <v>2026-10</v>
      </c>
      <c r="AF999" s="6" t="str">
        <f>IF(Lessons[[#This Row],[Lesson_Date__c]]&lt;=Data_Audit!$F$1, "Yes", "No")</f>
        <v>No</v>
      </c>
    </row>
    <row r="1000" spans="1:32">
      <c r="A1000" t="s">
        <v>52</v>
      </c>
      <c r="B1000" t="s">
        <v>3437</v>
      </c>
      <c r="C1000">
        <v>30</v>
      </c>
      <c r="D1000" t="s">
        <v>3683</v>
      </c>
      <c r="E1000" t="s">
        <v>459</v>
      </c>
      <c r="F1000" t="s">
        <v>460</v>
      </c>
      <c r="H1000" t="s">
        <v>107</v>
      </c>
      <c r="I1000" t="b">
        <v>0</v>
      </c>
      <c r="K1000" t="s">
        <v>52</v>
      </c>
      <c r="L1000" t="s">
        <v>3437</v>
      </c>
      <c r="O1000" s="1">
        <v>46325</v>
      </c>
      <c r="P1000" t="s">
        <v>3684</v>
      </c>
      <c r="Q1000" t="s">
        <v>3685</v>
      </c>
      <c r="R1000" t="s">
        <v>83</v>
      </c>
      <c r="S1000" t="b">
        <v>0</v>
      </c>
      <c r="T1000" t="b">
        <v>0</v>
      </c>
      <c r="U1000" t="s">
        <v>3686</v>
      </c>
      <c r="V1000" t="s">
        <v>94</v>
      </c>
      <c r="W1000" t="s">
        <v>95</v>
      </c>
      <c r="X1000" t="s">
        <v>710</v>
      </c>
      <c r="Y1000" t="s">
        <v>711</v>
      </c>
      <c r="Z1000" t="s">
        <v>3437</v>
      </c>
      <c r="AA1000" t="b">
        <f>ISNUMBER(SEARCH(";"&amp;Lessons[[#This Row],[Instrument__c]]&amp;";",";"&amp;_xlfn.XLOOKUP(Lessons[[#This Row],[Instructor_External_Id__c]], Instructors[Id], Instructors[Instruments_Taught__c])&amp;";"))</f>
        <v>1</v>
      </c>
      <c r="AB1000" t="str">
        <f>IF(LEFT(Lessons[[#This Row],[Status__c]],9)="Cancelled","",Lessons[[#This Row],[Instructor_External_Id__c]]&amp;"|"&amp;TEXT(Lessons[[#This Row],[Lesson_Date__c]],"yyyy-mm-dd")&amp;"|"&amp;Lessons[[#This Row],[Start_Time__c]])</f>
        <v>a06ak00000amzC8AAI|2026-10-30|19:00:00.000Z</v>
      </c>
      <c r="AC1000">
        <f>IF(Lessons[[#This Row],[Double Booked Key]]="","",COUNTIF(Lessons[Double Booked Key],Lessons[[#This Row],[Double Booked Key]]))</f>
        <v>1</v>
      </c>
      <c r="AD1000" s="6" t="str">
        <f>_xlfn.XLOOKUP(Lessons[[#This Row],[Location_External_Id__c]], Locations[Location Id], Locations[Location Name])</f>
        <v>Brick</v>
      </c>
      <c r="AE1000" s="6" t="str">
        <f>TEXT(Lessons[[#This Row],[Lesson_Date__c]], "yyyy-mm")</f>
        <v>2026-10</v>
      </c>
      <c r="AF1000" s="6" t="str">
        <f>IF(Lessons[[#This Row],[Lesson_Date__c]]&lt;=Data_Audit!$F$1, "Yes", "No")</f>
        <v>No</v>
      </c>
    </row>
    <row r="1001" spans="1:32">
      <c r="A1001" t="s">
        <v>52</v>
      </c>
      <c r="B1001" t="s">
        <v>3437</v>
      </c>
      <c r="C1001">
        <v>60</v>
      </c>
      <c r="D1001" t="s">
        <v>3687</v>
      </c>
      <c r="E1001" t="s">
        <v>76</v>
      </c>
      <c r="F1001" t="s">
        <v>77</v>
      </c>
      <c r="H1001" t="s">
        <v>78</v>
      </c>
      <c r="I1001" t="b">
        <v>0</v>
      </c>
      <c r="K1001" t="s">
        <v>52</v>
      </c>
      <c r="L1001" t="s">
        <v>3437</v>
      </c>
      <c r="O1001" s="1">
        <v>46325</v>
      </c>
      <c r="P1001" t="s">
        <v>3688</v>
      </c>
      <c r="Q1001" t="s">
        <v>3689</v>
      </c>
      <c r="R1001" t="s">
        <v>83</v>
      </c>
      <c r="S1001" t="b">
        <v>0</v>
      </c>
      <c r="T1001" t="b">
        <v>0</v>
      </c>
      <c r="U1001" t="s">
        <v>3690</v>
      </c>
      <c r="V1001" t="s">
        <v>94</v>
      </c>
      <c r="W1001" t="s">
        <v>95</v>
      </c>
      <c r="X1001" t="s">
        <v>1033</v>
      </c>
      <c r="Y1001" t="s">
        <v>1034</v>
      </c>
      <c r="Z1001" t="s">
        <v>3437</v>
      </c>
      <c r="AA1001" t="b">
        <f>ISNUMBER(SEARCH(";"&amp;Lessons[[#This Row],[Instrument__c]]&amp;";",";"&amp;_xlfn.XLOOKUP(Lessons[[#This Row],[Instructor_External_Id__c]], Instructors[Id], Instructors[Instruments_Taught__c])&amp;";"))</f>
        <v>1</v>
      </c>
      <c r="AB1001" t="str">
        <f>IF(LEFT(Lessons[[#This Row],[Status__c]],9)="Cancelled","",Lessons[[#This Row],[Instructor_External_Id__c]]&amp;"|"&amp;TEXT(Lessons[[#This Row],[Lesson_Date__c]],"yyyy-mm-dd")&amp;"|"&amp;Lessons[[#This Row],[Start_Time__c]])</f>
        <v>a06ak00000amzBgAAI|2026-10-30|19:00:00.000Z</v>
      </c>
      <c r="AC1001">
        <f>IF(Lessons[[#This Row],[Double Booked Key]]="","",COUNTIF(Lessons[Double Booked Key],Lessons[[#This Row],[Double Booked Key]]))</f>
        <v>1</v>
      </c>
      <c r="AD1001" s="6" t="str">
        <f>_xlfn.XLOOKUP(Lessons[[#This Row],[Location_External_Id__c]], Locations[Location Id], Locations[Location Name])</f>
        <v>Brick</v>
      </c>
      <c r="AE1001" s="6" t="str">
        <f>TEXT(Lessons[[#This Row],[Lesson_Date__c]], "yyyy-mm")</f>
        <v>2026-10</v>
      </c>
      <c r="AF1001" s="6" t="str">
        <f>IF(Lessons[[#This Row],[Lesson_Date__c]]&lt;=Data_Audit!$F$1, "Yes", "No")</f>
        <v>No</v>
      </c>
    </row>
    <row r="1002" spans="1:32">
      <c r="A1002" t="s">
        <v>52</v>
      </c>
      <c r="B1002" t="s">
        <v>3437</v>
      </c>
      <c r="C1002">
        <v>30</v>
      </c>
      <c r="D1002" t="s">
        <v>3691</v>
      </c>
      <c r="E1002" t="s">
        <v>282</v>
      </c>
      <c r="F1002" t="s">
        <v>283</v>
      </c>
      <c r="H1002" t="s">
        <v>284</v>
      </c>
      <c r="I1002" t="b">
        <v>0</v>
      </c>
      <c r="K1002" t="s">
        <v>52</v>
      </c>
      <c r="L1002" t="s">
        <v>3437</v>
      </c>
      <c r="O1002" s="1">
        <v>46326</v>
      </c>
      <c r="P1002" t="s">
        <v>3692</v>
      </c>
      <c r="Q1002" t="s">
        <v>3693</v>
      </c>
      <c r="R1002" t="s">
        <v>83</v>
      </c>
      <c r="S1002" t="b">
        <v>0</v>
      </c>
      <c r="T1002" t="b">
        <v>0</v>
      </c>
      <c r="U1002" t="s">
        <v>3694</v>
      </c>
      <c r="V1002" t="s">
        <v>3203</v>
      </c>
      <c r="W1002" t="s">
        <v>95</v>
      </c>
      <c r="X1002" t="s">
        <v>1134</v>
      </c>
      <c r="Y1002" t="s">
        <v>1135</v>
      </c>
      <c r="Z1002" t="s">
        <v>3437</v>
      </c>
      <c r="AA1002" t="b">
        <f>ISNUMBER(SEARCH(";"&amp;Lessons[[#This Row],[Instrument__c]]&amp;";",";"&amp;_xlfn.XLOOKUP(Lessons[[#This Row],[Instructor_External_Id__c]], Instructors[Id], Instructors[Instruments_Taught__c])&amp;";"))</f>
        <v>1</v>
      </c>
      <c r="AB1002" t="str">
        <f>IF(LEFT(Lessons[[#This Row],[Status__c]],9)="Cancelled","",Lessons[[#This Row],[Instructor_External_Id__c]]&amp;"|"&amp;TEXT(Lessons[[#This Row],[Lesson_Date__c]],"yyyy-mm-dd")&amp;"|"&amp;Lessons[[#This Row],[Start_Time__c]])</f>
        <v>a06ak00000amzBxAAI|2026-10-31|11:30:00.000Z</v>
      </c>
      <c r="AC1002">
        <f>IF(Lessons[[#This Row],[Double Booked Key]]="","",COUNTIF(Lessons[Double Booked Key],Lessons[[#This Row],[Double Booked Key]]))</f>
        <v>1</v>
      </c>
      <c r="AD1002" s="6" t="str">
        <f>_xlfn.XLOOKUP(Lessons[[#This Row],[Location_External_Id__c]], Locations[Location Id], Locations[Location Name])</f>
        <v>Brick</v>
      </c>
      <c r="AE1002" s="6" t="str">
        <f>TEXT(Lessons[[#This Row],[Lesson_Date__c]], "yyyy-mm")</f>
        <v>2026-10</v>
      </c>
      <c r="AF1002" s="6" t="str">
        <f>IF(Lessons[[#This Row],[Lesson_Date__c]]&lt;=Data_Audit!$F$1, "Yes", "No")</f>
        <v>No</v>
      </c>
    </row>
    <row r="1003" spans="1:32">
      <c r="A1003" t="s">
        <v>52</v>
      </c>
      <c r="B1003" t="s">
        <v>3437</v>
      </c>
      <c r="C1003">
        <v>60</v>
      </c>
      <c r="D1003" t="s">
        <v>3695</v>
      </c>
      <c r="E1003" t="s">
        <v>777</v>
      </c>
      <c r="F1003" t="s">
        <v>778</v>
      </c>
      <c r="H1003" t="s">
        <v>527</v>
      </c>
      <c r="I1003" t="b">
        <v>0</v>
      </c>
      <c r="K1003" t="s">
        <v>52</v>
      </c>
      <c r="L1003" t="s">
        <v>3437</v>
      </c>
      <c r="O1003" s="1">
        <v>46326</v>
      </c>
      <c r="P1003" t="s">
        <v>3696</v>
      </c>
      <c r="Q1003" t="s">
        <v>3697</v>
      </c>
      <c r="R1003" t="s">
        <v>150</v>
      </c>
      <c r="S1003" t="b">
        <v>0</v>
      </c>
      <c r="T1003" t="b">
        <v>0</v>
      </c>
      <c r="U1003" t="s">
        <v>3698</v>
      </c>
      <c r="V1003" t="s">
        <v>3208</v>
      </c>
      <c r="W1003" t="s">
        <v>95</v>
      </c>
      <c r="X1003" t="s">
        <v>781</v>
      </c>
      <c r="Y1003" t="s">
        <v>782</v>
      </c>
      <c r="Z1003" t="s">
        <v>3437</v>
      </c>
      <c r="AA1003" t="b">
        <f>ISNUMBER(SEARCH(";"&amp;Lessons[[#This Row],[Instrument__c]]&amp;";",";"&amp;_xlfn.XLOOKUP(Lessons[[#This Row],[Instructor_External_Id__c]], Instructors[Id], Instructors[Instruments_Taught__c])&amp;";"))</f>
        <v>1</v>
      </c>
      <c r="AB1003" t="str">
        <f>IF(LEFT(Lessons[[#This Row],[Status__c]],9)="Cancelled","",Lessons[[#This Row],[Instructor_External_Id__c]]&amp;"|"&amp;TEXT(Lessons[[#This Row],[Lesson_Date__c]],"yyyy-mm-dd")&amp;"|"&amp;Lessons[[#This Row],[Start_Time__c]])</f>
        <v>a06ak00000amzByAAI|2026-10-31|12:30:00.000Z</v>
      </c>
      <c r="AC1003">
        <f>IF(Lessons[[#This Row],[Double Booked Key]]="","",COUNTIF(Lessons[Double Booked Key],Lessons[[#This Row],[Double Booked Key]]))</f>
        <v>1</v>
      </c>
      <c r="AD1003" s="6" t="str">
        <f>_xlfn.XLOOKUP(Lessons[[#This Row],[Location_External_Id__c]], Locations[Location Id], Locations[Location Name])</f>
        <v>Toms River</v>
      </c>
      <c r="AE1003" s="6" t="str">
        <f>TEXT(Lessons[[#This Row],[Lesson_Date__c]], "yyyy-mm")</f>
        <v>2026-10</v>
      </c>
      <c r="AF1003" s="6" t="str">
        <f>IF(Lessons[[#This Row],[Lesson_Date__c]]&lt;=Data_Audit!$F$1, "Yes", "No")</f>
        <v>No</v>
      </c>
    </row>
    <row r="1004" spans="1:32">
      <c r="A1004" t="s">
        <v>52</v>
      </c>
      <c r="B1004" t="s">
        <v>3437</v>
      </c>
      <c r="C1004">
        <v>45</v>
      </c>
      <c r="D1004" t="s">
        <v>3699</v>
      </c>
      <c r="E1004" t="s">
        <v>76</v>
      </c>
      <c r="F1004" t="s">
        <v>77</v>
      </c>
      <c r="H1004" t="s">
        <v>78</v>
      </c>
      <c r="I1004" t="b">
        <v>0</v>
      </c>
      <c r="K1004" t="s">
        <v>52</v>
      </c>
      <c r="L1004" t="s">
        <v>3437</v>
      </c>
      <c r="O1004" s="1">
        <v>46328</v>
      </c>
      <c r="P1004" t="s">
        <v>3700</v>
      </c>
      <c r="Q1004" t="s">
        <v>3701</v>
      </c>
      <c r="R1004" t="s">
        <v>83</v>
      </c>
      <c r="S1004" t="b">
        <v>0</v>
      </c>
      <c r="T1004" t="b">
        <v>0</v>
      </c>
      <c r="U1004" t="s">
        <v>3702</v>
      </c>
      <c r="V1004" t="s">
        <v>74</v>
      </c>
      <c r="W1004" t="s">
        <v>95</v>
      </c>
      <c r="X1004" t="s">
        <v>183</v>
      </c>
      <c r="Y1004" t="s">
        <v>184</v>
      </c>
      <c r="Z1004" t="s">
        <v>3437</v>
      </c>
      <c r="AA1004" t="b">
        <f>ISNUMBER(SEARCH(";"&amp;Lessons[[#This Row],[Instrument__c]]&amp;";",";"&amp;_xlfn.XLOOKUP(Lessons[[#This Row],[Instructor_External_Id__c]], Instructors[Id], Instructors[Instruments_Taught__c])&amp;";"))</f>
        <v>1</v>
      </c>
      <c r="AB1004" t="str">
        <f>IF(LEFT(Lessons[[#This Row],[Status__c]],9)="Cancelled","",Lessons[[#This Row],[Instructor_External_Id__c]]&amp;"|"&amp;TEXT(Lessons[[#This Row],[Lesson_Date__c]],"yyyy-mm-dd")&amp;"|"&amp;Lessons[[#This Row],[Start_Time__c]])</f>
        <v>a06ak00000amzBgAAI|2026-11-02|16:30:00.000Z</v>
      </c>
      <c r="AC1004">
        <f>IF(Lessons[[#This Row],[Double Booked Key]]="","",COUNTIF(Lessons[Double Booked Key],Lessons[[#This Row],[Double Booked Key]]))</f>
        <v>1</v>
      </c>
      <c r="AD1004" s="6" t="str">
        <f>_xlfn.XLOOKUP(Lessons[[#This Row],[Location_External_Id__c]], Locations[Location Id], Locations[Location Name])</f>
        <v>Brick</v>
      </c>
      <c r="AE1004" s="6" t="str">
        <f>TEXT(Lessons[[#This Row],[Lesson_Date__c]], "yyyy-mm")</f>
        <v>2026-11</v>
      </c>
      <c r="AF1004" s="6" t="str">
        <f>IF(Lessons[[#This Row],[Lesson_Date__c]]&lt;=Data_Audit!$F$1, "Yes", "No")</f>
        <v>No</v>
      </c>
    </row>
    <row r="1005" spans="1:32">
      <c r="A1005" t="s">
        <v>52</v>
      </c>
      <c r="B1005" t="s">
        <v>3437</v>
      </c>
      <c r="C1005">
        <v>45</v>
      </c>
      <c r="D1005" t="s">
        <v>3703</v>
      </c>
      <c r="E1005" t="s">
        <v>359</v>
      </c>
      <c r="F1005" t="s">
        <v>360</v>
      </c>
      <c r="H1005" t="s">
        <v>284</v>
      </c>
      <c r="I1005" t="b">
        <v>0</v>
      </c>
      <c r="K1005" t="s">
        <v>52</v>
      </c>
      <c r="L1005" t="s">
        <v>3437</v>
      </c>
      <c r="O1005" s="1">
        <v>46328</v>
      </c>
      <c r="P1005" t="s">
        <v>3704</v>
      </c>
      <c r="Q1005" t="s">
        <v>3705</v>
      </c>
      <c r="R1005" t="s">
        <v>63</v>
      </c>
      <c r="S1005" t="b">
        <v>0</v>
      </c>
      <c r="T1005" t="b">
        <v>0</v>
      </c>
      <c r="U1005" t="s">
        <v>3706</v>
      </c>
      <c r="V1005" t="s">
        <v>74</v>
      </c>
      <c r="W1005" t="s">
        <v>95</v>
      </c>
      <c r="X1005" t="s">
        <v>1665</v>
      </c>
      <c r="Y1005" t="s">
        <v>1666</v>
      </c>
      <c r="Z1005" t="s">
        <v>3437</v>
      </c>
      <c r="AA1005" t="b">
        <f>ISNUMBER(SEARCH(";"&amp;Lessons[[#This Row],[Instrument__c]]&amp;";",";"&amp;_xlfn.XLOOKUP(Lessons[[#This Row],[Instructor_External_Id__c]], Instructors[Id], Instructors[Instruments_Taught__c])&amp;";"))</f>
        <v>1</v>
      </c>
      <c r="AB1005" t="str">
        <f>IF(LEFT(Lessons[[#This Row],[Status__c]],9)="Cancelled","",Lessons[[#This Row],[Instructor_External_Id__c]]&amp;"|"&amp;TEXT(Lessons[[#This Row],[Lesson_Date__c]],"yyyy-mm-dd")&amp;"|"&amp;Lessons[[#This Row],[Start_Time__c]])</f>
        <v>a06ak00000amzBiAAI|2026-11-02|16:30:00.000Z</v>
      </c>
      <c r="AC1005">
        <f>IF(Lessons[[#This Row],[Double Booked Key]]="","",COUNTIF(Lessons[Double Booked Key],Lessons[[#This Row],[Double Booked Key]]))</f>
        <v>1</v>
      </c>
      <c r="AD1005" s="6" t="str">
        <f>_xlfn.XLOOKUP(Lessons[[#This Row],[Location_External_Id__c]], Locations[Location Id], Locations[Location Name])</f>
        <v>Red Bank</v>
      </c>
      <c r="AE1005" s="6" t="str">
        <f>TEXT(Lessons[[#This Row],[Lesson_Date__c]], "yyyy-mm")</f>
        <v>2026-11</v>
      </c>
      <c r="AF1005" s="6" t="str">
        <f>IF(Lessons[[#This Row],[Lesson_Date__c]]&lt;=Data_Audit!$F$1, "Yes", "No")</f>
        <v>No</v>
      </c>
    </row>
    <row r="1006" spans="1:32">
      <c r="A1006" t="s">
        <v>52</v>
      </c>
      <c r="B1006" t="s">
        <v>3437</v>
      </c>
      <c r="C1006">
        <v>30</v>
      </c>
      <c r="D1006" t="s">
        <v>3707</v>
      </c>
      <c r="E1006" t="s">
        <v>804</v>
      </c>
      <c r="F1006" t="s">
        <v>805</v>
      </c>
      <c r="H1006" t="s">
        <v>147</v>
      </c>
      <c r="I1006" t="b">
        <v>0</v>
      </c>
      <c r="K1006" t="s">
        <v>52</v>
      </c>
      <c r="L1006" t="s">
        <v>3437</v>
      </c>
      <c r="O1006" s="1">
        <v>46328</v>
      </c>
      <c r="P1006" t="s">
        <v>3708</v>
      </c>
      <c r="Q1006" t="s">
        <v>3709</v>
      </c>
      <c r="R1006" t="s">
        <v>63</v>
      </c>
      <c r="S1006" t="b">
        <v>0</v>
      </c>
      <c r="T1006" t="b">
        <v>0</v>
      </c>
      <c r="U1006" t="s">
        <v>3710</v>
      </c>
      <c r="V1006" t="s">
        <v>116</v>
      </c>
      <c r="W1006" t="s">
        <v>95</v>
      </c>
      <c r="X1006" t="s">
        <v>2502</v>
      </c>
      <c r="Y1006" t="s">
        <v>2503</v>
      </c>
      <c r="Z1006" t="s">
        <v>3437</v>
      </c>
      <c r="AA1006" t="b">
        <f>ISNUMBER(SEARCH(";"&amp;Lessons[[#This Row],[Instrument__c]]&amp;";",";"&amp;_xlfn.XLOOKUP(Lessons[[#This Row],[Instructor_External_Id__c]], Instructors[Id], Instructors[Instruments_Taught__c])&amp;";"))</f>
        <v>1</v>
      </c>
      <c r="AB1006" t="str">
        <f>IF(LEFT(Lessons[[#This Row],[Status__c]],9)="Cancelled","",Lessons[[#This Row],[Instructor_External_Id__c]]&amp;"|"&amp;TEXT(Lessons[[#This Row],[Lesson_Date__c]],"yyyy-mm-dd")&amp;"|"&amp;Lessons[[#This Row],[Start_Time__c]])</f>
        <v>a06ak00000amzCBAAY|2026-11-02|17:30:00.000Z</v>
      </c>
      <c r="AC1006">
        <f>IF(Lessons[[#This Row],[Double Booked Key]]="","",COUNTIF(Lessons[Double Booked Key],Lessons[[#This Row],[Double Booked Key]]))</f>
        <v>1</v>
      </c>
      <c r="AD1006" s="6" t="str">
        <f>_xlfn.XLOOKUP(Lessons[[#This Row],[Location_External_Id__c]], Locations[Location Id], Locations[Location Name])</f>
        <v>Red Bank</v>
      </c>
      <c r="AE1006" s="6" t="str">
        <f>TEXT(Lessons[[#This Row],[Lesson_Date__c]], "yyyy-mm")</f>
        <v>2026-11</v>
      </c>
      <c r="AF1006" s="6" t="str">
        <f>IF(Lessons[[#This Row],[Lesson_Date__c]]&lt;=Data_Audit!$F$1, "Yes", "No")</f>
        <v>No</v>
      </c>
    </row>
    <row r="1007" spans="1:32">
      <c r="A1007" t="s">
        <v>52</v>
      </c>
      <c r="B1007" t="s">
        <v>3437</v>
      </c>
      <c r="C1007">
        <v>30</v>
      </c>
      <c r="D1007" t="s">
        <v>3711</v>
      </c>
      <c r="E1007" t="s">
        <v>337</v>
      </c>
      <c r="F1007" t="s">
        <v>338</v>
      </c>
      <c r="H1007" t="s">
        <v>284</v>
      </c>
      <c r="I1007" t="b">
        <v>0</v>
      </c>
      <c r="K1007" t="s">
        <v>52</v>
      </c>
      <c r="L1007" t="s">
        <v>3437</v>
      </c>
      <c r="O1007" s="1">
        <v>46328</v>
      </c>
      <c r="P1007" t="s">
        <v>3712</v>
      </c>
      <c r="Q1007" t="s">
        <v>3713</v>
      </c>
      <c r="R1007" t="s">
        <v>150</v>
      </c>
      <c r="S1007" t="b">
        <v>0</v>
      </c>
      <c r="T1007" t="b">
        <v>0</v>
      </c>
      <c r="U1007" t="s">
        <v>3714</v>
      </c>
      <c r="V1007" t="s">
        <v>116</v>
      </c>
      <c r="W1007" t="s">
        <v>95</v>
      </c>
      <c r="X1007" t="s">
        <v>2884</v>
      </c>
      <c r="Y1007" t="s">
        <v>342</v>
      </c>
      <c r="Z1007" t="s">
        <v>3437</v>
      </c>
      <c r="AA1007" t="b">
        <f>ISNUMBER(SEARCH(";"&amp;Lessons[[#This Row],[Instrument__c]]&amp;";",";"&amp;_xlfn.XLOOKUP(Lessons[[#This Row],[Instructor_External_Id__c]], Instructors[Id], Instructors[Instruments_Taught__c])&amp;";"))</f>
        <v>1</v>
      </c>
      <c r="AB1007" t="str">
        <f>IF(LEFT(Lessons[[#This Row],[Status__c]],9)="Cancelled","",Lessons[[#This Row],[Instructor_External_Id__c]]&amp;"|"&amp;TEXT(Lessons[[#This Row],[Lesson_Date__c]],"yyyy-mm-dd")&amp;"|"&amp;Lessons[[#This Row],[Start_Time__c]])</f>
        <v>a06ak00000amzCIAAY|2026-11-02|17:30:00.000Z</v>
      </c>
      <c r="AC1007">
        <f>IF(Lessons[[#This Row],[Double Booked Key]]="","",COUNTIF(Lessons[Double Booked Key],Lessons[[#This Row],[Double Booked Key]]))</f>
        <v>1</v>
      </c>
      <c r="AD1007" s="6" t="str">
        <f>_xlfn.XLOOKUP(Lessons[[#This Row],[Location_External_Id__c]], Locations[Location Id], Locations[Location Name])</f>
        <v>Toms River</v>
      </c>
      <c r="AE1007" s="6" t="str">
        <f>TEXT(Lessons[[#This Row],[Lesson_Date__c]], "yyyy-mm")</f>
        <v>2026-11</v>
      </c>
      <c r="AF1007" s="6" t="str">
        <f>IF(Lessons[[#This Row],[Lesson_Date__c]]&lt;=Data_Audit!$F$1, "Yes", "No")</f>
        <v>No</v>
      </c>
    </row>
    <row r="1008" spans="1:32">
      <c r="A1008" t="s">
        <v>52</v>
      </c>
      <c r="B1008" t="s">
        <v>3437</v>
      </c>
      <c r="C1008">
        <v>60</v>
      </c>
      <c r="D1008" t="s">
        <v>3715</v>
      </c>
      <c r="E1008" t="s">
        <v>573</v>
      </c>
      <c r="F1008" t="s">
        <v>574</v>
      </c>
      <c r="H1008" t="s">
        <v>147</v>
      </c>
      <c r="I1008" t="b">
        <v>0</v>
      </c>
      <c r="K1008" t="s">
        <v>52</v>
      </c>
      <c r="L1008" t="s">
        <v>3437</v>
      </c>
      <c r="O1008" s="1">
        <v>46328</v>
      </c>
      <c r="P1008" t="s">
        <v>3716</v>
      </c>
      <c r="Q1008" t="s">
        <v>3717</v>
      </c>
      <c r="R1008" t="s">
        <v>83</v>
      </c>
      <c r="S1008" t="b">
        <v>0</v>
      </c>
      <c r="T1008" t="b">
        <v>0</v>
      </c>
      <c r="U1008" t="s">
        <v>3718</v>
      </c>
      <c r="V1008" t="s">
        <v>128</v>
      </c>
      <c r="W1008" t="s">
        <v>95</v>
      </c>
      <c r="X1008" t="s">
        <v>577</v>
      </c>
      <c r="Y1008" t="s">
        <v>578</v>
      </c>
      <c r="Z1008" t="s">
        <v>3437</v>
      </c>
      <c r="AA1008" t="b">
        <f>ISNUMBER(SEARCH(";"&amp;Lessons[[#This Row],[Instrument__c]]&amp;";",";"&amp;_xlfn.XLOOKUP(Lessons[[#This Row],[Instructor_External_Id__c]], Instructors[Id], Instructors[Instruments_Taught__c])&amp;";"))</f>
        <v>1</v>
      </c>
      <c r="AB1008" t="str">
        <f>IF(LEFT(Lessons[[#This Row],[Status__c]],9)="Cancelled","",Lessons[[#This Row],[Instructor_External_Id__c]]&amp;"|"&amp;TEXT(Lessons[[#This Row],[Lesson_Date__c]],"yyyy-mm-dd")&amp;"|"&amp;Lessons[[#This Row],[Start_Time__c]])</f>
        <v>a06ak00000amzCCAAY|2026-11-02|18:30:00.000Z</v>
      </c>
      <c r="AC1008">
        <f>IF(Lessons[[#This Row],[Double Booked Key]]="","",COUNTIF(Lessons[Double Booked Key],Lessons[[#This Row],[Double Booked Key]]))</f>
        <v>1</v>
      </c>
      <c r="AD1008" s="6" t="str">
        <f>_xlfn.XLOOKUP(Lessons[[#This Row],[Location_External_Id__c]], Locations[Location Id], Locations[Location Name])</f>
        <v>Brick</v>
      </c>
      <c r="AE1008" s="6" t="str">
        <f>TEXT(Lessons[[#This Row],[Lesson_Date__c]], "yyyy-mm")</f>
        <v>2026-11</v>
      </c>
      <c r="AF1008" s="6" t="str">
        <f>IF(Lessons[[#This Row],[Lesson_Date__c]]&lt;=Data_Audit!$F$1, "Yes", "No")</f>
        <v>No</v>
      </c>
    </row>
    <row r="1009" spans="1:32">
      <c r="A1009" t="s">
        <v>52</v>
      </c>
      <c r="B1009" t="s">
        <v>3437</v>
      </c>
      <c r="C1009">
        <v>30</v>
      </c>
      <c r="D1009" t="s">
        <v>3719</v>
      </c>
      <c r="E1009" t="s">
        <v>804</v>
      </c>
      <c r="F1009" t="s">
        <v>805</v>
      </c>
      <c r="H1009" t="s">
        <v>147</v>
      </c>
      <c r="I1009" t="b">
        <v>0</v>
      </c>
      <c r="K1009" t="s">
        <v>52</v>
      </c>
      <c r="L1009" t="s">
        <v>3437</v>
      </c>
      <c r="O1009" s="1">
        <v>46329</v>
      </c>
      <c r="P1009" t="s">
        <v>3720</v>
      </c>
      <c r="Q1009" t="s">
        <v>3721</v>
      </c>
      <c r="R1009" t="s">
        <v>63</v>
      </c>
      <c r="S1009" t="b">
        <v>0</v>
      </c>
      <c r="T1009" t="b">
        <v>0</v>
      </c>
      <c r="U1009" t="s">
        <v>3722</v>
      </c>
      <c r="V1009" t="s">
        <v>135</v>
      </c>
      <c r="W1009" t="s">
        <v>95</v>
      </c>
      <c r="X1009" t="s">
        <v>2688</v>
      </c>
      <c r="Y1009" t="s">
        <v>2689</v>
      </c>
      <c r="Z1009" t="s">
        <v>3437</v>
      </c>
      <c r="AA1009" t="b">
        <f>ISNUMBER(SEARCH(";"&amp;Lessons[[#This Row],[Instrument__c]]&amp;";",";"&amp;_xlfn.XLOOKUP(Lessons[[#This Row],[Instructor_External_Id__c]], Instructors[Id], Instructors[Instruments_Taught__c])&amp;";"))</f>
        <v>1</v>
      </c>
      <c r="AB1009" t="str">
        <f>IF(LEFT(Lessons[[#This Row],[Status__c]],9)="Cancelled","",Lessons[[#This Row],[Instructor_External_Id__c]]&amp;"|"&amp;TEXT(Lessons[[#This Row],[Lesson_Date__c]],"yyyy-mm-dd")&amp;"|"&amp;Lessons[[#This Row],[Start_Time__c]])</f>
        <v>a06ak00000amzCBAAY|2026-11-03|15:30:00.000Z</v>
      </c>
      <c r="AC1009">
        <f>IF(Lessons[[#This Row],[Double Booked Key]]="","",COUNTIF(Lessons[Double Booked Key],Lessons[[#This Row],[Double Booked Key]]))</f>
        <v>1</v>
      </c>
      <c r="AD1009" s="6" t="str">
        <f>_xlfn.XLOOKUP(Lessons[[#This Row],[Location_External_Id__c]], Locations[Location Id], Locations[Location Name])</f>
        <v>Red Bank</v>
      </c>
      <c r="AE1009" s="6" t="str">
        <f>TEXT(Lessons[[#This Row],[Lesson_Date__c]], "yyyy-mm")</f>
        <v>2026-11</v>
      </c>
      <c r="AF1009" s="6" t="str">
        <f>IF(Lessons[[#This Row],[Lesson_Date__c]]&lt;=Data_Audit!$F$1, "Yes", "No")</f>
        <v>No</v>
      </c>
    </row>
    <row r="1010" spans="1:32">
      <c r="A1010" t="s">
        <v>52</v>
      </c>
      <c r="B1010" t="s">
        <v>3437</v>
      </c>
      <c r="C1010">
        <v>60</v>
      </c>
      <c r="D1010" t="s">
        <v>3723</v>
      </c>
      <c r="E1010" t="s">
        <v>243</v>
      </c>
      <c r="F1010" t="s">
        <v>244</v>
      </c>
      <c r="H1010" t="s">
        <v>650</v>
      </c>
      <c r="I1010" t="b">
        <v>0</v>
      </c>
      <c r="K1010" t="s">
        <v>52</v>
      </c>
      <c r="L1010" t="s">
        <v>3437</v>
      </c>
      <c r="O1010" s="1">
        <v>46329</v>
      </c>
      <c r="P1010" t="s">
        <v>3724</v>
      </c>
      <c r="Q1010" t="s">
        <v>3725</v>
      </c>
      <c r="R1010" t="s">
        <v>83</v>
      </c>
      <c r="S1010" t="b">
        <v>0</v>
      </c>
      <c r="T1010" t="b">
        <v>0</v>
      </c>
      <c r="U1010" t="s">
        <v>3726</v>
      </c>
      <c r="V1010" t="s">
        <v>74</v>
      </c>
      <c r="W1010" t="s">
        <v>95</v>
      </c>
      <c r="X1010" t="s">
        <v>2122</v>
      </c>
      <c r="Y1010" t="s">
        <v>2123</v>
      </c>
      <c r="Z1010" t="s">
        <v>3437</v>
      </c>
      <c r="AA1010" t="b">
        <f>ISNUMBER(SEARCH(";"&amp;Lessons[[#This Row],[Instrument__c]]&amp;";",";"&amp;_xlfn.XLOOKUP(Lessons[[#This Row],[Instructor_External_Id__c]], Instructors[Id], Instructors[Instruments_Taught__c])&amp;";"))</f>
        <v>1</v>
      </c>
      <c r="AB1010" t="str">
        <f>IF(LEFT(Lessons[[#This Row],[Status__c]],9)="Cancelled","",Lessons[[#This Row],[Instructor_External_Id__c]]&amp;"|"&amp;TEXT(Lessons[[#This Row],[Lesson_Date__c]],"yyyy-mm-dd")&amp;"|"&amp;Lessons[[#This Row],[Start_Time__c]])</f>
        <v>a06ak00000amzC1AAI|2026-11-03|16:30:00.000Z</v>
      </c>
      <c r="AC1010">
        <f>IF(Lessons[[#This Row],[Double Booked Key]]="","",COUNTIF(Lessons[Double Booked Key],Lessons[[#This Row],[Double Booked Key]]))</f>
        <v>1</v>
      </c>
      <c r="AD1010" s="6" t="str">
        <f>_xlfn.XLOOKUP(Lessons[[#This Row],[Location_External_Id__c]], Locations[Location Id], Locations[Location Name])</f>
        <v>Brick</v>
      </c>
      <c r="AE1010" s="6" t="str">
        <f>TEXT(Lessons[[#This Row],[Lesson_Date__c]], "yyyy-mm")</f>
        <v>2026-11</v>
      </c>
      <c r="AF1010" s="6" t="str">
        <f>IF(Lessons[[#This Row],[Lesson_Date__c]]&lt;=Data_Audit!$F$1, "Yes", "No")</f>
        <v>No</v>
      </c>
    </row>
    <row r="1011" spans="1:32">
      <c r="A1011" t="s">
        <v>52</v>
      </c>
      <c r="B1011" t="s">
        <v>3437</v>
      </c>
      <c r="C1011">
        <v>60</v>
      </c>
      <c r="D1011" t="s">
        <v>3727</v>
      </c>
      <c r="E1011" t="s">
        <v>548</v>
      </c>
      <c r="F1011" t="s">
        <v>549</v>
      </c>
      <c r="H1011" t="s">
        <v>203</v>
      </c>
      <c r="I1011" t="b">
        <v>0</v>
      </c>
      <c r="K1011" t="s">
        <v>52</v>
      </c>
      <c r="L1011" t="s">
        <v>3437</v>
      </c>
      <c r="O1011" s="1">
        <v>46329</v>
      </c>
      <c r="P1011" t="s">
        <v>3728</v>
      </c>
      <c r="Q1011" t="s">
        <v>3729</v>
      </c>
      <c r="R1011" t="s">
        <v>63</v>
      </c>
      <c r="S1011" t="b">
        <v>0</v>
      </c>
      <c r="T1011" t="b">
        <v>0</v>
      </c>
      <c r="U1011" t="s">
        <v>3730</v>
      </c>
      <c r="V1011" t="s">
        <v>74</v>
      </c>
      <c r="W1011" t="s">
        <v>95</v>
      </c>
      <c r="X1011" t="s">
        <v>2456</v>
      </c>
      <c r="Y1011" t="s">
        <v>2457</v>
      </c>
      <c r="Z1011" t="s">
        <v>3437</v>
      </c>
      <c r="AA1011" t="b">
        <f>ISNUMBER(SEARCH(";"&amp;Lessons[[#This Row],[Instrument__c]]&amp;";",";"&amp;_xlfn.XLOOKUP(Lessons[[#This Row],[Instructor_External_Id__c]], Instructors[Id], Instructors[Instruments_Taught__c])&amp;";"))</f>
        <v>1</v>
      </c>
      <c r="AB1011" t="str">
        <f>IF(LEFT(Lessons[[#This Row],[Status__c]],9)="Cancelled","",Lessons[[#This Row],[Instructor_External_Id__c]]&amp;"|"&amp;TEXT(Lessons[[#This Row],[Lesson_Date__c]],"yyyy-mm-dd")&amp;"|"&amp;Lessons[[#This Row],[Start_Time__c]])</f>
        <v>a06ak00000amzCHAAY|2026-11-03|16:30:00.000Z</v>
      </c>
      <c r="AC1011">
        <f>IF(Lessons[[#This Row],[Double Booked Key]]="","",COUNTIF(Lessons[Double Booked Key],Lessons[[#This Row],[Double Booked Key]]))</f>
        <v>1</v>
      </c>
      <c r="AD1011" s="6" t="str">
        <f>_xlfn.XLOOKUP(Lessons[[#This Row],[Location_External_Id__c]], Locations[Location Id], Locations[Location Name])</f>
        <v>Red Bank</v>
      </c>
      <c r="AE1011" s="6" t="str">
        <f>TEXT(Lessons[[#This Row],[Lesson_Date__c]], "yyyy-mm")</f>
        <v>2026-11</v>
      </c>
      <c r="AF1011" s="6" t="str">
        <f>IF(Lessons[[#This Row],[Lesson_Date__c]]&lt;=Data_Audit!$F$1, "Yes", "No")</f>
        <v>No</v>
      </c>
    </row>
    <row r="1012" spans="1:32">
      <c r="A1012" t="s">
        <v>52</v>
      </c>
      <c r="B1012" t="s">
        <v>3437</v>
      </c>
      <c r="C1012">
        <v>30</v>
      </c>
      <c r="D1012" t="s">
        <v>3731</v>
      </c>
      <c r="E1012" t="s">
        <v>459</v>
      </c>
      <c r="F1012" t="s">
        <v>460</v>
      </c>
      <c r="H1012" t="s">
        <v>461</v>
      </c>
      <c r="I1012" t="b">
        <v>0</v>
      </c>
      <c r="K1012" t="s">
        <v>52</v>
      </c>
      <c r="L1012" t="s">
        <v>3437</v>
      </c>
      <c r="O1012" s="1">
        <v>46329</v>
      </c>
      <c r="P1012" t="s">
        <v>3732</v>
      </c>
      <c r="Q1012" t="s">
        <v>3733</v>
      </c>
      <c r="R1012" t="s">
        <v>83</v>
      </c>
      <c r="S1012" t="b">
        <v>0</v>
      </c>
      <c r="T1012" t="b">
        <v>0</v>
      </c>
      <c r="U1012" t="s">
        <v>3734</v>
      </c>
      <c r="V1012" t="s">
        <v>74</v>
      </c>
      <c r="W1012" t="s">
        <v>95</v>
      </c>
      <c r="X1012" t="s">
        <v>2592</v>
      </c>
      <c r="Y1012" t="s">
        <v>2593</v>
      </c>
      <c r="Z1012" t="s">
        <v>3437</v>
      </c>
      <c r="AA1012" t="b">
        <f>ISNUMBER(SEARCH(";"&amp;Lessons[[#This Row],[Instrument__c]]&amp;";",";"&amp;_xlfn.XLOOKUP(Lessons[[#This Row],[Instructor_External_Id__c]], Instructors[Id], Instructors[Instruments_Taught__c])&amp;";"))</f>
        <v>1</v>
      </c>
      <c r="AB1012" t="str">
        <f>IF(LEFT(Lessons[[#This Row],[Status__c]],9)="Cancelled","",Lessons[[#This Row],[Instructor_External_Id__c]]&amp;"|"&amp;TEXT(Lessons[[#This Row],[Lesson_Date__c]],"yyyy-mm-dd")&amp;"|"&amp;Lessons[[#This Row],[Start_Time__c]])</f>
        <v>a06ak00000amzC8AAI|2026-11-03|16:30:00.000Z</v>
      </c>
      <c r="AC1012">
        <f>IF(Lessons[[#This Row],[Double Booked Key]]="","",COUNTIF(Lessons[Double Booked Key],Lessons[[#This Row],[Double Booked Key]]))</f>
        <v>1</v>
      </c>
      <c r="AD1012" s="6" t="str">
        <f>_xlfn.XLOOKUP(Lessons[[#This Row],[Location_External_Id__c]], Locations[Location Id], Locations[Location Name])</f>
        <v>Brick</v>
      </c>
      <c r="AE1012" s="6" t="str">
        <f>TEXT(Lessons[[#This Row],[Lesson_Date__c]], "yyyy-mm")</f>
        <v>2026-11</v>
      </c>
      <c r="AF1012" s="6" t="str">
        <f>IF(Lessons[[#This Row],[Lesson_Date__c]]&lt;=Data_Audit!$F$1, "Yes", "No")</f>
        <v>No</v>
      </c>
    </row>
    <row r="1013" spans="1:32">
      <c r="A1013" t="s">
        <v>52</v>
      </c>
      <c r="B1013" t="s">
        <v>3437</v>
      </c>
      <c r="C1013">
        <v>45</v>
      </c>
      <c r="D1013" t="s">
        <v>3735</v>
      </c>
      <c r="E1013" t="s">
        <v>548</v>
      </c>
      <c r="F1013" t="s">
        <v>549</v>
      </c>
      <c r="H1013" t="s">
        <v>203</v>
      </c>
      <c r="I1013" t="b">
        <v>0</v>
      </c>
      <c r="K1013" t="s">
        <v>52</v>
      </c>
      <c r="L1013" t="s">
        <v>3437</v>
      </c>
      <c r="O1013" s="1">
        <v>46329</v>
      </c>
      <c r="P1013" t="s">
        <v>3736</v>
      </c>
      <c r="Q1013" t="s">
        <v>3737</v>
      </c>
      <c r="R1013" t="s">
        <v>83</v>
      </c>
      <c r="S1013" t="b">
        <v>0</v>
      </c>
      <c r="T1013" t="b">
        <v>0</v>
      </c>
      <c r="U1013" t="s">
        <v>3738</v>
      </c>
      <c r="V1013" t="s">
        <v>128</v>
      </c>
      <c r="W1013" t="s">
        <v>95</v>
      </c>
      <c r="X1013" t="s">
        <v>552</v>
      </c>
      <c r="Y1013" t="s">
        <v>553</v>
      </c>
      <c r="Z1013" t="s">
        <v>3437</v>
      </c>
      <c r="AA1013" t="b">
        <f>ISNUMBER(SEARCH(";"&amp;Lessons[[#This Row],[Instrument__c]]&amp;";",";"&amp;_xlfn.XLOOKUP(Lessons[[#This Row],[Instructor_External_Id__c]], Instructors[Id], Instructors[Instruments_Taught__c])&amp;";"))</f>
        <v>1</v>
      </c>
      <c r="AB1013" t="str">
        <f>IF(LEFT(Lessons[[#This Row],[Status__c]],9)="Cancelled","",Lessons[[#This Row],[Instructor_External_Id__c]]&amp;"|"&amp;TEXT(Lessons[[#This Row],[Lesson_Date__c]],"yyyy-mm-dd")&amp;"|"&amp;Lessons[[#This Row],[Start_Time__c]])</f>
        <v>a06ak00000amzCHAAY|2026-11-03|18:30:00.000Z</v>
      </c>
      <c r="AC1013">
        <f>IF(Lessons[[#This Row],[Double Booked Key]]="","",COUNTIF(Lessons[Double Booked Key],Lessons[[#This Row],[Double Booked Key]]))</f>
        <v>1</v>
      </c>
      <c r="AD1013" s="6" t="str">
        <f>_xlfn.XLOOKUP(Lessons[[#This Row],[Location_External_Id__c]], Locations[Location Id], Locations[Location Name])</f>
        <v>Brick</v>
      </c>
      <c r="AE1013" s="6" t="str">
        <f>TEXT(Lessons[[#This Row],[Lesson_Date__c]], "yyyy-mm")</f>
        <v>2026-11</v>
      </c>
      <c r="AF1013" s="6" t="str">
        <f>IF(Lessons[[#This Row],[Lesson_Date__c]]&lt;=Data_Audit!$F$1, "Yes", "No")</f>
        <v>No</v>
      </c>
    </row>
    <row r="1014" spans="1:32">
      <c r="A1014" t="s">
        <v>52</v>
      </c>
      <c r="B1014" t="s">
        <v>3437</v>
      </c>
      <c r="C1014">
        <v>45</v>
      </c>
      <c r="D1014" t="s">
        <v>3739</v>
      </c>
      <c r="E1014" t="s">
        <v>944</v>
      </c>
      <c r="F1014" t="s">
        <v>945</v>
      </c>
      <c r="H1014" t="s">
        <v>107</v>
      </c>
      <c r="I1014" t="b">
        <v>0</v>
      </c>
      <c r="K1014" t="s">
        <v>52</v>
      </c>
      <c r="L1014" t="s">
        <v>3437</v>
      </c>
      <c r="O1014" s="1">
        <v>46329</v>
      </c>
      <c r="P1014" t="s">
        <v>3740</v>
      </c>
      <c r="Q1014" t="s">
        <v>3741</v>
      </c>
      <c r="R1014" t="s">
        <v>63</v>
      </c>
      <c r="S1014" t="b">
        <v>0</v>
      </c>
      <c r="T1014" t="b">
        <v>0</v>
      </c>
      <c r="U1014" t="s">
        <v>3742</v>
      </c>
      <c r="V1014" t="s">
        <v>128</v>
      </c>
      <c r="W1014" t="s">
        <v>95</v>
      </c>
      <c r="X1014" t="s">
        <v>1589</v>
      </c>
      <c r="Y1014" t="s">
        <v>1590</v>
      </c>
      <c r="Z1014" t="s">
        <v>3437</v>
      </c>
      <c r="AA1014" t="b">
        <f>ISNUMBER(SEARCH(";"&amp;Lessons[[#This Row],[Instrument__c]]&amp;";",";"&amp;_xlfn.XLOOKUP(Lessons[[#This Row],[Instructor_External_Id__c]], Instructors[Id], Instructors[Instruments_Taught__c])&amp;";"))</f>
        <v>1</v>
      </c>
      <c r="AB1014" t="str">
        <f>IF(LEFT(Lessons[[#This Row],[Status__c]],9)="Cancelled","",Lessons[[#This Row],[Instructor_External_Id__c]]&amp;"|"&amp;TEXT(Lessons[[#This Row],[Lesson_Date__c]],"yyyy-mm-dd")&amp;"|"&amp;Lessons[[#This Row],[Start_Time__c]])</f>
        <v>a06ak00000amzBtAAI|2026-11-03|18:30:00.000Z</v>
      </c>
      <c r="AC1014">
        <f>IF(Lessons[[#This Row],[Double Booked Key]]="","",COUNTIF(Lessons[Double Booked Key],Lessons[[#This Row],[Double Booked Key]]))</f>
        <v>1</v>
      </c>
      <c r="AD1014" s="6" t="str">
        <f>_xlfn.XLOOKUP(Lessons[[#This Row],[Location_External_Id__c]], Locations[Location Id], Locations[Location Name])</f>
        <v>Red Bank</v>
      </c>
      <c r="AE1014" s="6" t="str">
        <f>TEXT(Lessons[[#This Row],[Lesson_Date__c]], "yyyy-mm")</f>
        <v>2026-11</v>
      </c>
      <c r="AF1014" s="6" t="str">
        <f>IF(Lessons[[#This Row],[Lesson_Date__c]]&lt;=Data_Audit!$F$1, "Yes", "No")</f>
        <v>No</v>
      </c>
    </row>
    <row r="1015" spans="1:32">
      <c r="A1015" t="s">
        <v>52</v>
      </c>
      <c r="B1015" t="s">
        <v>3437</v>
      </c>
      <c r="C1015">
        <v>60</v>
      </c>
      <c r="D1015" t="s">
        <v>3743</v>
      </c>
      <c r="E1015" t="s">
        <v>359</v>
      </c>
      <c r="F1015" t="s">
        <v>360</v>
      </c>
      <c r="H1015" t="s">
        <v>392</v>
      </c>
      <c r="I1015" t="b">
        <v>0</v>
      </c>
      <c r="K1015" t="s">
        <v>52</v>
      </c>
      <c r="L1015" t="s">
        <v>3437</v>
      </c>
      <c r="O1015" s="1">
        <v>46330</v>
      </c>
      <c r="P1015" t="s">
        <v>3744</v>
      </c>
      <c r="Q1015" t="s">
        <v>3745</v>
      </c>
      <c r="R1015" t="s">
        <v>63</v>
      </c>
      <c r="S1015" t="b">
        <v>0</v>
      </c>
      <c r="T1015" t="b">
        <v>0</v>
      </c>
      <c r="U1015" t="s">
        <v>3746</v>
      </c>
      <c r="V1015" t="s">
        <v>140</v>
      </c>
      <c r="W1015" t="s">
        <v>95</v>
      </c>
      <c r="X1015" t="s">
        <v>2868</v>
      </c>
      <c r="Y1015" t="s">
        <v>2869</v>
      </c>
      <c r="Z1015" t="s">
        <v>3437</v>
      </c>
      <c r="AA1015" t="b">
        <f>ISNUMBER(SEARCH(";"&amp;Lessons[[#This Row],[Instrument__c]]&amp;";",";"&amp;_xlfn.XLOOKUP(Lessons[[#This Row],[Instructor_External_Id__c]], Instructors[Id], Instructors[Instruments_Taught__c])&amp;";"))</f>
        <v>1</v>
      </c>
      <c r="AB1015" t="str">
        <f>IF(LEFT(Lessons[[#This Row],[Status__c]],9)="Cancelled","",Lessons[[#This Row],[Instructor_External_Id__c]]&amp;"|"&amp;TEXT(Lessons[[#This Row],[Lesson_Date__c]],"yyyy-mm-dd")&amp;"|"&amp;Lessons[[#This Row],[Start_Time__c]])</f>
        <v>a06ak00000amzBiAAI|2026-11-04|15:00:00.000Z</v>
      </c>
      <c r="AC1015">
        <f>IF(Lessons[[#This Row],[Double Booked Key]]="","",COUNTIF(Lessons[Double Booked Key],Lessons[[#This Row],[Double Booked Key]]))</f>
        <v>1</v>
      </c>
      <c r="AD1015" s="6" t="str">
        <f>_xlfn.XLOOKUP(Lessons[[#This Row],[Location_External_Id__c]], Locations[Location Id], Locations[Location Name])</f>
        <v>Red Bank</v>
      </c>
      <c r="AE1015" s="6" t="str">
        <f>TEXT(Lessons[[#This Row],[Lesson_Date__c]], "yyyy-mm")</f>
        <v>2026-11</v>
      </c>
      <c r="AF1015" s="6" t="str">
        <f>IF(Lessons[[#This Row],[Lesson_Date__c]]&lt;=Data_Audit!$F$1, "Yes", "No")</f>
        <v>No</v>
      </c>
    </row>
    <row r="1016" spans="1:32">
      <c r="A1016" t="s">
        <v>52</v>
      </c>
      <c r="B1016" t="s">
        <v>3437</v>
      </c>
      <c r="C1016">
        <v>60</v>
      </c>
      <c r="D1016" t="s">
        <v>3747</v>
      </c>
      <c r="E1016" t="s">
        <v>76</v>
      </c>
      <c r="F1016" t="s">
        <v>77</v>
      </c>
      <c r="H1016" t="s">
        <v>58</v>
      </c>
      <c r="I1016" t="b">
        <v>0</v>
      </c>
      <c r="K1016" t="s">
        <v>52</v>
      </c>
      <c r="L1016" t="s">
        <v>3437</v>
      </c>
      <c r="O1016" s="1">
        <v>46330</v>
      </c>
      <c r="P1016" t="s">
        <v>3748</v>
      </c>
      <c r="Q1016" t="s">
        <v>3749</v>
      </c>
      <c r="R1016" t="s">
        <v>83</v>
      </c>
      <c r="S1016" t="b">
        <v>0</v>
      </c>
      <c r="T1016" t="b">
        <v>0</v>
      </c>
      <c r="U1016" t="s">
        <v>3750</v>
      </c>
      <c r="V1016" t="s">
        <v>102</v>
      </c>
      <c r="W1016" t="s">
        <v>95</v>
      </c>
      <c r="X1016" t="s">
        <v>1080</v>
      </c>
      <c r="Y1016" t="s">
        <v>1081</v>
      </c>
      <c r="Z1016" t="s">
        <v>3437</v>
      </c>
      <c r="AA1016" t="b">
        <f>ISNUMBER(SEARCH(";"&amp;Lessons[[#This Row],[Instrument__c]]&amp;";",";"&amp;_xlfn.XLOOKUP(Lessons[[#This Row],[Instructor_External_Id__c]], Instructors[Id], Instructors[Instruments_Taught__c])&amp;";"))</f>
        <v>1</v>
      </c>
      <c r="AB1016" t="str">
        <f>IF(LEFT(Lessons[[#This Row],[Status__c]],9)="Cancelled","",Lessons[[#This Row],[Instructor_External_Id__c]]&amp;"|"&amp;TEXT(Lessons[[#This Row],[Lesson_Date__c]],"yyyy-mm-dd")&amp;"|"&amp;Lessons[[#This Row],[Start_Time__c]])</f>
        <v>a06ak00000amzBgAAI|2026-11-04|16:00:00.000Z</v>
      </c>
      <c r="AC1016">
        <f>IF(Lessons[[#This Row],[Double Booked Key]]="","",COUNTIF(Lessons[Double Booked Key],Lessons[[#This Row],[Double Booked Key]]))</f>
        <v>1</v>
      </c>
      <c r="AD1016" s="6" t="str">
        <f>_xlfn.XLOOKUP(Lessons[[#This Row],[Location_External_Id__c]], Locations[Location Id], Locations[Location Name])</f>
        <v>Brick</v>
      </c>
      <c r="AE1016" s="6" t="str">
        <f>TEXT(Lessons[[#This Row],[Lesson_Date__c]], "yyyy-mm")</f>
        <v>2026-11</v>
      </c>
      <c r="AF1016" s="6" t="str">
        <f>IF(Lessons[[#This Row],[Lesson_Date__c]]&lt;=Data_Audit!$F$1, "Yes", "No")</f>
        <v>No</v>
      </c>
    </row>
    <row r="1017" spans="1:32">
      <c r="A1017" t="s">
        <v>52</v>
      </c>
      <c r="B1017" t="s">
        <v>3437</v>
      </c>
      <c r="C1017">
        <v>45</v>
      </c>
      <c r="D1017" t="s">
        <v>3751</v>
      </c>
      <c r="E1017" t="s">
        <v>401</v>
      </c>
      <c r="F1017" t="s">
        <v>402</v>
      </c>
      <c r="H1017" t="s">
        <v>263</v>
      </c>
      <c r="I1017" t="b">
        <v>0</v>
      </c>
      <c r="K1017" t="s">
        <v>52</v>
      </c>
      <c r="L1017" t="s">
        <v>3437</v>
      </c>
      <c r="O1017" s="1">
        <v>46330</v>
      </c>
      <c r="P1017" t="s">
        <v>3752</v>
      </c>
      <c r="Q1017" t="s">
        <v>3753</v>
      </c>
      <c r="R1017" t="s">
        <v>83</v>
      </c>
      <c r="S1017" t="b">
        <v>0</v>
      </c>
      <c r="T1017" t="b">
        <v>0</v>
      </c>
      <c r="U1017" t="s">
        <v>3754</v>
      </c>
      <c r="V1017" t="s">
        <v>74</v>
      </c>
      <c r="W1017" t="s">
        <v>95</v>
      </c>
      <c r="X1017" t="s">
        <v>1561</v>
      </c>
      <c r="Y1017" t="s">
        <v>1562</v>
      </c>
      <c r="Z1017" t="s">
        <v>3437</v>
      </c>
      <c r="AA1017" t="b">
        <f>ISNUMBER(SEARCH(";"&amp;Lessons[[#This Row],[Instrument__c]]&amp;";",";"&amp;_xlfn.XLOOKUP(Lessons[[#This Row],[Instructor_External_Id__c]], Instructors[Id], Instructors[Instruments_Taught__c])&amp;";"))</f>
        <v>1</v>
      </c>
      <c r="AB1017" t="str">
        <f>IF(LEFT(Lessons[[#This Row],[Status__c]],9)="Cancelled","",Lessons[[#This Row],[Instructor_External_Id__c]]&amp;"|"&amp;TEXT(Lessons[[#This Row],[Lesson_Date__c]],"yyyy-mm-dd")&amp;"|"&amp;Lessons[[#This Row],[Start_Time__c]])</f>
        <v>a06ak00000amzBfAAI|2026-11-04|16:30:00.000Z</v>
      </c>
      <c r="AC1017">
        <f>IF(Lessons[[#This Row],[Double Booked Key]]="","",COUNTIF(Lessons[Double Booked Key],Lessons[[#This Row],[Double Booked Key]]))</f>
        <v>1</v>
      </c>
      <c r="AD1017" s="6" t="str">
        <f>_xlfn.XLOOKUP(Lessons[[#This Row],[Location_External_Id__c]], Locations[Location Id], Locations[Location Name])</f>
        <v>Brick</v>
      </c>
      <c r="AE1017" s="6" t="str">
        <f>TEXT(Lessons[[#This Row],[Lesson_Date__c]], "yyyy-mm")</f>
        <v>2026-11</v>
      </c>
      <c r="AF1017" s="6" t="str">
        <f>IF(Lessons[[#This Row],[Lesson_Date__c]]&lt;=Data_Audit!$F$1, "Yes", "No")</f>
        <v>No</v>
      </c>
    </row>
    <row r="1018" spans="1:32">
      <c r="A1018" t="s">
        <v>52</v>
      </c>
      <c r="B1018" t="s">
        <v>3437</v>
      </c>
      <c r="C1018">
        <v>60</v>
      </c>
      <c r="D1018" t="s">
        <v>3755</v>
      </c>
      <c r="E1018" t="s">
        <v>359</v>
      </c>
      <c r="F1018" t="s">
        <v>360</v>
      </c>
      <c r="H1018" t="s">
        <v>78</v>
      </c>
      <c r="I1018" t="b">
        <v>0</v>
      </c>
      <c r="K1018" t="s">
        <v>52</v>
      </c>
      <c r="L1018" t="s">
        <v>3437</v>
      </c>
      <c r="O1018" s="1">
        <v>46330</v>
      </c>
      <c r="P1018" t="s">
        <v>3756</v>
      </c>
      <c r="Q1018" t="s">
        <v>3757</v>
      </c>
      <c r="R1018" t="s">
        <v>63</v>
      </c>
      <c r="S1018" t="b">
        <v>0</v>
      </c>
      <c r="T1018" t="b">
        <v>0</v>
      </c>
      <c r="U1018" t="s">
        <v>3758</v>
      </c>
      <c r="V1018" t="s">
        <v>84</v>
      </c>
      <c r="W1018" t="s">
        <v>95</v>
      </c>
      <c r="X1018" t="s">
        <v>363</v>
      </c>
      <c r="Y1018" t="s">
        <v>364</v>
      </c>
      <c r="Z1018" t="s">
        <v>3437</v>
      </c>
      <c r="AA1018" t="b">
        <f>ISNUMBER(SEARCH(";"&amp;Lessons[[#This Row],[Instrument__c]]&amp;";",";"&amp;_xlfn.XLOOKUP(Lessons[[#This Row],[Instructor_External_Id__c]], Instructors[Id], Instructors[Instruments_Taught__c])&amp;";"))</f>
        <v>1</v>
      </c>
      <c r="AB1018" t="str">
        <f>IF(LEFT(Lessons[[#This Row],[Status__c]],9)="Cancelled","",Lessons[[#This Row],[Instructor_External_Id__c]]&amp;"|"&amp;TEXT(Lessons[[#This Row],[Lesson_Date__c]],"yyyy-mm-dd")&amp;"|"&amp;Lessons[[#This Row],[Start_Time__c]])</f>
        <v>a06ak00000amzBiAAI|2026-11-04|17:00:00.000Z</v>
      </c>
      <c r="AC1018">
        <f>IF(Lessons[[#This Row],[Double Booked Key]]="","",COUNTIF(Lessons[Double Booked Key],Lessons[[#This Row],[Double Booked Key]]))</f>
        <v>1</v>
      </c>
      <c r="AD1018" s="6" t="str">
        <f>_xlfn.XLOOKUP(Lessons[[#This Row],[Location_External_Id__c]], Locations[Location Id], Locations[Location Name])</f>
        <v>Red Bank</v>
      </c>
      <c r="AE1018" s="6" t="str">
        <f>TEXT(Lessons[[#This Row],[Lesson_Date__c]], "yyyy-mm")</f>
        <v>2026-11</v>
      </c>
      <c r="AF1018" s="6" t="str">
        <f>IF(Lessons[[#This Row],[Lesson_Date__c]]&lt;=Data_Audit!$F$1, "Yes", "No")</f>
        <v>No</v>
      </c>
    </row>
    <row r="1019" spans="1:32">
      <c r="A1019" t="s">
        <v>52</v>
      </c>
      <c r="B1019" t="s">
        <v>3437</v>
      </c>
      <c r="C1019">
        <v>30</v>
      </c>
      <c r="D1019" t="s">
        <v>3759</v>
      </c>
      <c r="E1019" t="s">
        <v>436</v>
      </c>
      <c r="F1019" t="s">
        <v>437</v>
      </c>
      <c r="H1019" t="s">
        <v>461</v>
      </c>
      <c r="I1019" t="b">
        <v>0</v>
      </c>
      <c r="K1019" t="s">
        <v>52</v>
      </c>
      <c r="L1019" t="s">
        <v>3437</v>
      </c>
      <c r="O1019" s="1">
        <v>46331</v>
      </c>
      <c r="P1019" t="s">
        <v>3760</v>
      </c>
      <c r="Q1019" t="s">
        <v>3761</v>
      </c>
      <c r="R1019" t="s">
        <v>63</v>
      </c>
      <c r="S1019" t="b">
        <v>0</v>
      </c>
      <c r="T1019" t="b">
        <v>0</v>
      </c>
      <c r="U1019" t="s">
        <v>3762</v>
      </c>
      <c r="V1019" t="s">
        <v>140</v>
      </c>
      <c r="W1019" t="s">
        <v>95</v>
      </c>
      <c r="X1019" t="s">
        <v>585</v>
      </c>
      <c r="Y1019" t="s">
        <v>586</v>
      </c>
      <c r="Z1019" t="s">
        <v>3437</v>
      </c>
      <c r="AA1019" t="b">
        <f>ISNUMBER(SEARCH(";"&amp;Lessons[[#This Row],[Instrument__c]]&amp;";",";"&amp;_xlfn.XLOOKUP(Lessons[[#This Row],[Instructor_External_Id__c]], Instructors[Id], Instructors[Instruments_Taught__c])&amp;";"))</f>
        <v>1</v>
      </c>
      <c r="AB1019" t="str">
        <f>IF(LEFT(Lessons[[#This Row],[Status__c]],9)="Cancelled","",Lessons[[#This Row],[Instructor_External_Id__c]]&amp;"|"&amp;TEXT(Lessons[[#This Row],[Lesson_Date__c]],"yyyy-mm-dd")&amp;"|"&amp;Lessons[[#This Row],[Start_Time__c]])</f>
        <v>a06ak00000amzC0AAI|2026-11-05|15:00:00.000Z</v>
      </c>
      <c r="AC1019">
        <f>IF(Lessons[[#This Row],[Double Booked Key]]="","",COUNTIF(Lessons[Double Booked Key],Lessons[[#This Row],[Double Booked Key]]))</f>
        <v>1</v>
      </c>
      <c r="AD1019" s="6" t="str">
        <f>_xlfn.XLOOKUP(Lessons[[#This Row],[Location_External_Id__c]], Locations[Location Id], Locations[Location Name])</f>
        <v>Red Bank</v>
      </c>
      <c r="AE1019" s="6" t="str">
        <f>TEXT(Lessons[[#This Row],[Lesson_Date__c]], "yyyy-mm")</f>
        <v>2026-11</v>
      </c>
      <c r="AF1019" s="6" t="str">
        <f>IF(Lessons[[#This Row],[Lesson_Date__c]]&lt;=Data_Audit!$F$1, "Yes", "No")</f>
        <v>No</v>
      </c>
    </row>
    <row r="1020" spans="1:32">
      <c r="A1020" t="s">
        <v>52</v>
      </c>
      <c r="B1020" t="s">
        <v>3437</v>
      </c>
      <c r="C1020">
        <v>60</v>
      </c>
      <c r="D1020" t="s">
        <v>3763</v>
      </c>
      <c r="E1020" t="s">
        <v>777</v>
      </c>
      <c r="F1020" t="s">
        <v>778</v>
      </c>
      <c r="H1020" t="s">
        <v>392</v>
      </c>
      <c r="I1020" t="b">
        <v>0</v>
      </c>
      <c r="K1020" t="s">
        <v>52</v>
      </c>
      <c r="L1020" t="s">
        <v>3437</v>
      </c>
      <c r="O1020" s="1">
        <v>46331</v>
      </c>
      <c r="P1020" t="s">
        <v>3764</v>
      </c>
      <c r="Q1020" t="s">
        <v>3765</v>
      </c>
      <c r="R1020" t="s">
        <v>83</v>
      </c>
      <c r="S1020" t="b">
        <v>0</v>
      </c>
      <c r="T1020" t="b">
        <v>0</v>
      </c>
      <c r="U1020" t="s">
        <v>3766</v>
      </c>
      <c r="V1020" t="s">
        <v>135</v>
      </c>
      <c r="W1020" t="s">
        <v>95</v>
      </c>
      <c r="X1020" t="s">
        <v>497</v>
      </c>
      <c r="Y1020" t="s">
        <v>498</v>
      </c>
      <c r="Z1020" t="s">
        <v>3437</v>
      </c>
      <c r="AA1020" t="b">
        <f>ISNUMBER(SEARCH(";"&amp;Lessons[[#This Row],[Instrument__c]]&amp;";",";"&amp;_xlfn.XLOOKUP(Lessons[[#This Row],[Instructor_External_Id__c]], Instructors[Id], Instructors[Instruments_Taught__c])&amp;";"))</f>
        <v>1</v>
      </c>
      <c r="AB1020" t="str">
        <f>IF(LEFT(Lessons[[#This Row],[Status__c]],9)="Cancelled","",Lessons[[#This Row],[Instructor_External_Id__c]]&amp;"|"&amp;TEXT(Lessons[[#This Row],[Lesson_Date__c]],"yyyy-mm-dd")&amp;"|"&amp;Lessons[[#This Row],[Start_Time__c]])</f>
        <v>a06ak00000amzByAAI|2026-11-05|15:30:00.000Z</v>
      </c>
      <c r="AC1020">
        <f>IF(Lessons[[#This Row],[Double Booked Key]]="","",COUNTIF(Lessons[Double Booked Key],Lessons[[#This Row],[Double Booked Key]]))</f>
        <v>1</v>
      </c>
      <c r="AD1020" s="6" t="str">
        <f>_xlfn.XLOOKUP(Lessons[[#This Row],[Location_External_Id__c]], Locations[Location Id], Locations[Location Name])</f>
        <v>Brick</v>
      </c>
      <c r="AE1020" s="6" t="str">
        <f>TEXT(Lessons[[#This Row],[Lesson_Date__c]], "yyyy-mm")</f>
        <v>2026-11</v>
      </c>
      <c r="AF1020" s="6" t="str">
        <f>IF(Lessons[[#This Row],[Lesson_Date__c]]&lt;=Data_Audit!$F$1, "Yes", "No")</f>
        <v>No</v>
      </c>
    </row>
    <row r="1021" spans="1:32">
      <c r="A1021" t="s">
        <v>52</v>
      </c>
      <c r="B1021" t="s">
        <v>3437</v>
      </c>
      <c r="C1021">
        <v>45</v>
      </c>
      <c r="D1021" t="s">
        <v>3767</v>
      </c>
      <c r="E1021" t="s">
        <v>548</v>
      </c>
      <c r="F1021" t="s">
        <v>549</v>
      </c>
      <c r="H1021" t="s">
        <v>203</v>
      </c>
      <c r="I1021" t="b">
        <v>0</v>
      </c>
      <c r="K1021" t="s">
        <v>52</v>
      </c>
      <c r="L1021" t="s">
        <v>3437</v>
      </c>
      <c r="O1021" s="1">
        <v>46331</v>
      </c>
      <c r="P1021" t="s">
        <v>3768</v>
      </c>
      <c r="Q1021" t="s">
        <v>3769</v>
      </c>
      <c r="R1021" t="s">
        <v>63</v>
      </c>
      <c r="S1021" t="b">
        <v>0</v>
      </c>
      <c r="T1021" t="b">
        <v>0</v>
      </c>
      <c r="U1021" t="s">
        <v>3770</v>
      </c>
      <c r="V1021" t="s">
        <v>135</v>
      </c>
      <c r="W1021" t="s">
        <v>95</v>
      </c>
      <c r="X1021" t="s">
        <v>2165</v>
      </c>
      <c r="Y1021" t="s">
        <v>2166</v>
      </c>
      <c r="Z1021" t="s">
        <v>3437</v>
      </c>
      <c r="AA1021" t="b">
        <f>ISNUMBER(SEARCH(";"&amp;Lessons[[#This Row],[Instrument__c]]&amp;";",";"&amp;_xlfn.XLOOKUP(Lessons[[#This Row],[Instructor_External_Id__c]], Instructors[Id], Instructors[Instruments_Taught__c])&amp;";"))</f>
        <v>1</v>
      </c>
      <c r="AB1021" t="str">
        <f>IF(LEFT(Lessons[[#This Row],[Status__c]],9)="Cancelled","",Lessons[[#This Row],[Instructor_External_Id__c]]&amp;"|"&amp;TEXT(Lessons[[#This Row],[Lesson_Date__c]],"yyyy-mm-dd")&amp;"|"&amp;Lessons[[#This Row],[Start_Time__c]])</f>
        <v>a06ak00000amzCHAAY|2026-11-05|15:30:00.000Z</v>
      </c>
      <c r="AC1021">
        <f>IF(Lessons[[#This Row],[Double Booked Key]]="","",COUNTIF(Lessons[Double Booked Key],Lessons[[#This Row],[Double Booked Key]]))</f>
        <v>1</v>
      </c>
      <c r="AD1021" s="6" t="str">
        <f>_xlfn.XLOOKUP(Lessons[[#This Row],[Location_External_Id__c]], Locations[Location Id], Locations[Location Name])</f>
        <v>Red Bank</v>
      </c>
      <c r="AE1021" s="6" t="str">
        <f>TEXT(Lessons[[#This Row],[Lesson_Date__c]], "yyyy-mm")</f>
        <v>2026-11</v>
      </c>
      <c r="AF1021" s="6" t="str">
        <f>IF(Lessons[[#This Row],[Lesson_Date__c]]&lt;=Data_Audit!$F$1, "Yes", "No")</f>
        <v>No</v>
      </c>
    </row>
    <row r="1022" spans="1:32">
      <c r="A1022" t="s">
        <v>52</v>
      </c>
      <c r="B1022" t="s">
        <v>3437</v>
      </c>
      <c r="C1022">
        <v>30</v>
      </c>
      <c r="D1022" t="s">
        <v>3771</v>
      </c>
      <c r="E1022" t="s">
        <v>76</v>
      </c>
      <c r="F1022" t="s">
        <v>77</v>
      </c>
      <c r="H1022" t="s">
        <v>392</v>
      </c>
      <c r="I1022" t="b">
        <v>0</v>
      </c>
      <c r="K1022" t="s">
        <v>52</v>
      </c>
      <c r="L1022" t="s">
        <v>3437</v>
      </c>
      <c r="O1022" s="1">
        <v>46331</v>
      </c>
      <c r="P1022" t="s">
        <v>3772</v>
      </c>
      <c r="Q1022" t="s">
        <v>3773</v>
      </c>
      <c r="R1022" t="s">
        <v>83</v>
      </c>
      <c r="S1022" t="b">
        <v>0</v>
      </c>
      <c r="T1022" t="b">
        <v>0</v>
      </c>
      <c r="U1022" t="s">
        <v>3774</v>
      </c>
      <c r="V1022" t="s">
        <v>102</v>
      </c>
      <c r="W1022" t="s">
        <v>95</v>
      </c>
      <c r="X1022" t="s">
        <v>2765</v>
      </c>
      <c r="Y1022" t="s">
        <v>2766</v>
      </c>
      <c r="Z1022" t="s">
        <v>3437</v>
      </c>
      <c r="AA1022" t="b">
        <f>ISNUMBER(SEARCH(";"&amp;Lessons[[#This Row],[Instrument__c]]&amp;";",";"&amp;_xlfn.XLOOKUP(Lessons[[#This Row],[Instructor_External_Id__c]], Instructors[Id], Instructors[Instruments_Taught__c])&amp;";"))</f>
        <v>1</v>
      </c>
      <c r="AB1022" t="str">
        <f>IF(LEFT(Lessons[[#This Row],[Status__c]],9)="Cancelled","",Lessons[[#This Row],[Instructor_External_Id__c]]&amp;"|"&amp;TEXT(Lessons[[#This Row],[Lesson_Date__c]],"yyyy-mm-dd")&amp;"|"&amp;Lessons[[#This Row],[Start_Time__c]])</f>
        <v>a06ak00000amzBgAAI|2026-11-05|16:00:00.000Z</v>
      </c>
      <c r="AC1022">
        <f>IF(Lessons[[#This Row],[Double Booked Key]]="","",COUNTIF(Lessons[Double Booked Key],Lessons[[#This Row],[Double Booked Key]]))</f>
        <v>1</v>
      </c>
      <c r="AD1022" s="6" t="str">
        <f>_xlfn.XLOOKUP(Lessons[[#This Row],[Location_External_Id__c]], Locations[Location Id], Locations[Location Name])</f>
        <v>Brick</v>
      </c>
      <c r="AE1022" s="6" t="str">
        <f>TEXT(Lessons[[#This Row],[Lesson_Date__c]], "yyyy-mm")</f>
        <v>2026-11</v>
      </c>
      <c r="AF1022" s="6" t="str">
        <f>IF(Lessons[[#This Row],[Lesson_Date__c]]&lt;=Data_Audit!$F$1, "Yes", "No")</f>
        <v>No</v>
      </c>
    </row>
    <row r="1023" spans="1:32">
      <c r="A1023" t="s">
        <v>52</v>
      </c>
      <c r="B1023" t="s">
        <v>3437</v>
      </c>
      <c r="C1023">
        <v>45</v>
      </c>
      <c r="D1023" t="s">
        <v>3775</v>
      </c>
      <c r="E1023" t="s">
        <v>777</v>
      </c>
      <c r="F1023" t="s">
        <v>778</v>
      </c>
      <c r="H1023" t="s">
        <v>527</v>
      </c>
      <c r="I1023" t="b">
        <v>0</v>
      </c>
      <c r="K1023" t="s">
        <v>52</v>
      </c>
      <c r="L1023" t="s">
        <v>3437</v>
      </c>
      <c r="O1023" s="1">
        <v>46331</v>
      </c>
      <c r="P1023" t="s">
        <v>3776</v>
      </c>
      <c r="Q1023" t="s">
        <v>3777</v>
      </c>
      <c r="R1023" t="s">
        <v>150</v>
      </c>
      <c r="S1023" t="b">
        <v>0</v>
      </c>
      <c r="T1023" t="b">
        <v>0</v>
      </c>
      <c r="U1023" t="s">
        <v>3778</v>
      </c>
      <c r="V1023" t="s">
        <v>94</v>
      </c>
      <c r="W1023" t="s">
        <v>95</v>
      </c>
      <c r="X1023" t="s">
        <v>2422</v>
      </c>
      <c r="Y1023" t="s">
        <v>2423</v>
      </c>
      <c r="Z1023" t="s">
        <v>3437</v>
      </c>
      <c r="AA1023" t="b">
        <f>ISNUMBER(SEARCH(";"&amp;Lessons[[#This Row],[Instrument__c]]&amp;";",";"&amp;_xlfn.XLOOKUP(Lessons[[#This Row],[Instructor_External_Id__c]], Instructors[Id], Instructors[Instruments_Taught__c])&amp;";"))</f>
        <v>1</v>
      </c>
      <c r="AB1023" t="str">
        <f>IF(LEFT(Lessons[[#This Row],[Status__c]],9)="Cancelled","",Lessons[[#This Row],[Instructor_External_Id__c]]&amp;"|"&amp;TEXT(Lessons[[#This Row],[Lesson_Date__c]],"yyyy-mm-dd")&amp;"|"&amp;Lessons[[#This Row],[Start_Time__c]])</f>
        <v>a06ak00000amzByAAI|2026-11-05|19:00:00.000Z</v>
      </c>
      <c r="AC1023">
        <f>IF(Lessons[[#This Row],[Double Booked Key]]="","",COUNTIF(Lessons[Double Booked Key],Lessons[[#This Row],[Double Booked Key]]))</f>
        <v>1</v>
      </c>
      <c r="AD1023" s="6" t="str">
        <f>_xlfn.XLOOKUP(Lessons[[#This Row],[Location_External_Id__c]], Locations[Location Id], Locations[Location Name])</f>
        <v>Toms River</v>
      </c>
      <c r="AE1023" s="6" t="str">
        <f>TEXT(Lessons[[#This Row],[Lesson_Date__c]], "yyyy-mm")</f>
        <v>2026-11</v>
      </c>
      <c r="AF1023" s="6" t="str">
        <f>IF(Lessons[[#This Row],[Lesson_Date__c]]&lt;=Data_Audit!$F$1, "Yes", "No")</f>
        <v>No</v>
      </c>
    </row>
    <row r="1024" spans="1:32">
      <c r="A1024" t="s">
        <v>52</v>
      </c>
      <c r="B1024" t="s">
        <v>3437</v>
      </c>
      <c r="C1024">
        <v>30</v>
      </c>
      <c r="D1024" t="s">
        <v>3779</v>
      </c>
      <c r="E1024" t="s">
        <v>243</v>
      </c>
      <c r="F1024" t="s">
        <v>244</v>
      </c>
      <c r="H1024" t="s">
        <v>650</v>
      </c>
      <c r="I1024" t="b">
        <v>0</v>
      </c>
      <c r="K1024" t="s">
        <v>52</v>
      </c>
      <c r="L1024" t="s">
        <v>3437</v>
      </c>
      <c r="O1024" s="1">
        <v>46332</v>
      </c>
      <c r="P1024" t="s">
        <v>3780</v>
      </c>
      <c r="Q1024" t="s">
        <v>3781</v>
      </c>
      <c r="R1024" t="s">
        <v>83</v>
      </c>
      <c r="S1024" t="b">
        <v>0</v>
      </c>
      <c r="T1024" t="b">
        <v>0</v>
      </c>
      <c r="U1024" t="s">
        <v>3782</v>
      </c>
      <c r="V1024" t="s">
        <v>102</v>
      </c>
      <c r="W1024" t="s">
        <v>95</v>
      </c>
      <c r="X1024" t="s">
        <v>1894</v>
      </c>
      <c r="Y1024" t="s">
        <v>1895</v>
      </c>
      <c r="Z1024" t="s">
        <v>3437</v>
      </c>
      <c r="AA1024" t="b">
        <f>ISNUMBER(SEARCH(";"&amp;Lessons[[#This Row],[Instrument__c]]&amp;";",";"&amp;_xlfn.XLOOKUP(Lessons[[#This Row],[Instructor_External_Id__c]], Instructors[Id], Instructors[Instruments_Taught__c])&amp;";"))</f>
        <v>1</v>
      </c>
      <c r="AB1024" t="str">
        <f>IF(LEFT(Lessons[[#This Row],[Status__c]],9)="Cancelled","",Lessons[[#This Row],[Instructor_External_Id__c]]&amp;"|"&amp;TEXT(Lessons[[#This Row],[Lesson_Date__c]],"yyyy-mm-dd")&amp;"|"&amp;Lessons[[#This Row],[Start_Time__c]])</f>
        <v>a06ak00000amzC1AAI|2026-11-06|16:00:00.000Z</v>
      </c>
      <c r="AC1024">
        <f>IF(Lessons[[#This Row],[Double Booked Key]]="","",COUNTIF(Lessons[Double Booked Key],Lessons[[#This Row],[Double Booked Key]]))</f>
        <v>1</v>
      </c>
      <c r="AD1024" s="6" t="str">
        <f>_xlfn.XLOOKUP(Lessons[[#This Row],[Location_External_Id__c]], Locations[Location Id], Locations[Location Name])</f>
        <v>Brick</v>
      </c>
      <c r="AE1024" s="6" t="str">
        <f>TEXT(Lessons[[#This Row],[Lesson_Date__c]], "yyyy-mm")</f>
        <v>2026-11</v>
      </c>
      <c r="AF1024" s="6" t="str">
        <f>IF(Lessons[[#This Row],[Lesson_Date__c]]&lt;=Data_Audit!$F$1, "Yes", "No")</f>
        <v>No</v>
      </c>
    </row>
    <row r="1025" spans="1:32">
      <c r="A1025" t="s">
        <v>52</v>
      </c>
      <c r="B1025" t="s">
        <v>3437</v>
      </c>
      <c r="C1025">
        <v>30</v>
      </c>
      <c r="D1025" t="s">
        <v>3783</v>
      </c>
      <c r="E1025" t="s">
        <v>459</v>
      </c>
      <c r="F1025" t="s">
        <v>460</v>
      </c>
      <c r="H1025" t="s">
        <v>461</v>
      </c>
      <c r="I1025" t="b">
        <v>0</v>
      </c>
      <c r="K1025" t="s">
        <v>52</v>
      </c>
      <c r="L1025" t="s">
        <v>3437</v>
      </c>
      <c r="O1025" s="1">
        <v>46332</v>
      </c>
      <c r="P1025" t="s">
        <v>3784</v>
      </c>
      <c r="Q1025" t="s">
        <v>3785</v>
      </c>
      <c r="R1025" t="s">
        <v>83</v>
      </c>
      <c r="S1025" t="b">
        <v>0</v>
      </c>
      <c r="T1025" t="b">
        <v>0</v>
      </c>
      <c r="U1025" t="s">
        <v>3786</v>
      </c>
      <c r="V1025" t="s">
        <v>74</v>
      </c>
      <c r="W1025" t="s">
        <v>95</v>
      </c>
      <c r="X1025" t="s">
        <v>1990</v>
      </c>
      <c r="Y1025" t="s">
        <v>1991</v>
      </c>
      <c r="Z1025" t="s">
        <v>3437</v>
      </c>
      <c r="AA1025" t="b">
        <f>ISNUMBER(SEARCH(";"&amp;Lessons[[#This Row],[Instrument__c]]&amp;";",";"&amp;_xlfn.XLOOKUP(Lessons[[#This Row],[Instructor_External_Id__c]], Instructors[Id], Instructors[Instruments_Taught__c])&amp;";"))</f>
        <v>1</v>
      </c>
      <c r="AB1025" t="str">
        <f>IF(LEFT(Lessons[[#This Row],[Status__c]],9)="Cancelled","",Lessons[[#This Row],[Instructor_External_Id__c]]&amp;"|"&amp;TEXT(Lessons[[#This Row],[Lesson_Date__c]],"yyyy-mm-dd")&amp;"|"&amp;Lessons[[#This Row],[Start_Time__c]])</f>
        <v>a06ak00000amzC8AAI|2026-11-06|16:30:00.000Z</v>
      </c>
      <c r="AC1025">
        <f>IF(Lessons[[#This Row],[Double Booked Key]]="","",COUNTIF(Lessons[Double Booked Key],Lessons[[#This Row],[Double Booked Key]]))</f>
        <v>1</v>
      </c>
      <c r="AD1025" s="6" t="str">
        <f>_xlfn.XLOOKUP(Lessons[[#This Row],[Location_External_Id__c]], Locations[Location Id], Locations[Location Name])</f>
        <v>Brick</v>
      </c>
      <c r="AE1025" s="6" t="str">
        <f>TEXT(Lessons[[#This Row],[Lesson_Date__c]], "yyyy-mm")</f>
        <v>2026-11</v>
      </c>
      <c r="AF1025" s="6" t="str">
        <f>IF(Lessons[[#This Row],[Lesson_Date__c]]&lt;=Data_Audit!$F$1, "Yes", "No")</f>
        <v>No</v>
      </c>
    </row>
    <row r="1026" spans="1:32">
      <c r="A1026" t="s">
        <v>52</v>
      </c>
      <c r="B1026" t="s">
        <v>3437</v>
      </c>
      <c r="C1026">
        <v>45</v>
      </c>
      <c r="D1026" t="s">
        <v>3787</v>
      </c>
      <c r="E1026" t="s">
        <v>359</v>
      </c>
      <c r="F1026" t="s">
        <v>360</v>
      </c>
      <c r="H1026" t="s">
        <v>284</v>
      </c>
      <c r="I1026" t="b">
        <v>0</v>
      </c>
      <c r="K1026" t="s">
        <v>52</v>
      </c>
      <c r="L1026" t="s">
        <v>3437</v>
      </c>
      <c r="O1026" s="1">
        <v>46332</v>
      </c>
      <c r="P1026" t="s">
        <v>3788</v>
      </c>
      <c r="Q1026" t="s">
        <v>3789</v>
      </c>
      <c r="R1026" t="s">
        <v>63</v>
      </c>
      <c r="S1026" t="b">
        <v>0</v>
      </c>
      <c r="T1026" t="b">
        <v>0</v>
      </c>
      <c r="U1026" t="s">
        <v>3790</v>
      </c>
      <c r="V1026" t="s">
        <v>128</v>
      </c>
      <c r="W1026" t="s">
        <v>95</v>
      </c>
      <c r="X1026" t="s">
        <v>1419</v>
      </c>
      <c r="Y1026" t="s">
        <v>1420</v>
      </c>
      <c r="Z1026" t="s">
        <v>3437</v>
      </c>
      <c r="AA1026" t="b">
        <f>ISNUMBER(SEARCH(";"&amp;Lessons[[#This Row],[Instrument__c]]&amp;";",";"&amp;_xlfn.XLOOKUP(Lessons[[#This Row],[Instructor_External_Id__c]], Instructors[Id], Instructors[Instruments_Taught__c])&amp;";"))</f>
        <v>1</v>
      </c>
      <c r="AB1026" t="str">
        <f>IF(LEFT(Lessons[[#This Row],[Status__c]],9)="Cancelled","",Lessons[[#This Row],[Instructor_External_Id__c]]&amp;"|"&amp;TEXT(Lessons[[#This Row],[Lesson_Date__c]],"yyyy-mm-dd")&amp;"|"&amp;Lessons[[#This Row],[Start_Time__c]])</f>
        <v>a06ak00000amzBiAAI|2026-11-06|18:30:00.000Z</v>
      </c>
      <c r="AC1026">
        <f>IF(Lessons[[#This Row],[Double Booked Key]]="","",COUNTIF(Lessons[Double Booked Key],Lessons[[#This Row],[Double Booked Key]]))</f>
        <v>1</v>
      </c>
      <c r="AD1026" s="6" t="str">
        <f>_xlfn.XLOOKUP(Lessons[[#This Row],[Location_External_Id__c]], Locations[Location Id], Locations[Location Name])</f>
        <v>Red Bank</v>
      </c>
      <c r="AE1026" s="6" t="str">
        <f>TEXT(Lessons[[#This Row],[Lesson_Date__c]], "yyyy-mm")</f>
        <v>2026-11</v>
      </c>
      <c r="AF1026" s="6" t="str">
        <f>IF(Lessons[[#This Row],[Lesson_Date__c]]&lt;=Data_Audit!$F$1, "Yes", "No")</f>
        <v>No</v>
      </c>
    </row>
    <row r="1027" spans="1:32">
      <c r="A1027" t="s">
        <v>52</v>
      </c>
      <c r="B1027" t="s">
        <v>3437</v>
      </c>
      <c r="C1027">
        <v>30</v>
      </c>
      <c r="D1027" t="s">
        <v>3791</v>
      </c>
      <c r="E1027" t="s">
        <v>359</v>
      </c>
      <c r="F1027" t="s">
        <v>360</v>
      </c>
      <c r="H1027" t="s">
        <v>78</v>
      </c>
      <c r="I1027" t="b">
        <v>0</v>
      </c>
      <c r="K1027" t="s">
        <v>52</v>
      </c>
      <c r="L1027" t="s">
        <v>3437</v>
      </c>
      <c r="O1027" s="1">
        <v>46333</v>
      </c>
      <c r="P1027" t="s">
        <v>3792</v>
      </c>
      <c r="Q1027" t="s">
        <v>3793</v>
      </c>
      <c r="R1027" t="s">
        <v>63</v>
      </c>
      <c r="S1027" t="b">
        <v>0</v>
      </c>
      <c r="T1027" t="b">
        <v>0</v>
      </c>
      <c r="U1027" t="s">
        <v>3794</v>
      </c>
      <c r="V1027" t="s">
        <v>110</v>
      </c>
      <c r="W1027" t="s">
        <v>95</v>
      </c>
      <c r="X1027" t="s">
        <v>481</v>
      </c>
      <c r="Y1027" t="s">
        <v>482</v>
      </c>
      <c r="Z1027" t="s">
        <v>3437</v>
      </c>
      <c r="AA1027" t="b">
        <f>ISNUMBER(SEARCH(";"&amp;Lessons[[#This Row],[Instrument__c]]&amp;";",";"&amp;_xlfn.XLOOKUP(Lessons[[#This Row],[Instructor_External_Id__c]], Instructors[Id], Instructors[Instruments_Taught__c])&amp;";"))</f>
        <v>1</v>
      </c>
      <c r="AB1027" t="str">
        <f>IF(LEFT(Lessons[[#This Row],[Status__c]],9)="Cancelled","",Lessons[[#This Row],[Instructor_External_Id__c]]&amp;"|"&amp;TEXT(Lessons[[#This Row],[Lesson_Date__c]],"yyyy-mm-dd")&amp;"|"&amp;Lessons[[#This Row],[Start_Time__c]])</f>
        <v>a06ak00000amzBiAAI|2026-11-07|10:00:00.000Z</v>
      </c>
      <c r="AC1027">
        <f>IF(Lessons[[#This Row],[Double Booked Key]]="","",COUNTIF(Lessons[Double Booked Key],Lessons[[#This Row],[Double Booked Key]]))</f>
        <v>1</v>
      </c>
      <c r="AD1027" s="6" t="str">
        <f>_xlfn.XLOOKUP(Lessons[[#This Row],[Location_External_Id__c]], Locations[Location Id], Locations[Location Name])</f>
        <v>Red Bank</v>
      </c>
      <c r="AE1027" s="6" t="str">
        <f>TEXT(Lessons[[#This Row],[Lesson_Date__c]], "yyyy-mm")</f>
        <v>2026-11</v>
      </c>
      <c r="AF1027" s="6" t="str">
        <f>IF(Lessons[[#This Row],[Lesson_Date__c]]&lt;=Data_Audit!$F$1, "Yes", "No")</f>
        <v>No</v>
      </c>
    </row>
    <row r="1028" spans="1:32">
      <c r="A1028" t="s">
        <v>52</v>
      </c>
      <c r="B1028" t="s">
        <v>3437</v>
      </c>
      <c r="C1028">
        <v>45</v>
      </c>
      <c r="D1028" t="s">
        <v>3795</v>
      </c>
      <c r="E1028" t="s">
        <v>436</v>
      </c>
      <c r="F1028" t="s">
        <v>437</v>
      </c>
      <c r="H1028" t="s">
        <v>461</v>
      </c>
      <c r="I1028" t="b">
        <v>0</v>
      </c>
      <c r="K1028" t="s">
        <v>52</v>
      </c>
      <c r="L1028" t="s">
        <v>3437</v>
      </c>
      <c r="O1028" s="1">
        <v>46333</v>
      </c>
      <c r="P1028" t="s">
        <v>3796</v>
      </c>
      <c r="Q1028" t="s">
        <v>3797</v>
      </c>
      <c r="R1028" t="s">
        <v>63</v>
      </c>
      <c r="S1028" t="b">
        <v>0</v>
      </c>
      <c r="T1028" t="b">
        <v>0</v>
      </c>
      <c r="U1028" t="s">
        <v>3798</v>
      </c>
      <c r="V1028" t="s">
        <v>110</v>
      </c>
      <c r="W1028" t="s">
        <v>95</v>
      </c>
      <c r="X1028" t="s">
        <v>1625</v>
      </c>
      <c r="Y1028" t="s">
        <v>1626</v>
      </c>
      <c r="Z1028" t="s">
        <v>3437</v>
      </c>
      <c r="AA1028" t="b">
        <f>ISNUMBER(SEARCH(";"&amp;Lessons[[#This Row],[Instrument__c]]&amp;";",";"&amp;_xlfn.XLOOKUP(Lessons[[#This Row],[Instructor_External_Id__c]], Instructors[Id], Instructors[Instruments_Taught__c])&amp;";"))</f>
        <v>1</v>
      </c>
      <c r="AB1028" t="str">
        <f>IF(LEFT(Lessons[[#This Row],[Status__c]],9)="Cancelled","",Lessons[[#This Row],[Instructor_External_Id__c]]&amp;"|"&amp;TEXT(Lessons[[#This Row],[Lesson_Date__c]],"yyyy-mm-dd")&amp;"|"&amp;Lessons[[#This Row],[Start_Time__c]])</f>
        <v>a06ak00000amzC0AAI|2026-11-07|10:00:00.000Z</v>
      </c>
      <c r="AC1028">
        <f>IF(Lessons[[#This Row],[Double Booked Key]]="","",COUNTIF(Lessons[Double Booked Key],Lessons[[#This Row],[Double Booked Key]]))</f>
        <v>1</v>
      </c>
      <c r="AD1028" s="6" t="str">
        <f>_xlfn.XLOOKUP(Lessons[[#This Row],[Location_External_Id__c]], Locations[Location Id], Locations[Location Name])</f>
        <v>Red Bank</v>
      </c>
      <c r="AE1028" s="6" t="str">
        <f>TEXT(Lessons[[#This Row],[Lesson_Date__c]], "yyyy-mm")</f>
        <v>2026-11</v>
      </c>
      <c r="AF1028" s="6" t="str">
        <f>IF(Lessons[[#This Row],[Lesson_Date__c]]&lt;=Data_Audit!$F$1, "Yes", "No")</f>
        <v>No</v>
      </c>
    </row>
    <row r="1029" spans="1:32">
      <c r="A1029" t="s">
        <v>52</v>
      </c>
      <c r="B1029" t="s">
        <v>3437</v>
      </c>
      <c r="C1029">
        <v>30</v>
      </c>
      <c r="D1029" t="s">
        <v>3799</v>
      </c>
      <c r="E1029" t="s">
        <v>243</v>
      </c>
      <c r="F1029" t="s">
        <v>244</v>
      </c>
      <c r="H1029" t="s">
        <v>650</v>
      </c>
      <c r="I1029" t="b">
        <v>0</v>
      </c>
      <c r="K1029" t="s">
        <v>52</v>
      </c>
      <c r="L1029" t="s">
        <v>3437</v>
      </c>
      <c r="O1029" s="1">
        <v>46333</v>
      </c>
      <c r="P1029" t="s">
        <v>3800</v>
      </c>
      <c r="Q1029" t="s">
        <v>3801</v>
      </c>
      <c r="R1029" t="s">
        <v>150</v>
      </c>
      <c r="S1029" t="b">
        <v>0</v>
      </c>
      <c r="T1029" t="b">
        <v>0</v>
      </c>
      <c r="U1029" t="s">
        <v>3802</v>
      </c>
      <c r="V1029" t="s">
        <v>3203</v>
      </c>
      <c r="W1029" t="s">
        <v>95</v>
      </c>
      <c r="X1029" t="s">
        <v>927</v>
      </c>
      <c r="Y1029" t="s">
        <v>928</v>
      </c>
      <c r="Z1029" t="s">
        <v>3437</v>
      </c>
      <c r="AA1029" t="b">
        <f>ISNUMBER(SEARCH(";"&amp;Lessons[[#This Row],[Instrument__c]]&amp;";",";"&amp;_xlfn.XLOOKUP(Lessons[[#This Row],[Instructor_External_Id__c]], Instructors[Id], Instructors[Instruments_Taught__c])&amp;";"))</f>
        <v>1</v>
      </c>
      <c r="AB1029" t="str">
        <f>IF(LEFT(Lessons[[#This Row],[Status__c]],9)="Cancelled","",Lessons[[#This Row],[Instructor_External_Id__c]]&amp;"|"&amp;TEXT(Lessons[[#This Row],[Lesson_Date__c]],"yyyy-mm-dd")&amp;"|"&amp;Lessons[[#This Row],[Start_Time__c]])</f>
        <v>a06ak00000amzC1AAI|2026-11-07|11:30:00.000Z</v>
      </c>
      <c r="AC1029">
        <f>IF(Lessons[[#This Row],[Double Booked Key]]="","",COUNTIF(Lessons[Double Booked Key],Lessons[[#This Row],[Double Booked Key]]))</f>
        <v>1</v>
      </c>
      <c r="AD1029" s="6" t="str">
        <f>_xlfn.XLOOKUP(Lessons[[#This Row],[Location_External_Id__c]], Locations[Location Id], Locations[Location Name])</f>
        <v>Toms River</v>
      </c>
      <c r="AE1029" s="6" t="str">
        <f>TEXT(Lessons[[#This Row],[Lesson_Date__c]], "yyyy-mm")</f>
        <v>2026-11</v>
      </c>
      <c r="AF1029" s="6" t="str">
        <f>IF(Lessons[[#This Row],[Lesson_Date__c]]&lt;=Data_Audit!$F$1, "Yes", "No")</f>
        <v>No</v>
      </c>
    </row>
    <row r="1030" spans="1:32">
      <c r="A1030" t="s">
        <v>52</v>
      </c>
      <c r="B1030" t="s">
        <v>3437</v>
      </c>
      <c r="C1030">
        <v>45</v>
      </c>
      <c r="D1030" t="s">
        <v>3803</v>
      </c>
      <c r="E1030" t="s">
        <v>573</v>
      </c>
      <c r="F1030" t="s">
        <v>574</v>
      </c>
      <c r="H1030" t="s">
        <v>461</v>
      </c>
      <c r="I1030" t="b">
        <v>0</v>
      </c>
      <c r="K1030" t="s">
        <v>52</v>
      </c>
      <c r="L1030" t="s">
        <v>3437</v>
      </c>
      <c r="O1030" s="1">
        <v>46333</v>
      </c>
      <c r="P1030" t="s">
        <v>3804</v>
      </c>
      <c r="Q1030" t="s">
        <v>3805</v>
      </c>
      <c r="R1030" t="s">
        <v>150</v>
      </c>
      <c r="S1030" t="b">
        <v>0</v>
      </c>
      <c r="T1030" t="b">
        <v>0</v>
      </c>
      <c r="U1030" t="s">
        <v>3806</v>
      </c>
      <c r="V1030" t="s">
        <v>3208</v>
      </c>
      <c r="W1030" t="s">
        <v>95</v>
      </c>
      <c r="X1030" t="s">
        <v>464</v>
      </c>
      <c r="Y1030" t="s">
        <v>465</v>
      </c>
      <c r="Z1030" t="s">
        <v>3437</v>
      </c>
      <c r="AA1030" t="b">
        <f>ISNUMBER(SEARCH(";"&amp;Lessons[[#This Row],[Instrument__c]]&amp;";",";"&amp;_xlfn.XLOOKUP(Lessons[[#This Row],[Instructor_External_Id__c]], Instructors[Id], Instructors[Instruments_Taught__c])&amp;";"))</f>
        <v>1</v>
      </c>
      <c r="AB1030" t="str">
        <f>IF(LEFT(Lessons[[#This Row],[Status__c]],9)="Cancelled","",Lessons[[#This Row],[Instructor_External_Id__c]]&amp;"|"&amp;TEXT(Lessons[[#This Row],[Lesson_Date__c]],"yyyy-mm-dd")&amp;"|"&amp;Lessons[[#This Row],[Start_Time__c]])</f>
        <v>a06ak00000amzCCAAY|2026-11-07|12:30:00.000Z</v>
      </c>
      <c r="AC1030">
        <f>IF(Lessons[[#This Row],[Double Booked Key]]="","",COUNTIF(Lessons[Double Booked Key],Lessons[[#This Row],[Double Booked Key]]))</f>
        <v>1</v>
      </c>
      <c r="AD1030" s="6" t="str">
        <f>_xlfn.XLOOKUP(Lessons[[#This Row],[Location_External_Id__c]], Locations[Location Id], Locations[Location Name])</f>
        <v>Toms River</v>
      </c>
      <c r="AE1030" s="6" t="str">
        <f>TEXT(Lessons[[#This Row],[Lesson_Date__c]], "yyyy-mm")</f>
        <v>2026-11</v>
      </c>
      <c r="AF1030" s="6" t="str">
        <f>IF(Lessons[[#This Row],[Lesson_Date__c]]&lt;=Data_Audit!$F$1, "Yes", "No")</f>
        <v>No</v>
      </c>
    </row>
    <row r="1031" spans="1:32">
      <c r="A1031" t="s">
        <v>52</v>
      </c>
      <c r="B1031" t="s">
        <v>3437</v>
      </c>
      <c r="C1031">
        <v>30</v>
      </c>
      <c r="D1031" t="s">
        <v>3807</v>
      </c>
      <c r="E1031" t="s">
        <v>436</v>
      </c>
      <c r="F1031" t="s">
        <v>437</v>
      </c>
      <c r="H1031" t="s">
        <v>461</v>
      </c>
      <c r="I1031" t="b">
        <v>0</v>
      </c>
      <c r="K1031" t="s">
        <v>52</v>
      </c>
      <c r="L1031" t="s">
        <v>3437</v>
      </c>
      <c r="O1031" s="1">
        <v>46333</v>
      </c>
      <c r="P1031" t="s">
        <v>3808</v>
      </c>
      <c r="Q1031" t="s">
        <v>3809</v>
      </c>
      <c r="R1031" t="s">
        <v>63</v>
      </c>
      <c r="S1031" t="b">
        <v>0</v>
      </c>
      <c r="T1031" t="b">
        <v>0</v>
      </c>
      <c r="U1031" t="s">
        <v>3810</v>
      </c>
      <c r="V1031" t="s">
        <v>3208</v>
      </c>
      <c r="W1031" t="s">
        <v>95</v>
      </c>
      <c r="X1031" t="s">
        <v>621</v>
      </c>
      <c r="Y1031" t="s">
        <v>622</v>
      </c>
      <c r="Z1031" t="s">
        <v>3437</v>
      </c>
      <c r="AA1031" t="b">
        <f>ISNUMBER(SEARCH(";"&amp;Lessons[[#This Row],[Instrument__c]]&amp;";",";"&amp;_xlfn.XLOOKUP(Lessons[[#This Row],[Instructor_External_Id__c]], Instructors[Id], Instructors[Instruments_Taught__c])&amp;";"))</f>
        <v>1</v>
      </c>
      <c r="AB1031" t="str">
        <f>IF(LEFT(Lessons[[#This Row],[Status__c]],9)="Cancelled","",Lessons[[#This Row],[Instructor_External_Id__c]]&amp;"|"&amp;TEXT(Lessons[[#This Row],[Lesson_Date__c]],"yyyy-mm-dd")&amp;"|"&amp;Lessons[[#This Row],[Start_Time__c]])</f>
        <v>a06ak00000amzC0AAI|2026-11-07|12:30:00.000Z</v>
      </c>
      <c r="AC1031">
        <f>IF(Lessons[[#This Row],[Double Booked Key]]="","",COUNTIF(Lessons[Double Booked Key],Lessons[[#This Row],[Double Booked Key]]))</f>
        <v>1</v>
      </c>
      <c r="AD1031" s="6" t="str">
        <f>_xlfn.XLOOKUP(Lessons[[#This Row],[Location_External_Id__c]], Locations[Location Id], Locations[Location Name])</f>
        <v>Red Bank</v>
      </c>
      <c r="AE1031" s="6" t="str">
        <f>TEXT(Lessons[[#This Row],[Lesson_Date__c]], "yyyy-mm")</f>
        <v>2026-11</v>
      </c>
      <c r="AF1031" s="6" t="str">
        <f>IF(Lessons[[#This Row],[Lesson_Date__c]]&lt;=Data_Audit!$F$1, "Yes", "No")</f>
        <v>No</v>
      </c>
    </row>
    <row r="1032" spans="1:32">
      <c r="A1032" t="s">
        <v>52</v>
      </c>
      <c r="B1032" t="s">
        <v>3437</v>
      </c>
      <c r="C1032">
        <v>30</v>
      </c>
      <c r="D1032" t="s">
        <v>3811</v>
      </c>
      <c r="E1032" t="s">
        <v>436</v>
      </c>
      <c r="F1032" t="s">
        <v>437</v>
      </c>
      <c r="H1032" t="s">
        <v>461</v>
      </c>
      <c r="I1032" t="b">
        <v>0</v>
      </c>
      <c r="K1032" t="s">
        <v>52</v>
      </c>
      <c r="L1032" t="s">
        <v>3437</v>
      </c>
      <c r="O1032" s="1">
        <v>46335</v>
      </c>
      <c r="P1032" t="s">
        <v>3812</v>
      </c>
      <c r="Q1032" t="s">
        <v>3813</v>
      </c>
      <c r="R1032" t="s">
        <v>63</v>
      </c>
      <c r="S1032" t="b">
        <v>0</v>
      </c>
      <c r="T1032" t="b">
        <v>0</v>
      </c>
      <c r="U1032" t="s">
        <v>3814</v>
      </c>
      <c r="V1032" t="s">
        <v>102</v>
      </c>
      <c r="W1032" t="s">
        <v>95</v>
      </c>
      <c r="X1032" t="s">
        <v>1694</v>
      </c>
      <c r="Y1032" t="s">
        <v>1695</v>
      </c>
      <c r="Z1032" t="s">
        <v>3437</v>
      </c>
      <c r="AA1032" t="b">
        <f>ISNUMBER(SEARCH(";"&amp;Lessons[[#This Row],[Instrument__c]]&amp;";",";"&amp;_xlfn.XLOOKUP(Lessons[[#This Row],[Instructor_External_Id__c]], Instructors[Id], Instructors[Instruments_Taught__c])&amp;";"))</f>
        <v>1</v>
      </c>
      <c r="AB1032" t="str">
        <f>IF(LEFT(Lessons[[#This Row],[Status__c]],9)="Cancelled","",Lessons[[#This Row],[Instructor_External_Id__c]]&amp;"|"&amp;TEXT(Lessons[[#This Row],[Lesson_Date__c]],"yyyy-mm-dd")&amp;"|"&amp;Lessons[[#This Row],[Start_Time__c]])</f>
        <v>a06ak00000amzC0AAI|2026-11-09|16:00:00.000Z</v>
      </c>
      <c r="AC1032">
        <f>IF(Lessons[[#This Row],[Double Booked Key]]="","",COUNTIF(Lessons[Double Booked Key],Lessons[[#This Row],[Double Booked Key]]))</f>
        <v>1</v>
      </c>
      <c r="AD1032" s="6" t="str">
        <f>_xlfn.XLOOKUP(Lessons[[#This Row],[Location_External_Id__c]], Locations[Location Id], Locations[Location Name])</f>
        <v>Red Bank</v>
      </c>
      <c r="AE1032" s="6" t="str">
        <f>TEXT(Lessons[[#This Row],[Lesson_Date__c]], "yyyy-mm")</f>
        <v>2026-11</v>
      </c>
      <c r="AF1032" s="6" t="str">
        <f>IF(Lessons[[#This Row],[Lesson_Date__c]]&lt;=Data_Audit!$F$1, "Yes", "No")</f>
        <v>No</v>
      </c>
    </row>
    <row r="1033" spans="1:32">
      <c r="A1033" t="s">
        <v>52</v>
      </c>
      <c r="B1033" t="s">
        <v>3437</v>
      </c>
      <c r="C1033">
        <v>60</v>
      </c>
      <c r="D1033" t="s">
        <v>3815</v>
      </c>
      <c r="E1033" t="s">
        <v>318</v>
      </c>
      <c r="F1033" t="s">
        <v>319</v>
      </c>
      <c r="H1033" t="s">
        <v>650</v>
      </c>
      <c r="I1033" t="b">
        <v>0</v>
      </c>
      <c r="K1033" t="s">
        <v>52</v>
      </c>
      <c r="L1033" t="s">
        <v>3437</v>
      </c>
      <c r="O1033" s="1">
        <v>46335</v>
      </c>
      <c r="P1033" t="s">
        <v>3816</v>
      </c>
      <c r="Q1033" t="s">
        <v>3817</v>
      </c>
      <c r="R1033" t="s">
        <v>63</v>
      </c>
      <c r="S1033" t="b">
        <v>0</v>
      </c>
      <c r="T1033" t="b">
        <v>0</v>
      </c>
      <c r="U1033" t="s">
        <v>3818</v>
      </c>
      <c r="V1033" t="s">
        <v>74</v>
      </c>
      <c r="W1033" t="s">
        <v>95</v>
      </c>
      <c r="X1033" t="s">
        <v>1767</v>
      </c>
      <c r="Y1033" t="s">
        <v>1768</v>
      </c>
      <c r="Z1033" t="s">
        <v>3437</v>
      </c>
      <c r="AA1033" t="b">
        <f>ISNUMBER(SEARCH(";"&amp;Lessons[[#This Row],[Instrument__c]]&amp;";",";"&amp;_xlfn.XLOOKUP(Lessons[[#This Row],[Instructor_External_Id__c]], Instructors[Id], Instructors[Instruments_Taught__c])&amp;";"))</f>
        <v>1</v>
      </c>
      <c r="AB1033" t="str">
        <f>IF(LEFT(Lessons[[#This Row],[Status__c]],9)="Cancelled","",Lessons[[#This Row],[Instructor_External_Id__c]]&amp;"|"&amp;TEXT(Lessons[[#This Row],[Lesson_Date__c]],"yyyy-mm-dd")&amp;"|"&amp;Lessons[[#This Row],[Start_Time__c]])</f>
        <v>a06ak00000amzBzAAI|2026-11-09|16:30:00.000Z</v>
      </c>
      <c r="AC1033">
        <f>IF(Lessons[[#This Row],[Double Booked Key]]="","",COUNTIF(Lessons[Double Booked Key],Lessons[[#This Row],[Double Booked Key]]))</f>
        <v>1</v>
      </c>
      <c r="AD1033" s="6" t="str">
        <f>_xlfn.XLOOKUP(Lessons[[#This Row],[Location_External_Id__c]], Locations[Location Id], Locations[Location Name])</f>
        <v>Red Bank</v>
      </c>
      <c r="AE1033" s="6" t="str">
        <f>TEXT(Lessons[[#This Row],[Lesson_Date__c]], "yyyy-mm")</f>
        <v>2026-11</v>
      </c>
      <c r="AF1033" s="6" t="str">
        <f>IF(Lessons[[#This Row],[Lesson_Date__c]]&lt;=Data_Audit!$F$1, "Yes", "No")</f>
        <v>No</v>
      </c>
    </row>
    <row r="1034" spans="1:32">
      <c r="A1034" t="s">
        <v>52</v>
      </c>
      <c r="B1034" t="s">
        <v>3437</v>
      </c>
      <c r="C1034">
        <v>30</v>
      </c>
      <c r="D1034" t="s">
        <v>3819</v>
      </c>
      <c r="E1034" t="s">
        <v>243</v>
      </c>
      <c r="F1034" t="s">
        <v>244</v>
      </c>
      <c r="H1034" t="s">
        <v>650</v>
      </c>
      <c r="I1034" t="b">
        <v>0</v>
      </c>
      <c r="K1034" t="s">
        <v>52</v>
      </c>
      <c r="L1034" t="s">
        <v>3437</v>
      </c>
      <c r="O1034" s="1">
        <v>46335</v>
      </c>
      <c r="P1034" t="s">
        <v>3820</v>
      </c>
      <c r="Q1034" t="s">
        <v>3821</v>
      </c>
      <c r="R1034" t="s">
        <v>83</v>
      </c>
      <c r="S1034" t="b">
        <v>0</v>
      </c>
      <c r="T1034" t="b">
        <v>0</v>
      </c>
      <c r="U1034" t="s">
        <v>3822</v>
      </c>
      <c r="V1034" t="s">
        <v>74</v>
      </c>
      <c r="W1034" t="s">
        <v>95</v>
      </c>
      <c r="X1034" t="s">
        <v>2521</v>
      </c>
      <c r="Y1034" t="s">
        <v>2522</v>
      </c>
      <c r="Z1034" t="s">
        <v>3437</v>
      </c>
      <c r="AA1034" t="b">
        <f>ISNUMBER(SEARCH(";"&amp;Lessons[[#This Row],[Instrument__c]]&amp;";",";"&amp;_xlfn.XLOOKUP(Lessons[[#This Row],[Instructor_External_Id__c]], Instructors[Id], Instructors[Instruments_Taught__c])&amp;";"))</f>
        <v>1</v>
      </c>
      <c r="AB1034" t="str">
        <f>IF(LEFT(Lessons[[#This Row],[Status__c]],9)="Cancelled","",Lessons[[#This Row],[Instructor_External_Id__c]]&amp;"|"&amp;TEXT(Lessons[[#This Row],[Lesson_Date__c]],"yyyy-mm-dd")&amp;"|"&amp;Lessons[[#This Row],[Start_Time__c]])</f>
        <v>a06ak00000amzC1AAI|2026-11-09|16:30:00.000Z</v>
      </c>
      <c r="AC1034">
        <f>IF(Lessons[[#This Row],[Double Booked Key]]="","",COUNTIF(Lessons[Double Booked Key],Lessons[[#This Row],[Double Booked Key]]))</f>
        <v>1</v>
      </c>
      <c r="AD1034" s="6" t="str">
        <f>_xlfn.XLOOKUP(Lessons[[#This Row],[Location_External_Id__c]], Locations[Location Id], Locations[Location Name])</f>
        <v>Brick</v>
      </c>
      <c r="AE1034" s="6" t="str">
        <f>TEXT(Lessons[[#This Row],[Lesson_Date__c]], "yyyy-mm")</f>
        <v>2026-11</v>
      </c>
      <c r="AF1034" s="6" t="str">
        <f>IF(Lessons[[#This Row],[Lesson_Date__c]]&lt;=Data_Audit!$F$1, "Yes", "No")</f>
        <v>No</v>
      </c>
    </row>
    <row r="1035" spans="1:32">
      <c r="A1035" t="s">
        <v>52</v>
      </c>
      <c r="B1035" t="s">
        <v>3437</v>
      </c>
      <c r="C1035">
        <v>30</v>
      </c>
      <c r="D1035" t="s">
        <v>3823</v>
      </c>
      <c r="E1035" t="s">
        <v>318</v>
      </c>
      <c r="F1035" t="s">
        <v>319</v>
      </c>
      <c r="H1035" t="s">
        <v>58</v>
      </c>
      <c r="I1035" t="b">
        <v>0</v>
      </c>
      <c r="K1035" t="s">
        <v>52</v>
      </c>
      <c r="L1035" t="s">
        <v>3437</v>
      </c>
      <c r="O1035" s="1">
        <v>46335</v>
      </c>
      <c r="P1035" t="s">
        <v>3824</v>
      </c>
      <c r="Q1035" t="s">
        <v>3825</v>
      </c>
      <c r="R1035" t="s">
        <v>63</v>
      </c>
      <c r="S1035" t="b">
        <v>0</v>
      </c>
      <c r="T1035" t="b">
        <v>0</v>
      </c>
      <c r="U1035" t="s">
        <v>3826</v>
      </c>
      <c r="V1035" t="s">
        <v>116</v>
      </c>
      <c r="W1035" t="s">
        <v>95</v>
      </c>
      <c r="X1035" t="s">
        <v>1442</v>
      </c>
      <c r="Y1035" t="s">
        <v>1443</v>
      </c>
      <c r="Z1035" t="s">
        <v>3437</v>
      </c>
      <c r="AA1035" t="b">
        <f>ISNUMBER(SEARCH(";"&amp;Lessons[[#This Row],[Instrument__c]]&amp;";",";"&amp;_xlfn.XLOOKUP(Lessons[[#This Row],[Instructor_External_Id__c]], Instructors[Id], Instructors[Instruments_Taught__c])&amp;";"))</f>
        <v>1</v>
      </c>
      <c r="AB1035" t="str">
        <f>IF(LEFT(Lessons[[#This Row],[Status__c]],9)="Cancelled","",Lessons[[#This Row],[Instructor_External_Id__c]]&amp;"|"&amp;TEXT(Lessons[[#This Row],[Lesson_Date__c]],"yyyy-mm-dd")&amp;"|"&amp;Lessons[[#This Row],[Start_Time__c]])</f>
        <v>a06ak00000amzBzAAI|2026-11-09|17:30:00.000Z</v>
      </c>
      <c r="AC1035">
        <f>IF(Lessons[[#This Row],[Double Booked Key]]="","",COUNTIF(Lessons[Double Booked Key],Lessons[[#This Row],[Double Booked Key]]))</f>
        <v>1</v>
      </c>
      <c r="AD1035" s="6" t="str">
        <f>_xlfn.XLOOKUP(Lessons[[#This Row],[Location_External_Id__c]], Locations[Location Id], Locations[Location Name])</f>
        <v>Red Bank</v>
      </c>
      <c r="AE1035" s="6" t="str">
        <f>TEXT(Lessons[[#This Row],[Lesson_Date__c]], "yyyy-mm")</f>
        <v>2026-11</v>
      </c>
      <c r="AF1035" s="6" t="str">
        <f>IF(Lessons[[#This Row],[Lesson_Date__c]]&lt;=Data_Audit!$F$1, "Yes", "No")</f>
        <v>No</v>
      </c>
    </row>
    <row r="1036" spans="1:32">
      <c r="A1036" t="s">
        <v>52</v>
      </c>
      <c r="B1036" t="s">
        <v>3437</v>
      </c>
      <c r="C1036">
        <v>45</v>
      </c>
      <c r="D1036" t="s">
        <v>3827</v>
      </c>
      <c r="E1036" t="s">
        <v>359</v>
      </c>
      <c r="F1036" t="s">
        <v>360</v>
      </c>
      <c r="H1036" t="s">
        <v>78</v>
      </c>
      <c r="I1036" t="b">
        <v>0</v>
      </c>
      <c r="K1036" t="s">
        <v>52</v>
      </c>
      <c r="L1036" t="s">
        <v>3437</v>
      </c>
      <c r="O1036" s="1">
        <v>46335</v>
      </c>
      <c r="P1036" t="s">
        <v>3828</v>
      </c>
      <c r="Q1036" t="s">
        <v>3829</v>
      </c>
      <c r="R1036" t="s">
        <v>63</v>
      </c>
      <c r="S1036" t="b">
        <v>0</v>
      </c>
      <c r="T1036" t="b">
        <v>0</v>
      </c>
      <c r="U1036" t="s">
        <v>3830</v>
      </c>
      <c r="V1036" t="s">
        <v>128</v>
      </c>
      <c r="W1036" t="s">
        <v>95</v>
      </c>
      <c r="X1036" t="s">
        <v>667</v>
      </c>
      <c r="Y1036" t="s">
        <v>668</v>
      </c>
      <c r="Z1036" t="s">
        <v>3437</v>
      </c>
      <c r="AA1036" t="b">
        <f>ISNUMBER(SEARCH(";"&amp;Lessons[[#This Row],[Instrument__c]]&amp;";",";"&amp;_xlfn.XLOOKUP(Lessons[[#This Row],[Instructor_External_Id__c]], Instructors[Id], Instructors[Instruments_Taught__c])&amp;";"))</f>
        <v>1</v>
      </c>
      <c r="AB1036" t="str">
        <f>IF(LEFT(Lessons[[#This Row],[Status__c]],9)="Cancelled","",Lessons[[#This Row],[Instructor_External_Id__c]]&amp;"|"&amp;TEXT(Lessons[[#This Row],[Lesson_Date__c]],"yyyy-mm-dd")&amp;"|"&amp;Lessons[[#This Row],[Start_Time__c]])</f>
        <v>a06ak00000amzBiAAI|2026-11-09|18:30:00.000Z</v>
      </c>
      <c r="AC1036">
        <f>IF(Lessons[[#This Row],[Double Booked Key]]="","",COUNTIF(Lessons[Double Booked Key],Lessons[[#This Row],[Double Booked Key]]))</f>
        <v>1</v>
      </c>
      <c r="AD1036" s="6" t="str">
        <f>_xlfn.XLOOKUP(Lessons[[#This Row],[Location_External_Id__c]], Locations[Location Id], Locations[Location Name])</f>
        <v>Red Bank</v>
      </c>
      <c r="AE1036" s="6" t="str">
        <f>TEXT(Lessons[[#This Row],[Lesson_Date__c]], "yyyy-mm")</f>
        <v>2026-11</v>
      </c>
      <c r="AF1036" s="6" t="str">
        <f>IF(Lessons[[#This Row],[Lesson_Date__c]]&lt;=Data_Audit!$F$1, "Yes", "No")</f>
        <v>No</v>
      </c>
    </row>
    <row r="1037" spans="1:32">
      <c r="A1037" t="s">
        <v>52</v>
      </c>
      <c r="B1037" t="s">
        <v>3437</v>
      </c>
      <c r="C1037">
        <v>30</v>
      </c>
      <c r="D1037" t="s">
        <v>3831</v>
      </c>
      <c r="E1037" t="s">
        <v>282</v>
      </c>
      <c r="F1037" t="s">
        <v>283</v>
      </c>
      <c r="H1037" t="s">
        <v>284</v>
      </c>
      <c r="I1037" t="b">
        <v>0</v>
      </c>
      <c r="K1037" t="s">
        <v>52</v>
      </c>
      <c r="L1037" t="s">
        <v>3437</v>
      </c>
      <c r="O1037" s="1">
        <v>46336</v>
      </c>
      <c r="P1037" t="s">
        <v>3832</v>
      </c>
      <c r="Q1037" t="s">
        <v>3833</v>
      </c>
      <c r="R1037" t="s">
        <v>83</v>
      </c>
      <c r="S1037" t="b">
        <v>0</v>
      </c>
      <c r="T1037" t="b">
        <v>0</v>
      </c>
      <c r="U1037" t="s">
        <v>3834</v>
      </c>
      <c r="V1037" t="s">
        <v>135</v>
      </c>
      <c r="W1037" t="s">
        <v>95</v>
      </c>
      <c r="X1037" t="s">
        <v>2642</v>
      </c>
      <c r="Y1037" t="s">
        <v>2643</v>
      </c>
      <c r="Z1037" t="s">
        <v>3437</v>
      </c>
      <c r="AA1037" t="b">
        <f>ISNUMBER(SEARCH(";"&amp;Lessons[[#This Row],[Instrument__c]]&amp;";",";"&amp;_xlfn.XLOOKUP(Lessons[[#This Row],[Instructor_External_Id__c]], Instructors[Id], Instructors[Instruments_Taught__c])&amp;";"))</f>
        <v>1</v>
      </c>
      <c r="AB1037" t="str">
        <f>IF(LEFT(Lessons[[#This Row],[Status__c]],9)="Cancelled","",Lessons[[#This Row],[Instructor_External_Id__c]]&amp;"|"&amp;TEXT(Lessons[[#This Row],[Lesson_Date__c]],"yyyy-mm-dd")&amp;"|"&amp;Lessons[[#This Row],[Start_Time__c]])</f>
        <v>a06ak00000amzBxAAI|2026-11-10|15:30:00.000Z</v>
      </c>
      <c r="AC1037">
        <f>IF(Lessons[[#This Row],[Double Booked Key]]="","",COUNTIF(Lessons[Double Booked Key],Lessons[[#This Row],[Double Booked Key]]))</f>
        <v>1</v>
      </c>
      <c r="AD1037" s="6" t="str">
        <f>_xlfn.XLOOKUP(Lessons[[#This Row],[Location_External_Id__c]], Locations[Location Id], Locations[Location Name])</f>
        <v>Brick</v>
      </c>
      <c r="AE1037" s="6" t="str">
        <f>TEXT(Lessons[[#This Row],[Lesson_Date__c]], "yyyy-mm")</f>
        <v>2026-11</v>
      </c>
      <c r="AF1037" s="6" t="str">
        <f>IF(Lessons[[#This Row],[Lesson_Date__c]]&lt;=Data_Audit!$F$1, "Yes", "No")</f>
        <v>No</v>
      </c>
    </row>
    <row r="1038" spans="1:32">
      <c r="A1038" t="s">
        <v>52</v>
      </c>
      <c r="B1038" t="s">
        <v>3437</v>
      </c>
      <c r="C1038">
        <v>60</v>
      </c>
      <c r="D1038" t="s">
        <v>3835</v>
      </c>
      <c r="E1038" t="s">
        <v>548</v>
      </c>
      <c r="F1038" t="s">
        <v>549</v>
      </c>
      <c r="H1038" t="s">
        <v>203</v>
      </c>
      <c r="I1038" t="b">
        <v>0</v>
      </c>
      <c r="K1038" t="s">
        <v>52</v>
      </c>
      <c r="L1038" t="s">
        <v>3437</v>
      </c>
      <c r="O1038" s="1">
        <v>46336</v>
      </c>
      <c r="P1038" t="s">
        <v>3836</v>
      </c>
      <c r="Q1038" t="s">
        <v>3837</v>
      </c>
      <c r="R1038" t="s">
        <v>63</v>
      </c>
      <c r="S1038" t="b">
        <v>0</v>
      </c>
      <c r="T1038" t="b">
        <v>0</v>
      </c>
      <c r="U1038" t="s">
        <v>3838</v>
      </c>
      <c r="V1038" t="s">
        <v>74</v>
      </c>
      <c r="W1038" t="s">
        <v>95</v>
      </c>
      <c r="X1038" t="s">
        <v>2456</v>
      </c>
      <c r="Y1038" t="s">
        <v>2457</v>
      </c>
      <c r="Z1038" t="s">
        <v>3437</v>
      </c>
      <c r="AA1038" t="b">
        <f>ISNUMBER(SEARCH(";"&amp;Lessons[[#This Row],[Instrument__c]]&amp;";",";"&amp;_xlfn.XLOOKUP(Lessons[[#This Row],[Instructor_External_Id__c]], Instructors[Id], Instructors[Instruments_Taught__c])&amp;";"))</f>
        <v>1</v>
      </c>
      <c r="AB1038" t="str">
        <f>IF(LEFT(Lessons[[#This Row],[Status__c]],9)="Cancelled","",Lessons[[#This Row],[Instructor_External_Id__c]]&amp;"|"&amp;TEXT(Lessons[[#This Row],[Lesson_Date__c]],"yyyy-mm-dd")&amp;"|"&amp;Lessons[[#This Row],[Start_Time__c]])</f>
        <v>a06ak00000amzCHAAY|2026-11-10|16:30:00.000Z</v>
      </c>
      <c r="AC1038">
        <f>IF(Lessons[[#This Row],[Double Booked Key]]="","",COUNTIF(Lessons[Double Booked Key],Lessons[[#This Row],[Double Booked Key]]))</f>
        <v>1</v>
      </c>
      <c r="AD1038" s="6" t="str">
        <f>_xlfn.XLOOKUP(Lessons[[#This Row],[Location_External_Id__c]], Locations[Location Id], Locations[Location Name])</f>
        <v>Red Bank</v>
      </c>
      <c r="AE1038" s="6" t="str">
        <f>TEXT(Lessons[[#This Row],[Lesson_Date__c]], "yyyy-mm")</f>
        <v>2026-11</v>
      </c>
      <c r="AF1038" s="6" t="str">
        <f>IF(Lessons[[#This Row],[Lesson_Date__c]]&lt;=Data_Audit!$F$1, "Yes", "No")</f>
        <v>No</v>
      </c>
    </row>
    <row r="1039" spans="1:32">
      <c r="A1039" t="s">
        <v>52</v>
      </c>
      <c r="B1039" t="s">
        <v>3437</v>
      </c>
      <c r="C1039">
        <v>30</v>
      </c>
      <c r="D1039" t="s">
        <v>3839</v>
      </c>
      <c r="E1039" t="s">
        <v>804</v>
      </c>
      <c r="F1039" t="s">
        <v>805</v>
      </c>
      <c r="H1039" t="s">
        <v>147</v>
      </c>
      <c r="I1039" t="b">
        <v>0</v>
      </c>
      <c r="K1039" t="s">
        <v>52</v>
      </c>
      <c r="L1039" t="s">
        <v>3437</v>
      </c>
      <c r="O1039" s="1">
        <v>46337</v>
      </c>
      <c r="P1039" t="s">
        <v>3840</v>
      </c>
      <c r="Q1039" t="s">
        <v>3841</v>
      </c>
      <c r="R1039" t="s">
        <v>63</v>
      </c>
      <c r="S1039" t="b">
        <v>0</v>
      </c>
      <c r="T1039" t="b">
        <v>0</v>
      </c>
      <c r="U1039" t="s">
        <v>3842</v>
      </c>
      <c r="V1039" t="s">
        <v>74</v>
      </c>
      <c r="W1039" t="s">
        <v>95</v>
      </c>
      <c r="X1039" t="s">
        <v>2628</v>
      </c>
      <c r="Y1039" t="s">
        <v>2629</v>
      </c>
      <c r="Z1039" t="s">
        <v>3437</v>
      </c>
      <c r="AA1039" t="b">
        <f>ISNUMBER(SEARCH(";"&amp;Lessons[[#This Row],[Instrument__c]]&amp;";",";"&amp;_xlfn.XLOOKUP(Lessons[[#This Row],[Instructor_External_Id__c]], Instructors[Id], Instructors[Instruments_Taught__c])&amp;";"))</f>
        <v>1</v>
      </c>
      <c r="AB1039" t="str">
        <f>IF(LEFT(Lessons[[#This Row],[Status__c]],9)="Cancelled","",Lessons[[#This Row],[Instructor_External_Id__c]]&amp;"|"&amp;TEXT(Lessons[[#This Row],[Lesson_Date__c]],"yyyy-mm-dd")&amp;"|"&amp;Lessons[[#This Row],[Start_Time__c]])</f>
        <v>a06ak00000amzCBAAY|2026-11-11|16:30:00.000Z</v>
      </c>
      <c r="AC1039">
        <f>IF(Lessons[[#This Row],[Double Booked Key]]="","",COUNTIF(Lessons[Double Booked Key],Lessons[[#This Row],[Double Booked Key]]))</f>
        <v>1</v>
      </c>
      <c r="AD1039" s="6" t="str">
        <f>_xlfn.XLOOKUP(Lessons[[#This Row],[Location_External_Id__c]], Locations[Location Id], Locations[Location Name])</f>
        <v>Red Bank</v>
      </c>
      <c r="AE1039" s="6" t="str">
        <f>TEXT(Lessons[[#This Row],[Lesson_Date__c]], "yyyy-mm")</f>
        <v>2026-11</v>
      </c>
      <c r="AF1039" s="6" t="str">
        <f>IF(Lessons[[#This Row],[Lesson_Date__c]]&lt;=Data_Audit!$F$1, "Yes", "No")</f>
        <v>No</v>
      </c>
    </row>
    <row r="1040" spans="1:32">
      <c r="A1040" t="s">
        <v>52</v>
      </c>
      <c r="B1040" t="s">
        <v>3437</v>
      </c>
      <c r="C1040">
        <v>60</v>
      </c>
      <c r="D1040" t="s">
        <v>3843</v>
      </c>
      <c r="E1040" t="s">
        <v>359</v>
      </c>
      <c r="F1040" t="s">
        <v>360</v>
      </c>
      <c r="H1040" t="s">
        <v>78</v>
      </c>
      <c r="I1040" t="b">
        <v>0</v>
      </c>
      <c r="K1040" t="s">
        <v>52</v>
      </c>
      <c r="L1040" t="s">
        <v>3437</v>
      </c>
      <c r="O1040" s="1">
        <v>46337</v>
      </c>
      <c r="P1040" t="s">
        <v>3844</v>
      </c>
      <c r="Q1040" t="s">
        <v>3845</v>
      </c>
      <c r="R1040" t="s">
        <v>63</v>
      </c>
      <c r="S1040" t="b">
        <v>0</v>
      </c>
      <c r="T1040" t="b">
        <v>0</v>
      </c>
      <c r="U1040" t="s">
        <v>3846</v>
      </c>
      <c r="V1040" t="s">
        <v>84</v>
      </c>
      <c r="W1040" t="s">
        <v>95</v>
      </c>
      <c r="X1040" t="s">
        <v>363</v>
      </c>
      <c r="Y1040" t="s">
        <v>364</v>
      </c>
      <c r="Z1040" t="s">
        <v>3437</v>
      </c>
      <c r="AA1040" t="b">
        <f>ISNUMBER(SEARCH(";"&amp;Lessons[[#This Row],[Instrument__c]]&amp;";",";"&amp;_xlfn.XLOOKUP(Lessons[[#This Row],[Instructor_External_Id__c]], Instructors[Id], Instructors[Instruments_Taught__c])&amp;";"))</f>
        <v>1</v>
      </c>
      <c r="AB1040" t="str">
        <f>IF(LEFT(Lessons[[#This Row],[Status__c]],9)="Cancelled","",Lessons[[#This Row],[Instructor_External_Id__c]]&amp;"|"&amp;TEXT(Lessons[[#This Row],[Lesson_Date__c]],"yyyy-mm-dd")&amp;"|"&amp;Lessons[[#This Row],[Start_Time__c]])</f>
        <v>a06ak00000amzBiAAI|2026-11-11|17:00:00.000Z</v>
      </c>
      <c r="AC1040">
        <f>IF(Lessons[[#This Row],[Double Booked Key]]="","",COUNTIF(Lessons[Double Booked Key],Lessons[[#This Row],[Double Booked Key]]))</f>
        <v>1</v>
      </c>
      <c r="AD1040" s="6" t="str">
        <f>_xlfn.XLOOKUP(Lessons[[#This Row],[Location_External_Id__c]], Locations[Location Id], Locations[Location Name])</f>
        <v>Red Bank</v>
      </c>
      <c r="AE1040" s="6" t="str">
        <f>TEXT(Lessons[[#This Row],[Lesson_Date__c]], "yyyy-mm")</f>
        <v>2026-11</v>
      </c>
      <c r="AF1040" s="6" t="str">
        <f>IF(Lessons[[#This Row],[Lesson_Date__c]]&lt;=Data_Audit!$F$1, "Yes", "No")</f>
        <v>No</v>
      </c>
    </row>
    <row r="1041" spans="1:32">
      <c r="A1041" t="s">
        <v>52</v>
      </c>
      <c r="B1041" t="s">
        <v>3437</v>
      </c>
      <c r="C1041">
        <v>30</v>
      </c>
      <c r="D1041" t="s">
        <v>3847</v>
      </c>
      <c r="E1041" t="s">
        <v>436</v>
      </c>
      <c r="F1041" t="s">
        <v>437</v>
      </c>
      <c r="H1041" t="s">
        <v>461</v>
      </c>
      <c r="I1041" t="b">
        <v>0</v>
      </c>
      <c r="K1041" t="s">
        <v>52</v>
      </c>
      <c r="L1041" t="s">
        <v>3437</v>
      </c>
      <c r="O1041" s="1">
        <v>46338</v>
      </c>
      <c r="P1041" t="s">
        <v>3848</v>
      </c>
      <c r="Q1041" t="s">
        <v>3849</v>
      </c>
      <c r="R1041" t="s">
        <v>63</v>
      </c>
      <c r="S1041" t="b">
        <v>0</v>
      </c>
      <c r="T1041" t="b">
        <v>0</v>
      </c>
      <c r="U1041" t="s">
        <v>3850</v>
      </c>
      <c r="V1041" t="s">
        <v>140</v>
      </c>
      <c r="W1041" t="s">
        <v>95</v>
      </c>
      <c r="X1041" t="s">
        <v>585</v>
      </c>
      <c r="Y1041" t="s">
        <v>586</v>
      </c>
      <c r="Z1041" t="s">
        <v>3437</v>
      </c>
      <c r="AA1041" t="b">
        <f>ISNUMBER(SEARCH(";"&amp;Lessons[[#This Row],[Instrument__c]]&amp;";",";"&amp;_xlfn.XLOOKUP(Lessons[[#This Row],[Instructor_External_Id__c]], Instructors[Id], Instructors[Instruments_Taught__c])&amp;";"))</f>
        <v>1</v>
      </c>
      <c r="AB1041" t="str">
        <f>IF(LEFT(Lessons[[#This Row],[Status__c]],9)="Cancelled","",Lessons[[#This Row],[Instructor_External_Id__c]]&amp;"|"&amp;TEXT(Lessons[[#This Row],[Lesson_Date__c]],"yyyy-mm-dd")&amp;"|"&amp;Lessons[[#This Row],[Start_Time__c]])</f>
        <v>a06ak00000amzC0AAI|2026-11-12|15:00:00.000Z</v>
      </c>
      <c r="AC1041">
        <f>IF(Lessons[[#This Row],[Double Booked Key]]="","",COUNTIF(Lessons[Double Booked Key],Lessons[[#This Row],[Double Booked Key]]))</f>
        <v>1</v>
      </c>
      <c r="AD1041" s="6" t="str">
        <f>_xlfn.XLOOKUP(Lessons[[#This Row],[Location_External_Id__c]], Locations[Location Id], Locations[Location Name])</f>
        <v>Red Bank</v>
      </c>
      <c r="AE1041" s="6" t="str">
        <f>TEXT(Lessons[[#This Row],[Lesson_Date__c]], "yyyy-mm")</f>
        <v>2026-11</v>
      </c>
      <c r="AF1041" s="6" t="str">
        <f>IF(Lessons[[#This Row],[Lesson_Date__c]]&lt;=Data_Audit!$F$1, "Yes", "No")</f>
        <v>No</v>
      </c>
    </row>
    <row r="1042" spans="1:32">
      <c r="A1042" t="s">
        <v>52</v>
      </c>
      <c r="B1042" t="s">
        <v>3437</v>
      </c>
      <c r="C1042">
        <v>30</v>
      </c>
      <c r="D1042" t="s">
        <v>3851</v>
      </c>
      <c r="E1042" t="s">
        <v>436</v>
      </c>
      <c r="F1042" t="s">
        <v>437</v>
      </c>
      <c r="H1042" t="s">
        <v>461</v>
      </c>
      <c r="I1042" t="b">
        <v>0</v>
      </c>
      <c r="K1042" t="s">
        <v>52</v>
      </c>
      <c r="L1042" t="s">
        <v>3437</v>
      </c>
      <c r="O1042" s="1">
        <v>46338</v>
      </c>
      <c r="P1042" t="s">
        <v>3852</v>
      </c>
      <c r="Q1042" t="s">
        <v>3853</v>
      </c>
      <c r="R1042" t="s">
        <v>63</v>
      </c>
      <c r="S1042" t="b">
        <v>0</v>
      </c>
      <c r="T1042" t="b">
        <v>0</v>
      </c>
      <c r="U1042" t="s">
        <v>3854</v>
      </c>
      <c r="V1042" t="s">
        <v>102</v>
      </c>
      <c r="W1042" t="s">
        <v>95</v>
      </c>
      <c r="X1042" t="s">
        <v>1532</v>
      </c>
      <c r="Y1042" t="s">
        <v>1533</v>
      </c>
      <c r="Z1042" t="s">
        <v>3437</v>
      </c>
      <c r="AA1042" t="b">
        <f>ISNUMBER(SEARCH(";"&amp;Lessons[[#This Row],[Instrument__c]]&amp;";",";"&amp;_xlfn.XLOOKUP(Lessons[[#This Row],[Instructor_External_Id__c]], Instructors[Id], Instructors[Instruments_Taught__c])&amp;";"))</f>
        <v>1</v>
      </c>
      <c r="AB1042" t="str">
        <f>IF(LEFT(Lessons[[#This Row],[Status__c]],9)="Cancelled","",Lessons[[#This Row],[Instructor_External_Id__c]]&amp;"|"&amp;TEXT(Lessons[[#This Row],[Lesson_Date__c]],"yyyy-mm-dd")&amp;"|"&amp;Lessons[[#This Row],[Start_Time__c]])</f>
        <v>a06ak00000amzC0AAI|2026-11-12|16:00:00.000Z</v>
      </c>
      <c r="AC1042">
        <f>IF(Lessons[[#This Row],[Double Booked Key]]="","",COUNTIF(Lessons[Double Booked Key],Lessons[[#This Row],[Double Booked Key]]))</f>
        <v>1</v>
      </c>
      <c r="AD1042" s="6" t="str">
        <f>_xlfn.XLOOKUP(Lessons[[#This Row],[Location_External_Id__c]], Locations[Location Id], Locations[Location Name])</f>
        <v>Red Bank</v>
      </c>
      <c r="AE1042" s="6" t="str">
        <f>TEXT(Lessons[[#This Row],[Lesson_Date__c]], "yyyy-mm")</f>
        <v>2026-11</v>
      </c>
      <c r="AF1042" s="6" t="str">
        <f>IF(Lessons[[#This Row],[Lesson_Date__c]]&lt;=Data_Audit!$F$1, "Yes", "No")</f>
        <v>No</v>
      </c>
    </row>
    <row r="1043" spans="1:32">
      <c r="A1043" t="s">
        <v>52</v>
      </c>
      <c r="B1043" t="s">
        <v>3437</v>
      </c>
      <c r="C1043">
        <v>30</v>
      </c>
      <c r="D1043" t="s">
        <v>3855</v>
      </c>
      <c r="E1043" t="s">
        <v>804</v>
      </c>
      <c r="F1043" t="s">
        <v>805</v>
      </c>
      <c r="H1043" t="s">
        <v>147</v>
      </c>
      <c r="I1043" t="b">
        <v>0</v>
      </c>
      <c r="K1043" t="s">
        <v>52</v>
      </c>
      <c r="L1043" t="s">
        <v>3437</v>
      </c>
      <c r="O1043" s="1">
        <v>46338</v>
      </c>
      <c r="P1043" t="s">
        <v>3856</v>
      </c>
      <c r="Q1043" t="s">
        <v>3857</v>
      </c>
      <c r="R1043" t="s">
        <v>63</v>
      </c>
      <c r="S1043" t="b">
        <v>0</v>
      </c>
      <c r="T1043" t="b">
        <v>0</v>
      </c>
      <c r="U1043" t="s">
        <v>3858</v>
      </c>
      <c r="V1043" t="s">
        <v>116</v>
      </c>
      <c r="W1043" t="s">
        <v>95</v>
      </c>
      <c r="X1043" t="s">
        <v>1617</v>
      </c>
      <c r="Y1043" t="s">
        <v>1618</v>
      </c>
      <c r="Z1043" t="s">
        <v>3437</v>
      </c>
      <c r="AA1043" t="b">
        <f>ISNUMBER(SEARCH(";"&amp;Lessons[[#This Row],[Instrument__c]]&amp;";",";"&amp;_xlfn.XLOOKUP(Lessons[[#This Row],[Instructor_External_Id__c]], Instructors[Id], Instructors[Instruments_Taught__c])&amp;";"))</f>
        <v>1</v>
      </c>
      <c r="AB1043" t="str">
        <f>IF(LEFT(Lessons[[#This Row],[Status__c]],9)="Cancelled","",Lessons[[#This Row],[Instructor_External_Id__c]]&amp;"|"&amp;TEXT(Lessons[[#This Row],[Lesson_Date__c]],"yyyy-mm-dd")&amp;"|"&amp;Lessons[[#This Row],[Start_Time__c]])</f>
        <v>a06ak00000amzCBAAY|2026-11-12|17:30:00.000Z</v>
      </c>
      <c r="AC1043">
        <f>IF(Lessons[[#This Row],[Double Booked Key]]="","",COUNTIF(Lessons[Double Booked Key],Lessons[[#This Row],[Double Booked Key]]))</f>
        <v>1</v>
      </c>
      <c r="AD1043" s="6" t="str">
        <f>_xlfn.XLOOKUP(Lessons[[#This Row],[Location_External_Id__c]], Locations[Location Id], Locations[Location Name])</f>
        <v>Red Bank</v>
      </c>
      <c r="AE1043" s="6" t="str">
        <f>TEXT(Lessons[[#This Row],[Lesson_Date__c]], "yyyy-mm")</f>
        <v>2026-11</v>
      </c>
      <c r="AF1043" s="6" t="str">
        <f>IF(Lessons[[#This Row],[Lesson_Date__c]]&lt;=Data_Audit!$F$1, "Yes", "No")</f>
        <v>No</v>
      </c>
    </row>
    <row r="1044" spans="1:32">
      <c r="A1044" t="s">
        <v>52</v>
      </c>
      <c r="B1044" t="s">
        <v>3437</v>
      </c>
      <c r="C1044">
        <v>30</v>
      </c>
      <c r="D1044" t="s">
        <v>3859</v>
      </c>
      <c r="E1044" t="s">
        <v>337</v>
      </c>
      <c r="F1044" t="s">
        <v>338</v>
      </c>
      <c r="H1044" t="s">
        <v>284</v>
      </c>
      <c r="I1044" t="b">
        <v>0</v>
      </c>
      <c r="K1044" t="s">
        <v>52</v>
      </c>
      <c r="L1044" t="s">
        <v>3437</v>
      </c>
      <c r="O1044" s="1">
        <v>46338</v>
      </c>
      <c r="P1044" t="s">
        <v>3860</v>
      </c>
      <c r="Q1044" t="s">
        <v>3861</v>
      </c>
      <c r="R1044" t="s">
        <v>150</v>
      </c>
      <c r="S1044" t="b">
        <v>0</v>
      </c>
      <c r="T1044" t="b">
        <v>0</v>
      </c>
      <c r="U1044" t="s">
        <v>3862</v>
      </c>
      <c r="V1044" t="s">
        <v>94</v>
      </c>
      <c r="W1044" t="s">
        <v>95</v>
      </c>
      <c r="X1044" t="s">
        <v>1832</v>
      </c>
      <c r="Y1044" t="s">
        <v>1833</v>
      </c>
      <c r="Z1044" t="s">
        <v>3437</v>
      </c>
      <c r="AA1044" t="b">
        <f>ISNUMBER(SEARCH(";"&amp;Lessons[[#This Row],[Instrument__c]]&amp;";",";"&amp;_xlfn.XLOOKUP(Lessons[[#This Row],[Instructor_External_Id__c]], Instructors[Id], Instructors[Instruments_Taught__c])&amp;";"))</f>
        <v>1</v>
      </c>
      <c r="AB1044" t="str">
        <f>IF(LEFT(Lessons[[#This Row],[Status__c]],9)="Cancelled","",Lessons[[#This Row],[Instructor_External_Id__c]]&amp;"|"&amp;TEXT(Lessons[[#This Row],[Lesson_Date__c]],"yyyy-mm-dd")&amp;"|"&amp;Lessons[[#This Row],[Start_Time__c]])</f>
        <v>a06ak00000amzCIAAY|2026-11-12|19:00:00.000Z</v>
      </c>
      <c r="AC1044">
        <f>IF(Lessons[[#This Row],[Double Booked Key]]="","",COUNTIF(Lessons[Double Booked Key],Lessons[[#This Row],[Double Booked Key]]))</f>
        <v>1</v>
      </c>
      <c r="AD1044" s="6" t="str">
        <f>_xlfn.XLOOKUP(Lessons[[#This Row],[Location_External_Id__c]], Locations[Location Id], Locations[Location Name])</f>
        <v>Toms River</v>
      </c>
      <c r="AE1044" s="6" t="str">
        <f>TEXT(Lessons[[#This Row],[Lesson_Date__c]], "yyyy-mm")</f>
        <v>2026-11</v>
      </c>
      <c r="AF1044" s="6" t="str">
        <f>IF(Lessons[[#This Row],[Lesson_Date__c]]&lt;=Data_Audit!$F$1, "Yes", "No")</f>
        <v>No</v>
      </c>
    </row>
    <row r="1045" spans="1:32">
      <c r="A1045" t="s">
        <v>52</v>
      </c>
      <c r="B1045" t="s">
        <v>3437</v>
      </c>
      <c r="C1045">
        <v>45</v>
      </c>
      <c r="D1045" t="s">
        <v>3863</v>
      </c>
      <c r="E1045" t="s">
        <v>318</v>
      </c>
      <c r="F1045" t="s">
        <v>319</v>
      </c>
      <c r="H1045" t="s">
        <v>237</v>
      </c>
      <c r="I1045" t="b">
        <v>0</v>
      </c>
      <c r="K1045" t="s">
        <v>52</v>
      </c>
      <c r="L1045" t="s">
        <v>3437</v>
      </c>
      <c r="O1045" s="1">
        <v>46339</v>
      </c>
      <c r="P1045" t="s">
        <v>3864</v>
      </c>
      <c r="Q1045" t="s">
        <v>3865</v>
      </c>
      <c r="R1045" t="s">
        <v>150</v>
      </c>
      <c r="S1045" t="b">
        <v>0</v>
      </c>
      <c r="T1045" t="b">
        <v>0</v>
      </c>
      <c r="U1045" t="s">
        <v>3866</v>
      </c>
      <c r="V1045" t="s">
        <v>74</v>
      </c>
      <c r="W1045" t="s">
        <v>95</v>
      </c>
      <c r="X1045" t="s">
        <v>416</v>
      </c>
      <c r="Y1045" t="s">
        <v>417</v>
      </c>
      <c r="Z1045" t="s">
        <v>3437</v>
      </c>
      <c r="AA1045" t="b">
        <f>ISNUMBER(SEARCH(";"&amp;Lessons[[#This Row],[Instrument__c]]&amp;";",";"&amp;_xlfn.XLOOKUP(Lessons[[#This Row],[Instructor_External_Id__c]], Instructors[Id], Instructors[Instruments_Taught__c])&amp;";"))</f>
        <v>1</v>
      </c>
      <c r="AB1045" t="str">
        <f>IF(LEFT(Lessons[[#This Row],[Status__c]],9)="Cancelled","",Lessons[[#This Row],[Instructor_External_Id__c]]&amp;"|"&amp;TEXT(Lessons[[#This Row],[Lesson_Date__c]],"yyyy-mm-dd")&amp;"|"&amp;Lessons[[#This Row],[Start_Time__c]])</f>
        <v>a06ak00000amzBzAAI|2026-11-13|16:30:00.000Z</v>
      </c>
      <c r="AC1045">
        <f>IF(Lessons[[#This Row],[Double Booked Key]]="","",COUNTIF(Lessons[Double Booked Key],Lessons[[#This Row],[Double Booked Key]]))</f>
        <v>1</v>
      </c>
      <c r="AD1045" s="6" t="str">
        <f>_xlfn.XLOOKUP(Lessons[[#This Row],[Location_External_Id__c]], Locations[Location Id], Locations[Location Name])</f>
        <v>Toms River</v>
      </c>
      <c r="AE1045" s="6" t="str">
        <f>TEXT(Lessons[[#This Row],[Lesson_Date__c]], "yyyy-mm")</f>
        <v>2026-11</v>
      </c>
      <c r="AF1045" s="6" t="str">
        <f>IF(Lessons[[#This Row],[Lesson_Date__c]]&lt;=Data_Audit!$F$1, "Yes", "No")</f>
        <v>No</v>
      </c>
    </row>
    <row r="1046" spans="1:32">
      <c r="A1046" t="s">
        <v>52</v>
      </c>
      <c r="B1046" t="s">
        <v>3437</v>
      </c>
      <c r="C1046">
        <v>30</v>
      </c>
      <c r="D1046" t="s">
        <v>3867</v>
      </c>
      <c r="E1046" t="s">
        <v>804</v>
      </c>
      <c r="F1046" t="s">
        <v>805</v>
      </c>
      <c r="H1046" t="s">
        <v>147</v>
      </c>
      <c r="I1046" t="b">
        <v>0</v>
      </c>
      <c r="K1046" t="s">
        <v>52</v>
      </c>
      <c r="L1046" t="s">
        <v>3437</v>
      </c>
      <c r="O1046" s="1">
        <v>46339</v>
      </c>
      <c r="P1046" t="s">
        <v>3868</v>
      </c>
      <c r="Q1046" t="s">
        <v>3869</v>
      </c>
      <c r="R1046" t="s">
        <v>63</v>
      </c>
      <c r="S1046" t="b">
        <v>0</v>
      </c>
      <c r="T1046" t="b">
        <v>0</v>
      </c>
      <c r="U1046" t="s">
        <v>3870</v>
      </c>
      <c r="V1046" t="s">
        <v>116</v>
      </c>
      <c r="W1046" t="s">
        <v>95</v>
      </c>
      <c r="X1046" t="s">
        <v>1357</v>
      </c>
      <c r="Y1046" t="s">
        <v>1358</v>
      </c>
      <c r="Z1046" t="s">
        <v>3437</v>
      </c>
      <c r="AA1046" t="b">
        <f>ISNUMBER(SEARCH(";"&amp;Lessons[[#This Row],[Instrument__c]]&amp;";",";"&amp;_xlfn.XLOOKUP(Lessons[[#This Row],[Instructor_External_Id__c]], Instructors[Id], Instructors[Instruments_Taught__c])&amp;";"))</f>
        <v>1</v>
      </c>
      <c r="AB1046" t="str">
        <f>IF(LEFT(Lessons[[#This Row],[Status__c]],9)="Cancelled","",Lessons[[#This Row],[Instructor_External_Id__c]]&amp;"|"&amp;TEXT(Lessons[[#This Row],[Lesson_Date__c]],"yyyy-mm-dd")&amp;"|"&amp;Lessons[[#This Row],[Start_Time__c]])</f>
        <v>a06ak00000amzCBAAY|2026-11-13|17:30:00.000Z</v>
      </c>
      <c r="AC1046">
        <f>IF(Lessons[[#This Row],[Double Booked Key]]="","",COUNTIF(Lessons[Double Booked Key],Lessons[[#This Row],[Double Booked Key]]))</f>
        <v>1</v>
      </c>
      <c r="AD1046" s="6" t="str">
        <f>_xlfn.XLOOKUP(Lessons[[#This Row],[Location_External_Id__c]], Locations[Location Id], Locations[Location Name])</f>
        <v>Red Bank</v>
      </c>
      <c r="AE1046" s="6" t="str">
        <f>TEXT(Lessons[[#This Row],[Lesson_Date__c]], "yyyy-mm")</f>
        <v>2026-11</v>
      </c>
      <c r="AF1046" s="6" t="str">
        <f>IF(Lessons[[#This Row],[Lesson_Date__c]]&lt;=Data_Audit!$F$1, "Yes", "No")</f>
        <v>No</v>
      </c>
    </row>
    <row r="1047" spans="1:32">
      <c r="A1047" t="s">
        <v>52</v>
      </c>
      <c r="B1047" t="s">
        <v>3437</v>
      </c>
      <c r="C1047">
        <v>45</v>
      </c>
      <c r="D1047" t="s">
        <v>3871</v>
      </c>
      <c r="E1047" t="s">
        <v>436</v>
      </c>
      <c r="F1047" t="s">
        <v>437</v>
      </c>
      <c r="H1047" t="s">
        <v>263</v>
      </c>
      <c r="I1047" t="b">
        <v>0</v>
      </c>
      <c r="K1047" t="s">
        <v>52</v>
      </c>
      <c r="L1047" t="s">
        <v>3437</v>
      </c>
      <c r="O1047" s="1">
        <v>46339</v>
      </c>
      <c r="P1047" t="s">
        <v>3872</v>
      </c>
      <c r="Q1047" t="s">
        <v>3873</v>
      </c>
      <c r="R1047" t="s">
        <v>63</v>
      </c>
      <c r="S1047" t="b">
        <v>0</v>
      </c>
      <c r="T1047" t="b">
        <v>0</v>
      </c>
      <c r="U1047" t="s">
        <v>3874</v>
      </c>
      <c r="V1047" t="s">
        <v>116</v>
      </c>
      <c r="W1047" t="s">
        <v>95</v>
      </c>
      <c r="X1047" t="s">
        <v>1818</v>
      </c>
      <c r="Y1047" t="s">
        <v>1819</v>
      </c>
      <c r="Z1047" t="s">
        <v>3437</v>
      </c>
      <c r="AA1047" t="b">
        <f>ISNUMBER(SEARCH(";"&amp;Lessons[[#This Row],[Instrument__c]]&amp;";",";"&amp;_xlfn.XLOOKUP(Lessons[[#This Row],[Instructor_External_Id__c]], Instructors[Id], Instructors[Instruments_Taught__c])&amp;";"))</f>
        <v>1</v>
      </c>
      <c r="AB1047" t="str">
        <f>IF(LEFT(Lessons[[#This Row],[Status__c]],9)="Cancelled","",Lessons[[#This Row],[Instructor_External_Id__c]]&amp;"|"&amp;TEXT(Lessons[[#This Row],[Lesson_Date__c]],"yyyy-mm-dd")&amp;"|"&amp;Lessons[[#This Row],[Start_Time__c]])</f>
        <v>a06ak00000amzC0AAI|2026-11-13|17:30:00.000Z</v>
      </c>
      <c r="AC1047">
        <f>IF(Lessons[[#This Row],[Double Booked Key]]="","",COUNTIF(Lessons[Double Booked Key],Lessons[[#This Row],[Double Booked Key]]))</f>
        <v>1</v>
      </c>
      <c r="AD1047" s="6" t="str">
        <f>_xlfn.XLOOKUP(Lessons[[#This Row],[Location_External_Id__c]], Locations[Location Id], Locations[Location Name])</f>
        <v>Red Bank</v>
      </c>
      <c r="AE1047" s="6" t="str">
        <f>TEXT(Lessons[[#This Row],[Lesson_Date__c]], "yyyy-mm")</f>
        <v>2026-11</v>
      </c>
      <c r="AF1047" s="6" t="str">
        <f>IF(Lessons[[#This Row],[Lesson_Date__c]]&lt;=Data_Audit!$F$1, "Yes", "No")</f>
        <v>No</v>
      </c>
    </row>
    <row r="1048" spans="1:32">
      <c r="A1048" t="s">
        <v>52</v>
      </c>
      <c r="B1048" t="s">
        <v>3437</v>
      </c>
      <c r="C1048">
        <v>45</v>
      </c>
      <c r="D1048" t="s">
        <v>3875</v>
      </c>
      <c r="E1048" t="s">
        <v>548</v>
      </c>
      <c r="F1048" t="s">
        <v>549</v>
      </c>
      <c r="H1048" t="s">
        <v>203</v>
      </c>
      <c r="I1048" t="b">
        <v>0</v>
      </c>
      <c r="K1048" t="s">
        <v>52</v>
      </c>
      <c r="L1048" t="s">
        <v>3437</v>
      </c>
      <c r="O1048" s="1">
        <v>46339</v>
      </c>
      <c r="P1048" t="s">
        <v>3876</v>
      </c>
      <c r="Q1048" t="s">
        <v>3877</v>
      </c>
      <c r="R1048" t="s">
        <v>83</v>
      </c>
      <c r="S1048" t="b">
        <v>0</v>
      </c>
      <c r="T1048" t="b">
        <v>0</v>
      </c>
      <c r="U1048" t="s">
        <v>3878</v>
      </c>
      <c r="V1048" t="s">
        <v>120</v>
      </c>
      <c r="W1048" t="s">
        <v>95</v>
      </c>
      <c r="X1048" t="s">
        <v>1194</v>
      </c>
      <c r="Y1048" t="s">
        <v>1195</v>
      </c>
      <c r="Z1048" t="s">
        <v>3437</v>
      </c>
      <c r="AA1048" t="b">
        <f>ISNUMBER(SEARCH(";"&amp;Lessons[[#This Row],[Instrument__c]]&amp;";",";"&amp;_xlfn.XLOOKUP(Lessons[[#This Row],[Instructor_External_Id__c]], Instructors[Id], Instructors[Instruments_Taught__c])&amp;";"))</f>
        <v>1</v>
      </c>
      <c r="AB1048" t="str">
        <f>IF(LEFT(Lessons[[#This Row],[Status__c]],9)="Cancelled","",Lessons[[#This Row],[Instructor_External_Id__c]]&amp;"|"&amp;TEXT(Lessons[[#This Row],[Lesson_Date__c]],"yyyy-mm-dd")&amp;"|"&amp;Lessons[[#This Row],[Start_Time__c]])</f>
        <v>a06ak00000amzCHAAY|2026-11-13|18:00:00.000Z</v>
      </c>
      <c r="AC1048">
        <f>IF(Lessons[[#This Row],[Double Booked Key]]="","",COUNTIF(Lessons[Double Booked Key],Lessons[[#This Row],[Double Booked Key]]))</f>
        <v>1</v>
      </c>
      <c r="AD1048" s="6" t="str">
        <f>_xlfn.XLOOKUP(Lessons[[#This Row],[Location_External_Id__c]], Locations[Location Id], Locations[Location Name])</f>
        <v>Brick</v>
      </c>
      <c r="AE1048" s="6" t="str">
        <f>TEXT(Lessons[[#This Row],[Lesson_Date__c]], "yyyy-mm")</f>
        <v>2026-11</v>
      </c>
      <c r="AF1048" s="6" t="str">
        <f>IF(Lessons[[#This Row],[Lesson_Date__c]]&lt;=Data_Audit!$F$1, "Yes", "No")</f>
        <v>No</v>
      </c>
    </row>
    <row r="1049" spans="1:32">
      <c r="A1049" t="s">
        <v>52</v>
      </c>
      <c r="B1049" t="s">
        <v>3437</v>
      </c>
      <c r="C1049">
        <v>30</v>
      </c>
      <c r="D1049" t="s">
        <v>3879</v>
      </c>
      <c r="E1049" t="s">
        <v>401</v>
      </c>
      <c r="F1049" t="s">
        <v>402</v>
      </c>
      <c r="H1049" t="s">
        <v>263</v>
      </c>
      <c r="I1049" t="b">
        <v>0</v>
      </c>
      <c r="K1049" t="s">
        <v>52</v>
      </c>
      <c r="L1049" t="s">
        <v>3437</v>
      </c>
      <c r="O1049" s="1">
        <v>46339</v>
      </c>
      <c r="P1049" t="s">
        <v>3880</v>
      </c>
      <c r="Q1049" t="s">
        <v>3881</v>
      </c>
      <c r="R1049" t="s">
        <v>150</v>
      </c>
      <c r="S1049" t="b">
        <v>0</v>
      </c>
      <c r="T1049" t="b">
        <v>0</v>
      </c>
      <c r="U1049" t="s">
        <v>3882</v>
      </c>
      <c r="V1049" t="s">
        <v>120</v>
      </c>
      <c r="W1049" t="s">
        <v>95</v>
      </c>
      <c r="X1049" t="s">
        <v>2414</v>
      </c>
      <c r="Y1049" t="s">
        <v>2415</v>
      </c>
      <c r="Z1049" t="s">
        <v>3437</v>
      </c>
      <c r="AA1049" t="b">
        <f>ISNUMBER(SEARCH(";"&amp;Lessons[[#This Row],[Instrument__c]]&amp;";",";"&amp;_xlfn.XLOOKUP(Lessons[[#This Row],[Instructor_External_Id__c]], Instructors[Id], Instructors[Instruments_Taught__c])&amp;";"))</f>
        <v>1</v>
      </c>
      <c r="AB1049" t="str">
        <f>IF(LEFT(Lessons[[#This Row],[Status__c]],9)="Cancelled","",Lessons[[#This Row],[Instructor_External_Id__c]]&amp;"|"&amp;TEXT(Lessons[[#This Row],[Lesson_Date__c]],"yyyy-mm-dd")&amp;"|"&amp;Lessons[[#This Row],[Start_Time__c]])</f>
        <v>a06ak00000amzBfAAI|2026-11-13|18:00:00.000Z</v>
      </c>
      <c r="AC1049">
        <f>IF(Lessons[[#This Row],[Double Booked Key]]="","",COUNTIF(Lessons[Double Booked Key],Lessons[[#This Row],[Double Booked Key]]))</f>
        <v>1</v>
      </c>
      <c r="AD1049" s="6" t="str">
        <f>_xlfn.XLOOKUP(Lessons[[#This Row],[Location_External_Id__c]], Locations[Location Id], Locations[Location Name])</f>
        <v>Toms River</v>
      </c>
      <c r="AE1049" s="6" t="str">
        <f>TEXT(Lessons[[#This Row],[Lesson_Date__c]], "yyyy-mm")</f>
        <v>2026-11</v>
      </c>
      <c r="AF1049" s="6" t="str">
        <f>IF(Lessons[[#This Row],[Lesson_Date__c]]&lt;=Data_Audit!$F$1, "Yes", "No")</f>
        <v>No</v>
      </c>
    </row>
    <row r="1050" spans="1:32">
      <c r="A1050" t="s">
        <v>52</v>
      </c>
      <c r="B1050" t="s">
        <v>3437</v>
      </c>
      <c r="C1050">
        <v>45</v>
      </c>
      <c r="D1050" t="s">
        <v>3883</v>
      </c>
      <c r="E1050" t="s">
        <v>573</v>
      </c>
      <c r="F1050" t="s">
        <v>574</v>
      </c>
      <c r="H1050" t="s">
        <v>284</v>
      </c>
      <c r="I1050" t="b">
        <v>0</v>
      </c>
      <c r="K1050" t="s">
        <v>52</v>
      </c>
      <c r="L1050" t="s">
        <v>3437</v>
      </c>
      <c r="O1050" s="1">
        <v>46340</v>
      </c>
      <c r="P1050" t="s">
        <v>3884</v>
      </c>
      <c r="Q1050" t="s">
        <v>3885</v>
      </c>
      <c r="R1050" t="s">
        <v>83</v>
      </c>
      <c r="S1050" t="b">
        <v>0</v>
      </c>
      <c r="T1050" t="b">
        <v>0</v>
      </c>
      <c r="U1050" t="s">
        <v>3886</v>
      </c>
      <c r="V1050" t="s">
        <v>3373</v>
      </c>
      <c r="W1050" t="s">
        <v>95</v>
      </c>
      <c r="X1050" t="s">
        <v>1330</v>
      </c>
      <c r="Y1050" t="s">
        <v>1331</v>
      </c>
      <c r="Z1050" t="s">
        <v>3437</v>
      </c>
      <c r="AA1050" t="b">
        <f>ISNUMBER(SEARCH(";"&amp;Lessons[[#This Row],[Instrument__c]]&amp;";",";"&amp;_xlfn.XLOOKUP(Lessons[[#This Row],[Instructor_External_Id__c]], Instructors[Id], Instructors[Instruments_Taught__c])&amp;";"))</f>
        <v>1</v>
      </c>
      <c r="AB1050" t="str">
        <f>IF(LEFT(Lessons[[#This Row],[Status__c]],9)="Cancelled","",Lessons[[#This Row],[Instructor_External_Id__c]]&amp;"|"&amp;TEXT(Lessons[[#This Row],[Lesson_Date__c]],"yyyy-mm-dd")&amp;"|"&amp;Lessons[[#This Row],[Start_Time__c]])</f>
        <v>a06ak00000amzCCAAY|2026-11-14|09:00:00.000Z</v>
      </c>
      <c r="AC1050">
        <f>IF(Lessons[[#This Row],[Double Booked Key]]="","",COUNTIF(Lessons[Double Booked Key],Lessons[[#This Row],[Double Booked Key]]))</f>
        <v>1</v>
      </c>
      <c r="AD1050" s="6" t="str">
        <f>_xlfn.XLOOKUP(Lessons[[#This Row],[Location_External_Id__c]], Locations[Location Id], Locations[Location Name])</f>
        <v>Brick</v>
      </c>
      <c r="AE1050" s="6" t="str">
        <f>TEXT(Lessons[[#This Row],[Lesson_Date__c]], "yyyy-mm")</f>
        <v>2026-11</v>
      </c>
      <c r="AF1050" s="6" t="str">
        <f>IF(Lessons[[#This Row],[Lesson_Date__c]]&lt;=Data_Audit!$F$1, "Yes", "No")</f>
        <v>No</v>
      </c>
    </row>
    <row r="1051" spans="1:32">
      <c r="A1051" t="s">
        <v>52</v>
      </c>
      <c r="B1051" t="s">
        <v>3437</v>
      </c>
      <c r="C1051">
        <v>30</v>
      </c>
      <c r="D1051" t="s">
        <v>3887</v>
      </c>
      <c r="E1051" t="s">
        <v>359</v>
      </c>
      <c r="F1051" t="s">
        <v>360</v>
      </c>
      <c r="H1051" t="s">
        <v>78</v>
      </c>
      <c r="I1051" t="b">
        <v>0</v>
      </c>
      <c r="K1051" t="s">
        <v>52</v>
      </c>
      <c r="L1051" t="s">
        <v>3437</v>
      </c>
      <c r="O1051" s="1">
        <v>46340</v>
      </c>
      <c r="P1051" t="s">
        <v>3888</v>
      </c>
      <c r="Q1051" t="s">
        <v>3889</v>
      </c>
      <c r="R1051" t="s">
        <v>63</v>
      </c>
      <c r="S1051" t="b">
        <v>0</v>
      </c>
      <c r="T1051" t="b">
        <v>0</v>
      </c>
      <c r="U1051" t="s">
        <v>3890</v>
      </c>
      <c r="V1051" t="s">
        <v>110</v>
      </c>
      <c r="W1051" t="s">
        <v>95</v>
      </c>
      <c r="X1051" t="s">
        <v>481</v>
      </c>
      <c r="Y1051" t="s">
        <v>482</v>
      </c>
      <c r="Z1051" t="s">
        <v>3437</v>
      </c>
      <c r="AA1051" t="b">
        <f>ISNUMBER(SEARCH(";"&amp;Lessons[[#This Row],[Instrument__c]]&amp;";",";"&amp;_xlfn.XLOOKUP(Lessons[[#This Row],[Instructor_External_Id__c]], Instructors[Id], Instructors[Instruments_Taught__c])&amp;";"))</f>
        <v>1</v>
      </c>
      <c r="AB1051" t="str">
        <f>IF(LEFT(Lessons[[#This Row],[Status__c]],9)="Cancelled","",Lessons[[#This Row],[Instructor_External_Id__c]]&amp;"|"&amp;TEXT(Lessons[[#This Row],[Lesson_Date__c]],"yyyy-mm-dd")&amp;"|"&amp;Lessons[[#This Row],[Start_Time__c]])</f>
        <v>a06ak00000amzBiAAI|2026-11-14|10:00:00.000Z</v>
      </c>
      <c r="AC1051">
        <f>IF(Lessons[[#This Row],[Double Booked Key]]="","",COUNTIF(Lessons[Double Booked Key],Lessons[[#This Row],[Double Booked Key]]))</f>
        <v>1</v>
      </c>
      <c r="AD1051" s="6" t="str">
        <f>_xlfn.XLOOKUP(Lessons[[#This Row],[Location_External_Id__c]], Locations[Location Id], Locations[Location Name])</f>
        <v>Red Bank</v>
      </c>
      <c r="AE1051" s="6" t="str">
        <f>TEXT(Lessons[[#This Row],[Lesson_Date__c]], "yyyy-mm")</f>
        <v>2026-11</v>
      </c>
      <c r="AF1051" s="6" t="str">
        <f>IF(Lessons[[#This Row],[Lesson_Date__c]]&lt;=Data_Audit!$F$1, "Yes", "No")</f>
        <v>No</v>
      </c>
    </row>
    <row r="1052" spans="1:32">
      <c r="A1052" t="s">
        <v>52</v>
      </c>
      <c r="B1052" t="s">
        <v>3437</v>
      </c>
      <c r="C1052">
        <v>45</v>
      </c>
      <c r="D1052" t="s">
        <v>3891</v>
      </c>
      <c r="E1052" t="s">
        <v>318</v>
      </c>
      <c r="F1052" t="s">
        <v>319</v>
      </c>
      <c r="H1052" t="s">
        <v>650</v>
      </c>
      <c r="I1052" t="b">
        <v>0</v>
      </c>
      <c r="K1052" t="s">
        <v>52</v>
      </c>
      <c r="L1052" t="s">
        <v>3437</v>
      </c>
      <c r="O1052" s="1">
        <v>46340</v>
      </c>
      <c r="P1052" t="s">
        <v>3892</v>
      </c>
      <c r="Q1052" t="s">
        <v>3893</v>
      </c>
      <c r="R1052" t="s">
        <v>63</v>
      </c>
      <c r="S1052" t="b">
        <v>0</v>
      </c>
      <c r="T1052" t="b">
        <v>0</v>
      </c>
      <c r="U1052" t="s">
        <v>3894</v>
      </c>
      <c r="V1052" t="s">
        <v>110</v>
      </c>
      <c r="W1052" t="s">
        <v>95</v>
      </c>
      <c r="X1052" t="s">
        <v>889</v>
      </c>
      <c r="Y1052" t="s">
        <v>890</v>
      </c>
      <c r="Z1052" t="s">
        <v>3437</v>
      </c>
      <c r="AA1052" t="b">
        <f>ISNUMBER(SEARCH(";"&amp;Lessons[[#This Row],[Instrument__c]]&amp;";",";"&amp;_xlfn.XLOOKUP(Lessons[[#This Row],[Instructor_External_Id__c]], Instructors[Id], Instructors[Instruments_Taught__c])&amp;";"))</f>
        <v>1</v>
      </c>
      <c r="AB1052" t="str">
        <f>IF(LEFT(Lessons[[#This Row],[Status__c]],9)="Cancelled","",Lessons[[#This Row],[Instructor_External_Id__c]]&amp;"|"&amp;TEXT(Lessons[[#This Row],[Lesson_Date__c]],"yyyy-mm-dd")&amp;"|"&amp;Lessons[[#This Row],[Start_Time__c]])</f>
        <v>a06ak00000amzBzAAI|2026-11-14|10:00:00.000Z</v>
      </c>
      <c r="AC1052">
        <f>IF(Lessons[[#This Row],[Double Booked Key]]="","",COUNTIF(Lessons[Double Booked Key],Lessons[[#This Row],[Double Booked Key]]))</f>
        <v>1</v>
      </c>
      <c r="AD1052" s="6" t="str">
        <f>_xlfn.XLOOKUP(Lessons[[#This Row],[Location_External_Id__c]], Locations[Location Id], Locations[Location Name])</f>
        <v>Red Bank</v>
      </c>
      <c r="AE1052" s="6" t="str">
        <f>TEXT(Lessons[[#This Row],[Lesson_Date__c]], "yyyy-mm")</f>
        <v>2026-11</v>
      </c>
      <c r="AF1052" s="6" t="str">
        <f>IF(Lessons[[#This Row],[Lesson_Date__c]]&lt;=Data_Audit!$F$1, "Yes", "No")</f>
        <v>No</v>
      </c>
    </row>
    <row r="1053" spans="1:32">
      <c r="A1053" t="s">
        <v>52</v>
      </c>
      <c r="B1053" t="s">
        <v>3437</v>
      </c>
      <c r="C1053">
        <v>45</v>
      </c>
      <c r="D1053" t="s">
        <v>3895</v>
      </c>
      <c r="E1053" t="s">
        <v>777</v>
      </c>
      <c r="F1053" t="s">
        <v>778</v>
      </c>
      <c r="H1053" t="s">
        <v>527</v>
      </c>
      <c r="I1053" t="b">
        <v>0</v>
      </c>
      <c r="K1053" t="s">
        <v>52</v>
      </c>
      <c r="L1053" t="s">
        <v>3437</v>
      </c>
      <c r="O1053" s="1">
        <v>46340</v>
      </c>
      <c r="P1053" t="s">
        <v>3896</v>
      </c>
      <c r="Q1053" t="s">
        <v>3897</v>
      </c>
      <c r="R1053" t="s">
        <v>83</v>
      </c>
      <c r="S1053" t="b">
        <v>0</v>
      </c>
      <c r="T1053" t="b">
        <v>0</v>
      </c>
      <c r="U1053" t="s">
        <v>3898</v>
      </c>
      <c r="V1053" t="s">
        <v>110</v>
      </c>
      <c r="W1053" t="s">
        <v>95</v>
      </c>
      <c r="X1053" t="s">
        <v>935</v>
      </c>
      <c r="Y1053" t="s">
        <v>936</v>
      </c>
      <c r="Z1053" t="s">
        <v>3437</v>
      </c>
      <c r="AA1053" t="b">
        <f>ISNUMBER(SEARCH(";"&amp;Lessons[[#This Row],[Instrument__c]]&amp;";",";"&amp;_xlfn.XLOOKUP(Lessons[[#This Row],[Instructor_External_Id__c]], Instructors[Id], Instructors[Instruments_Taught__c])&amp;";"))</f>
        <v>1</v>
      </c>
      <c r="AB1053" t="str">
        <f>IF(LEFT(Lessons[[#This Row],[Status__c]],9)="Cancelled","",Lessons[[#This Row],[Instructor_External_Id__c]]&amp;"|"&amp;TEXT(Lessons[[#This Row],[Lesson_Date__c]],"yyyy-mm-dd")&amp;"|"&amp;Lessons[[#This Row],[Start_Time__c]])</f>
        <v>a06ak00000amzByAAI|2026-11-14|10:00:00.000Z</v>
      </c>
      <c r="AC1053">
        <f>IF(Lessons[[#This Row],[Double Booked Key]]="","",COUNTIF(Lessons[Double Booked Key],Lessons[[#This Row],[Double Booked Key]]))</f>
        <v>1</v>
      </c>
      <c r="AD1053" s="6" t="str">
        <f>_xlfn.XLOOKUP(Lessons[[#This Row],[Location_External_Id__c]], Locations[Location Id], Locations[Location Name])</f>
        <v>Brick</v>
      </c>
      <c r="AE1053" s="6" t="str">
        <f>TEXT(Lessons[[#This Row],[Lesson_Date__c]], "yyyy-mm")</f>
        <v>2026-11</v>
      </c>
      <c r="AF1053" s="6" t="str">
        <f>IF(Lessons[[#This Row],[Lesson_Date__c]]&lt;=Data_Audit!$F$1, "Yes", "No")</f>
        <v>No</v>
      </c>
    </row>
    <row r="1054" spans="1:32">
      <c r="A1054" t="s">
        <v>52</v>
      </c>
      <c r="B1054" t="s">
        <v>3437</v>
      </c>
      <c r="C1054">
        <v>60</v>
      </c>
      <c r="D1054" t="s">
        <v>3899</v>
      </c>
      <c r="E1054" t="s">
        <v>459</v>
      </c>
      <c r="F1054" t="s">
        <v>460</v>
      </c>
      <c r="H1054" t="s">
        <v>107</v>
      </c>
      <c r="I1054" t="b">
        <v>0</v>
      </c>
      <c r="K1054" t="s">
        <v>52</v>
      </c>
      <c r="L1054" t="s">
        <v>3437</v>
      </c>
      <c r="O1054" s="1">
        <v>46340</v>
      </c>
      <c r="P1054" t="s">
        <v>3900</v>
      </c>
      <c r="Q1054" t="s">
        <v>3901</v>
      </c>
      <c r="R1054" t="s">
        <v>63</v>
      </c>
      <c r="S1054" t="b">
        <v>0</v>
      </c>
      <c r="T1054" t="b">
        <v>0</v>
      </c>
      <c r="U1054" t="s">
        <v>3902</v>
      </c>
      <c r="V1054" t="s">
        <v>3903</v>
      </c>
      <c r="W1054" t="s">
        <v>95</v>
      </c>
      <c r="X1054" t="s">
        <v>1905</v>
      </c>
      <c r="Y1054" t="s">
        <v>1906</v>
      </c>
      <c r="Z1054" t="s">
        <v>3437</v>
      </c>
      <c r="AA1054" t="b">
        <f>ISNUMBER(SEARCH(";"&amp;Lessons[[#This Row],[Instrument__c]]&amp;";",";"&amp;_xlfn.XLOOKUP(Lessons[[#This Row],[Instructor_External_Id__c]], Instructors[Id], Instructors[Instruments_Taught__c])&amp;";"))</f>
        <v>1</v>
      </c>
      <c r="AB1054" t="str">
        <f>IF(LEFT(Lessons[[#This Row],[Status__c]],9)="Cancelled","",Lessons[[#This Row],[Instructor_External_Id__c]]&amp;"|"&amp;TEXT(Lessons[[#This Row],[Lesson_Date__c]],"yyyy-mm-dd")&amp;"|"&amp;Lessons[[#This Row],[Start_Time__c]])</f>
        <v>a06ak00000amzC8AAI|2026-11-14|10:30:00.000Z</v>
      </c>
      <c r="AC1054">
        <f>IF(Lessons[[#This Row],[Double Booked Key]]="","",COUNTIF(Lessons[Double Booked Key],Lessons[[#This Row],[Double Booked Key]]))</f>
        <v>1</v>
      </c>
      <c r="AD1054" s="6" t="str">
        <f>_xlfn.XLOOKUP(Lessons[[#This Row],[Location_External_Id__c]], Locations[Location Id], Locations[Location Name])</f>
        <v>Red Bank</v>
      </c>
      <c r="AE1054" s="6" t="str">
        <f>TEXT(Lessons[[#This Row],[Lesson_Date__c]], "yyyy-mm")</f>
        <v>2026-11</v>
      </c>
      <c r="AF1054" s="6" t="str">
        <f>IF(Lessons[[#This Row],[Lesson_Date__c]]&lt;=Data_Audit!$F$1, "Yes", "No")</f>
        <v>No</v>
      </c>
    </row>
    <row r="1055" spans="1:32">
      <c r="A1055" t="s">
        <v>52</v>
      </c>
      <c r="B1055" t="s">
        <v>3437</v>
      </c>
      <c r="C1055">
        <v>30</v>
      </c>
      <c r="D1055" t="s">
        <v>3904</v>
      </c>
      <c r="E1055" t="s">
        <v>282</v>
      </c>
      <c r="F1055" t="s">
        <v>283</v>
      </c>
      <c r="H1055" t="s">
        <v>284</v>
      </c>
      <c r="I1055" t="b">
        <v>0</v>
      </c>
      <c r="K1055" t="s">
        <v>52</v>
      </c>
      <c r="L1055" t="s">
        <v>3437</v>
      </c>
      <c r="O1055" s="1">
        <v>46340</v>
      </c>
      <c r="P1055" t="s">
        <v>3905</v>
      </c>
      <c r="Q1055" t="s">
        <v>3906</v>
      </c>
      <c r="R1055" t="s">
        <v>83</v>
      </c>
      <c r="S1055" t="b">
        <v>0</v>
      </c>
      <c r="T1055" t="b">
        <v>0</v>
      </c>
      <c r="U1055" t="s">
        <v>3907</v>
      </c>
      <c r="V1055" t="s">
        <v>3203</v>
      </c>
      <c r="W1055" t="s">
        <v>95</v>
      </c>
      <c r="X1055" t="s">
        <v>1134</v>
      </c>
      <c r="Y1055" t="s">
        <v>1135</v>
      </c>
      <c r="Z1055" t="s">
        <v>3437</v>
      </c>
      <c r="AA1055" t="b">
        <f>ISNUMBER(SEARCH(";"&amp;Lessons[[#This Row],[Instrument__c]]&amp;";",";"&amp;_xlfn.XLOOKUP(Lessons[[#This Row],[Instructor_External_Id__c]], Instructors[Id], Instructors[Instruments_Taught__c])&amp;";"))</f>
        <v>1</v>
      </c>
      <c r="AB1055" t="str">
        <f>IF(LEFT(Lessons[[#This Row],[Status__c]],9)="Cancelled","",Lessons[[#This Row],[Instructor_External_Id__c]]&amp;"|"&amp;TEXT(Lessons[[#This Row],[Lesson_Date__c]],"yyyy-mm-dd")&amp;"|"&amp;Lessons[[#This Row],[Start_Time__c]])</f>
        <v>a06ak00000amzBxAAI|2026-11-14|11:30:00.000Z</v>
      </c>
      <c r="AC1055">
        <f>IF(Lessons[[#This Row],[Double Booked Key]]="","",COUNTIF(Lessons[Double Booked Key],Lessons[[#This Row],[Double Booked Key]]))</f>
        <v>1</v>
      </c>
      <c r="AD1055" s="6" t="str">
        <f>_xlfn.XLOOKUP(Lessons[[#This Row],[Location_External_Id__c]], Locations[Location Id], Locations[Location Name])</f>
        <v>Brick</v>
      </c>
      <c r="AE1055" s="6" t="str">
        <f>TEXT(Lessons[[#This Row],[Lesson_Date__c]], "yyyy-mm")</f>
        <v>2026-11</v>
      </c>
      <c r="AF1055" s="6" t="str">
        <f>IF(Lessons[[#This Row],[Lesson_Date__c]]&lt;=Data_Audit!$F$1, "Yes", "No")</f>
        <v>No</v>
      </c>
    </row>
    <row r="1056" spans="1:32">
      <c r="A1056" t="s">
        <v>52</v>
      </c>
      <c r="B1056" t="s">
        <v>3437</v>
      </c>
      <c r="C1056">
        <v>45</v>
      </c>
      <c r="D1056" t="s">
        <v>3908</v>
      </c>
      <c r="E1056" t="s">
        <v>573</v>
      </c>
      <c r="F1056" t="s">
        <v>574</v>
      </c>
      <c r="H1056" t="s">
        <v>461</v>
      </c>
      <c r="I1056" t="b">
        <v>0</v>
      </c>
      <c r="K1056" t="s">
        <v>52</v>
      </c>
      <c r="L1056" t="s">
        <v>3437</v>
      </c>
      <c r="O1056" s="1">
        <v>46340</v>
      </c>
      <c r="P1056" t="s">
        <v>3909</v>
      </c>
      <c r="Q1056" t="s">
        <v>3910</v>
      </c>
      <c r="R1056" t="s">
        <v>150</v>
      </c>
      <c r="S1056" t="b">
        <v>0</v>
      </c>
      <c r="T1056" t="b">
        <v>0</v>
      </c>
      <c r="U1056" t="s">
        <v>3911</v>
      </c>
      <c r="V1056" t="s">
        <v>3208</v>
      </c>
      <c r="W1056" t="s">
        <v>95</v>
      </c>
      <c r="X1056" t="s">
        <v>464</v>
      </c>
      <c r="Y1056" t="s">
        <v>465</v>
      </c>
      <c r="Z1056" t="s">
        <v>3437</v>
      </c>
      <c r="AA1056" t="b">
        <f>ISNUMBER(SEARCH(";"&amp;Lessons[[#This Row],[Instrument__c]]&amp;";",";"&amp;_xlfn.XLOOKUP(Lessons[[#This Row],[Instructor_External_Id__c]], Instructors[Id], Instructors[Instruments_Taught__c])&amp;";"))</f>
        <v>1</v>
      </c>
      <c r="AB1056" t="str">
        <f>IF(LEFT(Lessons[[#This Row],[Status__c]],9)="Cancelled","",Lessons[[#This Row],[Instructor_External_Id__c]]&amp;"|"&amp;TEXT(Lessons[[#This Row],[Lesson_Date__c]],"yyyy-mm-dd")&amp;"|"&amp;Lessons[[#This Row],[Start_Time__c]])</f>
        <v>a06ak00000amzCCAAY|2026-11-14|12:30:00.000Z</v>
      </c>
      <c r="AC1056">
        <f>IF(Lessons[[#This Row],[Double Booked Key]]="","",COUNTIF(Lessons[Double Booked Key],Lessons[[#This Row],[Double Booked Key]]))</f>
        <v>1</v>
      </c>
      <c r="AD1056" s="6" t="str">
        <f>_xlfn.XLOOKUP(Lessons[[#This Row],[Location_External_Id__c]], Locations[Location Id], Locations[Location Name])</f>
        <v>Toms River</v>
      </c>
      <c r="AE1056" s="6" t="str">
        <f>TEXT(Lessons[[#This Row],[Lesson_Date__c]], "yyyy-mm")</f>
        <v>2026-11</v>
      </c>
      <c r="AF1056" s="6" t="str">
        <f>IF(Lessons[[#This Row],[Lesson_Date__c]]&lt;=Data_Audit!$F$1, "Yes", "No")</f>
        <v>No</v>
      </c>
    </row>
    <row r="1057" spans="1:32">
      <c r="A1057" t="s">
        <v>52</v>
      </c>
      <c r="B1057" t="s">
        <v>3437</v>
      </c>
      <c r="C1057">
        <v>60</v>
      </c>
      <c r="D1057" t="s">
        <v>3912</v>
      </c>
      <c r="E1057" t="s">
        <v>459</v>
      </c>
      <c r="F1057" t="s">
        <v>460</v>
      </c>
      <c r="H1057" t="s">
        <v>107</v>
      </c>
      <c r="I1057" t="b">
        <v>0</v>
      </c>
      <c r="K1057" t="s">
        <v>52</v>
      </c>
      <c r="L1057" t="s">
        <v>3437</v>
      </c>
      <c r="O1057" s="1">
        <v>46340</v>
      </c>
      <c r="P1057" t="s">
        <v>3913</v>
      </c>
      <c r="Q1057" t="s">
        <v>3914</v>
      </c>
      <c r="R1057" t="s">
        <v>83</v>
      </c>
      <c r="S1057" t="b">
        <v>0</v>
      </c>
      <c r="T1057" t="b">
        <v>0</v>
      </c>
      <c r="U1057" t="s">
        <v>3915</v>
      </c>
      <c r="V1057" t="s">
        <v>3208</v>
      </c>
      <c r="W1057" t="s">
        <v>95</v>
      </c>
      <c r="X1057" t="s">
        <v>2430</v>
      </c>
      <c r="Y1057" t="s">
        <v>2431</v>
      </c>
      <c r="Z1057" t="s">
        <v>3437</v>
      </c>
      <c r="AA1057" t="b">
        <f>ISNUMBER(SEARCH(";"&amp;Lessons[[#This Row],[Instrument__c]]&amp;";",";"&amp;_xlfn.XLOOKUP(Lessons[[#This Row],[Instructor_External_Id__c]], Instructors[Id], Instructors[Instruments_Taught__c])&amp;";"))</f>
        <v>1</v>
      </c>
      <c r="AB1057" t="str">
        <f>IF(LEFT(Lessons[[#This Row],[Status__c]],9)="Cancelled","",Lessons[[#This Row],[Instructor_External_Id__c]]&amp;"|"&amp;TEXT(Lessons[[#This Row],[Lesson_Date__c]],"yyyy-mm-dd")&amp;"|"&amp;Lessons[[#This Row],[Start_Time__c]])</f>
        <v>a06ak00000amzC8AAI|2026-11-14|12:30:00.000Z</v>
      </c>
      <c r="AC1057">
        <f>IF(Lessons[[#This Row],[Double Booked Key]]="","",COUNTIF(Lessons[Double Booked Key],Lessons[[#This Row],[Double Booked Key]]))</f>
        <v>1</v>
      </c>
      <c r="AD1057" s="6" t="str">
        <f>_xlfn.XLOOKUP(Lessons[[#This Row],[Location_External_Id__c]], Locations[Location Id], Locations[Location Name])</f>
        <v>Brick</v>
      </c>
      <c r="AE1057" s="6" t="str">
        <f>TEXT(Lessons[[#This Row],[Lesson_Date__c]], "yyyy-mm")</f>
        <v>2026-11</v>
      </c>
      <c r="AF1057" s="6" t="str">
        <f>IF(Lessons[[#This Row],[Lesson_Date__c]]&lt;=Data_Audit!$F$1, "Yes", "No")</f>
        <v>No</v>
      </c>
    </row>
    <row r="1058" spans="1:32">
      <c r="A1058" t="s">
        <v>52</v>
      </c>
      <c r="B1058" t="s">
        <v>3437</v>
      </c>
      <c r="C1058">
        <v>30</v>
      </c>
      <c r="D1058" t="s">
        <v>3916</v>
      </c>
      <c r="E1058" t="s">
        <v>804</v>
      </c>
      <c r="F1058" t="s">
        <v>805</v>
      </c>
      <c r="H1058" t="s">
        <v>147</v>
      </c>
      <c r="I1058" t="b">
        <v>0</v>
      </c>
      <c r="K1058" t="s">
        <v>52</v>
      </c>
      <c r="L1058" t="s">
        <v>3437</v>
      </c>
      <c r="O1058" s="1">
        <v>46342</v>
      </c>
      <c r="P1058" t="s">
        <v>3917</v>
      </c>
      <c r="Q1058" t="s">
        <v>3918</v>
      </c>
      <c r="R1058" t="s">
        <v>63</v>
      </c>
      <c r="S1058" t="b">
        <v>0</v>
      </c>
      <c r="T1058" t="b">
        <v>0</v>
      </c>
      <c r="U1058" t="s">
        <v>3919</v>
      </c>
      <c r="V1058" t="s">
        <v>116</v>
      </c>
      <c r="W1058" t="s">
        <v>95</v>
      </c>
      <c r="X1058" t="s">
        <v>2502</v>
      </c>
      <c r="Y1058" t="s">
        <v>2503</v>
      </c>
      <c r="Z1058" t="s">
        <v>3437</v>
      </c>
      <c r="AA1058" t="b">
        <f>ISNUMBER(SEARCH(";"&amp;Lessons[[#This Row],[Instrument__c]]&amp;";",";"&amp;_xlfn.XLOOKUP(Lessons[[#This Row],[Instructor_External_Id__c]], Instructors[Id], Instructors[Instruments_Taught__c])&amp;";"))</f>
        <v>1</v>
      </c>
      <c r="AB1058" t="str">
        <f>IF(LEFT(Lessons[[#This Row],[Status__c]],9)="Cancelled","",Lessons[[#This Row],[Instructor_External_Id__c]]&amp;"|"&amp;TEXT(Lessons[[#This Row],[Lesson_Date__c]],"yyyy-mm-dd")&amp;"|"&amp;Lessons[[#This Row],[Start_Time__c]])</f>
        <v>a06ak00000amzCBAAY|2026-11-16|17:30:00.000Z</v>
      </c>
      <c r="AC1058">
        <f>IF(Lessons[[#This Row],[Double Booked Key]]="","",COUNTIF(Lessons[Double Booked Key],Lessons[[#This Row],[Double Booked Key]]))</f>
        <v>1</v>
      </c>
      <c r="AD1058" s="6" t="str">
        <f>_xlfn.XLOOKUP(Lessons[[#This Row],[Location_External_Id__c]], Locations[Location Id], Locations[Location Name])</f>
        <v>Red Bank</v>
      </c>
      <c r="AE1058" s="6" t="str">
        <f>TEXT(Lessons[[#This Row],[Lesson_Date__c]], "yyyy-mm")</f>
        <v>2026-11</v>
      </c>
      <c r="AF1058" s="6" t="str">
        <f>IF(Lessons[[#This Row],[Lesson_Date__c]]&lt;=Data_Audit!$F$1, "Yes", "No")</f>
        <v>No</v>
      </c>
    </row>
    <row r="1059" spans="1:32">
      <c r="A1059" t="s">
        <v>52</v>
      </c>
      <c r="B1059" t="s">
        <v>3437</v>
      </c>
      <c r="C1059">
        <v>45</v>
      </c>
      <c r="D1059" t="s">
        <v>3920</v>
      </c>
      <c r="E1059" t="s">
        <v>804</v>
      </c>
      <c r="F1059" t="s">
        <v>805</v>
      </c>
      <c r="H1059" t="s">
        <v>527</v>
      </c>
      <c r="I1059" t="b">
        <v>0</v>
      </c>
      <c r="K1059" t="s">
        <v>52</v>
      </c>
      <c r="L1059" t="s">
        <v>3437</v>
      </c>
      <c r="O1059" s="1">
        <v>46343</v>
      </c>
      <c r="P1059" t="s">
        <v>3921</v>
      </c>
      <c r="Q1059" t="s">
        <v>3922</v>
      </c>
      <c r="R1059" t="s">
        <v>63</v>
      </c>
      <c r="S1059" t="b">
        <v>0</v>
      </c>
      <c r="T1059" t="b">
        <v>0</v>
      </c>
      <c r="U1059" t="s">
        <v>3923</v>
      </c>
      <c r="V1059" t="s">
        <v>74</v>
      </c>
      <c r="W1059" t="s">
        <v>95</v>
      </c>
      <c r="X1059" t="s">
        <v>1293</v>
      </c>
      <c r="Y1059" t="s">
        <v>1294</v>
      </c>
      <c r="Z1059" t="s">
        <v>3437</v>
      </c>
      <c r="AA1059" t="b">
        <f>ISNUMBER(SEARCH(";"&amp;Lessons[[#This Row],[Instrument__c]]&amp;";",";"&amp;_xlfn.XLOOKUP(Lessons[[#This Row],[Instructor_External_Id__c]], Instructors[Id], Instructors[Instruments_Taught__c])&amp;";"))</f>
        <v>1</v>
      </c>
      <c r="AB1059" t="str">
        <f>IF(LEFT(Lessons[[#This Row],[Status__c]],9)="Cancelled","",Lessons[[#This Row],[Instructor_External_Id__c]]&amp;"|"&amp;TEXT(Lessons[[#This Row],[Lesson_Date__c]],"yyyy-mm-dd")&amp;"|"&amp;Lessons[[#This Row],[Start_Time__c]])</f>
        <v>a06ak00000amzCBAAY|2026-11-17|16:30:00.000Z</v>
      </c>
      <c r="AC1059">
        <f>IF(Lessons[[#This Row],[Double Booked Key]]="","",COUNTIF(Lessons[Double Booked Key],Lessons[[#This Row],[Double Booked Key]]))</f>
        <v>1</v>
      </c>
      <c r="AD1059" s="6" t="str">
        <f>_xlfn.XLOOKUP(Lessons[[#This Row],[Location_External_Id__c]], Locations[Location Id], Locations[Location Name])</f>
        <v>Red Bank</v>
      </c>
      <c r="AE1059" s="6" t="str">
        <f>TEXT(Lessons[[#This Row],[Lesson_Date__c]], "yyyy-mm")</f>
        <v>2026-11</v>
      </c>
      <c r="AF1059" s="6" t="str">
        <f>IF(Lessons[[#This Row],[Lesson_Date__c]]&lt;=Data_Audit!$F$1, "Yes", "No")</f>
        <v>No</v>
      </c>
    </row>
    <row r="1060" spans="1:32">
      <c r="A1060" t="s">
        <v>52</v>
      </c>
      <c r="B1060" t="s">
        <v>3437</v>
      </c>
      <c r="C1060">
        <v>60</v>
      </c>
      <c r="D1060" t="s">
        <v>3924</v>
      </c>
      <c r="E1060" t="s">
        <v>243</v>
      </c>
      <c r="F1060" t="s">
        <v>244</v>
      </c>
      <c r="H1060" t="s">
        <v>650</v>
      </c>
      <c r="I1060" t="b">
        <v>0</v>
      </c>
      <c r="K1060" t="s">
        <v>52</v>
      </c>
      <c r="L1060" t="s">
        <v>3437</v>
      </c>
      <c r="O1060" s="1">
        <v>46343</v>
      </c>
      <c r="P1060" t="s">
        <v>3925</v>
      </c>
      <c r="Q1060" t="s">
        <v>3926</v>
      </c>
      <c r="R1060" t="s">
        <v>83</v>
      </c>
      <c r="S1060" t="b">
        <v>0</v>
      </c>
      <c r="T1060" t="b">
        <v>0</v>
      </c>
      <c r="U1060" t="s">
        <v>3927</v>
      </c>
      <c r="V1060" t="s">
        <v>74</v>
      </c>
      <c r="W1060" t="s">
        <v>95</v>
      </c>
      <c r="X1060" t="s">
        <v>2122</v>
      </c>
      <c r="Y1060" t="s">
        <v>2123</v>
      </c>
      <c r="Z1060" t="s">
        <v>3437</v>
      </c>
      <c r="AA1060" t="b">
        <f>ISNUMBER(SEARCH(";"&amp;Lessons[[#This Row],[Instrument__c]]&amp;";",";"&amp;_xlfn.XLOOKUP(Lessons[[#This Row],[Instructor_External_Id__c]], Instructors[Id], Instructors[Instruments_Taught__c])&amp;";"))</f>
        <v>1</v>
      </c>
      <c r="AB1060" t="str">
        <f>IF(LEFT(Lessons[[#This Row],[Status__c]],9)="Cancelled","",Lessons[[#This Row],[Instructor_External_Id__c]]&amp;"|"&amp;TEXT(Lessons[[#This Row],[Lesson_Date__c]],"yyyy-mm-dd")&amp;"|"&amp;Lessons[[#This Row],[Start_Time__c]])</f>
        <v>a06ak00000amzC1AAI|2026-11-17|16:30:00.000Z</v>
      </c>
      <c r="AC1060">
        <f>IF(Lessons[[#This Row],[Double Booked Key]]="","",COUNTIF(Lessons[Double Booked Key],Lessons[[#This Row],[Double Booked Key]]))</f>
        <v>1</v>
      </c>
      <c r="AD1060" s="6" t="str">
        <f>_xlfn.XLOOKUP(Lessons[[#This Row],[Location_External_Id__c]], Locations[Location Id], Locations[Location Name])</f>
        <v>Brick</v>
      </c>
      <c r="AE1060" s="6" t="str">
        <f>TEXT(Lessons[[#This Row],[Lesson_Date__c]], "yyyy-mm")</f>
        <v>2026-11</v>
      </c>
      <c r="AF1060" s="6" t="str">
        <f>IF(Lessons[[#This Row],[Lesson_Date__c]]&lt;=Data_Audit!$F$1, "Yes", "No")</f>
        <v>No</v>
      </c>
    </row>
    <row r="1061" spans="1:32">
      <c r="A1061" t="s">
        <v>52</v>
      </c>
      <c r="B1061" t="s">
        <v>3437</v>
      </c>
      <c r="C1061">
        <v>60</v>
      </c>
      <c r="D1061" t="s">
        <v>3928</v>
      </c>
      <c r="E1061" t="s">
        <v>548</v>
      </c>
      <c r="F1061" t="s">
        <v>549</v>
      </c>
      <c r="H1061" t="s">
        <v>203</v>
      </c>
      <c r="I1061" t="b">
        <v>0</v>
      </c>
      <c r="K1061" t="s">
        <v>52</v>
      </c>
      <c r="L1061" t="s">
        <v>3437</v>
      </c>
      <c r="O1061" s="1">
        <v>46343</v>
      </c>
      <c r="P1061" t="s">
        <v>3929</v>
      </c>
      <c r="Q1061" t="s">
        <v>3930</v>
      </c>
      <c r="R1061" t="s">
        <v>63</v>
      </c>
      <c r="S1061" t="b">
        <v>0</v>
      </c>
      <c r="T1061" t="b">
        <v>0</v>
      </c>
      <c r="U1061" t="s">
        <v>3931</v>
      </c>
      <c r="V1061" t="s">
        <v>74</v>
      </c>
      <c r="W1061" t="s">
        <v>95</v>
      </c>
      <c r="X1061" t="s">
        <v>2456</v>
      </c>
      <c r="Y1061" t="s">
        <v>2457</v>
      </c>
      <c r="Z1061" t="s">
        <v>3437</v>
      </c>
      <c r="AA1061" t="b">
        <f>ISNUMBER(SEARCH(";"&amp;Lessons[[#This Row],[Instrument__c]]&amp;";",";"&amp;_xlfn.XLOOKUP(Lessons[[#This Row],[Instructor_External_Id__c]], Instructors[Id], Instructors[Instruments_Taught__c])&amp;";"))</f>
        <v>1</v>
      </c>
      <c r="AB1061" t="str">
        <f>IF(LEFT(Lessons[[#This Row],[Status__c]],9)="Cancelled","",Lessons[[#This Row],[Instructor_External_Id__c]]&amp;"|"&amp;TEXT(Lessons[[#This Row],[Lesson_Date__c]],"yyyy-mm-dd")&amp;"|"&amp;Lessons[[#This Row],[Start_Time__c]])</f>
        <v>a06ak00000amzCHAAY|2026-11-17|16:30:00.000Z</v>
      </c>
      <c r="AC1061">
        <f>IF(Lessons[[#This Row],[Double Booked Key]]="","",COUNTIF(Lessons[Double Booked Key],Lessons[[#This Row],[Double Booked Key]]))</f>
        <v>1</v>
      </c>
      <c r="AD1061" s="6" t="str">
        <f>_xlfn.XLOOKUP(Lessons[[#This Row],[Location_External_Id__c]], Locations[Location Id], Locations[Location Name])</f>
        <v>Red Bank</v>
      </c>
      <c r="AE1061" s="6" t="str">
        <f>TEXT(Lessons[[#This Row],[Lesson_Date__c]], "yyyy-mm")</f>
        <v>2026-11</v>
      </c>
      <c r="AF1061" s="6" t="str">
        <f>IF(Lessons[[#This Row],[Lesson_Date__c]]&lt;=Data_Audit!$F$1, "Yes", "No")</f>
        <v>No</v>
      </c>
    </row>
    <row r="1062" spans="1:32">
      <c r="A1062" t="s">
        <v>52</v>
      </c>
      <c r="B1062" t="s">
        <v>3437</v>
      </c>
      <c r="C1062">
        <v>60</v>
      </c>
      <c r="D1062" t="s">
        <v>3932</v>
      </c>
      <c r="E1062" t="s">
        <v>459</v>
      </c>
      <c r="F1062" t="s">
        <v>460</v>
      </c>
      <c r="H1062" t="s">
        <v>461</v>
      </c>
      <c r="I1062" t="b">
        <v>0</v>
      </c>
      <c r="K1062" t="s">
        <v>52</v>
      </c>
      <c r="L1062" t="s">
        <v>3437</v>
      </c>
      <c r="O1062" s="1">
        <v>46343</v>
      </c>
      <c r="P1062" t="s">
        <v>3933</v>
      </c>
      <c r="Q1062" t="s">
        <v>3934</v>
      </c>
      <c r="R1062" t="s">
        <v>150</v>
      </c>
      <c r="S1062" t="b">
        <v>0</v>
      </c>
      <c r="T1062" t="b">
        <v>0</v>
      </c>
      <c r="U1062" t="s">
        <v>3935</v>
      </c>
      <c r="V1062" t="s">
        <v>120</v>
      </c>
      <c r="W1062" t="s">
        <v>95</v>
      </c>
      <c r="X1062" t="s">
        <v>1642</v>
      </c>
      <c r="Y1062" t="s">
        <v>1643</v>
      </c>
      <c r="Z1062" t="s">
        <v>3437</v>
      </c>
      <c r="AA1062" t="b">
        <f>ISNUMBER(SEARCH(";"&amp;Lessons[[#This Row],[Instrument__c]]&amp;";",";"&amp;_xlfn.XLOOKUP(Lessons[[#This Row],[Instructor_External_Id__c]], Instructors[Id], Instructors[Instruments_Taught__c])&amp;";"))</f>
        <v>1</v>
      </c>
      <c r="AB1062" t="str">
        <f>IF(LEFT(Lessons[[#This Row],[Status__c]],9)="Cancelled","",Lessons[[#This Row],[Instructor_External_Id__c]]&amp;"|"&amp;TEXT(Lessons[[#This Row],[Lesson_Date__c]],"yyyy-mm-dd")&amp;"|"&amp;Lessons[[#This Row],[Start_Time__c]])</f>
        <v>a06ak00000amzC8AAI|2026-11-17|18:00:00.000Z</v>
      </c>
      <c r="AC1062">
        <f>IF(Lessons[[#This Row],[Double Booked Key]]="","",COUNTIF(Lessons[Double Booked Key],Lessons[[#This Row],[Double Booked Key]]))</f>
        <v>1</v>
      </c>
      <c r="AD1062" s="6" t="str">
        <f>_xlfn.XLOOKUP(Lessons[[#This Row],[Location_External_Id__c]], Locations[Location Id], Locations[Location Name])</f>
        <v>Toms River</v>
      </c>
      <c r="AE1062" s="6" t="str">
        <f>TEXT(Lessons[[#This Row],[Lesson_Date__c]], "yyyy-mm")</f>
        <v>2026-11</v>
      </c>
      <c r="AF1062" s="6" t="str">
        <f>IF(Lessons[[#This Row],[Lesson_Date__c]]&lt;=Data_Audit!$F$1, "Yes", "No")</f>
        <v>No</v>
      </c>
    </row>
    <row r="1063" spans="1:32">
      <c r="A1063" t="s">
        <v>52</v>
      </c>
      <c r="B1063" t="s">
        <v>3437</v>
      </c>
      <c r="C1063">
        <v>45</v>
      </c>
      <c r="D1063" t="s">
        <v>3936</v>
      </c>
      <c r="E1063" t="s">
        <v>436</v>
      </c>
      <c r="F1063" t="s">
        <v>437</v>
      </c>
      <c r="H1063" t="s">
        <v>263</v>
      </c>
      <c r="I1063" t="b">
        <v>0</v>
      </c>
      <c r="K1063" t="s">
        <v>52</v>
      </c>
      <c r="L1063" t="s">
        <v>3437</v>
      </c>
      <c r="O1063" s="1">
        <v>46344</v>
      </c>
      <c r="P1063" t="s">
        <v>3937</v>
      </c>
      <c r="Q1063" t="s">
        <v>3938</v>
      </c>
      <c r="R1063" t="s">
        <v>63</v>
      </c>
      <c r="S1063" t="b">
        <v>0</v>
      </c>
      <c r="T1063" t="b">
        <v>0</v>
      </c>
      <c r="U1063" t="s">
        <v>3939</v>
      </c>
      <c r="V1063" t="s">
        <v>84</v>
      </c>
      <c r="W1063" t="s">
        <v>95</v>
      </c>
      <c r="X1063" t="s">
        <v>1142</v>
      </c>
      <c r="Y1063" t="s">
        <v>1143</v>
      </c>
      <c r="Z1063" t="s">
        <v>3437</v>
      </c>
      <c r="AA1063" t="b">
        <f>ISNUMBER(SEARCH(";"&amp;Lessons[[#This Row],[Instrument__c]]&amp;";",";"&amp;_xlfn.XLOOKUP(Lessons[[#This Row],[Instructor_External_Id__c]], Instructors[Id], Instructors[Instruments_Taught__c])&amp;";"))</f>
        <v>1</v>
      </c>
      <c r="AB1063" t="str">
        <f>IF(LEFT(Lessons[[#This Row],[Status__c]],9)="Cancelled","",Lessons[[#This Row],[Instructor_External_Id__c]]&amp;"|"&amp;TEXT(Lessons[[#This Row],[Lesson_Date__c]],"yyyy-mm-dd")&amp;"|"&amp;Lessons[[#This Row],[Start_Time__c]])</f>
        <v>a06ak00000amzC0AAI|2026-11-18|17:00:00.000Z</v>
      </c>
      <c r="AC1063">
        <f>IF(Lessons[[#This Row],[Double Booked Key]]="","",COUNTIF(Lessons[Double Booked Key],Lessons[[#This Row],[Double Booked Key]]))</f>
        <v>1</v>
      </c>
      <c r="AD1063" s="6" t="str">
        <f>_xlfn.XLOOKUP(Lessons[[#This Row],[Location_External_Id__c]], Locations[Location Id], Locations[Location Name])</f>
        <v>Red Bank</v>
      </c>
      <c r="AE1063" s="6" t="str">
        <f>TEXT(Lessons[[#This Row],[Lesson_Date__c]], "yyyy-mm")</f>
        <v>2026-11</v>
      </c>
      <c r="AF1063" s="6" t="str">
        <f>IF(Lessons[[#This Row],[Lesson_Date__c]]&lt;=Data_Audit!$F$1, "Yes", "No")</f>
        <v>No</v>
      </c>
    </row>
    <row r="1064" spans="1:32">
      <c r="A1064" t="s">
        <v>52</v>
      </c>
      <c r="B1064" t="s">
        <v>3437</v>
      </c>
      <c r="C1064">
        <v>30</v>
      </c>
      <c r="D1064" t="s">
        <v>3940</v>
      </c>
      <c r="E1064" t="s">
        <v>401</v>
      </c>
      <c r="F1064" t="s">
        <v>402</v>
      </c>
      <c r="H1064" t="s">
        <v>263</v>
      </c>
      <c r="I1064" t="b">
        <v>0</v>
      </c>
      <c r="K1064" t="s">
        <v>52</v>
      </c>
      <c r="L1064" t="s">
        <v>3437</v>
      </c>
      <c r="O1064" s="1">
        <v>46345</v>
      </c>
      <c r="P1064" t="s">
        <v>3941</v>
      </c>
      <c r="Q1064" t="s">
        <v>3942</v>
      </c>
      <c r="R1064" t="s">
        <v>83</v>
      </c>
      <c r="S1064" t="b">
        <v>0</v>
      </c>
      <c r="T1064" t="b">
        <v>0</v>
      </c>
      <c r="U1064" t="s">
        <v>3943</v>
      </c>
      <c r="V1064" t="s">
        <v>140</v>
      </c>
      <c r="W1064" t="s">
        <v>95</v>
      </c>
      <c r="X1064" t="s">
        <v>720</v>
      </c>
      <c r="Y1064" t="s">
        <v>721</v>
      </c>
      <c r="Z1064" t="s">
        <v>3437</v>
      </c>
      <c r="AA1064" t="b">
        <f>ISNUMBER(SEARCH(";"&amp;Lessons[[#This Row],[Instrument__c]]&amp;";",";"&amp;_xlfn.XLOOKUP(Lessons[[#This Row],[Instructor_External_Id__c]], Instructors[Id], Instructors[Instruments_Taught__c])&amp;";"))</f>
        <v>1</v>
      </c>
      <c r="AB1064" t="str">
        <f>IF(LEFT(Lessons[[#This Row],[Status__c]],9)="Cancelled","",Lessons[[#This Row],[Instructor_External_Id__c]]&amp;"|"&amp;TEXT(Lessons[[#This Row],[Lesson_Date__c]],"yyyy-mm-dd")&amp;"|"&amp;Lessons[[#This Row],[Start_Time__c]])</f>
        <v>a06ak00000amzBfAAI|2026-11-19|15:00:00.000Z</v>
      </c>
      <c r="AC1064">
        <f>IF(Lessons[[#This Row],[Double Booked Key]]="","",COUNTIF(Lessons[Double Booked Key],Lessons[[#This Row],[Double Booked Key]]))</f>
        <v>1</v>
      </c>
      <c r="AD1064" s="6" t="str">
        <f>_xlfn.XLOOKUP(Lessons[[#This Row],[Location_External_Id__c]], Locations[Location Id], Locations[Location Name])</f>
        <v>Brick</v>
      </c>
      <c r="AE1064" s="6" t="str">
        <f>TEXT(Lessons[[#This Row],[Lesson_Date__c]], "yyyy-mm")</f>
        <v>2026-11</v>
      </c>
      <c r="AF1064" s="6" t="str">
        <f>IF(Lessons[[#This Row],[Lesson_Date__c]]&lt;=Data_Audit!$F$1, "Yes", "No")</f>
        <v>No</v>
      </c>
    </row>
    <row r="1065" spans="1:32">
      <c r="A1065" t="s">
        <v>52</v>
      </c>
      <c r="B1065" t="s">
        <v>3437</v>
      </c>
      <c r="C1065">
        <v>30</v>
      </c>
      <c r="D1065" t="s">
        <v>3944</v>
      </c>
      <c r="E1065" t="s">
        <v>318</v>
      </c>
      <c r="F1065" t="s">
        <v>319</v>
      </c>
      <c r="H1065" t="s">
        <v>237</v>
      </c>
      <c r="I1065" t="b">
        <v>0</v>
      </c>
      <c r="K1065" t="s">
        <v>52</v>
      </c>
      <c r="L1065" t="s">
        <v>3437</v>
      </c>
      <c r="O1065" s="1">
        <v>46345</v>
      </c>
      <c r="P1065" t="s">
        <v>3945</v>
      </c>
      <c r="Q1065" t="s">
        <v>3946</v>
      </c>
      <c r="R1065" t="s">
        <v>63</v>
      </c>
      <c r="S1065" t="b">
        <v>0</v>
      </c>
      <c r="T1065" t="b">
        <v>0</v>
      </c>
      <c r="U1065" t="s">
        <v>3947</v>
      </c>
      <c r="V1065" t="s">
        <v>140</v>
      </c>
      <c r="W1065" t="s">
        <v>95</v>
      </c>
      <c r="X1065" t="s">
        <v>1944</v>
      </c>
      <c r="Y1065" t="s">
        <v>1945</v>
      </c>
      <c r="Z1065" t="s">
        <v>3437</v>
      </c>
      <c r="AA1065" t="b">
        <f>ISNUMBER(SEARCH(";"&amp;Lessons[[#This Row],[Instrument__c]]&amp;";",";"&amp;_xlfn.XLOOKUP(Lessons[[#This Row],[Instructor_External_Id__c]], Instructors[Id], Instructors[Instruments_Taught__c])&amp;";"))</f>
        <v>1</v>
      </c>
      <c r="AB1065" t="str">
        <f>IF(LEFT(Lessons[[#This Row],[Status__c]],9)="Cancelled","",Lessons[[#This Row],[Instructor_External_Id__c]]&amp;"|"&amp;TEXT(Lessons[[#This Row],[Lesson_Date__c]],"yyyy-mm-dd")&amp;"|"&amp;Lessons[[#This Row],[Start_Time__c]])</f>
        <v>a06ak00000amzBzAAI|2026-11-19|15:00:00.000Z</v>
      </c>
      <c r="AC1065">
        <f>IF(Lessons[[#This Row],[Double Booked Key]]="","",COUNTIF(Lessons[Double Booked Key],Lessons[[#This Row],[Double Booked Key]]))</f>
        <v>1</v>
      </c>
      <c r="AD1065" s="6" t="str">
        <f>_xlfn.XLOOKUP(Lessons[[#This Row],[Location_External_Id__c]], Locations[Location Id], Locations[Location Name])</f>
        <v>Red Bank</v>
      </c>
      <c r="AE1065" s="6" t="str">
        <f>TEXT(Lessons[[#This Row],[Lesson_Date__c]], "yyyy-mm")</f>
        <v>2026-11</v>
      </c>
      <c r="AF1065" s="6" t="str">
        <f>IF(Lessons[[#This Row],[Lesson_Date__c]]&lt;=Data_Audit!$F$1, "Yes", "No")</f>
        <v>No</v>
      </c>
    </row>
    <row r="1066" spans="1:32">
      <c r="A1066" t="s">
        <v>52</v>
      </c>
      <c r="B1066" t="s">
        <v>3437</v>
      </c>
      <c r="C1066">
        <v>30</v>
      </c>
      <c r="D1066" t="s">
        <v>3948</v>
      </c>
      <c r="E1066" t="s">
        <v>401</v>
      </c>
      <c r="F1066" t="s">
        <v>402</v>
      </c>
      <c r="H1066" t="s">
        <v>392</v>
      </c>
      <c r="I1066" t="b">
        <v>0</v>
      </c>
      <c r="K1066" t="s">
        <v>52</v>
      </c>
      <c r="L1066" t="s">
        <v>3437</v>
      </c>
      <c r="O1066" s="1">
        <v>46345</v>
      </c>
      <c r="P1066" t="s">
        <v>3949</v>
      </c>
      <c r="Q1066" t="s">
        <v>3950</v>
      </c>
      <c r="R1066" t="s">
        <v>83</v>
      </c>
      <c r="S1066" t="b">
        <v>0</v>
      </c>
      <c r="T1066" t="b">
        <v>0</v>
      </c>
      <c r="U1066" t="s">
        <v>3951</v>
      </c>
      <c r="V1066" t="s">
        <v>84</v>
      </c>
      <c r="W1066" t="s">
        <v>95</v>
      </c>
      <c r="X1066" t="s">
        <v>2068</v>
      </c>
      <c r="Y1066" t="s">
        <v>2069</v>
      </c>
      <c r="Z1066" t="s">
        <v>3437</v>
      </c>
      <c r="AA1066" t="b">
        <f>ISNUMBER(SEARCH(";"&amp;Lessons[[#This Row],[Instrument__c]]&amp;";",";"&amp;_xlfn.XLOOKUP(Lessons[[#This Row],[Instructor_External_Id__c]], Instructors[Id], Instructors[Instruments_Taught__c])&amp;";"))</f>
        <v>1</v>
      </c>
      <c r="AB1066" t="str">
        <f>IF(LEFT(Lessons[[#This Row],[Status__c]],9)="Cancelled","",Lessons[[#This Row],[Instructor_External_Id__c]]&amp;"|"&amp;TEXT(Lessons[[#This Row],[Lesson_Date__c]],"yyyy-mm-dd")&amp;"|"&amp;Lessons[[#This Row],[Start_Time__c]])</f>
        <v>a06ak00000amzBfAAI|2026-11-19|17:00:00.000Z</v>
      </c>
      <c r="AC1066">
        <f>IF(Lessons[[#This Row],[Double Booked Key]]="","",COUNTIF(Lessons[Double Booked Key],Lessons[[#This Row],[Double Booked Key]]))</f>
        <v>1</v>
      </c>
      <c r="AD1066" s="6" t="str">
        <f>_xlfn.XLOOKUP(Lessons[[#This Row],[Location_External_Id__c]], Locations[Location Id], Locations[Location Name])</f>
        <v>Brick</v>
      </c>
      <c r="AE1066" s="6" t="str">
        <f>TEXT(Lessons[[#This Row],[Lesson_Date__c]], "yyyy-mm")</f>
        <v>2026-11</v>
      </c>
      <c r="AF1066" s="6" t="str">
        <f>IF(Lessons[[#This Row],[Lesson_Date__c]]&lt;=Data_Audit!$F$1, "Yes", "No")</f>
        <v>No</v>
      </c>
    </row>
    <row r="1067" spans="1:32">
      <c r="A1067" t="s">
        <v>52</v>
      </c>
      <c r="B1067" t="s">
        <v>3437</v>
      </c>
      <c r="C1067">
        <v>30</v>
      </c>
      <c r="D1067" t="s">
        <v>3952</v>
      </c>
      <c r="E1067" t="s">
        <v>804</v>
      </c>
      <c r="F1067" t="s">
        <v>805</v>
      </c>
      <c r="H1067" t="s">
        <v>147</v>
      </c>
      <c r="I1067" t="b">
        <v>0</v>
      </c>
      <c r="K1067" t="s">
        <v>52</v>
      </c>
      <c r="L1067" t="s">
        <v>3437</v>
      </c>
      <c r="O1067" s="1">
        <v>46345</v>
      </c>
      <c r="P1067" t="s">
        <v>3953</v>
      </c>
      <c r="Q1067" t="s">
        <v>3954</v>
      </c>
      <c r="R1067" t="s">
        <v>63</v>
      </c>
      <c r="S1067" t="b">
        <v>0</v>
      </c>
      <c r="T1067" t="b">
        <v>0</v>
      </c>
      <c r="U1067" t="s">
        <v>3955</v>
      </c>
      <c r="V1067" t="s">
        <v>84</v>
      </c>
      <c r="W1067" t="s">
        <v>95</v>
      </c>
      <c r="X1067" t="s">
        <v>2277</v>
      </c>
      <c r="Y1067" t="s">
        <v>2278</v>
      </c>
      <c r="Z1067" t="s">
        <v>3437</v>
      </c>
      <c r="AA1067" t="b">
        <f>ISNUMBER(SEARCH(";"&amp;Lessons[[#This Row],[Instrument__c]]&amp;";",";"&amp;_xlfn.XLOOKUP(Lessons[[#This Row],[Instructor_External_Id__c]], Instructors[Id], Instructors[Instruments_Taught__c])&amp;";"))</f>
        <v>1</v>
      </c>
      <c r="AB1067" t="str">
        <f>IF(LEFT(Lessons[[#This Row],[Status__c]],9)="Cancelled","",Lessons[[#This Row],[Instructor_External_Id__c]]&amp;"|"&amp;TEXT(Lessons[[#This Row],[Lesson_Date__c]],"yyyy-mm-dd")&amp;"|"&amp;Lessons[[#This Row],[Start_Time__c]])</f>
        <v>a06ak00000amzCBAAY|2026-11-19|17:00:00.000Z</v>
      </c>
      <c r="AC1067">
        <f>IF(Lessons[[#This Row],[Double Booked Key]]="","",COUNTIF(Lessons[Double Booked Key],Lessons[[#This Row],[Double Booked Key]]))</f>
        <v>1</v>
      </c>
      <c r="AD1067" s="6" t="str">
        <f>_xlfn.XLOOKUP(Lessons[[#This Row],[Location_External_Id__c]], Locations[Location Id], Locations[Location Name])</f>
        <v>Red Bank</v>
      </c>
      <c r="AE1067" s="6" t="str">
        <f>TEXT(Lessons[[#This Row],[Lesson_Date__c]], "yyyy-mm")</f>
        <v>2026-11</v>
      </c>
      <c r="AF1067" s="6" t="str">
        <f>IF(Lessons[[#This Row],[Lesson_Date__c]]&lt;=Data_Audit!$F$1, "Yes", "No")</f>
        <v>No</v>
      </c>
    </row>
    <row r="1068" spans="1:32">
      <c r="A1068" t="s">
        <v>52</v>
      </c>
      <c r="B1068" t="s">
        <v>3437</v>
      </c>
      <c r="C1068">
        <v>60</v>
      </c>
      <c r="D1068" t="s">
        <v>3956</v>
      </c>
      <c r="E1068" t="s">
        <v>337</v>
      </c>
      <c r="F1068" t="s">
        <v>338</v>
      </c>
      <c r="H1068" t="s">
        <v>284</v>
      </c>
      <c r="I1068" t="b">
        <v>0</v>
      </c>
      <c r="K1068" t="s">
        <v>52</v>
      </c>
      <c r="L1068" t="s">
        <v>3437</v>
      </c>
      <c r="O1068" s="1">
        <v>46345</v>
      </c>
      <c r="P1068" t="s">
        <v>3957</v>
      </c>
      <c r="Q1068" t="s">
        <v>3958</v>
      </c>
      <c r="R1068" t="s">
        <v>150</v>
      </c>
      <c r="S1068" t="b">
        <v>0</v>
      </c>
      <c r="T1068" t="b">
        <v>0</v>
      </c>
      <c r="U1068" t="s">
        <v>3959</v>
      </c>
      <c r="V1068" t="s">
        <v>120</v>
      </c>
      <c r="W1068" t="s">
        <v>95</v>
      </c>
      <c r="X1068" t="s">
        <v>1964</v>
      </c>
      <c r="Y1068" t="s">
        <v>1965</v>
      </c>
      <c r="Z1068" t="s">
        <v>3437</v>
      </c>
      <c r="AA1068" t="b">
        <f>ISNUMBER(SEARCH(";"&amp;Lessons[[#This Row],[Instrument__c]]&amp;";",";"&amp;_xlfn.XLOOKUP(Lessons[[#This Row],[Instructor_External_Id__c]], Instructors[Id], Instructors[Instruments_Taught__c])&amp;";"))</f>
        <v>1</v>
      </c>
      <c r="AB1068" t="str">
        <f>IF(LEFT(Lessons[[#This Row],[Status__c]],9)="Cancelled","",Lessons[[#This Row],[Instructor_External_Id__c]]&amp;"|"&amp;TEXT(Lessons[[#This Row],[Lesson_Date__c]],"yyyy-mm-dd")&amp;"|"&amp;Lessons[[#This Row],[Start_Time__c]])</f>
        <v>a06ak00000amzCIAAY|2026-11-19|18:00:00.000Z</v>
      </c>
      <c r="AC1068">
        <f>IF(Lessons[[#This Row],[Double Booked Key]]="","",COUNTIF(Lessons[Double Booked Key],Lessons[[#This Row],[Double Booked Key]]))</f>
        <v>1</v>
      </c>
      <c r="AD1068" s="6" t="str">
        <f>_xlfn.XLOOKUP(Lessons[[#This Row],[Location_External_Id__c]], Locations[Location Id], Locations[Location Name])</f>
        <v>Toms River</v>
      </c>
      <c r="AE1068" s="6" t="str">
        <f>TEXT(Lessons[[#This Row],[Lesson_Date__c]], "yyyy-mm")</f>
        <v>2026-11</v>
      </c>
      <c r="AF1068" s="6" t="str">
        <f>IF(Lessons[[#This Row],[Lesson_Date__c]]&lt;=Data_Audit!$F$1, "Yes", "No")</f>
        <v>No</v>
      </c>
    </row>
    <row r="1069" spans="1:32">
      <c r="A1069" t="s">
        <v>52</v>
      </c>
      <c r="B1069" t="s">
        <v>3437</v>
      </c>
      <c r="C1069">
        <v>30</v>
      </c>
      <c r="D1069" t="s">
        <v>3960</v>
      </c>
      <c r="E1069" t="s">
        <v>243</v>
      </c>
      <c r="F1069" t="s">
        <v>244</v>
      </c>
      <c r="H1069" t="s">
        <v>650</v>
      </c>
      <c r="I1069" t="b">
        <v>0</v>
      </c>
      <c r="K1069" t="s">
        <v>52</v>
      </c>
      <c r="L1069" t="s">
        <v>3437</v>
      </c>
      <c r="O1069" s="1">
        <v>46345</v>
      </c>
      <c r="P1069" t="s">
        <v>3961</v>
      </c>
      <c r="Q1069" t="s">
        <v>3962</v>
      </c>
      <c r="R1069" t="s">
        <v>63</v>
      </c>
      <c r="S1069" t="b">
        <v>0</v>
      </c>
      <c r="T1069" t="b">
        <v>0</v>
      </c>
      <c r="U1069" t="s">
        <v>3963</v>
      </c>
      <c r="V1069" t="s">
        <v>128</v>
      </c>
      <c r="W1069" t="s">
        <v>95</v>
      </c>
      <c r="X1069" t="s">
        <v>2385</v>
      </c>
      <c r="Y1069" t="s">
        <v>2386</v>
      </c>
      <c r="Z1069" t="s">
        <v>3437</v>
      </c>
      <c r="AA1069" t="b">
        <f>ISNUMBER(SEARCH(";"&amp;Lessons[[#This Row],[Instrument__c]]&amp;";",";"&amp;_xlfn.XLOOKUP(Lessons[[#This Row],[Instructor_External_Id__c]], Instructors[Id], Instructors[Instruments_Taught__c])&amp;";"))</f>
        <v>1</v>
      </c>
      <c r="AB1069" t="str">
        <f>IF(LEFT(Lessons[[#This Row],[Status__c]],9)="Cancelled","",Lessons[[#This Row],[Instructor_External_Id__c]]&amp;"|"&amp;TEXT(Lessons[[#This Row],[Lesson_Date__c]],"yyyy-mm-dd")&amp;"|"&amp;Lessons[[#This Row],[Start_Time__c]])</f>
        <v>a06ak00000amzC1AAI|2026-11-19|18:30:00.000Z</v>
      </c>
      <c r="AC1069">
        <f>IF(Lessons[[#This Row],[Double Booked Key]]="","",COUNTIF(Lessons[Double Booked Key],Lessons[[#This Row],[Double Booked Key]]))</f>
        <v>1</v>
      </c>
      <c r="AD1069" s="6" t="str">
        <f>_xlfn.XLOOKUP(Lessons[[#This Row],[Location_External_Id__c]], Locations[Location Id], Locations[Location Name])</f>
        <v>Red Bank</v>
      </c>
      <c r="AE1069" s="6" t="str">
        <f>TEXT(Lessons[[#This Row],[Lesson_Date__c]], "yyyy-mm")</f>
        <v>2026-11</v>
      </c>
      <c r="AF1069" s="6" t="str">
        <f>IF(Lessons[[#This Row],[Lesson_Date__c]]&lt;=Data_Audit!$F$1, "Yes", "No")</f>
        <v>No</v>
      </c>
    </row>
    <row r="1070" spans="1:32">
      <c r="A1070" t="s">
        <v>52</v>
      </c>
      <c r="B1070" t="s">
        <v>3437</v>
      </c>
      <c r="C1070">
        <v>30</v>
      </c>
      <c r="D1070" t="s">
        <v>3964</v>
      </c>
      <c r="E1070" t="s">
        <v>337</v>
      </c>
      <c r="F1070" t="s">
        <v>338</v>
      </c>
      <c r="H1070" t="s">
        <v>284</v>
      </c>
      <c r="I1070" t="b">
        <v>0</v>
      </c>
      <c r="K1070" t="s">
        <v>52</v>
      </c>
      <c r="L1070" t="s">
        <v>3437</v>
      </c>
      <c r="O1070" s="1">
        <v>46345</v>
      </c>
      <c r="P1070" t="s">
        <v>3965</v>
      </c>
      <c r="Q1070" t="s">
        <v>3966</v>
      </c>
      <c r="R1070" t="s">
        <v>150</v>
      </c>
      <c r="S1070" t="b">
        <v>0</v>
      </c>
      <c r="T1070" t="b">
        <v>0</v>
      </c>
      <c r="U1070" t="s">
        <v>3967</v>
      </c>
      <c r="V1070" t="s">
        <v>94</v>
      </c>
      <c r="W1070" t="s">
        <v>95</v>
      </c>
      <c r="X1070" t="s">
        <v>1832</v>
      </c>
      <c r="Y1070" t="s">
        <v>1833</v>
      </c>
      <c r="Z1070" t="s">
        <v>3437</v>
      </c>
      <c r="AA1070" t="b">
        <f>ISNUMBER(SEARCH(";"&amp;Lessons[[#This Row],[Instrument__c]]&amp;";",";"&amp;_xlfn.XLOOKUP(Lessons[[#This Row],[Instructor_External_Id__c]], Instructors[Id], Instructors[Instruments_Taught__c])&amp;";"))</f>
        <v>1</v>
      </c>
      <c r="AB1070" t="str">
        <f>IF(LEFT(Lessons[[#This Row],[Status__c]],9)="Cancelled","",Lessons[[#This Row],[Instructor_External_Id__c]]&amp;"|"&amp;TEXT(Lessons[[#This Row],[Lesson_Date__c]],"yyyy-mm-dd")&amp;"|"&amp;Lessons[[#This Row],[Start_Time__c]])</f>
        <v>a06ak00000amzCIAAY|2026-11-19|19:00:00.000Z</v>
      </c>
      <c r="AC1070">
        <f>IF(Lessons[[#This Row],[Double Booked Key]]="","",COUNTIF(Lessons[Double Booked Key],Lessons[[#This Row],[Double Booked Key]]))</f>
        <v>1</v>
      </c>
      <c r="AD1070" s="6" t="str">
        <f>_xlfn.XLOOKUP(Lessons[[#This Row],[Location_External_Id__c]], Locations[Location Id], Locations[Location Name])</f>
        <v>Toms River</v>
      </c>
      <c r="AE1070" s="6" t="str">
        <f>TEXT(Lessons[[#This Row],[Lesson_Date__c]], "yyyy-mm")</f>
        <v>2026-11</v>
      </c>
      <c r="AF1070" s="6" t="str">
        <f>IF(Lessons[[#This Row],[Lesson_Date__c]]&lt;=Data_Audit!$F$1, "Yes", "No")</f>
        <v>No</v>
      </c>
    </row>
    <row r="1071" spans="1:32">
      <c r="A1071" t="s">
        <v>52</v>
      </c>
      <c r="B1071" t="s">
        <v>3437</v>
      </c>
      <c r="C1071">
        <v>30</v>
      </c>
      <c r="D1071" t="s">
        <v>3968</v>
      </c>
      <c r="E1071" t="s">
        <v>76</v>
      </c>
      <c r="F1071" t="s">
        <v>77</v>
      </c>
      <c r="H1071" t="s">
        <v>78</v>
      </c>
      <c r="I1071" t="b">
        <v>0</v>
      </c>
      <c r="K1071" t="s">
        <v>52</v>
      </c>
      <c r="L1071" t="s">
        <v>3437</v>
      </c>
      <c r="O1071" s="1">
        <v>46346</v>
      </c>
      <c r="P1071" t="s">
        <v>3969</v>
      </c>
      <c r="Q1071" t="s">
        <v>3970</v>
      </c>
      <c r="R1071" t="s">
        <v>83</v>
      </c>
      <c r="S1071" t="b">
        <v>0</v>
      </c>
      <c r="T1071" t="b">
        <v>0</v>
      </c>
      <c r="U1071" t="s">
        <v>3971</v>
      </c>
      <c r="V1071" t="s">
        <v>128</v>
      </c>
      <c r="W1071" t="s">
        <v>95</v>
      </c>
      <c r="X1071" t="s">
        <v>2906</v>
      </c>
      <c r="Y1071" t="s">
        <v>1034</v>
      </c>
      <c r="Z1071" t="s">
        <v>3437</v>
      </c>
      <c r="AA1071" t="b">
        <f>ISNUMBER(SEARCH(";"&amp;Lessons[[#This Row],[Instrument__c]]&amp;";",";"&amp;_xlfn.XLOOKUP(Lessons[[#This Row],[Instructor_External_Id__c]], Instructors[Id], Instructors[Instruments_Taught__c])&amp;";"))</f>
        <v>1</v>
      </c>
      <c r="AB1071" t="str">
        <f>IF(LEFT(Lessons[[#This Row],[Status__c]],9)="Cancelled","",Lessons[[#This Row],[Instructor_External_Id__c]]&amp;"|"&amp;TEXT(Lessons[[#This Row],[Lesson_Date__c]],"yyyy-mm-dd")&amp;"|"&amp;Lessons[[#This Row],[Start_Time__c]])</f>
        <v>a06ak00000amzBgAAI|2026-11-20|18:30:00.000Z</v>
      </c>
      <c r="AC1071">
        <f>IF(Lessons[[#This Row],[Double Booked Key]]="","",COUNTIF(Lessons[Double Booked Key],Lessons[[#This Row],[Double Booked Key]]))</f>
        <v>1</v>
      </c>
      <c r="AD1071" s="6" t="str">
        <f>_xlfn.XLOOKUP(Lessons[[#This Row],[Location_External_Id__c]], Locations[Location Id], Locations[Location Name])</f>
        <v>Brick</v>
      </c>
      <c r="AE1071" s="6" t="str">
        <f>TEXT(Lessons[[#This Row],[Lesson_Date__c]], "yyyy-mm")</f>
        <v>2026-11</v>
      </c>
      <c r="AF1071" s="6" t="str">
        <f>IF(Lessons[[#This Row],[Lesson_Date__c]]&lt;=Data_Audit!$F$1, "Yes", "No")</f>
        <v>No</v>
      </c>
    </row>
    <row r="1072" spans="1:32">
      <c r="A1072" t="s">
        <v>52</v>
      </c>
      <c r="B1072" t="s">
        <v>3437</v>
      </c>
      <c r="C1072">
        <v>45</v>
      </c>
      <c r="D1072" t="s">
        <v>3972</v>
      </c>
      <c r="E1072" t="s">
        <v>318</v>
      </c>
      <c r="F1072" t="s">
        <v>319</v>
      </c>
      <c r="H1072" t="s">
        <v>237</v>
      </c>
      <c r="I1072" t="b">
        <v>0</v>
      </c>
      <c r="K1072" t="s">
        <v>52</v>
      </c>
      <c r="L1072" t="s">
        <v>3437</v>
      </c>
      <c r="O1072" s="1">
        <v>46347</v>
      </c>
      <c r="P1072" t="s">
        <v>3973</v>
      </c>
      <c r="Q1072" t="s">
        <v>3974</v>
      </c>
      <c r="R1072" t="s">
        <v>63</v>
      </c>
      <c r="S1072" t="b">
        <v>0</v>
      </c>
      <c r="T1072" t="b">
        <v>0</v>
      </c>
      <c r="U1072" t="s">
        <v>3975</v>
      </c>
      <c r="V1072" t="s">
        <v>64</v>
      </c>
      <c r="W1072" t="s">
        <v>95</v>
      </c>
      <c r="X1072" t="s">
        <v>905</v>
      </c>
      <c r="Y1072" t="s">
        <v>906</v>
      </c>
      <c r="Z1072" t="s">
        <v>3437</v>
      </c>
      <c r="AA1072" t="b">
        <f>ISNUMBER(SEARCH(";"&amp;Lessons[[#This Row],[Instrument__c]]&amp;";",";"&amp;_xlfn.XLOOKUP(Lessons[[#This Row],[Instructor_External_Id__c]], Instructors[Id], Instructors[Instruments_Taught__c])&amp;";"))</f>
        <v>1</v>
      </c>
      <c r="AB1072" t="str">
        <f>IF(LEFT(Lessons[[#This Row],[Status__c]],9)="Cancelled","",Lessons[[#This Row],[Instructor_External_Id__c]]&amp;"|"&amp;TEXT(Lessons[[#This Row],[Lesson_Date__c]],"yyyy-mm-dd")&amp;"|"&amp;Lessons[[#This Row],[Start_Time__c]])</f>
        <v>a06ak00000amzBzAAI|2026-11-21|11:00:00.000Z</v>
      </c>
      <c r="AC1072">
        <f>IF(Lessons[[#This Row],[Double Booked Key]]="","",COUNTIF(Lessons[Double Booked Key],Lessons[[#This Row],[Double Booked Key]]))</f>
        <v>1</v>
      </c>
      <c r="AD1072" s="6" t="str">
        <f>_xlfn.XLOOKUP(Lessons[[#This Row],[Location_External_Id__c]], Locations[Location Id], Locations[Location Name])</f>
        <v>Red Bank</v>
      </c>
      <c r="AE1072" s="6" t="str">
        <f>TEXT(Lessons[[#This Row],[Lesson_Date__c]], "yyyy-mm")</f>
        <v>2026-11</v>
      </c>
      <c r="AF1072" s="6" t="str">
        <f>IF(Lessons[[#This Row],[Lesson_Date__c]]&lt;=Data_Audit!$F$1, "Yes", "No")</f>
        <v>No</v>
      </c>
    </row>
    <row r="1073" spans="1:32">
      <c r="A1073" t="s">
        <v>52</v>
      </c>
      <c r="B1073" t="s">
        <v>3437</v>
      </c>
      <c r="C1073">
        <v>30</v>
      </c>
      <c r="D1073" t="s">
        <v>3976</v>
      </c>
      <c r="E1073" t="s">
        <v>282</v>
      </c>
      <c r="F1073" t="s">
        <v>283</v>
      </c>
      <c r="H1073" t="s">
        <v>284</v>
      </c>
      <c r="I1073" t="b">
        <v>0</v>
      </c>
      <c r="K1073" t="s">
        <v>52</v>
      </c>
      <c r="L1073" t="s">
        <v>3437</v>
      </c>
      <c r="O1073" s="1">
        <v>46347</v>
      </c>
      <c r="P1073" t="s">
        <v>3977</v>
      </c>
      <c r="Q1073" t="s">
        <v>3978</v>
      </c>
      <c r="R1073" t="s">
        <v>83</v>
      </c>
      <c r="S1073" t="b">
        <v>0</v>
      </c>
      <c r="T1073" t="b">
        <v>0</v>
      </c>
      <c r="U1073" t="s">
        <v>3979</v>
      </c>
      <c r="V1073" t="s">
        <v>64</v>
      </c>
      <c r="W1073" t="s">
        <v>95</v>
      </c>
      <c r="X1073" t="s">
        <v>1282</v>
      </c>
      <c r="Y1073" t="s">
        <v>1283</v>
      </c>
      <c r="Z1073" t="s">
        <v>3437</v>
      </c>
      <c r="AA1073" t="b">
        <f>ISNUMBER(SEARCH(";"&amp;Lessons[[#This Row],[Instrument__c]]&amp;";",";"&amp;_xlfn.XLOOKUP(Lessons[[#This Row],[Instructor_External_Id__c]], Instructors[Id], Instructors[Instruments_Taught__c])&amp;";"))</f>
        <v>1</v>
      </c>
      <c r="AB1073" t="str">
        <f>IF(LEFT(Lessons[[#This Row],[Status__c]],9)="Cancelled","",Lessons[[#This Row],[Instructor_External_Id__c]]&amp;"|"&amp;TEXT(Lessons[[#This Row],[Lesson_Date__c]],"yyyy-mm-dd")&amp;"|"&amp;Lessons[[#This Row],[Start_Time__c]])</f>
        <v>a06ak00000amzBxAAI|2026-11-21|11:00:00.000Z</v>
      </c>
      <c r="AC1073">
        <f>IF(Lessons[[#This Row],[Double Booked Key]]="","",COUNTIF(Lessons[Double Booked Key],Lessons[[#This Row],[Double Booked Key]]))</f>
        <v>1</v>
      </c>
      <c r="AD1073" s="6" t="str">
        <f>_xlfn.XLOOKUP(Lessons[[#This Row],[Location_External_Id__c]], Locations[Location Id], Locations[Location Name])</f>
        <v>Brick</v>
      </c>
      <c r="AE1073" s="6" t="str">
        <f>TEXT(Lessons[[#This Row],[Lesson_Date__c]], "yyyy-mm")</f>
        <v>2026-11</v>
      </c>
      <c r="AF1073" s="6" t="str">
        <f>IF(Lessons[[#This Row],[Lesson_Date__c]]&lt;=Data_Audit!$F$1, "Yes", "No")</f>
        <v>No</v>
      </c>
    </row>
    <row r="1074" spans="1:32">
      <c r="A1074" t="s">
        <v>52</v>
      </c>
      <c r="B1074" t="s">
        <v>3437</v>
      </c>
      <c r="C1074">
        <v>60</v>
      </c>
      <c r="D1074" t="s">
        <v>3980</v>
      </c>
      <c r="E1074" t="s">
        <v>459</v>
      </c>
      <c r="F1074" t="s">
        <v>460</v>
      </c>
      <c r="H1074" t="s">
        <v>107</v>
      </c>
      <c r="I1074" t="b">
        <v>0</v>
      </c>
      <c r="K1074" t="s">
        <v>52</v>
      </c>
      <c r="L1074" t="s">
        <v>3437</v>
      </c>
      <c r="O1074" s="1">
        <v>46347</v>
      </c>
      <c r="P1074" t="s">
        <v>3981</v>
      </c>
      <c r="Q1074" t="s">
        <v>3982</v>
      </c>
      <c r="R1074" t="s">
        <v>83</v>
      </c>
      <c r="S1074" t="b">
        <v>0</v>
      </c>
      <c r="T1074" t="b">
        <v>0</v>
      </c>
      <c r="U1074" t="s">
        <v>3983</v>
      </c>
      <c r="V1074" t="s">
        <v>3208</v>
      </c>
      <c r="W1074" t="s">
        <v>95</v>
      </c>
      <c r="X1074" t="s">
        <v>2430</v>
      </c>
      <c r="Y1074" t="s">
        <v>2431</v>
      </c>
      <c r="Z1074" t="s">
        <v>3437</v>
      </c>
      <c r="AA1074" t="b">
        <f>ISNUMBER(SEARCH(";"&amp;Lessons[[#This Row],[Instrument__c]]&amp;";",";"&amp;_xlfn.XLOOKUP(Lessons[[#This Row],[Instructor_External_Id__c]], Instructors[Id], Instructors[Instruments_Taught__c])&amp;";"))</f>
        <v>1</v>
      </c>
      <c r="AB1074" t="str">
        <f>IF(LEFT(Lessons[[#This Row],[Status__c]],9)="Cancelled","",Lessons[[#This Row],[Instructor_External_Id__c]]&amp;"|"&amp;TEXT(Lessons[[#This Row],[Lesson_Date__c]],"yyyy-mm-dd")&amp;"|"&amp;Lessons[[#This Row],[Start_Time__c]])</f>
        <v>a06ak00000amzC8AAI|2026-11-21|12:30:00.000Z</v>
      </c>
      <c r="AC1074">
        <f>IF(Lessons[[#This Row],[Double Booked Key]]="","",COUNTIF(Lessons[Double Booked Key],Lessons[[#This Row],[Double Booked Key]]))</f>
        <v>1</v>
      </c>
      <c r="AD1074" s="6" t="str">
        <f>_xlfn.XLOOKUP(Lessons[[#This Row],[Location_External_Id__c]], Locations[Location Id], Locations[Location Name])</f>
        <v>Brick</v>
      </c>
      <c r="AE1074" s="6" t="str">
        <f>TEXT(Lessons[[#This Row],[Lesson_Date__c]], "yyyy-mm")</f>
        <v>2026-11</v>
      </c>
      <c r="AF1074" s="6" t="str">
        <f>IF(Lessons[[#This Row],[Lesson_Date__c]]&lt;=Data_Audit!$F$1, "Yes", "No")</f>
        <v>No</v>
      </c>
    </row>
    <row r="1075" spans="1:32">
      <c r="A1075" t="s">
        <v>52</v>
      </c>
      <c r="B1075" t="s">
        <v>3437</v>
      </c>
      <c r="C1075">
        <v>60</v>
      </c>
      <c r="D1075" t="s">
        <v>3984</v>
      </c>
      <c r="E1075" t="s">
        <v>944</v>
      </c>
      <c r="F1075" t="s">
        <v>945</v>
      </c>
      <c r="H1075" t="s">
        <v>392</v>
      </c>
      <c r="I1075" t="b">
        <v>0</v>
      </c>
      <c r="K1075" t="s">
        <v>52</v>
      </c>
      <c r="L1075" t="s">
        <v>3437</v>
      </c>
      <c r="O1075" s="1">
        <v>46349</v>
      </c>
      <c r="P1075" t="s">
        <v>3985</v>
      </c>
      <c r="Q1075" t="s">
        <v>3986</v>
      </c>
      <c r="R1075" t="s">
        <v>150</v>
      </c>
      <c r="S1075" t="b">
        <v>0</v>
      </c>
      <c r="T1075" t="b">
        <v>0</v>
      </c>
      <c r="U1075" t="s">
        <v>3987</v>
      </c>
      <c r="V1075" t="s">
        <v>140</v>
      </c>
      <c r="W1075" t="s">
        <v>95</v>
      </c>
      <c r="X1075" t="s">
        <v>2215</v>
      </c>
      <c r="Y1075" t="s">
        <v>2216</v>
      </c>
      <c r="Z1075" t="s">
        <v>3437</v>
      </c>
      <c r="AA1075" t="b">
        <f>ISNUMBER(SEARCH(";"&amp;Lessons[[#This Row],[Instrument__c]]&amp;";",";"&amp;_xlfn.XLOOKUP(Lessons[[#This Row],[Instructor_External_Id__c]], Instructors[Id], Instructors[Instruments_Taught__c])&amp;";"))</f>
        <v>1</v>
      </c>
      <c r="AB1075" t="str">
        <f>IF(LEFT(Lessons[[#This Row],[Status__c]],9)="Cancelled","",Lessons[[#This Row],[Instructor_External_Id__c]]&amp;"|"&amp;TEXT(Lessons[[#This Row],[Lesson_Date__c]],"yyyy-mm-dd")&amp;"|"&amp;Lessons[[#This Row],[Start_Time__c]])</f>
        <v>a06ak00000amzBtAAI|2026-11-23|15:00:00.000Z</v>
      </c>
      <c r="AC1075">
        <f>IF(Lessons[[#This Row],[Double Booked Key]]="","",COUNTIF(Lessons[Double Booked Key],Lessons[[#This Row],[Double Booked Key]]))</f>
        <v>1</v>
      </c>
      <c r="AD1075" s="6" t="str">
        <f>_xlfn.XLOOKUP(Lessons[[#This Row],[Location_External_Id__c]], Locations[Location Id], Locations[Location Name])</f>
        <v>Toms River</v>
      </c>
      <c r="AE1075" s="6" t="str">
        <f>TEXT(Lessons[[#This Row],[Lesson_Date__c]], "yyyy-mm")</f>
        <v>2026-11</v>
      </c>
      <c r="AF1075" s="6" t="str">
        <f>IF(Lessons[[#This Row],[Lesson_Date__c]]&lt;=Data_Audit!$F$1, "Yes", "No")</f>
        <v>No</v>
      </c>
    </row>
    <row r="1076" spans="1:32">
      <c r="A1076" t="s">
        <v>52</v>
      </c>
      <c r="B1076" t="s">
        <v>3437</v>
      </c>
      <c r="C1076">
        <v>30</v>
      </c>
      <c r="D1076" t="s">
        <v>3988</v>
      </c>
      <c r="E1076" t="s">
        <v>436</v>
      </c>
      <c r="F1076" t="s">
        <v>437</v>
      </c>
      <c r="H1076" t="s">
        <v>461</v>
      </c>
      <c r="I1076" t="b">
        <v>0</v>
      </c>
      <c r="K1076" t="s">
        <v>52</v>
      </c>
      <c r="L1076" t="s">
        <v>3437</v>
      </c>
      <c r="O1076" s="1">
        <v>46349</v>
      </c>
      <c r="P1076" t="s">
        <v>3989</v>
      </c>
      <c r="Q1076" t="s">
        <v>3990</v>
      </c>
      <c r="R1076" t="s">
        <v>63</v>
      </c>
      <c r="S1076" t="b">
        <v>0</v>
      </c>
      <c r="T1076" t="b">
        <v>0</v>
      </c>
      <c r="U1076" t="s">
        <v>3991</v>
      </c>
      <c r="V1076" t="s">
        <v>102</v>
      </c>
      <c r="W1076" t="s">
        <v>95</v>
      </c>
      <c r="X1076" t="s">
        <v>1694</v>
      </c>
      <c r="Y1076" t="s">
        <v>1695</v>
      </c>
      <c r="Z1076" t="s">
        <v>3437</v>
      </c>
      <c r="AA1076" t="b">
        <f>ISNUMBER(SEARCH(";"&amp;Lessons[[#This Row],[Instrument__c]]&amp;";",";"&amp;_xlfn.XLOOKUP(Lessons[[#This Row],[Instructor_External_Id__c]], Instructors[Id], Instructors[Instruments_Taught__c])&amp;";"))</f>
        <v>1</v>
      </c>
      <c r="AB1076" t="str">
        <f>IF(LEFT(Lessons[[#This Row],[Status__c]],9)="Cancelled","",Lessons[[#This Row],[Instructor_External_Id__c]]&amp;"|"&amp;TEXT(Lessons[[#This Row],[Lesson_Date__c]],"yyyy-mm-dd")&amp;"|"&amp;Lessons[[#This Row],[Start_Time__c]])</f>
        <v>a06ak00000amzC0AAI|2026-11-23|16:00:00.000Z</v>
      </c>
      <c r="AC1076">
        <f>IF(Lessons[[#This Row],[Double Booked Key]]="","",COUNTIF(Lessons[Double Booked Key],Lessons[[#This Row],[Double Booked Key]]))</f>
        <v>1</v>
      </c>
      <c r="AD1076" s="6" t="str">
        <f>_xlfn.XLOOKUP(Lessons[[#This Row],[Location_External_Id__c]], Locations[Location Id], Locations[Location Name])</f>
        <v>Red Bank</v>
      </c>
      <c r="AE1076" s="6" t="str">
        <f>TEXT(Lessons[[#This Row],[Lesson_Date__c]], "yyyy-mm")</f>
        <v>2026-11</v>
      </c>
      <c r="AF1076" s="6" t="str">
        <f>IF(Lessons[[#This Row],[Lesson_Date__c]]&lt;=Data_Audit!$F$1, "Yes", "No")</f>
        <v>No</v>
      </c>
    </row>
    <row r="1077" spans="1:32">
      <c r="A1077" t="s">
        <v>52</v>
      </c>
      <c r="B1077" t="s">
        <v>3437</v>
      </c>
      <c r="C1077">
        <v>45</v>
      </c>
      <c r="D1077" t="s">
        <v>3992</v>
      </c>
      <c r="E1077" t="s">
        <v>76</v>
      </c>
      <c r="F1077" t="s">
        <v>77</v>
      </c>
      <c r="H1077" t="s">
        <v>78</v>
      </c>
      <c r="I1077" t="b">
        <v>0</v>
      </c>
      <c r="K1077" t="s">
        <v>52</v>
      </c>
      <c r="L1077" t="s">
        <v>3437</v>
      </c>
      <c r="O1077" s="1">
        <v>46349</v>
      </c>
      <c r="P1077" t="s">
        <v>3993</v>
      </c>
      <c r="Q1077" t="s">
        <v>3994</v>
      </c>
      <c r="R1077" t="s">
        <v>83</v>
      </c>
      <c r="S1077" t="b">
        <v>0</v>
      </c>
      <c r="T1077" t="b">
        <v>0</v>
      </c>
      <c r="U1077" t="s">
        <v>3995</v>
      </c>
      <c r="V1077" t="s">
        <v>74</v>
      </c>
      <c r="W1077" t="s">
        <v>95</v>
      </c>
      <c r="X1077" t="s">
        <v>183</v>
      </c>
      <c r="Y1077" t="s">
        <v>184</v>
      </c>
      <c r="Z1077" t="s">
        <v>3437</v>
      </c>
      <c r="AA1077" t="b">
        <f>ISNUMBER(SEARCH(";"&amp;Lessons[[#This Row],[Instrument__c]]&amp;";",";"&amp;_xlfn.XLOOKUP(Lessons[[#This Row],[Instructor_External_Id__c]], Instructors[Id], Instructors[Instruments_Taught__c])&amp;";"))</f>
        <v>1</v>
      </c>
      <c r="AB1077" t="str">
        <f>IF(LEFT(Lessons[[#This Row],[Status__c]],9)="Cancelled","",Lessons[[#This Row],[Instructor_External_Id__c]]&amp;"|"&amp;TEXT(Lessons[[#This Row],[Lesson_Date__c]],"yyyy-mm-dd")&amp;"|"&amp;Lessons[[#This Row],[Start_Time__c]])</f>
        <v>a06ak00000amzBgAAI|2026-11-23|16:30:00.000Z</v>
      </c>
      <c r="AC1077">
        <f>IF(Lessons[[#This Row],[Double Booked Key]]="","",COUNTIF(Lessons[Double Booked Key],Lessons[[#This Row],[Double Booked Key]]))</f>
        <v>1</v>
      </c>
      <c r="AD1077" s="6" t="str">
        <f>_xlfn.XLOOKUP(Lessons[[#This Row],[Location_External_Id__c]], Locations[Location Id], Locations[Location Name])</f>
        <v>Brick</v>
      </c>
      <c r="AE1077" s="6" t="str">
        <f>TEXT(Lessons[[#This Row],[Lesson_Date__c]], "yyyy-mm")</f>
        <v>2026-11</v>
      </c>
      <c r="AF1077" s="6" t="str">
        <f>IF(Lessons[[#This Row],[Lesson_Date__c]]&lt;=Data_Audit!$F$1, "Yes", "No")</f>
        <v>No</v>
      </c>
    </row>
    <row r="1078" spans="1:32">
      <c r="A1078" t="s">
        <v>52</v>
      </c>
      <c r="B1078" t="s">
        <v>3437</v>
      </c>
      <c r="C1078">
        <v>30</v>
      </c>
      <c r="D1078" t="s">
        <v>3996</v>
      </c>
      <c r="E1078" t="s">
        <v>243</v>
      </c>
      <c r="F1078" t="s">
        <v>244</v>
      </c>
      <c r="H1078" t="s">
        <v>650</v>
      </c>
      <c r="I1078" t="b">
        <v>0</v>
      </c>
      <c r="K1078" t="s">
        <v>52</v>
      </c>
      <c r="L1078" t="s">
        <v>3437</v>
      </c>
      <c r="O1078" s="1">
        <v>46349</v>
      </c>
      <c r="P1078" t="s">
        <v>3997</v>
      </c>
      <c r="Q1078" t="s">
        <v>3998</v>
      </c>
      <c r="R1078" t="s">
        <v>83</v>
      </c>
      <c r="S1078" t="b">
        <v>0</v>
      </c>
      <c r="T1078" t="b">
        <v>0</v>
      </c>
      <c r="U1078" t="s">
        <v>3999</v>
      </c>
      <c r="V1078" t="s">
        <v>74</v>
      </c>
      <c r="W1078" t="s">
        <v>95</v>
      </c>
      <c r="X1078" t="s">
        <v>2521</v>
      </c>
      <c r="Y1078" t="s">
        <v>2522</v>
      </c>
      <c r="Z1078" t="s">
        <v>3437</v>
      </c>
      <c r="AA1078" t="b">
        <f>ISNUMBER(SEARCH(";"&amp;Lessons[[#This Row],[Instrument__c]]&amp;";",";"&amp;_xlfn.XLOOKUP(Lessons[[#This Row],[Instructor_External_Id__c]], Instructors[Id], Instructors[Instruments_Taught__c])&amp;";"))</f>
        <v>1</v>
      </c>
      <c r="AB1078" t="str">
        <f>IF(LEFT(Lessons[[#This Row],[Status__c]],9)="Cancelled","",Lessons[[#This Row],[Instructor_External_Id__c]]&amp;"|"&amp;TEXT(Lessons[[#This Row],[Lesson_Date__c]],"yyyy-mm-dd")&amp;"|"&amp;Lessons[[#This Row],[Start_Time__c]])</f>
        <v>a06ak00000amzC1AAI|2026-11-23|16:30:00.000Z</v>
      </c>
      <c r="AC1078">
        <f>IF(Lessons[[#This Row],[Double Booked Key]]="","",COUNTIF(Lessons[Double Booked Key],Lessons[[#This Row],[Double Booked Key]]))</f>
        <v>1</v>
      </c>
      <c r="AD1078" s="6" t="str">
        <f>_xlfn.XLOOKUP(Lessons[[#This Row],[Location_External_Id__c]], Locations[Location Id], Locations[Location Name])</f>
        <v>Brick</v>
      </c>
      <c r="AE1078" s="6" t="str">
        <f>TEXT(Lessons[[#This Row],[Lesson_Date__c]], "yyyy-mm")</f>
        <v>2026-11</v>
      </c>
      <c r="AF1078" s="6" t="str">
        <f>IF(Lessons[[#This Row],[Lesson_Date__c]]&lt;=Data_Audit!$F$1, "Yes", "No")</f>
        <v>No</v>
      </c>
    </row>
    <row r="1079" spans="1:32">
      <c r="A1079" t="s">
        <v>52</v>
      </c>
      <c r="B1079" t="s">
        <v>3437</v>
      </c>
      <c r="C1079">
        <v>60</v>
      </c>
      <c r="D1079" t="s">
        <v>4000</v>
      </c>
      <c r="E1079" t="s">
        <v>243</v>
      </c>
      <c r="F1079" t="s">
        <v>244</v>
      </c>
      <c r="H1079" t="s">
        <v>237</v>
      </c>
      <c r="I1079" t="b">
        <v>0</v>
      </c>
      <c r="K1079" t="s">
        <v>52</v>
      </c>
      <c r="L1079" t="s">
        <v>3437</v>
      </c>
      <c r="O1079" s="1">
        <v>46350</v>
      </c>
      <c r="P1079" t="s">
        <v>4001</v>
      </c>
      <c r="Q1079" t="s">
        <v>4002</v>
      </c>
      <c r="R1079" t="s">
        <v>83</v>
      </c>
      <c r="S1079" t="b">
        <v>0</v>
      </c>
      <c r="T1079" t="b">
        <v>0</v>
      </c>
      <c r="U1079" t="s">
        <v>4003</v>
      </c>
      <c r="V1079" t="s">
        <v>135</v>
      </c>
      <c r="W1079" t="s">
        <v>95</v>
      </c>
      <c r="X1079" t="s">
        <v>965</v>
      </c>
      <c r="Y1079" t="s">
        <v>966</v>
      </c>
      <c r="Z1079" t="s">
        <v>3437</v>
      </c>
      <c r="AA1079" t="b">
        <f>ISNUMBER(SEARCH(";"&amp;Lessons[[#This Row],[Instrument__c]]&amp;";",";"&amp;_xlfn.XLOOKUP(Lessons[[#This Row],[Instructor_External_Id__c]], Instructors[Id], Instructors[Instruments_Taught__c])&amp;";"))</f>
        <v>1</v>
      </c>
      <c r="AB1079" t="str">
        <f>IF(LEFT(Lessons[[#This Row],[Status__c]],9)="Cancelled","",Lessons[[#This Row],[Instructor_External_Id__c]]&amp;"|"&amp;TEXT(Lessons[[#This Row],[Lesson_Date__c]],"yyyy-mm-dd")&amp;"|"&amp;Lessons[[#This Row],[Start_Time__c]])</f>
        <v>a06ak00000amzC1AAI|2026-11-24|15:30:00.000Z</v>
      </c>
      <c r="AC1079">
        <f>IF(Lessons[[#This Row],[Double Booked Key]]="","",COUNTIF(Lessons[Double Booked Key],Lessons[[#This Row],[Double Booked Key]]))</f>
        <v>1</v>
      </c>
      <c r="AD1079" s="6" t="str">
        <f>_xlfn.XLOOKUP(Lessons[[#This Row],[Location_External_Id__c]], Locations[Location Id], Locations[Location Name])</f>
        <v>Brick</v>
      </c>
      <c r="AE1079" s="6" t="str">
        <f>TEXT(Lessons[[#This Row],[Lesson_Date__c]], "yyyy-mm")</f>
        <v>2026-11</v>
      </c>
      <c r="AF1079" s="6" t="str">
        <f>IF(Lessons[[#This Row],[Lesson_Date__c]]&lt;=Data_Audit!$F$1, "Yes", "No")</f>
        <v>No</v>
      </c>
    </row>
    <row r="1080" spans="1:32">
      <c r="A1080" t="s">
        <v>52</v>
      </c>
      <c r="B1080" t="s">
        <v>3437</v>
      </c>
      <c r="C1080">
        <v>30</v>
      </c>
      <c r="D1080" t="s">
        <v>4004</v>
      </c>
      <c r="E1080" t="s">
        <v>282</v>
      </c>
      <c r="F1080" t="s">
        <v>283</v>
      </c>
      <c r="H1080" t="s">
        <v>284</v>
      </c>
      <c r="I1080" t="b">
        <v>0</v>
      </c>
      <c r="K1080" t="s">
        <v>52</v>
      </c>
      <c r="L1080" t="s">
        <v>3437</v>
      </c>
      <c r="O1080" s="1">
        <v>46350</v>
      </c>
      <c r="P1080" t="s">
        <v>4005</v>
      </c>
      <c r="Q1080" t="s">
        <v>4006</v>
      </c>
      <c r="R1080" t="s">
        <v>83</v>
      </c>
      <c r="S1080" t="b">
        <v>0</v>
      </c>
      <c r="T1080" t="b">
        <v>0</v>
      </c>
      <c r="U1080" t="s">
        <v>4007</v>
      </c>
      <c r="V1080" t="s">
        <v>135</v>
      </c>
      <c r="W1080" t="s">
        <v>95</v>
      </c>
      <c r="X1080" t="s">
        <v>2642</v>
      </c>
      <c r="Y1080" t="s">
        <v>2643</v>
      </c>
      <c r="Z1080" t="s">
        <v>3437</v>
      </c>
      <c r="AA1080" t="b">
        <f>ISNUMBER(SEARCH(";"&amp;Lessons[[#This Row],[Instrument__c]]&amp;";",";"&amp;_xlfn.XLOOKUP(Lessons[[#This Row],[Instructor_External_Id__c]], Instructors[Id], Instructors[Instruments_Taught__c])&amp;";"))</f>
        <v>1</v>
      </c>
      <c r="AB1080" t="str">
        <f>IF(LEFT(Lessons[[#This Row],[Status__c]],9)="Cancelled","",Lessons[[#This Row],[Instructor_External_Id__c]]&amp;"|"&amp;TEXT(Lessons[[#This Row],[Lesson_Date__c]],"yyyy-mm-dd")&amp;"|"&amp;Lessons[[#This Row],[Start_Time__c]])</f>
        <v>a06ak00000amzBxAAI|2026-11-24|15:30:00.000Z</v>
      </c>
      <c r="AC1080">
        <f>IF(Lessons[[#This Row],[Double Booked Key]]="","",COUNTIF(Lessons[Double Booked Key],Lessons[[#This Row],[Double Booked Key]]))</f>
        <v>1</v>
      </c>
      <c r="AD1080" s="6" t="str">
        <f>_xlfn.XLOOKUP(Lessons[[#This Row],[Location_External_Id__c]], Locations[Location Id], Locations[Location Name])</f>
        <v>Brick</v>
      </c>
      <c r="AE1080" s="6" t="str">
        <f>TEXT(Lessons[[#This Row],[Lesson_Date__c]], "yyyy-mm")</f>
        <v>2026-11</v>
      </c>
      <c r="AF1080" s="6" t="str">
        <f>IF(Lessons[[#This Row],[Lesson_Date__c]]&lt;=Data_Audit!$F$1, "Yes", "No")</f>
        <v>No</v>
      </c>
    </row>
    <row r="1081" spans="1:32">
      <c r="A1081" t="s">
        <v>52</v>
      </c>
      <c r="B1081" t="s">
        <v>3437</v>
      </c>
      <c r="C1081">
        <v>30</v>
      </c>
      <c r="D1081" t="s">
        <v>4008</v>
      </c>
      <c r="E1081" t="s">
        <v>573</v>
      </c>
      <c r="F1081" t="s">
        <v>574</v>
      </c>
      <c r="H1081" t="s">
        <v>461</v>
      </c>
      <c r="I1081" t="b">
        <v>0</v>
      </c>
      <c r="K1081" t="s">
        <v>52</v>
      </c>
      <c r="L1081" t="s">
        <v>3437</v>
      </c>
      <c r="O1081" s="1">
        <v>46350</v>
      </c>
      <c r="P1081" t="s">
        <v>4009</v>
      </c>
      <c r="Q1081" t="s">
        <v>4010</v>
      </c>
      <c r="R1081" t="s">
        <v>150</v>
      </c>
      <c r="S1081" t="b">
        <v>0</v>
      </c>
      <c r="T1081" t="b">
        <v>0</v>
      </c>
      <c r="U1081" t="s">
        <v>4011</v>
      </c>
      <c r="V1081" t="s">
        <v>84</v>
      </c>
      <c r="W1081" t="s">
        <v>95</v>
      </c>
      <c r="X1081" t="s">
        <v>2567</v>
      </c>
      <c r="Y1081" t="s">
        <v>2568</v>
      </c>
      <c r="Z1081" t="s">
        <v>3437</v>
      </c>
      <c r="AA1081" t="b">
        <f>ISNUMBER(SEARCH(";"&amp;Lessons[[#This Row],[Instrument__c]]&amp;";",";"&amp;_xlfn.XLOOKUP(Lessons[[#This Row],[Instructor_External_Id__c]], Instructors[Id], Instructors[Instruments_Taught__c])&amp;";"))</f>
        <v>1</v>
      </c>
      <c r="AB1081" t="str">
        <f>IF(LEFT(Lessons[[#This Row],[Status__c]],9)="Cancelled","",Lessons[[#This Row],[Instructor_External_Id__c]]&amp;"|"&amp;TEXT(Lessons[[#This Row],[Lesson_Date__c]],"yyyy-mm-dd")&amp;"|"&amp;Lessons[[#This Row],[Start_Time__c]])</f>
        <v>a06ak00000amzCCAAY|2026-11-24|17:00:00.000Z</v>
      </c>
      <c r="AC1081">
        <f>IF(Lessons[[#This Row],[Double Booked Key]]="","",COUNTIF(Lessons[Double Booked Key],Lessons[[#This Row],[Double Booked Key]]))</f>
        <v>1</v>
      </c>
      <c r="AD1081" s="6" t="str">
        <f>_xlfn.XLOOKUP(Lessons[[#This Row],[Location_External_Id__c]], Locations[Location Id], Locations[Location Name])</f>
        <v>Toms River</v>
      </c>
      <c r="AE1081" s="6" t="str">
        <f>TEXT(Lessons[[#This Row],[Lesson_Date__c]], "yyyy-mm")</f>
        <v>2026-11</v>
      </c>
      <c r="AF1081" s="6" t="str">
        <f>IF(Lessons[[#This Row],[Lesson_Date__c]]&lt;=Data_Audit!$F$1, "Yes", "No")</f>
        <v>No</v>
      </c>
    </row>
    <row r="1082" spans="1:32">
      <c r="A1082" t="s">
        <v>52</v>
      </c>
      <c r="B1082" t="s">
        <v>3437</v>
      </c>
      <c r="C1082">
        <v>60</v>
      </c>
      <c r="D1082" t="s">
        <v>4012</v>
      </c>
      <c r="E1082" t="s">
        <v>76</v>
      </c>
      <c r="F1082" t="s">
        <v>77</v>
      </c>
      <c r="H1082" t="s">
        <v>58</v>
      </c>
      <c r="I1082" t="b">
        <v>0</v>
      </c>
      <c r="K1082" t="s">
        <v>52</v>
      </c>
      <c r="L1082" t="s">
        <v>3437</v>
      </c>
      <c r="O1082" s="1">
        <v>46351</v>
      </c>
      <c r="P1082" t="s">
        <v>4013</v>
      </c>
      <c r="Q1082" t="s">
        <v>4014</v>
      </c>
      <c r="R1082" t="s">
        <v>83</v>
      </c>
      <c r="S1082" t="b">
        <v>0</v>
      </c>
      <c r="T1082" t="b">
        <v>0</v>
      </c>
      <c r="U1082" t="s">
        <v>4015</v>
      </c>
      <c r="V1082" t="s">
        <v>102</v>
      </c>
      <c r="W1082" t="s">
        <v>95</v>
      </c>
      <c r="X1082" t="s">
        <v>1080</v>
      </c>
      <c r="Y1082" t="s">
        <v>1081</v>
      </c>
      <c r="Z1082" t="s">
        <v>3437</v>
      </c>
      <c r="AA1082" t="b">
        <f>ISNUMBER(SEARCH(";"&amp;Lessons[[#This Row],[Instrument__c]]&amp;";",";"&amp;_xlfn.XLOOKUP(Lessons[[#This Row],[Instructor_External_Id__c]], Instructors[Id], Instructors[Instruments_Taught__c])&amp;";"))</f>
        <v>1</v>
      </c>
      <c r="AB1082" t="str">
        <f>IF(LEFT(Lessons[[#This Row],[Status__c]],9)="Cancelled","",Lessons[[#This Row],[Instructor_External_Id__c]]&amp;"|"&amp;TEXT(Lessons[[#This Row],[Lesson_Date__c]],"yyyy-mm-dd")&amp;"|"&amp;Lessons[[#This Row],[Start_Time__c]])</f>
        <v>a06ak00000amzBgAAI|2026-11-25|16:00:00.000Z</v>
      </c>
      <c r="AC1082">
        <f>IF(Lessons[[#This Row],[Double Booked Key]]="","",COUNTIF(Lessons[Double Booked Key],Lessons[[#This Row],[Double Booked Key]]))</f>
        <v>1</v>
      </c>
      <c r="AD1082" s="6" t="str">
        <f>_xlfn.XLOOKUP(Lessons[[#This Row],[Location_External_Id__c]], Locations[Location Id], Locations[Location Name])</f>
        <v>Brick</v>
      </c>
      <c r="AE1082" s="6" t="str">
        <f>TEXT(Lessons[[#This Row],[Lesson_Date__c]], "yyyy-mm")</f>
        <v>2026-11</v>
      </c>
      <c r="AF1082" s="6" t="str">
        <f>IF(Lessons[[#This Row],[Lesson_Date__c]]&lt;=Data_Audit!$F$1, "Yes", "No")</f>
        <v>No</v>
      </c>
    </row>
    <row r="1083" spans="1:32">
      <c r="A1083" t="s">
        <v>52</v>
      </c>
      <c r="B1083" t="s">
        <v>3437</v>
      </c>
      <c r="C1083">
        <v>30</v>
      </c>
      <c r="D1083" t="s">
        <v>4016</v>
      </c>
      <c r="E1083" t="s">
        <v>337</v>
      </c>
      <c r="F1083" t="s">
        <v>338</v>
      </c>
      <c r="H1083" t="s">
        <v>284</v>
      </c>
      <c r="I1083" t="b">
        <v>0</v>
      </c>
      <c r="K1083" t="s">
        <v>52</v>
      </c>
      <c r="L1083" t="s">
        <v>3437</v>
      </c>
      <c r="O1083" s="1">
        <v>46351</v>
      </c>
      <c r="P1083" t="s">
        <v>4017</v>
      </c>
      <c r="Q1083" t="s">
        <v>4018</v>
      </c>
      <c r="R1083" t="s">
        <v>150</v>
      </c>
      <c r="S1083" t="b">
        <v>0</v>
      </c>
      <c r="T1083" t="b">
        <v>0</v>
      </c>
      <c r="U1083" t="s">
        <v>4019</v>
      </c>
      <c r="V1083" t="s">
        <v>84</v>
      </c>
      <c r="W1083" t="s">
        <v>95</v>
      </c>
      <c r="X1083" t="s">
        <v>611</v>
      </c>
      <c r="Y1083" t="s">
        <v>612</v>
      </c>
      <c r="Z1083" t="s">
        <v>3437</v>
      </c>
      <c r="AA1083" t="b">
        <f>ISNUMBER(SEARCH(";"&amp;Lessons[[#This Row],[Instrument__c]]&amp;";",";"&amp;_xlfn.XLOOKUP(Lessons[[#This Row],[Instructor_External_Id__c]], Instructors[Id], Instructors[Instruments_Taught__c])&amp;";"))</f>
        <v>1</v>
      </c>
      <c r="AB1083" t="str">
        <f>IF(LEFT(Lessons[[#This Row],[Status__c]],9)="Cancelled","",Lessons[[#This Row],[Instructor_External_Id__c]]&amp;"|"&amp;TEXT(Lessons[[#This Row],[Lesson_Date__c]],"yyyy-mm-dd")&amp;"|"&amp;Lessons[[#This Row],[Start_Time__c]])</f>
        <v>a06ak00000amzCIAAY|2026-11-25|17:00:00.000Z</v>
      </c>
      <c r="AC1083">
        <f>IF(Lessons[[#This Row],[Double Booked Key]]="","",COUNTIF(Lessons[Double Booked Key],Lessons[[#This Row],[Double Booked Key]]))</f>
        <v>1</v>
      </c>
      <c r="AD1083" s="6" t="str">
        <f>_xlfn.XLOOKUP(Lessons[[#This Row],[Location_External_Id__c]], Locations[Location Id], Locations[Location Name])</f>
        <v>Toms River</v>
      </c>
      <c r="AE1083" s="6" t="str">
        <f>TEXT(Lessons[[#This Row],[Lesson_Date__c]], "yyyy-mm")</f>
        <v>2026-11</v>
      </c>
      <c r="AF1083" s="6" t="str">
        <f>IF(Lessons[[#This Row],[Lesson_Date__c]]&lt;=Data_Audit!$F$1, "Yes", "No")</f>
        <v>No</v>
      </c>
    </row>
    <row r="1084" spans="1:32">
      <c r="A1084" t="s">
        <v>52</v>
      </c>
      <c r="B1084" t="s">
        <v>3437</v>
      </c>
      <c r="C1084">
        <v>60</v>
      </c>
      <c r="D1084" t="s">
        <v>4020</v>
      </c>
      <c r="E1084" t="s">
        <v>318</v>
      </c>
      <c r="F1084" t="s">
        <v>319</v>
      </c>
      <c r="H1084" t="s">
        <v>237</v>
      </c>
      <c r="I1084" t="b">
        <v>0</v>
      </c>
      <c r="K1084" t="s">
        <v>52</v>
      </c>
      <c r="L1084" t="s">
        <v>3437</v>
      </c>
      <c r="O1084" s="1">
        <v>46356</v>
      </c>
      <c r="P1084" t="s">
        <v>4021</v>
      </c>
      <c r="Q1084" t="s">
        <v>4022</v>
      </c>
      <c r="R1084" t="s">
        <v>63</v>
      </c>
      <c r="S1084" t="b">
        <v>0</v>
      </c>
      <c r="T1084" t="b">
        <v>0</v>
      </c>
      <c r="U1084" t="s">
        <v>4023</v>
      </c>
      <c r="V1084" t="s">
        <v>135</v>
      </c>
      <c r="W1084" t="s">
        <v>95</v>
      </c>
      <c r="X1084" t="s">
        <v>1223</v>
      </c>
      <c r="Y1084" t="s">
        <v>1224</v>
      </c>
      <c r="Z1084" t="s">
        <v>3437</v>
      </c>
      <c r="AA1084" t="b">
        <f>ISNUMBER(SEARCH(";"&amp;Lessons[[#This Row],[Instrument__c]]&amp;";",";"&amp;_xlfn.XLOOKUP(Lessons[[#This Row],[Instructor_External_Id__c]], Instructors[Id], Instructors[Instruments_Taught__c])&amp;";"))</f>
        <v>1</v>
      </c>
      <c r="AB1084" t="str">
        <f>IF(LEFT(Lessons[[#This Row],[Status__c]],9)="Cancelled","",Lessons[[#This Row],[Instructor_External_Id__c]]&amp;"|"&amp;TEXT(Lessons[[#This Row],[Lesson_Date__c]],"yyyy-mm-dd")&amp;"|"&amp;Lessons[[#This Row],[Start_Time__c]])</f>
        <v>a06ak00000amzBzAAI|2026-11-30|15:30:00.000Z</v>
      </c>
      <c r="AC1084">
        <f>IF(Lessons[[#This Row],[Double Booked Key]]="","",COUNTIF(Lessons[Double Booked Key],Lessons[[#This Row],[Double Booked Key]]))</f>
        <v>1</v>
      </c>
      <c r="AD1084" s="6" t="str">
        <f>_xlfn.XLOOKUP(Lessons[[#This Row],[Location_External_Id__c]], Locations[Location Id], Locations[Location Name])</f>
        <v>Red Bank</v>
      </c>
      <c r="AE1084" s="6" t="str">
        <f>TEXT(Lessons[[#This Row],[Lesson_Date__c]], "yyyy-mm")</f>
        <v>2026-11</v>
      </c>
      <c r="AF1084" s="6" t="str">
        <f>IF(Lessons[[#This Row],[Lesson_Date__c]]&lt;=Data_Audit!$F$1, "Yes", "No")</f>
        <v>No</v>
      </c>
    </row>
    <row r="1085" spans="1:32">
      <c r="A1085" t="s">
        <v>52</v>
      </c>
      <c r="B1085" t="s">
        <v>3437</v>
      </c>
      <c r="C1085">
        <v>60</v>
      </c>
      <c r="D1085" t="s">
        <v>4024</v>
      </c>
      <c r="E1085" t="s">
        <v>318</v>
      </c>
      <c r="F1085" t="s">
        <v>319</v>
      </c>
      <c r="H1085" t="s">
        <v>650</v>
      </c>
      <c r="I1085" t="b">
        <v>0</v>
      </c>
      <c r="K1085" t="s">
        <v>52</v>
      </c>
      <c r="L1085" t="s">
        <v>3437</v>
      </c>
      <c r="O1085" s="1">
        <v>46356</v>
      </c>
      <c r="P1085" t="s">
        <v>4025</v>
      </c>
      <c r="Q1085" t="s">
        <v>4026</v>
      </c>
      <c r="R1085" t="s">
        <v>63</v>
      </c>
      <c r="S1085" t="b">
        <v>0</v>
      </c>
      <c r="T1085" t="b">
        <v>0</v>
      </c>
      <c r="U1085" t="s">
        <v>4027</v>
      </c>
      <c r="V1085" t="s">
        <v>74</v>
      </c>
      <c r="W1085" t="s">
        <v>95</v>
      </c>
      <c r="X1085" t="s">
        <v>1767</v>
      </c>
      <c r="Y1085" t="s">
        <v>1768</v>
      </c>
      <c r="Z1085" t="s">
        <v>3437</v>
      </c>
      <c r="AA1085" t="b">
        <f>ISNUMBER(SEARCH(";"&amp;Lessons[[#This Row],[Instrument__c]]&amp;";",";"&amp;_xlfn.XLOOKUP(Lessons[[#This Row],[Instructor_External_Id__c]], Instructors[Id], Instructors[Instruments_Taught__c])&amp;";"))</f>
        <v>1</v>
      </c>
      <c r="AB1085" t="str">
        <f>IF(LEFT(Lessons[[#This Row],[Status__c]],9)="Cancelled","",Lessons[[#This Row],[Instructor_External_Id__c]]&amp;"|"&amp;TEXT(Lessons[[#This Row],[Lesson_Date__c]],"yyyy-mm-dd")&amp;"|"&amp;Lessons[[#This Row],[Start_Time__c]])</f>
        <v>a06ak00000amzBzAAI|2026-11-30|16:30:00.000Z</v>
      </c>
      <c r="AC1085">
        <f>IF(Lessons[[#This Row],[Double Booked Key]]="","",COUNTIF(Lessons[Double Booked Key],Lessons[[#This Row],[Double Booked Key]]))</f>
        <v>1</v>
      </c>
      <c r="AD1085" s="6" t="str">
        <f>_xlfn.XLOOKUP(Lessons[[#This Row],[Location_External_Id__c]], Locations[Location Id], Locations[Location Name])</f>
        <v>Red Bank</v>
      </c>
      <c r="AE1085" s="6" t="str">
        <f>TEXT(Lessons[[#This Row],[Lesson_Date__c]], "yyyy-mm")</f>
        <v>2026-11</v>
      </c>
      <c r="AF1085" s="6" t="str">
        <f>IF(Lessons[[#This Row],[Lesson_Date__c]]&lt;=Data_Audit!$F$1, "Yes", "No")</f>
        <v>No</v>
      </c>
    </row>
    <row r="1086" spans="1:32">
      <c r="A1086" t="s">
        <v>52</v>
      </c>
      <c r="B1086" t="s">
        <v>3437</v>
      </c>
      <c r="C1086">
        <v>60</v>
      </c>
      <c r="D1086" t="s">
        <v>4028</v>
      </c>
      <c r="E1086" t="s">
        <v>804</v>
      </c>
      <c r="F1086" t="s">
        <v>805</v>
      </c>
      <c r="H1086" t="s">
        <v>527</v>
      </c>
      <c r="I1086" t="b">
        <v>0</v>
      </c>
      <c r="K1086" t="s">
        <v>52</v>
      </c>
      <c r="L1086" t="s">
        <v>3437</v>
      </c>
      <c r="O1086" s="1">
        <v>46356</v>
      </c>
      <c r="P1086" t="s">
        <v>4029</v>
      </c>
      <c r="Q1086" t="s">
        <v>4030</v>
      </c>
      <c r="R1086" t="s">
        <v>63</v>
      </c>
      <c r="S1086" t="b">
        <v>0</v>
      </c>
      <c r="T1086" t="b">
        <v>0</v>
      </c>
      <c r="U1086" t="s">
        <v>4031</v>
      </c>
      <c r="V1086" t="s">
        <v>74</v>
      </c>
      <c r="W1086" t="s">
        <v>95</v>
      </c>
      <c r="X1086" t="s">
        <v>2305</v>
      </c>
      <c r="Y1086" t="s">
        <v>2306</v>
      </c>
      <c r="Z1086" t="s">
        <v>3437</v>
      </c>
      <c r="AA1086" t="b">
        <f>ISNUMBER(SEARCH(";"&amp;Lessons[[#This Row],[Instrument__c]]&amp;";",";"&amp;_xlfn.XLOOKUP(Lessons[[#This Row],[Instructor_External_Id__c]], Instructors[Id], Instructors[Instruments_Taught__c])&amp;";"))</f>
        <v>1</v>
      </c>
      <c r="AB1086" t="str">
        <f>IF(LEFT(Lessons[[#This Row],[Status__c]],9)="Cancelled","",Lessons[[#This Row],[Instructor_External_Id__c]]&amp;"|"&amp;TEXT(Lessons[[#This Row],[Lesson_Date__c]],"yyyy-mm-dd")&amp;"|"&amp;Lessons[[#This Row],[Start_Time__c]])</f>
        <v>a06ak00000amzCBAAY|2026-11-30|16:30:00.000Z</v>
      </c>
      <c r="AC1086">
        <f>IF(Lessons[[#This Row],[Double Booked Key]]="","",COUNTIF(Lessons[Double Booked Key],Lessons[[#This Row],[Double Booked Key]]))</f>
        <v>1</v>
      </c>
      <c r="AD1086" s="6" t="str">
        <f>_xlfn.XLOOKUP(Lessons[[#This Row],[Location_External_Id__c]], Locations[Location Id], Locations[Location Name])</f>
        <v>Red Bank</v>
      </c>
      <c r="AE1086" s="6" t="str">
        <f>TEXT(Lessons[[#This Row],[Lesson_Date__c]], "yyyy-mm")</f>
        <v>2026-11</v>
      </c>
      <c r="AF1086" s="6" t="str">
        <f>IF(Lessons[[#This Row],[Lesson_Date__c]]&lt;=Data_Audit!$F$1, "Yes", "No")</f>
        <v>No</v>
      </c>
    </row>
    <row r="1087" spans="1:32">
      <c r="A1087" t="s">
        <v>52</v>
      </c>
      <c r="B1087" t="s">
        <v>3437</v>
      </c>
      <c r="C1087">
        <v>30</v>
      </c>
      <c r="D1087" t="s">
        <v>4032</v>
      </c>
      <c r="E1087" t="s">
        <v>337</v>
      </c>
      <c r="F1087" t="s">
        <v>338</v>
      </c>
      <c r="H1087" t="s">
        <v>284</v>
      </c>
      <c r="I1087" t="b">
        <v>0</v>
      </c>
      <c r="K1087" t="s">
        <v>52</v>
      </c>
      <c r="L1087" t="s">
        <v>3437</v>
      </c>
      <c r="O1087" s="1">
        <v>46356</v>
      </c>
      <c r="P1087" t="s">
        <v>4033</v>
      </c>
      <c r="Q1087" t="s">
        <v>4034</v>
      </c>
      <c r="R1087" t="s">
        <v>150</v>
      </c>
      <c r="S1087" t="b">
        <v>0</v>
      </c>
      <c r="T1087" t="b">
        <v>0</v>
      </c>
      <c r="U1087" t="s">
        <v>4035</v>
      </c>
      <c r="V1087" t="s">
        <v>116</v>
      </c>
      <c r="W1087" t="s">
        <v>95</v>
      </c>
      <c r="X1087" t="s">
        <v>2884</v>
      </c>
      <c r="Y1087" t="s">
        <v>342</v>
      </c>
      <c r="Z1087" t="s">
        <v>3437</v>
      </c>
      <c r="AA1087" t="b">
        <f>ISNUMBER(SEARCH(";"&amp;Lessons[[#This Row],[Instrument__c]]&amp;";",";"&amp;_xlfn.XLOOKUP(Lessons[[#This Row],[Instructor_External_Id__c]], Instructors[Id], Instructors[Instruments_Taught__c])&amp;";"))</f>
        <v>1</v>
      </c>
      <c r="AB1087" t="str">
        <f>IF(LEFT(Lessons[[#This Row],[Status__c]],9)="Cancelled","",Lessons[[#This Row],[Instructor_External_Id__c]]&amp;"|"&amp;TEXT(Lessons[[#This Row],[Lesson_Date__c]],"yyyy-mm-dd")&amp;"|"&amp;Lessons[[#This Row],[Start_Time__c]])</f>
        <v>a06ak00000amzCIAAY|2026-11-30|17:30:00.000Z</v>
      </c>
      <c r="AC1087">
        <f>IF(Lessons[[#This Row],[Double Booked Key]]="","",COUNTIF(Lessons[Double Booked Key],Lessons[[#This Row],[Double Booked Key]]))</f>
        <v>1</v>
      </c>
      <c r="AD1087" s="6" t="str">
        <f>_xlfn.XLOOKUP(Lessons[[#This Row],[Location_External_Id__c]], Locations[Location Id], Locations[Location Name])</f>
        <v>Toms River</v>
      </c>
      <c r="AE1087" s="6" t="str">
        <f>TEXT(Lessons[[#This Row],[Lesson_Date__c]], "yyyy-mm")</f>
        <v>2026-11</v>
      </c>
      <c r="AF1087" s="6" t="str">
        <f>IF(Lessons[[#This Row],[Lesson_Date__c]]&lt;=Data_Audit!$F$1, "Yes", "No")</f>
        <v>No</v>
      </c>
    </row>
    <row r="1088" spans="1:32">
      <c r="A1088" t="s">
        <v>52</v>
      </c>
      <c r="B1088" t="s">
        <v>3437</v>
      </c>
      <c r="C1088">
        <v>45</v>
      </c>
      <c r="D1088" t="s">
        <v>4036</v>
      </c>
      <c r="E1088" t="s">
        <v>359</v>
      </c>
      <c r="F1088" t="s">
        <v>360</v>
      </c>
      <c r="H1088" t="s">
        <v>78</v>
      </c>
      <c r="I1088" t="b">
        <v>0</v>
      </c>
      <c r="K1088" t="s">
        <v>52</v>
      </c>
      <c r="L1088" t="s">
        <v>3437</v>
      </c>
      <c r="O1088" s="1">
        <v>46356</v>
      </c>
      <c r="P1088" t="s">
        <v>4037</v>
      </c>
      <c r="Q1088" t="s">
        <v>4038</v>
      </c>
      <c r="R1088" t="s">
        <v>63</v>
      </c>
      <c r="S1088" t="b">
        <v>0</v>
      </c>
      <c r="T1088" t="b">
        <v>0</v>
      </c>
      <c r="U1088" t="s">
        <v>4039</v>
      </c>
      <c r="V1088" t="s">
        <v>128</v>
      </c>
      <c r="W1088" t="s">
        <v>95</v>
      </c>
      <c r="X1088" t="s">
        <v>667</v>
      </c>
      <c r="Y1088" t="s">
        <v>668</v>
      </c>
      <c r="Z1088" t="s">
        <v>3437</v>
      </c>
      <c r="AA1088" t="b">
        <f>ISNUMBER(SEARCH(";"&amp;Lessons[[#This Row],[Instrument__c]]&amp;";",";"&amp;_xlfn.XLOOKUP(Lessons[[#This Row],[Instructor_External_Id__c]], Instructors[Id], Instructors[Instruments_Taught__c])&amp;";"))</f>
        <v>1</v>
      </c>
      <c r="AB1088" t="str">
        <f>IF(LEFT(Lessons[[#This Row],[Status__c]],9)="Cancelled","",Lessons[[#This Row],[Instructor_External_Id__c]]&amp;"|"&amp;TEXT(Lessons[[#This Row],[Lesson_Date__c]],"yyyy-mm-dd")&amp;"|"&amp;Lessons[[#This Row],[Start_Time__c]])</f>
        <v>a06ak00000amzBiAAI|2026-11-30|18:30:00.000Z</v>
      </c>
      <c r="AC1088">
        <f>IF(Lessons[[#This Row],[Double Booked Key]]="","",COUNTIF(Lessons[Double Booked Key],Lessons[[#This Row],[Double Booked Key]]))</f>
        <v>1</v>
      </c>
      <c r="AD1088" s="6" t="str">
        <f>_xlfn.XLOOKUP(Lessons[[#This Row],[Location_External_Id__c]], Locations[Location Id], Locations[Location Name])</f>
        <v>Red Bank</v>
      </c>
      <c r="AE1088" s="6" t="str">
        <f>TEXT(Lessons[[#This Row],[Lesson_Date__c]], "yyyy-mm")</f>
        <v>2026-11</v>
      </c>
      <c r="AF1088" s="6" t="str">
        <f>IF(Lessons[[#This Row],[Lesson_Date__c]]&lt;=Data_Audit!$F$1, "Yes", "No")</f>
        <v>No</v>
      </c>
    </row>
    <row r="1089" spans="1:32">
      <c r="A1089" t="s">
        <v>52</v>
      </c>
      <c r="B1089" t="s">
        <v>3437</v>
      </c>
      <c r="C1089">
        <v>30</v>
      </c>
      <c r="D1089" t="s">
        <v>4040</v>
      </c>
      <c r="E1089" t="s">
        <v>243</v>
      </c>
      <c r="F1089" t="s">
        <v>244</v>
      </c>
      <c r="H1089" t="s">
        <v>237</v>
      </c>
      <c r="I1089" t="b">
        <v>0</v>
      </c>
      <c r="K1089" t="s">
        <v>52</v>
      </c>
      <c r="L1089" t="s">
        <v>3437</v>
      </c>
      <c r="O1089" s="1">
        <v>46356</v>
      </c>
      <c r="P1089" t="s">
        <v>4041</v>
      </c>
      <c r="Q1089" t="s">
        <v>4042</v>
      </c>
      <c r="R1089" t="s">
        <v>150</v>
      </c>
      <c r="S1089" t="b">
        <v>0</v>
      </c>
      <c r="T1089" t="b">
        <v>0</v>
      </c>
      <c r="U1089" t="s">
        <v>4043</v>
      </c>
      <c r="V1089" t="s">
        <v>94</v>
      </c>
      <c r="W1089" t="s">
        <v>95</v>
      </c>
      <c r="X1089" t="s">
        <v>325</v>
      </c>
      <c r="Y1089" t="s">
        <v>326</v>
      </c>
      <c r="Z1089" t="s">
        <v>3437</v>
      </c>
      <c r="AA1089" t="b">
        <f>ISNUMBER(SEARCH(";"&amp;Lessons[[#This Row],[Instrument__c]]&amp;";",";"&amp;_xlfn.XLOOKUP(Lessons[[#This Row],[Instructor_External_Id__c]], Instructors[Id], Instructors[Instruments_Taught__c])&amp;";"))</f>
        <v>1</v>
      </c>
      <c r="AB1089" t="str">
        <f>IF(LEFT(Lessons[[#This Row],[Status__c]],9)="Cancelled","",Lessons[[#This Row],[Instructor_External_Id__c]]&amp;"|"&amp;TEXT(Lessons[[#This Row],[Lesson_Date__c]],"yyyy-mm-dd")&amp;"|"&amp;Lessons[[#This Row],[Start_Time__c]])</f>
        <v>a06ak00000amzC1AAI|2026-11-30|19:00:00.000Z</v>
      </c>
      <c r="AC1089">
        <f>IF(Lessons[[#This Row],[Double Booked Key]]="","",COUNTIF(Lessons[Double Booked Key],Lessons[[#This Row],[Double Booked Key]]))</f>
        <v>1</v>
      </c>
      <c r="AD1089" s="6" t="str">
        <f>_xlfn.XLOOKUP(Lessons[[#This Row],[Location_External_Id__c]], Locations[Location Id], Locations[Location Name])</f>
        <v>Toms River</v>
      </c>
      <c r="AE1089" s="6" t="str">
        <f>TEXT(Lessons[[#This Row],[Lesson_Date__c]], "yyyy-mm")</f>
        <v>2026-11</v>
      </c>
      <c r="AF1089" s="6" t="str">
        <f>IF(Lessons[[#This Row],[Lesson_Date__c]]&lt;=Data_Audit!$F$1, "Yes", "No")</f>
        <v>No</v>
      </c>
    </row>
    <row r="1090" spans="1:32">
      <c r="A1090" t="s">
        <v>52</v>
      </c>
      <c r="B1090" t="s">
        <v>3437</v>
      </c>
      <c r="C1090">
        <v>30</v>
      </c>
      <c r="D1090" t="s">
        <v>4044</v>
      </c>
      <c r="E1090" t="s">
        <v>318</v>
      </c>
      <c r="F1090" t="s">
        <v>319</v>
      </c>
      <c r="H1090" t="s">
        <v>237</v>
      </c>
      <c r="I1090" t="b">
        <v>0</v>
      </c>
      <c r="K1090" t="s">
        <v>52</v>
      </c>
      <c r="L1090" t="s">
        <v>3437</v>
      </c>
      <c r="O1090" s="1">
        <v>46357</v>
      </c>
      <c r="P1090" t="s">
        <v>4045</v>
      </c>
      <c r="Q1090" t="s">
        <v>4046</v>
      </c>
      <c r="R1090" t="s">
        <v>63</v>
      </c>
      <c r="S1090" t="b">
        <v>0</v>
      </c>
      <c r="T1090" t="b">
        <v>0</v>
      </c>
      <c r="U1090" t="s">
        <v>4047</v>
      </c>
      <c r="V1090" t="s">
        <v>120</v>
      </c>
      <c r="W1090" t="s">
        <v>95</v>
      </c>
      <c r="X1090" t="s">
        <v>1728</v>
      </c>
      <c r="Y1090" t="s">
        <v>1729</v>
      </c>
      <c r="Z1090" t="s">
        <v>3437</v>
      </c>
      <c r="AA1090" t="b">
        <f>ISNUMBER(SEARCH(";"&amp;Lessons[[#This Row],[Instrument__c]]&amp;";",";"&amp;_xlfn.XLOOKUP(Lessons[[#This Row],[Instructor_External_Id__c]], Instructors[Id], Instructors[Instruments_Taught__c])&amp;";"))</f>
        <v>1</v>
      </c>
      <c r="AB1090" t="str">
        <f>IF(LEFT(Lessons[[#This Row],[Status__c]],9)="Cancelled","",Lessons[[#This Row],[Instructor_External_Id__c]]&amp;"|"&amp;TEXT(Lessons[[#This Row],[Lesson_Date__c]],"yyyy-mm-dd")&amp;"|"&amp;Lessons[[#This Row],[Start_Time__c]])</f>
        <v>a06ak00000amzBzAAI|2026-12-01|18:00:00.000Z</v>
      </c>
      <c r="AC1090">
        <f>IF(Lessons[[#This Row],[Double Booked Key]]="","",COUNTIF(Lessons[Double Booked Key],Lessons[[#This Row],[Double Booked Key]]))</f>
        <v>1</v>
      </c>
      <c r="AD1090" s="6" t="str">
        <f>_xlfn.XLOOKUP(Lessons[[#This Row],[Location_External_Id__c]], Locations[Location Id], Locations[Location Name])</f>
        <v>Red Bank</v>
      </c>
      <c r="AE1090" s="6" t="str">
        <f>TEXT(Lessons[[#This Row],[Lesson_Date__c]], "yyyy-mm")</f>
        <v>2026-12</v>
      </c>
      <c r="AF1090" s="6" t="str">
        <f>IF(Lessons[[#This Row],[Lesson_Date__c]]&lt;=Data_Audit!$F$1, "Yes", "No")</f>
        <v>No</v>
      </c>
    </row>
    <row r="1091" spans="1:32">
      <c r="A1091" t="s">
        <v>52</v>
      </c>
      <c r="B1091" t="s">
        <v>3437</v>
      </c>
      <c r="C1091">
        <v>30</v>
      </c>
      <c r="D1091" t="s">
        <v>4048</v>
      </c>
      <c r="E1091" t="s">
        <v>573</v>
      </c>
      <c r="F1091" t="s">
        <v>574</v>
      </c>
      <c r="H1091" t="s">
        <v>147</v>
      </c>
      <c r="I1091" t="b">
        <v>0</v>
      </c>
      <c r="K1091" t="s">
        <v>52</v>
      </c>
      <c r="L1091" t="s">
        <v>3437</v>
      </c>
      <c r="O1091" s="1">
        <v>46358</v>
      </c>
      <c r="P1091" t="s">
        <v>4049</v>
      </c>
      <c r="Q1091" t="s">
        <v>4050</v>
      </c>
      <c r="R1091" t="s">
        <v>83</v>
      </c>
      <c r="S1091" t="b">
        <v>0</v>
      </c>
      <c r="T1091" t="b">
        <v>0</v>
      </c>
      <c r="U1091" t="s">
        <v>4051</v>
      </c>
      <c r="V1091" t="s">
        <v>120</v>
      </c>
      <c r="W1091" t="s">
        <v>95</v>
      </c>
      <c r="X1091" t="s">
        <v>2016</v>
      </c>
      <c r="Y1091" t="s">
        <v>2017</v>
      </c>
      <c r="Z1091" t="s">
        <v>3437</v>
      </c>
      <c r="AA1091" t="b">
        <f>ISNUMBER(SEARCH(";"&amp;Lessons[[#This Row],[Instrument__c]]&amp;";",";"&amp;_xlfn.XLOOKUP(Lessons[[#This Row],[Instructor_External_Id__c]], Instructors[Id], Instructors[Instruments_Taught__c])&amp;";"))</f>
        <v>1</v>
      </c>
      <c r="AB1091" t="str">
        <f>IF(LEFT(Lessons[[#This Row],[Status__c]],9)="Cancelled","",Lessons[[#This Row],[Instructor_External_Id__c]]&amp;"|"&amp;TEXT(Lessons[[#This Row],[Lesson_Date__c]],"yyyy-mm-dd")&amp;"|"&amp;Lessons[[#This Row],[Start_Time__c]])</f>
        <v>a06ak00000amzCCAAY|2026-12-02|18:00:00.000Z</v>
      </c>
      <c r="AC1091">
        <f>IF(Lessons[[#This Row],[Double Booked Key]]="","",COUNTIF(Lessons[Double Booked Key],Lessons[[#This Row],[Double Booked Key]]))</f>
        <v>1</v>
      </c>
      <c r="AD1091" s="6" t="str">
        <f>_xlfn.XLOOKUP(Lessons[[#This Row],[Location_External_Id__c]], Locations[Location Id], Locations[Location Name])</f>
        <v>Brick</v>
      </c>
      <c r="AE1091" s="6" t="str">
        <f>TEXT(Lessons[[#This Row],[Lesson_Date__c]], "yyyy-mm")</f>
        <v>2026-12</v>
      </c>
      <c r="AF1091" s="6" t="str">
        <f>IF(Lessons[[#This Row],[Lesson_Date__c]]&lt;=Data_Audit!$F$1, "Yes", "No")</f>
        <v>No</v>
      </c>
    </row>
    <row r="1092" spans="1:32">
      <c r="A1092" t="s">
        <v>52</v>
      </c>
      <c r="B1092" t="s">
        <v>3437</v>
      </c>
      <c r="C1092">
        <v>30</v>
      </c>
      <c r="D1092" t="s">
        <v>4052</v>
      </c>
      <c r="E1092" t="s">
        <v>282</v>
      </c>
      <c r="F1092" t="s">
        <v>283</v>
      </c>
      <c r="H1092" t="s">
        <v>284</v>
      </c>
      <c r="I1092" t="b">
        <v>0</v>
      </c>
      <c r="K1092" t="s">
        <v>52</v>
      </c>
      <c r="L1092" t="s">
        <v>3437</v>
      </c>
      <c r="O1092" s="1">
        <v>46358</v>
      </c>
      <c r="P1092" t="s">
        <v>4053</v>
      </c>
      <c r="Q1092" t="s">
        <v>4054</v>
      </c>
      <c r="R1092" t="s">
        <v>83</v>
      </c>
      <c r="S1092" t="b">
        <v>0</v>
      </c>
      <c r="T1092" t="b">
        <v>0</v>
      </c>
      <c r="U1092" t="s">
        <v>4055</v>
      </c>
      <c r="V1092" t="s">
        <v>94</v>
      </c>
      <c r="W1092" t="s">
        <v>95</v>
      </c>
      <c r="X1092" t="s">
        <v>2668</v>
      </c>
      <c r="Y1092" t="s">
        <v>2669</v>
      </c>
      <c r="Z1092" t="s">
        <v>3437</v>
      </c>
      <c r="AA1092" t="b">
        <f>ISNUMBER(SEARCH(";"&amp;Lessons[[#This Row],[Instrument__c]]&amp;";",";"&amp;_xlfn.XLOOKUP(Lessons[[#This Row],[Instructor_External_Id__c]], Instructors[Id], Instructors[Instruments_Taught__c])&amp;";"))</f>
        <v>1</v>
      </c>
      <c r="AB1092" t="str">
        <f>IF(LEFT(Lessons[[#This Row],[Status__c]],9)="Cancelled","",Lessons[[#This Row],[Instructor_External_Id__c]]&amp;"|"&amp;TEXT(Lessons[[#This Row],[Lesson_Date__c]],"yyyy-mm-dd")&amp;"|"&amp;Lessons[[#This Row],[Start_Time__c]])</f>
        <v>a06ak00000amzBxAAI|2026-12-02|19:00:00.000Z</v>
      </c>
      <c r="AC1092">
        <f>IF(Lessons[[#This Row],[Double Booked Key]]="","",COUNTIF(Lessons[Double Booked Key],Lessons[[#This Row],[Double Booked Key]]))</f>
        <v>1</v>
      </c>
      <c r="AD1092" s="6" t="str">
        <f>_xlfn.XLOOKUP(Lessons[[#This Row],[Location_External_Id__c]], Locations[Location Id], Locations[Location Name])</f>
        <v>Brick</v>
      </c>
      <c r="AE1092" s="6" t="str">
        <f>TEXT(Lessons[[#This Row],[Lesson_Date__c]], "yyyy-mm")</f>
        <v>2026-12</v>
      </c>
      <c r="AF1092" s="6" t="str">
        <f>IF(Lessons[[#This Row],[Lesson_Date__c]]&lt;=Data_Audit!$F$1, "Yes", "No")</f>
        <v>No</v>
      </c>
    </row>
    <row r="1093" spans="1:32">
      <c r="A1093" t="s">
        <v>52</v>
      </c>
      <c r="B1093" t="s">
        <v>3437</v>
      </c>
      <c r="C1093">
        <v>30</v>
      </c>
      <c r="D1093" t="s">
        <v>4056</v>
      </c>
      <c r="E1093" t="s">
        <v>436</v>
      </c>
      <c r="F1093" t="s">
        <v>437</v>
      </c>
      <c r="H1093" t="s">
        <v>461</v>
      </c>
      <c r="I1093" t="b">
        <v>0</v>
      </c>
      <c r="K1093" t="s">
        <v>52</v>
      </c>
      <c r="L1093" t="s">
        <v>3437</v>
      </c>
      <c r="O1093" s="1">
        <v>46359</v>
      </c>
      <c r="P1093" t="s">
        <v>4057</v>
      </c>
      <c r="Q1093" t="s">
        <v>4058</v>
      </c>
      <c r="R1093" t="s">
        <v>63</v>
      </c>
      <c r="S1093" t="b">
        <v>0</v>
      </c>
      <c r="T1093" t="b">
        <v>0</v>
      </c>
      <c r="U1093" t="s">
        <v>4059</v>
      </c>
      <c r="V1093" t="s">
        <v>102</v>
      </c>
      <c r="W1093" t="s">
        <v>95</v>
      </c>
      <c r="X1093" t="s">
        <v>1532</v>
      </c>
      <c r="Y1093" t="s">
        <v>1533</v>
      </c>
      <c r="Z1093" t="s">
        <v>3437</v>
      </c>
      <c r="AA1093" t="b">
        <f>ISNUMBER(SEARCH(";"&amp;Lessons[[#This Row],[Instrument__c]]&amp;";",";"&amp;_xlfn.XLOOKUP(Lessons[[#This Row],[Instructor_External_Id__c]], Instructors[Id], Instructors[Instruments_Taught__c])&amp;";"))</f>
        <v>1</v>
      </c>
      <c r="AB1093" t="str">
        <f>IF(LEFT(Lessons[[#This Row],[Status__c]],9)="Cancelled","",Lessons[[#This Row],[Instructor_External_Id__c]]&amp;"|"&amp;TEXT(Lessons[[#This Row],[Lesson_Date__c]],"yyyy-mm-dd")&amp;"|"&amp;Lessons[[#This Row],[Start_Time__c]])</f>
        <v>a06ak00000amzC0AAI|2026-12-03|16:00:00.000Z</v>
      </c>
      <c r="AC1093">
        <f>IF(Lessons[[#This Row],[Double Booked Key]]="","",COUNTIF(Lessons[Double Booked Key],Lessons[[#This Row],[Double Booked Key]]))</f>
        <v>1</v>
      </c>
      <c r="AD1093" s="6" t="str">
        <f>_xlfn.XLOOKUP(Lessons[[#This Row],[Location_External_Id__c]], Locations[Location Id], Locations[Location Name])</f>
        <v>Red Bank</v>
      </c>
      <c r="AE1093" s="6" t="str">
        <f>TEXT(Lessons[[#This Row],[Lesson_Date__c]], "yyyy-mm")</f>
        <v>2026-12</v>
      </c>
      <c r="AF1093" s="6" t="str">
        <f>IF(Lessons[[#This Row],[Lesson_Date__c]]&lt;=Data_Audit!$F$1, "Yes", "No")</f>
        <v>No</v>
      </c>
    </row>
    <row r="1094" spans="1:32">
      <c r="A1094" t="s">
        <v>52</v>
      </c>
      <c r="B1094" t="s">
        <v>3437</v>
      </c>
      <c r="C1094">
        <v>30</v>
      </c>
      <c r="D1094" t="s">
        <v>4060</v>
      </c>
      <c r="E1094" t="s">
        <v>804</v>
      </c>
      <c r="F1094" t="s">
        <v>805</v>
      </c>
      <c r="H1094" t="s">
        <v>147</v>
      </c>
      <c r="I1094" t="b">
        <v>0</v>
      </c>
      <c r="K1094" t="s">
        <v>52</v>
      </c>
      <c r="L1094" t="s">
        <v>3437</v>
      </c>
      <c r="O1094" s="1">
        <v>46359</v>
      </c>
      <c r="P1094" t="s">
        <v>4061</v>
      </c>
      <c r="Q1094" t="s">
        <v>4062</v>
      </c>
      <c r="R1094" t="s">
        <v>63</v>
      </c>
      <c r="S1094" t="b">
        <v>0</v>
      </c>
      <c r="T1094" t="b">
        <v>0</v>
      </c>
      <c r="U1094" t="s">
        <v>4063</v>
      </c>
      <c r="V1094" t="s">
        <v>84</v>
      </c>
      <c r="W1094" t="s">
        <v>95</v>
      </c>
      <c r="X1094" t="s">
        <v>2277</v>
      </c>
      <c r="Y1094" t="s">
        <v>2278</v>
      </c>
      <c r="Z1094" t="s">
        <v>3437</v>
      </c>
      <c r="AA1094" t="b">
        <f>ISNUMBER(SEARCH(";"&amp;Lessons[[#This Row],[Instrument__c]]&amp;";",";"&amp;_xlfn.XLOOKUP(Lessons[[#This Row],[Instructor_External_Id__c]], Instructors[Id], Instructors[Instruments_Taught__c])&amp;";"))</f>
        <v>1</v>
      </c>
      <c r="AB1094" t="str">
        <f>IF(LEFT(Lessons[[#This Row],[Status__c]],9)="Cancelled","",Lessons[[#This Row],[Instructor_External_Id__c]]&amp;"|"&amp;TEXT(Lessons[[#This Row],[Lesson_Date__c]],"yyyy-mm-dd")&amp;"|"&amp;Lessons[[#This Row],[Start_Time__c]])</f>
        <v>a06ak00000amzCBAAY|2026-12-03|17:00:00.000Z</v>
      </c>
      <c r="AC1094">
        <f>IF(Lessons[[#This Row],[Double Booked Key]]="","",COUNTIF(Lessons[Double Booked Key],Lessons[[#This Row],[Double Booked Key]]))</f>
        <v>1</v>
      </c>
      <c r="AD1094" s="6" t="str">
        <f>_xlfn.XLOOKUP(Lessons[[#This Row],[Location_External_Id__c]], Locations[Location Id], Locations[Location Name])</f>
        <v>Red Bank</v>
      </c>
      <c r="AE1094" s="6" t="str">
        <f>TEXT(Lessons[[#This Row],[Lesson_Date__c]], "yyyy-mm")</f>
        <v>2026-12</v>
      </c>
      <c r="AF1094" s="6" t="str">
        <f>IF(Lessons[[#This Row],[Lesson_Date__c]]&lt;=Data_Audit!$F$1, "Yes", "No")</f>
        <v>No</v>
      </c>
    </row>
    <row r="1095" spans="1:32">
      <c r="A1095" t="s">
        <v>52</v>
      </c>
      <c r="B1095" t="s">
        <v>3437</v>
      </c>
      <c r="C1095">
        <v>30</v>
      </c>
      <c r="D1095" t="s">
        <v>4064</v>
      </c>
      <c r="E1095" t="s">
        <v>359</v>
      </c>
      <c r="F1095" t="s">
        <v>360</v>
      </c>
      <c r="H1095" t="s">
        <v>392</v>
      </c>
      <c r="I1095" t="b">
        <v>0</v>
      </c>
      <c r="K1095" t="s">
        <v>52</v>
      </c>
      <c r="L1095" t="s">
        <v>3437</v>
      </c>
      <c r="O1095" s="1">
        <v>46359</v>
      </c>
      <c r="P1095" t="s">
        <v>4065</v>
      </c>
      <c r="Q1095" t="s">
        <v>4066</v>
      </c>
      <c r="R1095" t="s">
        <v>63</v>
      </c>
      <c r="S1095" t="b">
        <v>0</v>
      </c>
      <c r="T1095" t="b">
        <v>0</v>
      </c>
      <c r="U1095" t="s">
        <v>4067</v>
      </c>
      <c r="V1095" t="s">
        <v>128</v>
      </c>
      <c r="W1095" t="s">
        <v>95</v>
      </c>
      <c r="X1095" t="s">
        <v>1207</v>
      </c>
      <c r="Y1095" t="s">
        <v>1208</v>
      </c>
      <c r="Z1095" t="s">
        <v>3437</v>
      </c>
      <c r="AA1095" t="b">
        <f>ISNUMBER(SEARCH(";"&amp;Lessons[[#This Row],[Instrument__c]]&amp;";",";"&amp;_xlfn.XLOOKUP(Lessons[[#This Row],[Instructor_External_Id__c]], Instructors[Id], Instructors[Instruments_Taught__c])&amp;";"))</f>
        <v>1</v>
      </c>
      <c r="AB1095" t="str">
        <f>IF(LEFT(Lessons[[#This Row],[Status__c]],9)="Cancelled","",Lessons[[#This Row],[Instructor_External_Id__c]]&amp;"|"&amp;TEXT(Lessons[[#This Row],[Lesson_Date__c]],"yyyy-mm-dd")&amp;"|"&amp;Lessons[[#This Row],[Start_Time__c]])</f>
        <v>a06ak00000amzBiAAI|2026-12-03|18:30:00.000Z</v>
      </c>
      <c r="AC1095">
        <f>IF(Lessons[[#This Row],[Double Booked Key]]="","",COUNTIF(Lessons[Double Booked Key],Lessons[[#This Row],[Double Booked Key]]))</f>
        <v>1</v>
      </c>
      <c r="AD1095" s="6" t="str">
        <f>_xlfn.XLOOKUP(Lessons[[#This Row],[Location_External_Id__c]], Locations[Location Id], Locations[Location Name])</f>
        <v>Red Bank</v>
      </c>
      <c r="AE1095" s="6" t="str">
        <f>TEXT(Lessons[[#This Row],[Lesson_Date__c]], "yyyy-mm")</f>
        <v>2026-12</v>
      </c>
      <c r="AF1095" s="6" t="str">
        <f>IF(Lessons[[#This Row],[Lesson_Date__c]]&lt;=Data_Audit!$F$1, "Yes", "No")</f>
        <v>No</v>
      </c>
    </row>
    <row r="1096" spans="1:32">
      <c r="A1096" t="s">
        <v>52</v>
      </c>
      <c r="B1096" t="s">
        <v>3437</v>
      </c>
      <c r="C1096">
        <v>30</v>
      </c>
      <c r="D1096" t="s">
        <v>4068</v>
      </c>
      <c r="E1096" t="s">
        <v>548</v>
      </c>
      <c r="F1096" t="s">
        <v>549</v>
      </c>
      <c r="H1096" t="s">
        <v>203</v>
      </c>
      <c r="I1096" t="b">
        <v>0</v>
      </c>
      <c r="K1096" t="s">
        <v>52</v>
      </c>
      <c r="L1096" t="s">
        <v>3437</v>
      </c>
      <c r="O1096" s="1">
        <v>46360</v>
      </c>
      <c r="P1096" t="s">
        <v>4069</v>
      </c>
      <c r="Q1096" t="s">
        <v>4070</v>
      </c>
      <c r="R1096" t="s">
        <v>150</v>
      </c>
      <c r="S1096" t="b">
        <v>0</v>
      </c>
      <c r="T1096" t="b">
        <v>0</v>
      </c>
      <c r="U1096" t="s">
        <v>4071</v>
      </c>
      <c r="V1096" t="s">
        <v>74</v>
      </c>
      <c r="W1096" t="s">
        <v>95</v>
      </c>
      <c r="X1096" t="s">
        <v>206</v>
      </c>
      <c r="Y1096" t="s">
        <v>207</v>
      </c>
      <c r="Z1096" t="s">
        <v>3437</v>
      </c>
      <c r="AA1096" t="b">
        <f>ISNUMBER(SEARCH(";"&amp;Lessons[[#This Row],[Instrument__c]]&amp;";",";"&amp;_xlfn.XLOOKUP(Lessons[[#This Row],[Instructor_External_Id__c]], Instructors[Id], Instructors[Instruments_Taught__c])&amp;";"))</f>
        <v>1</v>
      </c>
      <c r="AB1096" t="str">
        <f>IF(LEFT(Lessons[[#This Row],[Status__c]],9)="Cancelled","",Lessons[[#This Row],[Instructor_External_Id__c]]&amp;"|"&amp;TEXT(Lessons[[#This Row],[Lesson_Date__c]],"yyyy-mm-dd")&amp;"|"&amp;Lessons[[#This Row],[Start_Time__c]])</f>
        <v>a06ak00000amzCHAAY|2026-12-04|16:30:00.000Z</v>
      </c>
      <c r="AC1096">
        <f>IF(Lessons[[#This Row],[Double Booked Key]]="","",COUNTIF(Lessons[Double Booked Key],Lessons[[#This Row],[Double Booked Key]]))</f>
        <v>1</v>
      </c>
      <c r="AD1096" s="6" t="str">
        <f>_xlfn.XLOOKUP(Lessons[[#This Row],[Location_External_Id__c]], Locations[Location Id], Locations[Location Name])</f>
        <v>Toms River</v>
      </c>
      <c r="AE1096" s="6" t="str">
        <f>TEXT(Lessons[[#This Row],[Lesson_Date__c]], "yyyy-mm")</f>
        <v>2026-12</v>
      </c>
      <c r="AF1096" s="6" t="str">
        <f>IF(Lessons[[#This Row],[Lesson_Date__c]]&lt;=Data_Audit!$F$1, "Yes", "No")</f>
        <v>No</v>
      </c>
    </row>
    <row r="1097" spans="1:32">
      <c r="A1097" t="s">
        <v>52</v>
      </c>
      <c r="B1097" t="s">
        <v>3437</v>
      </c>
      <c r="C1097">
        <v>30</v>
      </c>
      <c r="D1097" t="s">
        <v>4072</v>
      </c>
      <c r="E1097" t="s">
        <v>459</v>
      </c>
      <c r="F1097" t="s">
        <v>460</v>
      </c>
      <c r="H1097" t="s">
        <v>107</v>
      </c>
      <c r="I1097" t="b">
        <v>0</v>
      </c>
      <c r="K1097" t="s">
        <v>52</v>
      </c>
      <c r="L1097" t="s">
        <v>3437</v>
      </c>
      <c r="O1097" s="1">
        <v>46360</v>
      </c>
      <c r="P1097" t="s">
        <v>4073</v>
      </c>
      <c r="Q1097" t="s">
        <v>4074</v>
      </c>
      <c r="R1097" t="s">
        <v>83</v>
      </c>
      <c r="S1097" t="b">
        <v>0</v>
      </c>
      <c r="T1097" t="b">
        <v>0</v>
      </c>
      <c r="U1097" t="s">
        <v>4075</v>
      </c>
      <c r="V1097" t="s">
        <v>94</v>
      </c>
      <c r="W1097" t="s">
        <v>95</v>
      </c>
      <c r="X1097" t="s">
        <v>710</v>
      </c>
      <c r="Y1097" t="s">
        <v>711</v>
      </c>
      <c r="Z1097" t="s">
        <v>3437</v>
      </c>
      <c r="AA1097" t="b">
        <f>ISNUMBER(SEARCH(";"&amp;Lessons[[#This Row],[Instrument__c]]&amp;";",";"&amp;_xlfn.XLOOKUP(Lessons[[#This Row],[Instructor_External_Id__c]], Instructors[Id], Instructors[Instruments_Taught__c])&amp;";"))</f>
        <v>1</v>
      </c>
      <c r="AB1097" t="str">
        <f>IF(LEFT(Lessons[[#This Row],[Status__c]],9)="Cancelled","",Lessons[[#This Row],[Instructor_External_Id__c]]&amp;"|"&amp;TEXT(Lessons[[#This Row],[Lesson_Date__c]],"yyyy-mm-dd")&amp;"|"&amp;Lessons[[#This Row],[Start_Time__c]])</f>
        <v>a06ak00000amzC8AAI|2026-12-04|19:00:00.000Z</v>
      </c>
      <c r="AC1097">
        <f>IF(Lessons[[#This Row],[Double Booked Key]]="","",COUNTIF(Lessons[Double Booked Key],Lessons[[#This Row],[Double Booked Key]]))</f>
        <v>1</v>
      </c>
      <c r="AD1097" s="6" t="str">
        <f>_xlfn.XLOOKUP(Lessons[[#This Row],[Location_External_Id__c]], Locations[Location Id], Locations[Location Name])</f>
        <v>Brick</v>
      </c>
      <c r="AE1097" s="6" t="str">
        <f>TEXT(Lessons[[#This Row],[Lesson_Date__c]], "yyyy-mm")</f>
        <v>2026-12</v>
      </c>
      <c r="AF1097" s="6" t="str">
        <f>IF(Lessons[[#This Row],[Lesson_Date__c]]&lt;=Data_Audit!$F$1, "Yes", "No")</f>
        <v>No</v>
      </c>
    </row>
    <row r="1098" spans="1:32">
      <c r="A1098" t="s">
        <v>52</v>
      </c>
      <c r="B1098" t="s">
        <v>3437</v>
      </c>
      <c r="C1098">
        <v>45</v>
      </c>
      <c r="D1098" t="s">
        <v>4076</v>
      </c>
      <c r="E1098" t="s">
        <v>318</v>
      </c>
      <c r="F1098" t="s">
        <v>319</v>
      </c>
      <c r="H1098" t="s">
        <v>237</v>
      </c>
      <c r="I1098" t="b">
        <v>0</v>
      </c>
      <c r="K1098" t="s">
        <v>52</v>
      </c>
      <c r="L1098" t="s">
        <v>3437</v>
      </c>
      <c r="O1098" s="1">
        <v>46361</v>
      </c>
      <c r="P1098" t="s">
        <v>4077</v>
      </c>
      <c r="Q1098" t="s">
        <v>4078</v>
      </c>
      <c r="R1098" t="s">
        <v>63</v>
      </c>
      <c r="S1098" t="b">
        <v>0</v>
      </c>
      <c r="T1098" t="b">
        <v>0</v>
      </c>
      <c r="U1098" t="s">
        <v>4079</v>
      </c>
      <c r="V1098" t="s">
        <v>64</v>
      </c>
      <c r="W1098" t="s">
        <v>95</v>
      </c>
      <c r="X1098" t="s">
        <v>905</v>
      </c>
      <c r="Y1098" t="s">
        <v>906</v>
      </c>
      <c r="Z1098" t="s">
        <v>3437</v>
      </c>
      <c r="AA1098" t="b">
        <f>ISNUMBER(SEARCH(";"&amp;Lessons[[#This Row],[Instrument__c]]&amp;";",";"&amp;_xlfn.XLOOKUP(Lessons[[#This Row],[Instructor_External_Id__c]], Instructors[Id], Instructors[Instruments_Taught__c])&amp;";"))</f>
        <v>1</v>
      </c>
      <c r="AB1098" t="str">
        <f>IF(LEFT(Lessons[[#This Row],[Status__c]],9)="Cancelled","",Lessons[[#This Row],[Instructor_External_Id__c]]&amp;"|"&amp;TEXT(Lessons[[#This Row],[Lesson_Date__c]],"yyyy-mm-dd")&amp;"|"&amp;Lessons[[#This Row],[Start_Time__c]])</f>
        <v>a06ak00000amzBzAAI|2026-12-05|11:00:00.000Z</v>
      </c>
      <c r="AC1098">
        <f>IF(Lessons[[#This Row],[Double Booked Key]]="","",COUNTIF(Lessons[Double Booked Key],Lessons[[#This Row],[Double Booked Key]]))</f>
        <v>1</v>
      </c>
      <c r="AD1098" s="6" t="str">
        <f>_xlfn.XLOOKUP(Lessons[[#This Row],[Location_External_Id__c]], Locations[Location Id], Locations[Location Name])</f>
        <v>Red Bank</v>
      </c>
      <c r="AE1098" s="6" t="str">
        <f>TEXT(Lessons[[#This Row],[Lesson_Date__c]], "yyyy-mm")</f>
        <v>2026-12</v>
      </c>
      <c r="AF1098" s="6" t="str">
        <f>IF(Lessons[[#This Row],[Lesson_Date__c]]&lt;=Data_Audit!$F$1, "Yes", "No")</f>
        <v>No</v>
      </c>
    </row>
    <row r="1099" spans="1:32">
      <c r="A1099" t="s">
        <v>52</v>
      </c>
      <c r="B1099" t="s">
        <v>3437</v>
      </c>
      <c r="C1099">
        <v>30</v>
      </c>
      <c r="D1099" t="s">
        <v>4080</v>
      </c>
      <c r="E1099" t="s">
        <v>282</v>
      </c>
      <c r="F1099" t="s">
        <v>283</v>
      </c>
      <c r="H1099" t="s">
        <v>284</v>
      </c>
      <c r="I1099" t="b">
        <v>0</v>
      </c>
      <c r="K1099" t="s">
        <v>52</v>
      </c>
      <c r="L1099" t="s">
        <v>3437</v>
      </c>
      <c r="O1099" s="1">
        <v>46361</v>
      </c>
      <c r="P1099" t="s">
        <v>4081</v>
      </c>
      <c r="Q1099" t="s">
        <v>4082</v>
      </c>
      <c r="R1099" t="s">
        <v>83</v>
      </c>
      <c r="S1099" t="b">
        <v>0</v>
      </c>
      <c r="T1099" t="b">
        <v>0</v>
      </c>
      <c r="U1099" t="s">
        <v>4083</v>
      </c>
      <c r="V1099" t="s">
        <v>64</v>
      </c>
      <c r="W1099" t="s">
        <v>95</v>
      </c>
      <c r="X1099" t="s">
        <v>1282</v>
      </c>
      <c r="Y1099" t="s">
        <v>1283</v>
      </c>
      <c r="Z1099" t="s">
        <v>3437</v>
      </c>
      <c r="AA1099" t="b">
        <f>ISNUMBER(SEARCH(";"&amp;Lessons[[#This Row],[Instrument__c]]&amp;";",";"&amp;_xlfn.XLOOKUP(Lessons[[#This Row],[Instructor_External_Id__c]], Instructors[Id], Instructors[Instruments_Taught__c])&amp;";"))</f>
        <v>1</v>
      </c>
      <c r="AB1099" t="str">
        <f>IF(LEFT(Lessons[[#This Row],[Status__c]],9)="Cancelled","",Lessons[[#This Row],[Instructor_External_Id__c]]&amp;"|"&amp;TEXT(Lessons[[#This Row],[Lesson_Date__c]],"yyyy-mm-dd")&amp;"|"&amp;Lessons[[#This Row],[Start_Time__c]])</f>
        <v>a06ak00000amzBxAAI|2026-12-05|11:00:00.000Z</v>
      </c>
      <c r="AC1099">
        <f>IF(Lessons[[#This Row],[Double Booked Key]]="","",COUNTIF(Lessons[Double Booked Key],Lessons[[#This Row],[Double Booked Key]]))</f>
        <v>1</v>
      </c>
      <c r="AD1099" s="6" t="str">
        <f>_xlfn.XLOOKUP(Lessons[[#This Row],[Location_External_Id__c]], Locations[Location Id], Locations[Location Name])</f>
        <v>Brick</v>
      </c>
      <c r="AE1099" s="6" t="str">
        <f>TEXT(Lessons[[#This Row],[Lesson_Date__c]], "yyyy-mm")</f>
        <v>2026-12</v>
      </c>
      <c r="AF1099" s="6" t="str">
        <f>IF(Lessons[[#This Row],[Lesson_Date__c]]&lt;=Data_Audit!$F$1, "Yes", "No")</f>
        <v>No</v>
      </c>
    </row>
    <row r="1100" spans="1:32">
      <c r="A1100" t="s">
        <v>52</v>
      </c>
      <c r="B1100" t="s">
        <v>3437</v>
      </c>
      <c r="C1100">
        <v>30</v>
      </c>
      <c r="D1100" t="s">
        <v>4084</v>
      </c>
      <c r="E1100" t="s">
        <v>548</v>
      </c>
      <c r="F1100" t="s">
        <v>549</v>
      </c>
      <c r="H1100" t="s">
        <v>203</v>
      </c>
      <c r="I1100" t="b">
        <v>0</v>
      </c>
      <c r="K1100" t="s">
        <v>52</v>
      </c>
      <c r="L1100" t="s">
        <v>3437</v>
      </c>
      <c r="O1100" s="1">
        <v>46361</v>
      </c>
      <c r="P1100" t="s">
        <v>4085</v>
      </c>
      <c r="Q1100" t="s">
        <v>4086</v>
      </c>
      <c r="R1100" t="s">
        <v>63</v>
      </c>
      <c r="S1100" t="b">
        <v>0</v>
      </c>
      <c r="T1100" t="b">
        <v>0</v>
      </c>
      <c r="U1100" t="s">
        <v>4087</v>
      </c>
      <c r="V1100" t="s">
        <v>3594</v>
      </c>
      <c r="W1100" t="s">
        <v>95</v>
      </c>
      <c r="X1100" t="s">
        <v>1936</v>
      </c>
      <c r="Y1100" t="s">
        <v>1937</v>
      </c>
      <c r="Z1100" t="s">
        <v>3437</v>
      </c>
      <c r="AA1100" t="b">
        <f>ISNUMBER(SEARCH(";"&amp;Lessons[[#This Row],[Instrument__c]]&amp;";",";"&amp;_xlfn.XLOOKUP(Lessons[[#This Row],[Instructor_External_Id__c]], Instructors[Id], Instructors[Instruments_Taught__c])&amp;";"))</f>
        <v>1</v>
      </c>
      <c r="AB1100" t="str">
        <f>IF(LEFT(Lessons[[#This Row],[Status__c]],9)="Cancelled","",Lessons[[#This Row],[Instructor_External_Id__c]]&amp;"|"&amp;TEXT(Lessons[[#This Row],[Lesson_Date__c]],"yyyy-mm-dd")&amp;"|"&amp;Lessons[[#This Row],[Start_Time__c]])</f>
        <v>a06ak00000amzCHAAY|2026-12-05|12:00:00.000Z</v>
      </c>
      <c r="AC1100">
        <f>IF(Lessons[[#This Row],[Double Booked Key]]="","",COUNTIF(Lessons[Double Booked Key],Lessons[[#This Row],[Double Booked Key]]))</f>
        <v>1</v>
      </c>
      <c r="AD1100" s="6" t="str">
        <f>_xlfn.XLOOKUP(Lessons[[#This Row],[Location_External_Id__c]], Locations[Location Id], Locations[Location Name])</f>
        <v>Red Bank</v>
      </c>
      <c r="AE1100" s="6" t="str">
        <f>TEXT(Lessons[[#This Row],[Lesson_Date__c]], "yyyy-mm")</f>
        <v>2026-12</v>
      </c>
      <c r="AF1100" s="6" t="str">
        <f>IF(Lessons[[#This Row],[Lesson_Date__c]]&lt;=Data_Audit!$F$1, "Yes", "No")</f>
        <v>No</v>
      </c>
    </row>
    <row r="1101" spans="1:32">
      <c r="A1101" t="s">
        <v>52</v>
      </c>
      <c r="B1101" t="s">
        <v>3437</v>
      </c>
      <c r="C1101">
        <v>60</v>
      </c>
      <c r="D1101" t="s">
        <v>4088</v>
      </c>
      <c r="E1101" t="s">
        <v>944</v>
      </c>
      <c r="F1101" t="s">
        <v>945</v>
      </c>
      <c r="H1101" t="s">
        <v>392</v>
      </c>
      <c r="I1101" t="b">
        <v>0</v>
      </c>
      <c r="K1101" t="s">
        <v>52</v>
      </c>
      <c r="L1101" t="s">
        <v>3437</v>
      </c>
      <c r="O1101" s="1">
        <v>46363</v>
      </c>
      <c r="P1101" t="s">
        <v>4089</v>
      </c>
      <c r="Q1101" t="s">
        <v>4090</v>
      </c>
      <c r="R1101" t="s">
        <v>150</v>
      </c>
      <c r="S1101" t="b">
        <v>0</v>
      </c>
      <c r="T1101" t="b">
        <v>0</v>
      </c>
      <c r="U1101" t="s">
        <v>4091</v>
      </c>
      <c r="V1101" t="s">
        <v>140</v>
      </c>
      <c r="W1101" t="s">
        <v>95</v>
      </c>
      <c r="X1101" t="s">
        <v>2215</v>
      </c>
      <c r="Y1101" t="s">
        <v>2216</v>
      </c>
      <c r="Z1101" t="s">
        <v>3437</v>
      </c>
      <c r="AA1101" t="b">
        <f>ISNUMBER(SEARCH(";"&amp;Lessons[[#This Row],[Instrument__c]]&amp;";",";"&amp;_xlfn.XLOOKUP(Lessons[[#This Row],[Instructor_External_Id__c]], Instructors[Id], Instructors[Instruments_Taught__c])&amp;";"))</f>
        <v>1</v>
      </c>
      <c r="AB1101" t="str">
        <f>IF(LEFT(Lessons[[#This Row],[Status__c]],9)="Cancelled","",Lessons[[#This Row],[Instructor_External_Id__c]]&amp;"|"&amp;TEXT(Lessons[[#This Row],[Lesson_Date__c]],"yyyy-mm-dd")&amp;"|"&amp;Lessons[[#This Row],[Start_Time__c]])</f>
        <v>a06ak00000amzBtAAI|2026-12-07|15:00:00.000Z</v>
      </c>
      <c r="AC1101">
        <f>IF(Lessons[[#This Row],[Double Booked Key]]="","",COUNTIF(Lessons[Double Booked Key],Lessons[[#This Row],[Double Booked Key]]))</f>
        <v>1</v>
      </c>
      <c r="AD1101" s="6" t="str">
        <f>_xlfn.XLOOKUP(Lessons[[#This Row],[Location_External_Id__c]], Locations[Location Id], Locations[Location Name])</f>
        <v>Toms River</v>
      </c>
      <c r="AE1101" s="6" t="str">
        <f>TEXT(Lessons[[#This Row],[Lesson_Date__c]], "yyyy-mm")</f>
        <v>2026-12</v>
      </c>
      <c r="AF1101" s="6" t="str">
        <f>IF(Lessons[[#This Row],[Lesson_Date__c]]&lt;=Data_Audit!$F$1, "Yes", "No")</f>
        <v>No</v>
      </c>
    </row>
    <row r="1102" spans="1:32">
      <c r="A1102" t="s">
        <v>52</v>
      </c>
      <c r="B1102" t="s">
        <v>3437</v>
      </c>
      <c r="C1102">
        <v>45</v>
      </c>
      <c r="D1102" t="s">
        <v>4092</v>
      </c>
      <c r="E1102" t="s">
        <v>548</v>
      </c>
      <c r="F1102" t="s">
        <v>549</v>
      </c>
      <c r="H1102" t="s">
        <v>203</v>
      </c>
      <c r="I1102" t="b">
        <v>0</v>
      </c>
      <c r="K1102" t="s">
        <v>52</v>
      </c>
      <c r="L1102" t="s">
        <v>3437</v>
      </c>
      <c r="O1102" s="1">
        <v>46363</v>
      </c>
      <c r="P1102" t="s">
        <v>4093</v>
      </c>
      <c r="Q1102" t="s">
        <v>4094</v>
      </c>
      <c r="R1102" t="s">
        <v>150</v>
      </c>
      <c r="S1102" t="b">
        <v>0</v>
      </c>
      <c r="T1102" t="b">
        <v>0</v>
      </c>
      <c r="U1102" t="s">
        <v>4095</v>
      </c>
      <c r="V1102" t="s">
        <v>74</v>
      </c>
      <c r="W1102" t="s">
        <v>95</v>
      </c>
      <c r="X1102" t="s">
        <v>1168</v>
      </c>
      <c r="Y1102" t="s">
        <v>1169</v>
      </c>
      <c r="Z1102" t="s">
        <v>3437</v>
      </c>
      <c r="AA1102" t="b">
        <f>ISNUMBER(SEARCH(";"&amp;Lessons[[#This Row],[Instrument__c]]&amp;";",";"&amp;_xlfn.XLOOKUP(Lessons[[#This Row],[Instructor_External_Id__c]], Instructors[Id], Instructors[Instruments_Taught__c])&amp;";"))</f>
        <v>1</v>
      </c>
      <c r="AB1102" t="str">
        <f>IF(LEFT(Lessons[[#This Row],[Status__c]],9)="Cancelled","",Lessons[[#This Row],[Instructor_External_Id__c]]&amp;"|"&amp;TEXT(Lessons[[#This Row],[Lesson_Date__c]],"yyyy-mm-dd")&amp;"|"&amp;Lessons[[#This Row],[Start_Time__c]])</f>
        <v>a06ak00000amzCHAAY|2026-12-07|16:30:00.000Z</v>
      </c>
      <c r="AC1102">
        <f>IF(Lessons[[#This Row],[Double Booked Key]]="","",COUNTIF(Lessons[Double Booked Key],Lessons[[#This Row],[Double Booked Key]]))</f>
        <v>1</v>
      </c>
      <c r="AD1102" s="6" t="str">
        <f>_xlfn.XLOOKUP(Lessons[[#This Row],[Location_External_Id__c]], Locations[Location Id], Locations[Location Name])</f>
        <v>Toms River</v>
      </c>
      <c r="AE1102" s="6" t="str">
        <f>TEXT(Lessons[[#This Row],[Lesson_Date__c]], "yyyy-mm")</f>
        <v>2026-12</v>
      </c>
      <c r="AF1102" s="6" t="str">
        <f>IF(Lessons[[#This Row],[Lesson_Date__c]]&lt;=Data_Audit!$F$1, "Yes", "No")</f>
        <v>No</v>
      </c>
    </row>
    <row r="1103" spans="1:32">
      <c r="A1103" t="s">
        <v>52</v>
      </c>
      <c r="B1103" t="s">
        <v>3437</v>
      </c>
      <c r="C1103">
        <v>45</v>
      </c>
      <c r="D1103" t="s">
        <v>4096</v>
      </c>
      <c r="E1103" t="s">
        <v>243</v>
      </c>
      <c r="F1103" t="s">
        <v>244</v>
      </c>
      <c r="H1103" t="s">
        <v>237</v>
      </c>
      <c r="I1103" t="b">
        <v>0</v>
      </c>
      <c r="K1103" t="s">
        <v>52</v>
      </c>
      <c r="L1103" t="s">
        <v>3437</v>
      </c>
      <c r="O1103" s="1">
        <v>46363</v>
      </c>
      <c r="P1103" t="s">
        <v>4097</v>
      </c>
      <c r="Q1103" t="s">
        <v>4098</v>
      </c>
      <c r="R1103" t="s">
        <v>83</v>
      </c>
      <c r="S1103" t="b">
        <v>0</v>
      </c>
      <c r="T1103" t="b">
        <v>0</v>
      </c>
      <c r="U1103" t="s">
        <v>4099</v>
      </c>
      <c r="V1103" t="s">
        <v>84</v>
      </c>
      <c r="W1103" t="s">
        <v>95</v>
      </c>
      <c r="X1103" t="s">
        <v>1459</v>
      </c>
      <c r="Y1103" t="s">
        <v>1460</v>
      </c>
      <c r="Z1103" t="s">
        <v>3437</v>
      </c>
      <c r="AA1103" t="b">
        <f>ISNUMBER(SEARCH(";"&amp;Lessons[[#This Row],[Instrument__c]]&amp;";",";"&amp;_xlfn.XLOOKUP(Lessons[[#This Row],[Instructor_External_Id__c]], Instructors[Id], Instructors[Instruments_Taught__c])&amp;";"))</f>
        <v>1</v>
      </c>
      <c r="AB1103" t="str">
        <f>IF(LEFT(Lessons[[#This Row],[Status__c]],9)="Cancelled","",Lessons[[#This Row],[Instructor_External_Id__c]]&amp;"|"&amp;TEXT(Lessons[[#This Row],[Lesson_Date__c]],"yyyy-mm-dd")&amp;"|"&amp;Lessons[[#This Row],[Start_Time__c]])</f>
        <v>a06ak00000amzC1AAI|2026-12-07|17:00:00.000Z</v>
      </c>
      <c r="AC1103">
        <f>IF(Lessons[[#This Row],[Double Booked Key]]="","",COUNTIF(Lessons[Double Booked Key],Lessons[[#This Row],[Double Booked Key]]))</f>
        <v>1</v>
      </c>
      <c r="AD1103" s="6" t="str">
        <f>_xlfn.XLOOKUP(Lessons[[#This Row],[Location_External_Id__c]], Locations[Location Id], Locations[Location Name])</f>
        <v>Brick</v>
      </c>
      <c r="AE1103" s="6" t="str">
        <f>TEXT(Lessons[[#This Row],[Lesson_Date__c]], "yyyy-mm")</f>
        <v>2026-12</v>
      </c>
      <c r="AF1103" s="6" t="str">
        <f>IF(Lessons[[#This Row],[Lesson_Date__c]]&lt;=Data_Audit!$F$1, "Yes", "No")</f>
        <v>No</v>
      </c>
    </row>
    <row r="1104" spans="1:32">
      <c r="A1104" t="s">
        <v>52</v>
      </c>
      <c r="B1104" t="s">
        <v>3437</v>
      </c>
      <c r="C1104">
        <v>45</v>
      </c>
      <c r="D1104" t="s">
        <v>4100</v>
      </c>
      <c r="E1104" t="s">
        <v>359</v>
      </c>
      <c r="F1104" t="s">
        <v>360</v>
      </c>
      <c r="H1104" t="s">
        <v>78</v>
      </c>
      <c r="I1104" t="b">
        <v>0</v>
      </c>
      <c r="K1104" t="s">
        <v>52</v>
      </c>
      <c r="L1104" t="s">
        <v>3437</v>
      </c>
      <c r="O1104" s="1">
        <v>46363</v>
      </c>
      <c r="P1104" t="s">
        <v>4101</v>
      </c>
      <c r="Q1104" t="s">
        <v>4102</v>
      </c>
      <c r="R1104" t="s">
        <v>63</v>
      </c>
      <c r="S1104" t="b">
        <v>0</v>
      </c>
      <c r="T1104" t="b">
        <v>0</v>
      </c>
      <c r="U1104" t="s">
        <v>4103</v>
      </c>
      <c r="V1104" t="s">
        <v>128</v>
      </c>
      <c r="W1104" t="s">
        <v>95</v>
      </c>
      <c r="X1104" t="s">
        <v>667</v>
      </c>
      <c r="Y1104" t="s">
        <v>668</v>
      </c>
      <c r="Z1104" t="s">
        <v>3437</v>
      </c>
      <c r="AA1104" t="b">
        <f>ISNUMBER(SEARCH(";"&amp;Lessons[[#This Row],[Instrument__c]]&amp;";",";"&amp;_xlfn.XLOOKUP(Lessons[[#This Row],[Instructor_External_Id__c]], Instructors[Id], Instructors[Instruments_Taught__c])&amp;";"))</f>
        <v>1</v>
      </c>
      <c r="AB1104" t="str">
        <f>IF(LEFT(Lessons[[#This Row],[Status__c]],9)="Cancelled","",Lessons[[#This Row],[Instructor_External_Id__c]]&amp;"|"&amp;TEXT(Lessons[[#This Row],[Lesson_Date__c]],"yyyy-mm-dd")&amp;"|"&amp;Lessons[[#This Row],[Start_Time__c]])</f>
        <v>a06ak00000amzBiAAI|2026-12-07|18:30:00.000Z</v>
      </c>
      <c r="AC1104">
        <f>IF(Lessons[[#This Row],[Double Booked Key]]="","",COUNTIF(Lessons[Double Booked Key],Lessons[[#This Row],[Double Booked Key]]))</f>
        <v>1</v>
      </c>
      <c r="AD1104" s="6" t="str">
        <f>_xlfn.XLOOKUP(Lessons[[#This Row],[Location_External_Id__c]], Locations[Location Id], Locations[Location Name])</f>
        <v>Red Bank</v>
      </c>
      <c r="AE1104" s="6" t="str">
        <f>TEXT(Lessons[[#This Row],[Lesson_Date__c]], "yyyy-mm")</f>
        <v>2026-12</v>
      </c>
      <c r="AF1104" s="6" t="str">
        <f>IF(Lessons[[#This Row],[Lesson_Date__c]]&lt;=Data_Audit!$F$1, "Yes", "No")</f>
        <v>No</v>
      </c>
    </row>
    <row r="1105" spans="1:32">
      <c r="A1105" t="s">
        <v>52</v>
      </c>
      <c r="B1105" t="s">
        <v>3437</v>
      </c>
      <c r="C1105">
        <v>45</v>
      </c>
      <c r="D1105" t="s">
        <v>4104</v>
      </c>
      <c r="E1105" t="s">
        <v>944</v>
      </c>
      <c r="F1105" t="s">
        <v>945</v>
      </c>
      <c r="H1105" t="s">
        <v>392</v>
      </c>
      <c r="I1105" t="b">
        <v>0</v>
      </c>
      <c r="K1105" t="s">
        <v>52</v>
      </c>
      <c r="L1105" t="s">
        <v>3437</v>
      </c>
      <c r="O1105" s="1">
        <v>46363</v>
      </c>
      <c r="P1105" t="s">
        <v>4105</v>
      </c>
      <c r="Q1105" t="s">
        <v>4106</v>
      </c>
      <c r="R1105" t="s">
        <v>150</v>
      </c>
      <c r="S1105" t="b">
        <v>0</v>
      </c>
      <c r="T1105" t="b">
        <v>0</v>
      </c>
      <c r="U1105" t="s">
        <v>4107</v>
      </c>
      <c r="V1105" t="s">
        <v>128</v>
      </c>
      <c r="W1105" t="s">
        <v>95</v>
      </c>
      <c r="X1105" t="s">
        <v>2482</v>
      </c>
      <c r="Y1105" t="s">
        <v>2483</v>
      </c>
      <c r="Z1105" t="s">
        <v>3437</v>
      </c>
      <c r="AA1105" t="b">
        <f>ISNUMBER(SEARCH(";"&amp;Lessons[[#This Row],[Instrument__c]]&amp;";",";"&amp;_xlfn.XLOOKUP(Lessons[[#This Row],[Instructor_External_Id__c]], Instructors[Id], Instructors[Instruments_Taught__c])&amp;";"))</f>
        <v>1</v>
      </c>
      <c r="AB1105" t="str">
        <f>IF(LEFT(Lessons[[#This Row],[Status__c]],9)="Cancelled","",Lessons[[#This Row],[Instructor_External_Id__c]]&amp;"|"&amp;TEXT(Lessons[[#This Row],[Lesson_Date__c]],"yyyy-mm-dd")&amp;"|"&amp;Lessons[[#This Row],[Start_Time__c]])</f>
        <v>a06ak00000amzBtAAI|2026-12-07|18:30:00.000Z</v>
      </c>
      <c r="AC1105">
        <f>IF(Lessons[[#This Row],[Double Booked Key]]="","",COUNTIF(Lessons[Double Booked Key],Lessons[[#This Row],[Double Booked Key]]))</f>
        <v>1</v>
      </c>
      <c r="AD1105" s="6" t="str">
        <f>_xlfn.XLOOKUP(Lessons[[#This Row],[Location_External_Id__c]], Locations[Location Id], Locations[Location Name])</f>
        <v>Toms River</v>
      </c>
      <c r="AE1105" s="6" t="str">
        <f>TEXT(Lessons[[#This Row],[Lesson_Date__c]], "yyyy-mm")</f>
        <v>2026-12</v>
      </c>
      <c r="AF1105" s="6" t="str">
        <f>IF(Lessons[[#This Row],[Lesson_Date__c]]&lt;=Data_Audit!$F$1, "Yes", "No")</f>
        <v>No</v>
      </c>
    </row>
    <row r="1106" spans="1:32">
      <c r="A1106" t="s">
        <v>52</v>
      </c>
      <c r="B1106" t="s">
        <v>3437</v>
      </c>
      <c r="C1106">
        <v>45</v>
      </c>
      <c r="D1106" t="s">
        <v>4108</v>
      </c>
      <c r="E1106" t="s">
        <v>436</v>
      </c>
      <c r="F1106" t="s">
        <v>437</v>
      </c>
      <c r="H1106" t="s">
        <v>263</v>
      </c>
      <c r="I1106" t="b">
        <v>0</v>
      </c>
      <c r="K1106" t="s">
        <v>52</v>
      </c>
      <c r="L1106" t="s">
        <v>3437</v>
      </c>
      <c r="O1106" s="1">
        <v>46364</v>
      </c>
      <c r="P1106" t="s">
        <v>4109</v>
      </c>
      <c r="Q1106" t="s">
        <v>4110</v>
      </c>
      <c r="R1106" t="s">
        <v>63</v>
      </c>
      <c r="S1106" t="b">
        <v>0</v>
      </c>
      <c r="T1106" t="b">
        <v>0</v>
      </c>
      <c r="U1106" t="s">
        <v>4111</v>
      </c>
      <c r="V1106" t="s">
        <v>102</v>
      </c>
      <c r="W1106" t="s">
        <v>95</v>
      </c>
      <c r="X1106" t="s">
        <v>441</v>
      </c>
      <c r="Y1106" t="s">
        <v>442</v>
      </c>
      <c r="Z1106" t="s">
        <v>3437</v>
      </c>
      <c r="AA1106" t="b">
        <f>ISNUMBER(SEARCH(";"&amp;Lessons[[#This Row],[Instrument__c]]&amp;";",";"&amp;_xlfn.XLOOKUP(Lessons[[#This Row],[Instructor_External_Id__c]], Instructors[Id], Instructors[Instruments_Taught__c])&amp;";"))</f>
        <v>1</v>
      </c>
      <c r="AB1106" t="str">
        <f>IF(LEFT(Lessons[[#This Row],[Status__c]],9)="Cancelled","",Lessons[[#This Row],[Instructor_External_Id__c]]&amp;"|"&amp;TEXT(Lessons[[#This Row],[Lesson_Date__c]],"yyyy-mm-dd")&amp;"|"&amp;Lessons[[#This Row],[Start_Time__c]])</f>
        <v>a06ak00000amzC0AAI|2026-12-08|16:00:00.000Z</v>
      </c>
      <c r="AC1106">
        <f>IF(Lessons[[#This Row],[Double Booked Key]]="","",COUNTIF(Lessons[Double Booked Key],Lessons[[#This Row],[Double Booked Key]]))</f>
        <v>1</v>
      </c>
      <c r="AD1106" s="6" t="str">
        <f>_xlfn.XLOOKUP(Lessons[[#This Row],[Location_External_Id__c]], Locations[Location Id], Locations[Location Name])</f>
        <v>Red Bank</v>
      </c>
      <c r="AE1106" s="6" t="str">
        <f>TEXT(Lessons[[#This Row],[Lesson_Date__c]], "yyyy-mm")</f>
        <v>2026-12</v>
      </c>
      <c r="AF1106" s="6" t="str">
        <f>IF(Lessons[[#This Row],[Lesson_Date__c]]&lt;=Data_Audit!$F$1, "Yes", "No")</f>
        <v>No</v>
      </c>
    </row>
    <row r="1107" spans="1:32">
      <c r="A1107" t="s">
        <v>52</v>
      </c>
      <c r="B1107" t="s">
        <v>3437</v>
      </c>
      <c r="C1107">
        <v>30</v>
      </c>
      <c r="D1107" t="s">
        <v>4112</v>
      </c>
      <c r="E1107" t="s">
        <v>318</v>
      </c>
      <c r="F1107" t="s">
        <v>319</v>
      </c>
      <c r="H1107" t="s">
        <v>237</v>
      </c>
      <c r="I1107" t="b">
        <v>0</v>
      </c>
      <c r="K1107" t="s">
        <v>52</v>
      </c>
      <c r="L1107" t="s">
        <v>3437</v>
      </c>
      <c r="O1107" s="1">
        <v>46364</v>
      </c>
      <c r="P1107" t="s">
        <v>4113</v>
      </c>
      <c r="Q1107" t="s">
        <v>4114</v>
      </c>
      <c r="R1107" t="s">
        <v>83</v>
      </c>
      <c r="S1107" t="b">
        <v>0</v>
      </c>
      <c r="T1107" t="b">
        <v>0</v>
      </c>
      <c r="U1107" t="s">
        <v>4115</v>
      </c>
      <c r="V1107" t="s">
        <v>74</v>
      </c>
      <c r="W1107" t="s">
        <v>95</v>
      </c>
      <c r="X1107" t="s">
        <v>2922</v>
      </c>
      <c r="Y1107" t="s">
        <v>2923</v>
      </c>
      <c r="Z1107" t="s">
        <v>3437</v>
      </c>
      <c r="AA1107" t="b">
        <f>ISNUMBER(SEARCH(";"&amp;Lessons[[#This Row],[Instrument__c]]&amp;";",";"&amp;_xlfn.XLOOKUP(Lessons[[#This Row],[Instructor_External_Id__c]], Instructors[Id], Instructors[Instruments_Taught__c])&amp;";"))</f>
        <v>1</v>
      </c>
      <c r="AB1107" t="str">
        <f>IF(LEFT(Lessons[[#This Row],[Status__c]],9)="Cancelled","",Lessons[[#This Row],[Instructor_External_Id__c]]&amp;"|"&amp;TEXT(Lessons[[#This Row],[Lesson_Date__c]],"yyyy-mm-dd")&amp;"|"&amp;Lessons[[#This Row],[Start_Time__c]])</f>
        <v>a06ak00000amzBzAAI|2026-12-08|16:30:00.000Z</v>
      </c>
      <c r="AC1107">
        <f>IF(Lessons[[#This Row],[Double Booked Key]]="","",COUNTIF(Lessons[Double Booked Key],Lessons[[#This Row],[Double Booked Key]]))</f>
        <v>1</v>
      </c>
      <c r="AD1107" s="6" t="str">
        <f>_xlfn.XLOOKUP(Lessons[[#This Row],[Location_External_Id__c]], Locations[Location Id], Locations[Location Name])</f>
        <v>Brick</v>
      </c>
      <c r="AE1107" s="6" t="str">
        <f>TEXT(Lessons[[#This Row],[Lesson_Date__c]], "yyyy-mm")</f>
        <v>2026-12</v>
      </c>
      <c r="AF1107" s="6" t="str">
        <f>IF(Lessons[[#This Row],[Lesson_Date__c]]&lt;=Data_Audit!$F$1, "Yes", "No")</f>
        <v>No</v>
      </c>
    </row>
    <row r="1108" spans="1:32">
      <c r="A1108" t="s">
        <v>52</v>
      </c>
      <c r="B1108" t="s">
        <v>3437</v>
      </c>
      <c r="C1108">
        <v>60</v>
      </c>
      <c r="D1108" t="s">
        <v>4116</v>
      </c>
      <c r="E1108" t="s">
        <v>804</v>
      </c>
      <c r="F1108" t="s">
        <v>805</v>
      </c>
      <c r="H1108" t="s">
        <v>147</v>
      </c>
      <c r="I1108" t="b">
        <v>0</v>
      </c>
      <c r="K1108" t="s">
        <v>52</v>
      </c>
      <c r="L1108" t="s">
        <v>3437</v>
      </c>
      <c r="O1108" s="1">
        <v>46364</v>
      </c>
      <c r="P1108" t="s">
        <v>4117</v>
      </c>
      <c r="Q1108" t="s">
        <v>4118</v>
      </c>
      <c r="R1108" t="s">
        <v>63</v>
      </c>
      <c r="S1108" t="b">
        <v>0</v>
      </c>
      <c r="T1108" t="b">
        <v>0</v>
      </c>
      <c r="U1108" t="s">
        <v>4119</v>
      </c>
      <c r="V1108" t="s">
        <v>120</v>
      </c>
      <c r="W1108" t="s">
        <v>95</v>
      </c>
      <c r="X1108" t="s">
        <v>1268</v>
      </c>
      <c r="Y1108" t="s">
        <v>1269</v>
      </c>
      <c r="Z1108" t="s">
        <v>3437</v>
      </c>
      <c r="AA1108" t="b">
        <f>ISNUMBER(SEARCH(";"&amp;Lessons[[#This Row],[Instrument__c]]&amp;";",";"&amp;_xlfn.XLOOKUP(Lessons[[#This Row],[Instructor_External_Id__c]], Instructors[Id], Instructors[Instruments_Taught__c])&amp;";"))</f>
        <v>1</v>
      </c>
      <c r="AB1108" t="str">
        <f>IF(LEFT(Lessons[[#This Row],[Status__c]],9)="Cancelled","",Lessons[[#This Row],[Instructor_External_Id__c]]&amp;"|"&amp;TEXT(Lessons[[#This Row],[Lesson_Date__c]],"yyyy-mm-dd")&amp;"|"&amp;Lessons[[#This Row],[Start_Time__c]])</f>
        <v>a06ak00000amzCBAAY|2026-12-08|18:00:00.000Z</v>
      </c>
      <c r="AC1108">
        <f>IF(Lessons[[#This Row],[Double Booked Key]]="","",COUNTIF(Lessons[Double Booked Key],Lessons[[#This Row],[Double Booked Key]]))</f>
        <v>1</v>
      </c>
      <c r="AD1108" s="6" t="str">
        <f>_xlfn.XLOOKUP(Lessons[[#This Row],[Location_External_Id__c]], Locations[Location Id], Locations[Location Name])</f>
        <v>Red Bank</v>
      </c>
      <c r="AE1108" s="6" t="str">
        <f>TEXT(Lessons[[#This Row],[Lesson_Date__c]], "yyyy-mm")</f>
        <v>2026-12</v>
      </c>
      <c r="AF1108" s="6" t="str">
        <f>IF(Lessons[[#This Row],[Lesson_Date__c]]&lt;=Data_Audit!$F$1, "Yes", "No")</f>
        <v>No</v>
      </c>
    </row>
    <row r="1109" spans="1:32">
      <c r="A1109" t="s">
        <v>52</v>
      </c>
      <c r="B1109" t="s">
        <v>3437</v>
      </c>
      <c r="C1109">
        <v>45</v>
      </c>
      <c r="D1109" t="s">
        <v>4120</v>
      </c>
      <c r="E1109" t="s">
        <v>548</v>
      </c>
      <c r="F1109" t="s">
        <v>549</v>
      </c>
      <c r="H1109" t="s">
        <v>203</v>
      </c>
      <c r="I1109" t="b">
        <v>0</v>
      </c>
      <c r="K1109" t="s">
        <v>52</v>
      </c>
      <c r="L1109" t="s">
        <v>3437</v>
      </c>
      <c r="O1109" s="1">
        <v>46364</v>
      </c>
      <c r="P1109" t="s">
        <v>4121</v>
      </c>
      <c r="Q1109" t="s">
        <v>4122</v>
      </c>
      <c r="R1109" t="s">
        <v>83</v>
      </c>
      <c r="S1109" t="b">
        <v>0</v>
      </c>
      <c r="T1109" t="b">
        <v>0</v>
      </c>
      <c r="U1109" t="s">
        <v>4123</v>
      </c>
      <c r="V1109" t="s">
        <v>128</v>
      </c>
      <c r="W1109" t="s">
        <v>95</v>
      </c>
      <c r="X1109" t="s">
        <v>552</v>
      </c>
      <c r="Y1109" t="s">
        <v>553</v>
      </c>
      <c r="Z1109" t="s">
        <v>3437</v>
      </c>
      <c r="AA1109" t="b">
        <f>ISNUMBER(SEARCH(";"&amp;Lessons[[#This Row],[Instrument__c]]&amp;";",";"&amp;_xlfn.XLOOKUP(Lessons[[#This Row],[Instructor_External_Id__c]], Instructors[Id], Instructors[Instruments_Taught__c])&amp;";"))</f>
        <v>1</v>
      </c>
      <c r="AB1109" t="str">
        <f>IF(LEFT(Lessons[[#This Row],[Status__c]],9)="Cancelled","",Lessons[[#This Row],[Instructor_External_Id__c]]&amp;"|"&amp;TEXT(Lessons[[#This Row],[Lesson_Date__c]],"yyyy-mm-dd")&amp;"|"&amp;Lessons[[#This Row],[Start_Time__c]])</f>
        <v>a06ak00000amzCHAAY|2026-12-08|18:30:00.000Z</v>
      </c>
      <c r="AC1109">
        <f>IF(Lessons[[#This Row],[Double Booked Key]]="","",COUNTIF(Lessons[Double Booked Key],Lessons[[#This Row],[Double Booked Key]]))</f>
        <v>1</v>
      </c>
      <c r="AD1109" s="6" t="str">
        <f>_xlfn.XLOOKUP(Lessons[[#This Row],[Location_External_Id__c]], Locations[Location Id], Locations[Location Name])</f>
        <v>Brick</v>
      </c>
      <c r="AE1109" s="6" t="str">
        <f>TEXT(Lessons[[#This Row],[Lesson_Date__c]], "yyyy-mm")</f>
        <v>2026-12</v>
      </c>
      <c r="AF1109" s="6" t="str">
        <f>IF(Lessons[[#This Row],[Lesson_Date__c]]&lt;=Data_Audit!$F$1, "Yes", "No")</f>
        <v>No</v>
      </c>
    </row>
    <row r="1110" spans="1:32">
      <c r="A1110" t="s">
        <v>52</v>
      </c>
      <c r="B1110" t="s">
        <v>3437</v>
      </c>
      <c r="C1110">
        <v>45</v>
      </c>
      <c r="D1110" t="s">
        <v>4124</v>
      </c>
      <c r="E1110" t="s">
        <v>944</v>
      </c>
      <c r="F1110" t="s">
        <v>945</v>
      </c>
      <c r="H1110" t="s">
        <v>107</v>
      </c>
      <c r="I1110" t="b">
        <v>0</v>
      </c>
      <c r="K1110" t="s">
        <v>52</v>
      </c>
      <c r="L1110" t="s">
        <v>3437</v>
      </c>
      <c r="O1110" s="1">
        <v>46364</v>
      </c>
      <c r="P1110" t="s">
        <v>4125</v>
      </c>
      <c r="Q1110" t="s">
        <v>4126</v>
      </c>
      <c r="R1110" t="s">
        <v>63</v>
      </c>
      <c r="S1110" t="b">
        <v>0</v>
      </c>
      <c r="T1110" t="b">
        <v>0</v>
      </c>
      <c r="U1110" t="s">
        <v>4127</v>
      </c>
      <c r="V1110" t="s">
        <v>128</v>
      </c>
      <c r="W1110" t="s">
        <v>95</v>
      </c>
      <c r="X1110" t="s">
        <v>1589</v>
      </c>
      <c r="Y1110" t="s">
        <v>1590</v>
      </c>
      <c r="Z1110" t="s">
        <v>3437</v>
      </c>
      <c r="AA1110" t="b">
        <f>ISNUMBER(SEARCH(";"&amp;Lessons[[#This Row],[Instrument__c]]&amp;";",";"&amp;_xlfn.XLOOKUP(Lessons[[#This Row],[Instructor_External_Id__c]], Instructors[Id], Instructors[Instruments_Taught__c])&amp;";"))</f>
        <v>1</v>
      </c>
      <c r="AB1110" t="str">
        <f>IF(LEFT(Lessons[[#This Row],[Status__c]],9)="Cancelled","",Lessons[[#This Row],[Instructor_External_Id__c]]&amp;"|"&amp;TEXT(Lessons[[#This Row],[Lesson_Date__c]],"yyyy-mm-dd")&amp;"|"&amp;Lessons[[#This Row],[Start_Time__c]])</f>
        <v>a06ak00000amzBtAAI|2026-12-08|18:30:00.000Z</v>
      </c>
      <c r="AC1110">
        <f>IF(Lessons[[#This Row],[Double Booked Key]]="","",COUNTIF(Lessons[Double Booked Key],Lessons[[#This Row],[Double Booked Key]]))</f>
        <v>1</v>
      </c>
      <c r="AD1110" s="6" t="str">
        <f>_xlfn.XLOOKUP(Lessons[[#This Row],[Location_External_Id__c]], Locations[Location Id], Locations[Location Name])</f>
        <v>Red Bank</v>
      </c>
      <c r="AE1110" s="6" t="str">
        <f>TEXT(Lessons[[#This Row],[Lesson_Date__c]], "yyyy-mm")</f>
        <v>2026-12</v>
      </c>
      <c r="AF1110" s="6" t="str">
        <f>IF(Lessons[[#This Row],[Lesson_Date__c]]&lt;=Data_Audit!$F$1, "Yes", "No")</f>
        <v>No</v>
      </c>
    </row>
    <row r="1111" spans="1:32">
      <c r="A1111" t="s">
        <v>52</v>
      </c>
      <c r="B1111" t="s">
        <v>3437</v>
      </c>
      <c r="C1111">
        <v>45</v>
      </c>
      <c r="D1111" t="s">
        <v>4128</v>
      </c>
      <c r="E1111" t="s">
        <v>1216</v>
      </c>
      <c r="F1111" t="s">
        <v>1217</v>
      </c>
      <c r="H1111" t="s">
        <v>147</v>
      </c>
      <c r="I1111" t="b">
        <v>0</v>
      </c>
      <c r="K1111" t="s">
        <v>52</v>
      </c>
      <c r="L1111" t="s">
        <v>3437</v>
      </c>
      <c r="O1111" s="1">
        <v>46365</v>
      </c>
      <c r="P1111" t="s">
        <v>4129</v>
      </c>
      <c r="Q1111" t="s">
        <v>4130</v>
      </c>
      <c r="R1111" t="s">
        <v>150</v>
      </c>
      <c r="S1111" t="b">
        <v>0</v>
      </c>
      <c r="T1111" t="b">
        <v>0</v>
      </c>
      <c r="U1111" t="s">
        <v>4131</v>
      </c>
      <c r="V1111" t="s">
        <v>140</v>
      </c>
      <c r="W1111" t="s">
        <v>95</v>
      </c>
      <c r="X1111" t="s">
        <v>151</v>
      </c>
      <c r="Y1111" t="s">
        <v>152</v>
      </c>
      <c r="Z1111" t="s">
        <v>3437</v>
      </c>
      <c r="AA1111" t="b">
        <f>ISNUMBER(SEARCH(";"&amp;Lessons[[#This Row],[Instrument__c]]&amp;";",";"&amp;_xlfn.XLOOKUP(Lessons[[#This Row],[Instructor_External_Id__c]], Instructors[Id], Instructors[Instruments_Taught__c])&amp;";"))</f>
        <v>1</v>
      </c>
      <c r="AB1111" t="str">
        <f>IF(LEFT(Lessons[[#This Row],[Status__c]],9)="Cancelled","",Lessons[[#This Row],[Instructor_External_Id__c]]&amp;"|"&amp;TEXT(Lessons[[#This Row],[Lesson_Date__c]],"yyyy-mm-dd")&amp;"|"&amp;Lessons[[#This Row],[Start_Time__c]])</f>
        <v>a06ak00000amzCKAAY|2026-12-09|15:00:00.000Z</v>
      </c>
      <c r="AC1111">
        <f>IF(Lessons[[#This Row],[Double Booked Key]]="","",COUNTIF(Lessons[Double Booked Key],Lessons[[#This Row],[Double Booked Key]]))</f>
        <v>1</v>
      </c>
      <c r="AD1111" s="6" t="str">
        <f>_xlfn.XLOOKUP(Lessons[[#This Row],[Location_External_Id__c]], Locations[Location Id], Locations[Location Name])</f>
        <v>Toms River</v>
      </c>
      <c r="AE1111" s="6" t="str">
        <f>TEXT(Lessons[[#This Row],[Lesson_Date__c]], "yyyy-mm")</f>
        <v>2026-12</v>
      </c>
      <c r="AF1111" s="6" t="str">
        <f>IF(Lessons[[#This Row],[Lesson_Date__c]]&lt;=Data_Audit!$F$1, "Yes", "No")</f>
        <v>No</v>
      </c>
    </row>
    <row r="1112" spans="1:32">
      <c r="A1112" t="s">
        <v>52</v>
      </c>
      <c r="B1112" t="s">
        <v>3437</v>
      </c>
      <c r="C1112">
        <v>30</v>
      </c>
      <c r="D1112" t="s">
        <v>4132</v>
      </c>
      <c r="E1112" t="s">
        <v>804</v>
      </c>
      <c r="F1112" t="s">
        <v>805</v>
      </c>
      <c r="H1112" t="s">
        <v>147</v>
      </c>
      <c r="I1112" t="b">
        <v>0</v>
      </c>
      <c r="K1112" t="s">
        <v>52</v>
      </c>
      <c r="L1112" t="s">
        <v>3437</v>
      </c>
      <c r="O1112" s="1">
        <v>46365</v>
      </c>
      <c r="P1112" t="s">
        <v>4133</v>
      </c>
      <c r="Q1112" t="s">
        <v>4134</v>
      </c>
      <c r="R1112" t="s">
        <v>63</v>
      </c>
      <c r="S1112" t="b">
        <v>0</v>
      </c>
      <c r="T1112" t="b">
        <v>0</v>
      </c>
      <c r="U1112" t="s">
        <v>4135</v>
      </c>
      <c r="V1112" t="s">
        <v>140</v>
      </c>
      <c r="W1112" t="s">
        <v>95</v>
      </c>
      <c r="X1112" t="s">
        <v>1795</v>
      </c>
      <c r="Y1112" t="s">
        <v>1796</v>
      </c>
      <c r="Z1112" t="s">
        <v>3437</v>
      </c>
      <c r="AA1112" t="b">
        <f>ISNUMBER(SEARCH(";"&amp;Lessons[[#This Row],[Instrument__c]]&amp;";",";"&amp;_xlfn.XLOOKUP(Lessons[[#This Row],[Instructor_External_Id__c]], Instructors[Id], Instructors[Instruments_Taught__c])&amp;";"))</f>
        <v>1</v>
      </c>
      <c r="AB1112" t="str">
        <f>IF(LEFT(Lessons[[#This Row],[Status__c]],9)="Cancelled","",Lessons[[#This Row],[Instructor_External_Id__c]]&amp;"|"&amp;TEXT(Lessons[[#This Row],[Lesson_Date__c]],"yyyy-mm-dd")&amp;"|"&amp;Lessons[[#This Row],[Start_Time__c]])</f>
        <v>a06ak00000amzCBAAY|2026-12-09|15:00:00.000Z</v>
      </c>
      <c r="AC1112">
        <f>IF(Lessons[[#This Row],[Double Booked Key]]="","",COUNTIF(Lessons[Double Booked Key],Lessons[[#This Row],[Double Booked Key]]))</f>
        <v>1</v>
      </c>
      <c r="AD1112" s="6" t="str">
        <f>_xlfn.XLOOKUP(Lessons[[#This Row],[Location_External_Id__c]], Locations[Location Id], Locations[Location Name])</f>
        <v>Red Bank</v>
      </c>
      <c r="AE1112" s="6" t="str">
        <f>TEXT(Lessons[[#This Row],[Lesson_Date__c]], "yyyy-mm")</f>
        <v>2026-12</v>
      </c>
      <c r="AF1112" s="6" t="str">
        <f>IF(Lessons[[#This Row],[Lesson_Date__c]]&lt;=Data_Audit!$F$1, "Yes", "No")</f>
        <v>No</v>
      </c>
    </row>
    <row r="1113" spans="1:32">
      <c r="A1113" t="s">
        <v>52</v>
      </c>
      <c r="B1113" t="s">
        <v>3437</v>
      </c>
      <c r="C1113">
        <v>30</v>
      </c>
      <c r="D1113" t="s">
        <v>4136</v>
      </c>
      <c r="E1113" t="s">
        <v>76</v>
      </c>
      <c r="F1113" t="s">
        <v>77</v>
      </c>
      <c r="H1113" t="s">
        <v>78</v>
      </c>
      <c r="I1113" t="b">
        <v>0</v>
      </c>
      <c r="K1113" t="s">
        <v>52</v>
      </c>
      <c r="L1113" t="s">
        <v>3437</v>
      </c>
      <c r="O1113" s="1">
        <v>46365</v>
      </c>
      <c r="P1113" t="s">
        <v>4137</v>
      </c>
      <c r="Q1113" t="s">
        <v>4138</v>
      </c>
      <c r="R1113" t="s">
        <v>83</v>
      </c>
      <c r="S1113" t="b">
        <v>0</v>
      </c>
      <c r="T1113" t="b">
        <v>0</v>
      </c>
      <c r="U1113" t="s">
        <v>4139</v>
      </c>
      <c r="V1113" t="s">
        <v>135</v>
      </c>
      <c r="W1113" t="s">
        <v>95</v>
      </c>
      <c r="X1113" t="s">
        <v>220</v>
      </c>
      <c r="Y1113" t="s">
        <v>221</v>
      </c>
      <c r="Z1113" t="s">
        <v>3437</v>
      </c>
      <c r="AA1113" t="b">
        <f>ISNUMBER(SEARCH(";"&amp;Lessons[[#This Row],[Instrument__c]]&amp;";",";"&amp;_xlfn.XLOOKUP(Lessons[[#This Row],[Instructor_External_Id__c]], Instructors[Id], Instructors[Instruments_Taught__c])&amp;";"))</f>
        <v>1</v>
      </c>
      <c r="AB1113" t="str">
        <f>IF(LEFT(Lessons[[#This Row],[Status__c]],9)="Cancelled","",Lessons[[#This Row],[Instructor_External_Id__c]]&amp;"|"&amp;TEXT(Lessons[[#This Row],[Lesson_Date__c]],"yyyy-mm-dd")&amp;"|"&amp;Lessons[[#This Row],[Start_Time__c]])</f>
        <v>a06ak00000amzBgAAI|2026-12-09|15:30:00.000Z</v>
      </c>
      <c r="AC1113">
        <f>IF(Lessons[[#This Row],[Double Booked Key]]="","",COUNTIF(Lessons[Double Booked Key],Lessons[[#This Row],[Double Booked Key]]))</f>
        <v>1</v>
      </c>
      <c r="AD1113" s="6" t="str">
        <f>_xlfn.XLOOKUP(Lessons[[#This Row],[Location_External_Id__c]], Locations[Location Id], Locations[Location Name])</f>
        <v>Brick</v>
      </c>
      <c r="AE1113" s="6" t="str">
        <f>TEXT(Lessons[[#This Row],[Lesson_Date__c]], "yyyy-mm")</f>
        <v>2026-12</v>
      </c>
      <c r="AF1113" s="6" t="str">
        <f>IF(Lessons[[#This Row],[Lesson_Date__c]]&lt;=Data_Audit!$F$1, "Yes", "No")</f>
        <v>No</v>
      </c>
    </row>
    <row r="1114" spans="1:32">
      <c r="A1114" t="s">
        <v>52</v>
      </c>
      <c r="B1114" t="s">
        <v>3437</v>
      </c>
      <c r="C1114">
        <v>30</v>
      </c>
      <c r="D1114" t="s">
        <v>4140</v>
      </c>
      <c r="E1114" t="s">
        <v>804</v>
      </c>
      <c r="F1114" t="s">
        <v>805</v>
      </c>
      <c r="H1114" t="s">
        <v>147</v>
      </c>
      <c r="I1114" t="b">
        <v>0</v>
      </c>
      <c r="K1114" t="s">
        <v>52</v>
      </c>
      <c r="L1114" t="s">
        <v>3437</v>
      </c>
      <c r="O1114" s="1">
        <v>46365</v>
      </c>
      <c r="P1114" t="s">
        <v>4141</v>
      </c>
      <c r="Q1114" t="s">
        <v>4142</v>
      </c>
      <c r="R1114" t="s">
        <v>63</v>
      </c>
      <c r="S1114" t="b">
        <v>0</v>
      </c>
      <c r="T1114" t="b">
        <v>0</v>
      </c>
      <c r="U1114" t="s">
        <v>4143</v>
      </c>
      <c r="V1114" t="s">
        <v>74</v>
      </c>
      <c r="W1114" t="s">
        <v>95</v>
      </c>
      <c r="X1114" t="s">
        <v>2628</v>
      </c>
      <c r="Y1114" t="s">
        <v>2629</v>
      </c>
      <c r="Z1114" t="s">
        <v>3437</v>
      </c>
      <c r="AA1114" t="b">
        <f>ISNUMBER(SEARCH(";"&amp;Lessons[[#This Row],[Instrument__c]]&amp;";",";"&amp;_xlfn.XLOOKUP(Lessons[[#This Row],[Instructor_External_Id__c]], Instructors[Id], Instructors[Instruments_Taught__c])&amp;";"))</f>
        <v>1</v>
      </c>
      <c r="AB1114" t="str">
        <f>IF(LEFT(Lessons[[#This Row],[Status__c]],9)="Cancelled","",Lessons[[#This Row],[Instructor_External_Id__c]]&amp;"|"&amp;TEXT(Lessons[[#This Row],[Lesson_Date__c]],"yyyy-mm-dd")&amp;"|"&amp;Lessons[[#This Row],[Start_Time__c]])</f>
        <v>a06ak00000amzCBAAY|2026-12-09|16:30:00.000Z</v>
      </c>
      <c r="AC1114">
        <f>IF(Lessons[[#This Row],[Double Booked Key]]="","",COUNTIF(Lessons[Double Booked Key],Lessons[[#This Row],[Double Booked Key]]))</f>
        <v>1</v>
      </c>
      <c r="AD1114" s="6" t="str">
        <f>_xlfn.XLOOKUP(Lessons[[#This Row],[Location_External_Id__c]], Locations[Location Id], Locations[Location Name])</f>
        <v>Red Bank</v>
      </c>
      <c r="AE1114" s="6" t="str">
        <f>TEXT(Lessons[[#This Row],[Lesson_Date__c]], "yyyy-mm")</f>
        <v>2026-12</v>
      </c>
      <c r="AF1114" s="6" t="str">
        <f>IF(Lessons[[#This Row],[Lesson_Date__c]]&lt;=Data_Audit!$F$1, "Yes", "No")</f>
        <v>No</v>
      </c>
    </row>
    <row r="1115" spans="1:32">
      <c r="A1115" t="s">
        <v>52</v>
      </c>
      <c r="B1115" t="s">
        <v>3437</v>
      </c>
      <c r="C1115">
        <v>30</v>
      </c>
      <c r="D1115" t="s">
        <v>4144</v>
      </c>
      <c r="E1115" t="s">
        <v>436</v>
      </c>
      <c r="F1115" t="s">
        <v>437</v>
      </c>
      <c r="H1115" t="s">
        <v>461</v>
      </c>
      <c r="I1115" t="b">
        <v>0</v>
      </c>
      <c r="K1115" t="s">
        <v>52</v>
      </c>
      <c r="L1115" t="s">
        <v>3437</v>
      </c>
      <c r="O1115" s="1">
        <v>46366</v>
      </c>
      <c r="P1115" t="s">
        <v>4145</v>
      </c>
      <c r="Q1115" t="s">
        <v>4146</v>
      </c>
      <c r="R1115" t="s">
        <v>63</v>
      </c>
      <c r="S1115" t="b">
        <v>0</v>
      </c>
      <c r="T1115" t="b">
        <v>0</v>
      </c>
      <c r="U1115" t="s">
        <v>4147</v>
      </c>
      <c r="V1115" t="s">
        <v>140</v>
      </c>
      <c r="W1115" t="s">
        <v>95</v>
      </c>
      <c r="X1115" t="s">
        <v>585</v>
      </c>
      <c r="Y1115" t="s">
        <v>586</v>
      </c>
      <c r="Z1115" t="s">
        <v>3437</v>
      </c>
      <c r="AA1115" t="b">
        <f>ISNUMBER(SEARCH(";"&amp;Lessons[[#This Row],[Instrument__c]]&amp;";",";"&amp;_xlfn.XLOOKUP(Lessons[[#This Row],[Instructor_External_Id__c]], Instructors[Id], Instructors[Instruments_Taught__c])&amp;";"))</f>
        <v>1</v>
      </c>
      <c r="AB1115" t="str">
        <f>IF(LEFT(Lessons[[#This Row],[Status__c]],9)="Cancelled","",Lessons[[#This Row],[Instructor_External_Id__c]]&amp;"|"&amp;TEXT(Lessons[[#This Row],[Lesson_Date__c]],"yyyy-mm-dd")&amp;"|"&amp;Lessons[[#This Row],[Start_Time__c]])</f>
        <v>a06ak00000amzC0AAI|2026-12-10|15:00:00.000Z</v>
      </c>
      <c r="AC1115">
        <f>IF(Lessons[[#This Row],[Double Booked Key]]="","",COUNTIF(Lessons[Double Booked Key],Lessons[[#This Row],[Double Booked Key]]))</f>
        <v>1</v>
      </c>
      <c r="AD1115" s="6" t="str">
        <f>_xlfn.XLOOKUP(Lessons[[#This Row],[Location_External_Id__c]], Locations[Location Id], Locations[Location Name])</f>
        <v>Red Bank</v>
      </c>
      <c r="AE1115" s="6" t="str">
        <f>TEXT(Lessons[[#This Row],[Lesson_Date__c]], "yyyy-mm")</f>
        <v>2026-12</v>
      </c>
      <c r="AF1115" s="6" t="str">
        <f>IF(Lessons[[#This Row],[Lesson_Date__c]]&lt;=Data_Audit!$F$1, "Yes", "No")</f>
        <v>No</v>
      </c>
    </row>
    <row r="1116" spans="1:32">
      <c r="A1116" t="s">
        <v>52</v>
      </c>
      <c r="B1116" t="s">
        <v>3437</v>
      </c>
      <c r="C1116">
        <v>30</v>
      </c>
      <c r="D1116" t="s">
        <v>4148</v>
      </c>
      <c r="E1116" t="s">
        <v>318</v>
      </c>
      <c r="F1116" t="s">
        <v>319</v>
      </c>
      <c r="H1116" t="s">
        <v>237</v>
      </c>
      <c r="I1116" t="b">
        <v>0</v>
      </c>
      <c r="K1116" t="s">
        <v>52</v>
      </c>
      <c r="L1116" t="s">
        <v>3437</v>
      </c>
      <c r="O1116" s="1">
        <v>46366</v>
      </c>
      <c r="P1116" t="s">
        <v>4149</v>
      </c>
      <c r="Q1116" t="s">
        <v>4150</v>
      </c>
      <c r="R1116" t="s">
        <v>63</v>
      </c>
      <c r="S1116" t="b">
        <v>0</v>
      </c>
      <c r="T1116" t="b">
        <v>0</v>
      </c>
      <c r="U1116" t="s">
        <v>4151</v>
      </c>
      <c r="V1116" t="s">
        <v>140</v>
      </c>
      <c r="W1116" t="s">
        <v>95</v>
      </c>
      <c r="X1116" t="s">
        <v>1944</v>
      </c>
      <c r="Y1116" t="s">
        <v>1945</v>
      </c>
      <c r="Z1116" t="s">
        <v>3437</v>
      </c>
      <c r="AA1116" t="b">
        <f>ISNUMBER(SEARCH(";"&amp;Lessons[[#This Row],[Instrument__c]]&amp;";",";"&amp;_xlfn.XLOOKUP(Lessons[[#This Row],[Instructor_External_Id__c]], Instructors[Id], Instructors[Instruments_Taught__c])&amp;";"))</f>
        <v>1</v>
      </c>
      <c r="AB1116" t="str">
        <f>IF(LEFT(Lessons[[#This Row],[Status__c]],9)="Cancelled","",Lessons[[#This Row],[Instructor_External_Id__c]]&amp;"|"&amp;TEXT(Lessons[[#This Row],[Lesson_Date__c]],"yyyy-mm-dd")&amp;"|"&amp;Lessons[[#This Row],[Start_Time__c]])</f>
        <v>a06ak00000amzBzAAI|2026-12-10|15:00:00.000Z</v>
      </c>
      <c r="AC1116">
        <f>IF(Lessons[[#This Row],[Double Booked Key]]="","",COUNTIF(Lessons[Double Booked Key],Lessons[[#This Row],[Double Booked Key]]))</f>
        <v>1</v>
      </c>
      <c r="AD1116" s="6" t="str">
        <f>_xlfn.XLOOKUP(Lessons[[#This Row],[Location_External_Id__c]], Locations[Location Id], Locations[Location Name])</f>
        <v>Red Bank</v>
      </c>
      <c r="AE1116" s="6" t="str">
        <f>TEXT(Lessons[[#This Row],[Lesson_Date__c]], "yyyy-mm")</f>
        <v>2026-12</v>
      </c>
      <c r="AF1116" s="6" t="str">
        <f>IF(Lessons[[#This Row],[Lesson_Date__c]]&lt;=Data_Audit!$F$1, "Yes", "No")</f>
        <v>No</v>
      </c>
    </row>
    <row r="1117" spans="1:32">
      <c r="A1117" t="s">
        <v>52</v>
      </c>
      <c r="B1117" t="s">
        <v>3437</v>
      </c>
      <c r="C1117">
        <v>30</v>
      </c>
      <c r="D1117" t="s">
        <v>4152</v>
      </c>
      <c r="E1117" t="s">
        <v>359</v>
      </c>
      <c r="F1117" t="s">
        <v>360</v>
      </c>
      <c r="H1117" t="s">
        <v>284</v>
      </c>
      <c r="I1117" t="b">
        <v>0</v>
      </c>
      <c r="K1117" t="s">
        <v>52</v>
      </c>
      <c r="L1117" t="s">
        <v>3437</v>
      </c>
      <c r="O1117" s="1">
        <v>46366</v>
      </c>
      <c r="P1117" t="s">
        <v>4153</v>
      </c>
      <c r="Q1117" t="s">
        <v>4154</v>
      </c>
      <c r="R1117" t="s">
        <v>63</v>
      </c>
      <c r="S1117" t="b">
        <v>0</v>
      </c>
      <c r="T1117" t="b">
        <v>0</v>
      </c>
      <c r="U1117" t="s">
        <v>4155</v>
      </c>
      <c r="V1117" t="s">
        <v>135</v>
      </c>
      <c r="W1117" t="s">
        <v>95</v>
      </c>
      <c r="X1117" t="s">
        <v>866</v>
      </c>
      <c r="Y1117" t="s">
        <v>867</v>
      </c>
      <c r="Z1117" t="s">
        <v>3437</v>
      </c>
      <c r="AA1117" t="b">
        <f>ISNUMBER(SEARCH(";"&amp;Lessons[[#This Row],[Instrument__c]]&amp;";",";"&amp;_xlfn.XLOOKUP(Lessons[[#This Row],[Instructor_External_Id__c]], Instructors[Id], Instructors[Instruments_Taught__c])&amp;";"))</f>
        <v>1</v>
      </c>
      <c r="AB1117" t="str">
        <f>IF(LEFT(Lessons[[#This Row],[Status__c]],9)="Cancelled","",Lessons[[#This Row],[Instructor_External_Id__c]]&amp;"|"&amp;TEXT(Lessons[[#This Row],[Lesson_Date__c]],"yyyy-mm-dd")&amp;"|"&amp;Lessons[[#This Row],[Start_Time__c]])</f>
        <v>a06ak00000amzBiAAI|2026-12-10|15:30:00.000Z</v>
      </c>
      <c r="AC1117">
        <f>IF(Lessons[[#This Row],[Double Booked Key]]="","",COUNTIF(Lessons[Double Booked Key],Lessons[[#This Row],[Double Booked Key]]))</f>
        <v>1</v>
      </c>
      <c r="AD1117" s="6" t="str">
        <f>_xlfn.XLOOKUP(Lessons[[#This Row],[Location_External_Id__c]], Locations[Location Id], Locations[Location Name])</f>
        <v>Red Bank</v>
      </c>
      <c r="AE1117" s="6" t="str">
        <f>TEXT(Lessons[[#This Row],[Lesson_Date__c]], "yyyy-mm")</f>
        <v>2026-12</v>
      </c>
      <c r="AF1117" s="6" t="str">
        <f>IF(Lessons[[#This Row],[Lesson_Date__c]]&lt;=Data_Audit!$F$1, "Yes", "No")</f>
        <v>No</v>
      </c>
    </row>
    <row r="1118" spans="1:32">
      <c r="A1118" t="s">
        <v>52</v>
      </c>
      <c r="B1118" t="s">
        <v>3437</v>
      </c>
      <c r="C1118">
        <v>60</v>
      </c>
      <c r="D1118" t="s">
        <v>4156</v>
      </c>
      <c r="E1118" t="s">
        <v>318</v>
      </c>
      <c r="F1118" t="s">
        <v>319</v>
      </c>
      <c r="H1118" t="s">
        <v>237</v>
      </c>
      <c r="I1118" t="b">
        <v>0</v>
      </c>
      <c r="K1118" t="s">
        <v>52</v>
      </c>
      <c r="L1118" t="s">
        <v>3437</v>
      </c>
      <c r="O1118" s="1">
        <v>46366</v>
      </c>
      <c r="P1118" t="s">
        <v>4157</v>
      </c>
      <c r="Q1118" t="s">
        <v>4158</v>
      </c>
      <c r="R1118" t="s">
        <v>150</v>
      </c>
      <c r="S1118" t="b">
        <v>0</v>
      </c>
      <c r="T1118" t="b">
        <v>0</v>
      </c>
      <c r="U1118" t="s">
        <v>4159</v>
      </c>
      <c r="V1118" t="s">
        <v>116</v>
      </c>
      <c r="W1118" t="s">
        <v>95</v>
      </c>
      <c r="X1118" t="s">
        <v>1004</v>
      </c>
      <c r="Y1118" t="s">
        <v>1005</v>
      </c>
      <c r="Z1118" t="s">
        <v>3437</v>
      </c>
      <c r="AA1118" t="b">
        <f>ISNUMBER(SEARCH(";"&amp;Lessons[[#This Row],[Instrument__c]]&amp;";",";"&amp;_xlfn.XLOOKUP(Lessons[[#This Row],[Instructor_External_Id__c]], Instructors[Id], Instructors[Instruments_Taught__c])&amp;";"))</f>
        <v>1</v>
      </c>
      <c r="AB1118" t="str">
        <f>IF(LEFT(Lessons[[#This Row],[Status__c]],9)="Cancelled","",Lessons[[#This Row],[Instructor_External_Id__c]]&amp;"|"&amp;TEXT(Lessons[[#This Row],[Lesson_Date__c]],"yyyy-mm-dd")&amp;"|"&amp;Lessons[[#This Row],[Start_Time__c]])</f>
        <v>a06ak00000amzBzAAI|2026-12-10|17:30:00.000Z</v>
      </c>
      <c r="AC1118">
        <f>IF(Lessons[[#This Row],[Double Booked Key]]="","",COUNTIF(Lessons[Double Booked Key],Lessons[[#This Row],[Double Booked Key]]))</f>
        <v>1</v>
      </c>
      <c r="AD1118" s="6" t="str">
        <f>_xlfn.XLOOKUP(Lessons[[#This Row],[Location_External_Id__c]], Locations[Location Id], Locations[Location Name])</f>
        <v>Toms River</v>
      </c>
      <c r="AE1118" s="6" t="str">
        <f>TEXT(Lessons[[#This Row],[Lesson_Date__c]], "yyyy-mm")</f>
        <v>2026-12</v>
      </c>
      <c r="AF1118" s="6" t="str">
        <f>IF(Lessons[[#This Row],[Lesson_Date__c]]&lt;=Data_Audit!$F$1, "Yes", "No")</f>
        <v>No</v>
      </c>
    </row>
    <row r="1119" spans="1:32">
      <c r="A1119" t="s">
        <v>52</v>
      </c>
      <c r="B1119" t="s">
        <v>3437</v>
      </c>
      <c r="C1119">
        <v>60</v>
      </c>
      <c r="D1119" t="s">
        <v>4160</v>
      </c>
      <c r="E1119" t="s">
        <v>337</v>
      </c>
      <c r="F1119" t="s">
        <v>338</v>
      </c>
      <c r="H1119" t="s">
        <v>284</v>
      </c>
      <c r="I1119" t="b">
        <v>0</v>
      </c>
      <c r="K1119" t="s">
        <v>52</v>
      </c>
      <c r="L1119" t="s">
        <v>3437</v>
      </c>
      <c r="O1119" s="1">
        <v>46366</v>
      </c>
      <c r="P1119" t="s">
        <v>4161</v>
      </c>
      <c r="Q1119" t="s">
        <v>4162</v>
      </c>
      <c r="R1119" t="s">
        <v>150</v>
      </c>
      <c r="S1119" t="b">
        <v>0</v>
      </c>
      <c r="T1119" t="b">
        <v>0</v>
      </c>
      <c r="U1119" t="s">
        <v>4163</v>
      </c>
      <c r="V1119" t="s">
        <v>120</v>
      </c>
      <c r="W1119" t="s">
        <v>95</v>
      </c>
      <c r="X1119" t="s">
        <v>1964</v>
      </c>
      <c r="Y1119" t="s">
        <v>1965</v>
      </c>
      <c r="Z1119" t="s">
        <v>3437</v>
      </c>
      <c r="AA1119" t="b">
        <f>ISNUMBER(SEARCH(";"&amp;Lessons[[#This Row],[Instrument__c]]&amp;";",";"&amp;_xlfn.XLOOKUP(Lessons[[#This Row],[Instructor_External_Id__c]], Instructors[Id], Instructors[Instruments_Taught__c])&amp;";"))</f>
        <v>1</v>
      </c>
      <c r="AB1119" t="str">
        <f>IF(LEFT(Lessons[[#This Row],[Status__c]],9)="Cancelled","",Lessons[[#This Row],[Instructor_External_Id__c]]&amp;"|"&amp;TEXT(Lessons[[#This Row],[Lesson_Date__c]],"yyyy-mm-dd")&amp;"|"&amp;Lessons[[#This Row],[Start_Time__c]])</f>
        <v>a06ak00000amzCIAAY|2026-12-10|18:00:00.000Z</v>
      </c>
      <c r="AC1119">
        <f>IF(Lessons[[#This Row],[Double Booked Key]]="","",COUNTIF(Lessons[Double Booked Key],Lessons[[#This Row],[Double Booked Key]]))</f>
        <v>1</v>
      </c>
      <c r="AD1119" s="6" t="str">
        <f>_xlfn.XLOOKUP(Lessons[[#This Row],[Location_External_Id__c]], Locations[Location Id], Locations[Location Name])</f>
        <v>Toms River</v>
      </c>
      <c r="AE1119" s="6" t="str">
        <f>TEXT(Lessons[[#This Row],[Lesson_Date__c]], "yyyy-mm")</f>
        <v>2026-12</v>
      </c>
      <c r="AF1119" s="6" t="str">
        <f>IF(Lessons[[#This Row],[Lesson_Date__c]]&lt;=Data_Audit!$F$1, "Yes", "No")</f>
        <v>No</v>
      </c>
    </row>
    <row r="1120" spans="1:32">
      <c r="A1120" t="s">
        <v>52</v>
      </c>
      <c r="B1120" t="s">
        <v>3437</v>
      </c>
      <c r="C1120">
        <v>45</v>
      </c>
      <c r="D1120" t="s">
        <v>4164</v>
      </c>
      <c r="E1120" t="s">
        <v>573</v>
      </c>
      <c r="F1120" t="s">
        <v>574</v>
      </c>
      <c r="H1120" t="s">
        <v>461</v>
      </c>
      <c r="I1120" t="b">
        <v>0</v>
      </c>
      <c r="K1120" t="s">
        <v>52</v>
      </c>
      <c r="L1120" t="s">
        <v>3437</v>
      </c>
      <c r="O1120" s="1">
        <v>46367</v>
      </c>
      <c r="P1120" t="s">
        <v>4165</v>
      </c>
      <c r="Q1120" t="s">
        <v>4166</v>
      </c>
      <c r="R1120" t="s">
        <v>150</v>
      </c>
      <c r="S1120" t="b">
        <v>0</v>
      </c>
      <c r="T1120" t="b">
        <v>0</v>
      </c>
      <c r="U1120" t="s">
        <v>4167</v>
      </c>
      <c r="V1120" t="s">
        <v>84</v>
      </c>
      <c r="W1120" t="s">
        <v>95</v>
      </c>
      <c r="X1120" t="s">
        <v>2620</v>
      </c>
      <c r="Y1120" t="s">
        <v>2621</v>
      </c>
      <c r="Z1120" t="s">
        <v>3437</v>
      </c>
      <c r="AA1120" t="b">
        <f>ISNUMBER(SEARCH(";"&amp;Lessons[[#This Row],[Instrument__c]]&amp;";",";"&amp;_xlfn.XLOOKUP(Lessons[[#This Row],[Instructor_External_Id__c]], Instructors[Id], Instructors[Instruments_Taught__c])&amp;";"))</f>
        <v>1</v>
      </c>
      <c r="AB1120" t="str">
        <f>IF(LEFT(Lessons[[#This Row],[Status__c]],9)="Cancelled","",Lessons[[#This Row],[Instructor_External_Id__c]]&amp;"|"&amp;TEXT(Lessons[[#This Row],[Lesson_Date__c]],"yyyy-mm-dd")&amp;"|"&amp;Lessons[[#This Row],[Start_Time__c]])</f>
        <v>a06ak00000amzCCAAY|2026-12-11|17:00:00.000Z</v>
      </c>
      <c r="AC1120">
        <f>IF(Lessons[[#This Row],[Double Booked Key]]="","",COUNTIF(Lessons[Double Booked Key],Lessons[[#This Row],[Double Booked Key]]))</f>
        <v>1</v>
      </c>
      <c r="AD1120" s="6" t="str">
        <f>_xlfn.XLOOKUP(Lessons[[#This Row],[Location_External_Id__c]], Locations[Location Id], Locations[Location Name])</f>
        <v>Toms River</v>
      </c>
      <c r="AE1120" s="6" t="str">
        <f>TEXT(Lessons[[#This Row],[Lesson_Date__c]], "yyyy-mm")</f>
        <v>2026-12</v>
      </c>
      <c r="AF1120" s="6" t="str">
        <f>IF(Lessons[[#This Row],[Lesson_Date__c]]&lt;=Data_Audit!$F$1, "Yes", "No")</f>
        <v>No</v>
      </c>
    </row>
    <row r="1121" spans="1:32">
      <c r="A1121" t="s">
        <v>52</v>
      </c>
      <c r="B1121" t="s">
        <v>3437</v>
      </c>
      <c r="C1121">
        <v>30</v>
      </c>
      <c r="D1121" t="s">
        <v>4168</v>
      </c>
      <c r="E1121" t="s">
        <v>804</v>
      </c>
      <c r="F1121" t="s">
        <v>805</v>
      </c>
      <c r="H1121" t="s">
        <v>147</v>
      </c>
      <c r="I1121" t="b">
        <v>0</v>
      </c>
      <c r="K1121" t="s">
        <v>52</v>
      </c>
      <c r="L1121" t="s">
        <v>3437</v>
      </c>
      <c r="O1121" s="1">
        <v>46367</v>
      </c>
      <c r="P1121" t="s">
        <v>4169</v>
      </c>
      <c r="Q1121" t="s">
        <v>4170</v>
      </c>
      <c r="R1121" t="s">
        <v>63</v>
      </c>
      <c r="S1121" t="b">
        <v>0</v>
      </c>
      <c r="T1121" t="b">
        <v>0</v>
      </c>
      <c r="U1121" t="s">
        <v>4171</v>
      </c>
      <c r="V1121" t="s">
        <v>116</v>
      </c>
      <c r="W1121" t="s">
        <v>95</v>
      </c>
      <c r="X1121" t="s">
        <v>1357</v>
      </c>
      <c r="Y1121" t="s">
        <v>1358</v>
      </c>
      <c r="Z1121" t="s">
        <v>3437</v>
      </c>
      <c r="AA1121" t="b">
        <f>ISNUMBER(SEARCH(";"&amp;Lessons[[#This Row],[Instrument__c]]&amp;";",";"&amp;_xlfn.XLOOKUP(Lessons[[#This Row],[Instructor_External_Id__c]], Instructors[Id], Instructors[Instruments_Taught__c])&amp;";"))</f>
        <v>1</v>
      </c>
      <c r="AB1121" t="str">
        <f>IF(LEFT(Lessons[[#This Row],[Status__c]],9)="Cancelled","",Lessons[[#This Row],[Instructor_External_Id__c]]&amp;"|"&amp;TEXT(Lessons[[#This Row],[Lesson_Date__c]],"yyyy-mm-dd")&amp;"|"&amp;Lessons[[#This Row],[Start_Time__c]])</f>
        <v>a06ak00000amzCBAAY|2026-12-11|17:30:00.000Z</v>
      </c>
      <c r="AC1121">
        <f>IF(Lessons[[#This Row],[Double Booked Key]]="","",COUNTIF(Lessons[Double Booked Key],Lessons[[#This Row],[Double Booked Key]]))</f>
        <v>1</v>
      </c>
      <c r="AD1121" s="6" t="str">
        <f>_xlfn.XLOOKUP(Lessons[[#This Row],[Location_External_Id__c]], Locations[Location Id], Locations[Location Name])</f>
        <v>Red Bank</v>
      </c>
      <c r="AE1121" s="6" t="str">
        <f>TEXT(Lessons[[#This Row],[Lesson_Date__c]], "yyyy-mm")</f>
        <v>2026-12</v>
      </c>
      <c r="AF1121" s="6" t="str">
        <f>IF(Lessons[[#This Row],[Lesson_Date__c]]&lt;=Data_Audit!$F$1, "Yes", "No")</f>
        <v>No</v>
      </c>
    </row>
    <row r="1122" spans="1:32">
      <c r="A1122" t="s">
        <v>52</v>
      </c>
      <c r="B1122" t="s">
        <v>3437</v>
      </c>
      <c r="C1122">
        <v>45</v>
      </c>
      <c r="D1122" t="s">
        <v>4172</v>
      </c>
      <c r="E1122" t="s">
        <v>459</v>
      </c>
      <c r="F1122" t="s">
        <v>460</v>
      </c>
      <c r="H1122" t="s">
        <v>461</v>
      </c>
      <c r="I1122" t="b">
        <v>0</v>
      </c>
      <c r="K1122" t="s">
        <v>52</v>
      </c>
      <c r="L1122" t="s">
        <v>3437</v>
      </c>
      <c r="O1122" s="1">
        <v>46367</v>
      </c>
      <c r="P1122" t="s">
        <v>4173</v>
      </c>
      <c r="Q1122" t="s">
        <v>4174</v>
      </c>
      <c r="R1122" t="s">
        <v>83</v>
      </c>
      <c r="S1122" t="b">
        <v>0</v>
      </c>
      <c r="T1122" t="b">
        <v>0</v>
      </c>
      <c r="U1122" t="s">
        <v>4175</v>
      </c>
      <c r="V1122" t="s">
        <v>120</v>
      </c>
      <c r="W1122" t="s">
        <v>95</v>
      </c>
      <c r="X1122" t="s">
        <v>2541</v>
      </c>
      <c r="Y1122" t="s">
        <v>2542</v>
      </c>
      <c r="Z1122" t="s">
        <v>3437</v>
      </c>
      <c r="AA1122" t="b">
        <f>ISNUMBER(SEARCH(";"&amp;Lessons[[#This Row],[Instrument__c]]&amp;";",";"&amp;_xlfn.XLOOKUP(Lessons[[#This Row],[Instructor_External_Id__c]], Instructors[Id], Instructors[Instruments_Taught__c])&amp;";"))</f>
        <v>1</v>
      </c>
      <c r="AB1122" t="str">
        <f>IF(LEFT(Lessons[[#This Row],[Status__c]],9)="Cancelled","",Lessons[[#This Row],[Instructor_External_Id__c]]&amp;"|"&amp;TEXT(Lessons[[#This Row],[Lesson_Date__c]],"yyyy-mm-dd")&amp;"|"&amp;Lessons[[#This Row],[Start_Time__c]])</f>
        <v>a06ak00000amzC8AAI|2026-12-11|18:00:00.000Z</v>
      </c>
      <c r="AC1122">
        <f>IF(Lessons[[#This Row],[Double Booked Key]]="","",COUNTIF(Lessons[Double Booked Key],Lessons[[#This Row],[Double Booked Key]]))</f>
        <v>1</v>
      </c>
      <c r="AD1122" s="6" t="str">
        <f>_xlfn.XLOOKUP(Lessons[[#This Row],[Location_External_Id__c]], Locations[Location Id], Locations[Location Name])</f>
        <v>Brick</v>
      </c>
      <c r="AE1122" s="6" t="str">
        <f>TEXT(Lessons[[#This Row],[Lesson_Date__c]], "yyyy-mm")</f>
        <v>2026-12</v>
      </c>
      <c r="AF1122" s="6" t="str">
        <f>IF(Lessons[[#This Row],[Lesson_Date__c]]&lt;=Data_Audit!$F$1, "Yes", "No")</f>
        <v>No</v>
      </c>
    </row>
    <row r="1123" spans="1:32">
      <c r="A1123" t="s">
        <v>52</v>
      </c>
      <c r="B1123" t="s">
        <v>3437</v>
      </c>
      <c r="C1123">
        <v>30</v>
      </c>
      <c r="D1123" t="s">
        <v>4176</v>
      </c>
      <c r="E1123" t="s">
        <v>359</v>
      </c>
      <c r="F1123" t="s">
        <v>360</v>
      </c>
      <c r="H1123" t="s">
        <v>284</v>
      </c>
      <c r="I1123" t="b">
        <v>0</v>
      </c>
      <c r="K1123" t="s">
        <v>52</v>
      </c>
      <c r="L1123" t="s">
        <v>3437</v>
      </c>
      <c r="O1123" s="1">
        <v>46367</v>
      </c>
      <c r="P1123" t="s">
        <v>4177</v>
      </c>
      <c r="Q1123" t="s">
        <v>4178</v>
      </c>
      <c r="R1123" t="s">
        <v>63</v>
      </c>
      <c r="S1123" t="b">
        <v>0</v>
      </c>
      <c r="T1123" t="b">
        <v>0</v>
      </c>
      <c r="U1123" t="s">
        <v>4179</v>
      </c>
      <c r="V1123" t="s">
        <v>120</v>
      </c>
      <c r="W1123" t="s">
        <v>95</v>
      </c>
      <c r="X1123" t="s">
        <v>2725</v>
      </c>
      <c r="Y1123" t="s">
        <v>2726</v>
      </c>
      <c r="Z1123" t="s">
        <v>3437</v>
      </c>
      <c r="AA1123" t="b">
        <f>ISNUMBER(SEARCH(";"&amp;Lessons[[#This Row],[Instrument__c]]&amp;";",";"&amp;_xlfn.XLOOKUP(Lessons[[#This Row],[Instructor_External_Id__c]], Instructors[Id], Instructors[Instruments_Taught__c])&amp;";"))</f>
        <v>1</v>
      </c>
      <c r="AB1123" t="str">
        <f>IF(LEFT(Lessons[[#This Row],[Status__c]],9)="Cancelled","",Lessons[[#This Row],[Instructor_External_Id__c]]&amp;"|"&amp;TEXT(Lessons[[#This Row],[Lesson_Date__c]],"yyyy-mm-dd")&amp;"|"&amp;Lessons[[#This Row],[Start_Time__c]])</f>
        <v>a06ak00000amzBiAAI|2026-12-11|18:00:00.000Z</v>
      </c>
      <c r="AC1123">
        <f>IF(Lessons[[#This Row],[Double Booked Key]]="","",COUNTIF(Lessons[Double Booked Key],Lessons[[#This Row],[Double Booked Key]]))</f>
        <v>1</v>
      </c>
      <c r="AD1123" s="6" t="str">
        <f>_xlfn.XLOOKUP(Lessons[[#This Row],[Location_External_Id__c]], Locations[Location Id], Locations[Location Name])</f>
        <v>Red Bank</v>
      </c>
      <c r="AE1123" s="6" t="str">
        <f>TEXT(Lessons[[#This Row],[Lesson_Date__c]], "yyyy-mm")</f>
        <v>2026-12</v>
      </c>
      <c r="AF1123" s="6" t="str">
        <f>IF(Lessons[[#This Row],[Lesson_Date__c]]&lt;=Data_Audit!$F$1, "Yes", "No")</f>
        <v>No</v>
      </c>
    </row>
    <row r="1124" spans="1:32">
      <c r="A1124" t="s">
        <v>52</v>
      </c>
      <c r="B1124" t="s">
        <v>3437</v>
      </c>
      <c r="C1124">
        <v>30</v>
      </c>
      <c r="D1124" t="s">
        <v>4180</v>
      </c>
      <c r="E1124" t="s">
        <v>573</v>
      </c>
      <c r="F1124" t="s">
        <v>574</v>
      </c>
      <c r="H1124" t="s">
        <v>284</v>
      </c>
      <c r="I1124" t="b">
        <v>0</v>
      </c>
      <c r="K1124" t="s">
        <v>52</v>
      </c>
      <c r="L1124" t="s">
        <v>3437</v>
      </c>
      <c r="O1124" s="1">
        <v>46367</v>
      </c>
      <c r="P1124" t="s">
        <v>4181</v>
      </c>
      <c r="Q1124" t="s">
        <v>4182</v>
      </c>
      <c r="R1124" t="s">
        <v>83</v>
      </c>
      <c r="S1124" t="b">
        <v>0</v>
      </c>
      <c r="T1124" t="b">
        <v>0</v>
      </c>
      <c r="U1124" t="s">
        <v>4183</v>
      </c>
      <c r="V1124" t="s">
        <v>94</v>
      </c>
      <c r="W1124" t="s">
        <v>95</v>
      </c>
      <c r="X1124" t="s">
        <v>2796</v>
      </c>
      <c r="Y1124" t="s">
        <v>2797</v>
      </c>
      <c r="Z1124" t="s">
        <v>3437</v>
      </c>
      <c r="AA1124" t="b">
        <f>ISNUMBER(SEARCH(";"&amp;Lessons[[#This Row],[Instrument__c]]&amp;";",";"&amp;_xlfn.XLOOKUP(Lessons[[#This Row],[Instructor_External_Id__c]], Instructors[Id], Instructors[Instruments_Taught__c])&amp;";"))</f>
        <v>1</v>
      </c>
      <c r="AB1124" t="str">
        <f>IF(LEFT(Lessons[[#This Row],[Status__c]],9)="Cancelled","",Lessons[[#This Row],[Instructor_External_Id__c]]&amp;"|"&amp;TEXT(Lessons[[#This Row],[Lesson_Date__c]],"yyyy-mm-dd")&amp;"|"&amp;Lessons[[#This Row],[Start_Time__c]])</f>
        <v>a06ak00000amzCCAAY|2026-12-11|19:00:00.000Z</v>
      </c>
      <c r="AC1124">
        <f>IF(Lessons[[#This Row],[Double Booked Key]]="","",COUNTIF(Lessons[Double Booked Key],Lessons[[#This Row],[Double Booked Key]]))</f>
        <v>1</v>
      </c>
      <c r="AD1124" s="6" t="str">
        <f>_xlfn.XLOOKUP(Lessons[[#This Row],[Location_External_Id__c]], Locations[Location Id], Locations[Location Name])</f>
        <v>Brick</v>
      </c>
      <c r="AE1124" s="6" t="str">
        <f>TEXT(Lessons[[#This Row],[Lesson_Date__c]], "yyyy-mm")</f>
        <v>2026-12</v>
      </c>
      <c r="AF1124" s="6" t="str">
        <f>IF(Lessons[[#This Row],[Lesson_Date__c]]&lt;=Data_Audit!$F$1, "Yes", "No")</f>
        <v>No</v>
      </c>
    </row>
    <row r="1125" spans="1:32">
      <c r="A1125" t="s">
        <v>52</v>
      </c>
      <c r="B1125" t="s">
        <v>3437</v>
      </c>
      <c r="C1125">
        <v>30</v>
      </c>
      <c r="D1125" t="s">
        <v>4184</v>
      </c>
      <c r="E1125" t="s">
        <v>359</v>
      </c>
      <c r="F1125" t="s">
        <v>360</v>
      </c>
      <c r="H1125" t="s">
        <v>78</v>
      </c>
      <c r="I1125" t="b">
        <v>0</v>
      </c>
      <c r="K1125" t="s">
        <v>52</v>
      </c>
      <c r="L1125" t="s">
        <v>3437</v>
      </c>
      <c r="O1125" s="1">
        <v>46368</v>
      </c>
      <c r="P1125" t="s">
        <v>4185</v>
      </c>
      <c r="Q1125" t="s">
        <v>4186</v>
      </c>
      <c r="R1125" t="s">
        <v>63</v>
      </c>
      <c r="S1125" t="b">
        <v>0</v>
      </c>
      <c r="T1125" t="b">
        <v>0</v>
      </c>
      <c r="U1125" t="s">
        <v>4187</v>
      </c>
      <c r="V1125" t="s">
        <v>110</v>
      </c>
      <c r="W1125" t="s">
        <v>95</v>
      </c>
      <c r="X1125" t="s">
        <v>481</v>
      </c>
      <c r="Y1125" t="s">
        <v>482</v>
      </c>
      <c r="Z1125" t="s">
        <v>3437</v>
      </c>
      <c r="AA1125" t="b">
        <f>ISNUMBER(SEARCH(";"&amp;Lessons[[#This Row],[Instrument__c]]&amp;";",";"&amp;_xlfn.XLOOKUP(Lessons[[#This Row],[Instructor_External_Id__c]], Instructors[Id], Instructors[Instruments_Taught__c])&amp;";"))</f>
        <v>1</v>
      </c>
      <c r="AB1125" t="str">
        <f>IF(LEFT(Lessons[[#This Row],[Status__c]],9)="Cancelled","",Lessons[[#This Row],[Instructor_External_Id__c]]&amp;"|"&amp;TEXT(Lessons[[#This Row],[Lesson_Date__c]],"yyyy-mm-dd")&amp;"|"&amp;Lessons[[#This Row],[Start_Time__c]])</f>
        <v>a06ak00000amzBiAAI|2026-12-12|10:00:00.000Z</v>
      </c>
      <c r="AC1125">
        <f>IF(Lessons[[#This Row],[Double Booked Key]]="","",COUNTIF(Lessons[Double Booked Key],Lessons[[#This Row],[Double Booked Key]]))</f>
        <v>1</v>
      </c>
      <c r="AD1125" s="6" t="str">
        <f>_xlfn.XLOOKUP(Lessons[[#This Row],[Location_External_Id__c]], Locations[Location Id], Locations[Location Name])</f>
        <v>Red Bank</v>
      </c>
      <c r="AE1125" s="6" t="str">
        <f>TEXT(Lessons[[#This Row],[Lesson_Date__c]], "yyyy-mm")</f>
        <v>2026-12</v>
      </c>
      <c r="AF1125" s="6" t="str">
        <f>IF(Lessons[[#This Row],[Lesson_Date__c]]&lt;=Data_Audit!$F$1, "Yes", "No")</f>
        <v>No</v>
      </c>
    </row>
    <row r="1126" spans="1:32">
      <c r="A1126" t="s">
        <v>52</v>
      </c>
      <c r="B1126" t="s">
        <v>3437</v>
      </c>
      <c r="C1126">
        <v>45</v>
      </c>
      <c r="D1126" t="s">
        <v>4188</v>
      </c>
      <c r="E1126" t="s">
        <v>573</v>
      </c>
      <c r="F1126" t="s">
        <v>574</v>
      </c>
      <c r="H1126" t="s">
        <v>461</v>
      </c>
      <c r="I1126" t="b">
        <v>0</v>
      </c>
      <c r="K1126" t="s">
        <v>52</v>
      </c>
      <c r="L1126" t="s">
        <v>3437</v>
      </c>
      <c r="O1126" s="1">
        <v>46368</v>
      </c>
      <c r="P1126" t="s">
        <v>4189</v>
      </c>
      <c r="Q1126" t="s">
        <v>4190</v>
      </c>
      <c r="R1126" t="s">
        <v>83</v>
      </c>
      <c r="S1126" t="b">
        <v>0</v>
      </c>
      <c r="T1126" t="b">
        <v>0</v>
      </c>
      <c r="U1126" t="s">
        <v>4191</v>
      </c>
      <c r="V1126" t="s">
        <v>110</v>
      </c>
      <c r="W1126" t="s">
        <v>95</v>
      </c>
      <c r="X1126" t="s">
        <v>681</v>
      </c>
      <c r="Y1126" t="s">
        <v>682</v>
      </c>
      <c r="Z1126" t="s">
        <v>3437</v>
      </c>
      <c r="AA1126" t="b">
        <f>ISNUMBER(SEARCH(";"&amp;Lessons[[#This Row],[Instrument__c]]&amp;";",";"&amp;_xlfn.XLOOKUP(Lessons[[#This Row],[Instructor_External_Id__c]], Instructors[Id], Instructors[Instruments_Taught__c])&amp;";"))</f>
        <v>1</v>
      </c>
      <c r="AB1126" t="str">
        <f>IF(LEFT(Lessons[[#This Row],[Status__c]],9)="Cancelled","",Lessons[[#This Row],[Instructor_External_Id__c]]&amp;"|"&amp;TEXT(Lessons[[#This Row],[Lesson_Date__c]],"yyyy-mm-dd")&amp;"|"&amp;Lessons[[#This Row],[Start_Time__c]])</f>
        <v>a06ak00000amzCCAAY|2026-12-12|10:00:00.000Z</v>
      </c>
      <c r="AC1126">
        <f>IF(Lessons[[#This Row],[Double Booked Key]]="","",COUNTIF(Lessons[Double Booked Key],Lessons[[#This Row],[Double Booked Key]]))</f>
        <v>1</v>
      </c>
      <c r="AD1126" s="6" t="str">
        <f>_xlfn.XLOOKUP(Lessons[[#This Row],[Location_External_Id__c]], Locations[Location Id], Locations[Location Name])</f>
        <v>Brick</v>
      </c>
      <c r="AE1126" s="6" t="str">
        <f>TEXT(Lessons[[#This Row],[Lesson_Date__c]], "yyyy-mm")</f>
        <v>2026-12</v>
      </c>
      <c r="AF1126" s="6" t="str">
        <f>IF(Lessons[[#This Row],[Lesson_Date__c]]&lt;=Data_Audit!$F$1, "Yes", "No")</f>
        <v>No</v>
      </c>
    </row>
    <row r="1127" spans="1:32">
      <c r="A1127" t="s">
        <v>52</v>
      </c>
      <c r="B1127" t="s">
        <v>3437</v>
      </c>
      <c r="C1127">
        <v>45</v>
      </c>
      <c r="D1127" t="s">
        <v>4192</v>
      </c>
      <c r="E1127" t="s">
        <v>318</v>
      </c>
      <c r="F1127" t="s">
        <v>319</v>
      </c>
      <c r="H1127" t="s">
        <v>650</v>
      </c>
      <c r="I1127" t="b">
        <v>0</v>
      </c>
      <c r="K1127" t="s">
        <v>52</v>
      </c>
      <c r="L1127" t="s">
        <v>3437</v>
      </c>
      <c r="O1127" s="1">
        <v>46368</v>
      </c>
      <c r="P1127" t="s">
        <v>4193</v>
      </c>
      <c r="Q1127" t="s">
        <v>4194</v>
      </c>
      <c r="R1127" t="s">
        <v>63</v>
      </c>
      <c r="S1127" t="b">
        <v>0</v>
      </c>
      <c r="T1127" t="b">
        <v>0</v>
      </c>
      <c r="U1127" t="s">
        <v>4195</v>
      </c>
      <c r="V1127" t="s">
        <v>110</v>
      </c>
      <c r="W1127" t="s">
        <v>95</v>
      </c>
      <c r="X1127" t="s">
        <v>889</v>
      </c>
      <c r="Y1127" t="s">
        <v>890</v>
      </c>
      <c r="Z1127" t="s">
        <v>3437</v>
      </c>
      <c r="AA1127" t="b">
        <f>ISNUMBER(SEARCH(";"&amp;Lessons[[#This Row],[Instrument__c]]&amp;";",";"&amp;_xlfn.XLOOKUP(Lessons[[#This Row],[Instructor_External_Id__c]], Instructors[Id], Instructors[Instruments_Taught__c])&amp;";"))</f>
        <v>1</v>
      </c>
      <c r="AB1127" t="str">
        <f>IF(LEFT(Lessons[[#This Row],[Status__c]],9)="Cancelled","",Lessons[[#This Row],[Instructor_External_Id__c]]&amp;"|"&amp;TEXT(Lessons[[#This Row],[Lesson_Date__c]],"yyyy-mm-dd")&amp;"|"&amp;Lessons[[#This Row],[Start_Time__c]])</f>
        <v>a06ak00000amzBzAAI|2026-12-12|10:00:00.000Z</v>
      </c>
      <c r="AC1127">
        <f>IF(Lessons[[#This Row],[Double Booked Key]]="","",COUNTIF(Lessons[Double Booked Key],Lessons[[#This Row],[Double Booked Key]]))</f>
        <v>1</v>
      </c>
      <c r="AD1127" s="6" t="str">
        <f>_xlfn.XLOOKUP(Lessons[[#This Row],[Location_External_Id__c]], Locations[Location Id], Locations[Location Name])</f>
        <v>Red Bank</v>
      </c>
      <c r="AE1127" s="6" t="str">
        <f>TEXT(Lessons[[#This Row],[Lesson_Date__c]], "yyyy-mm")</f>
        <v>2026-12</v>
      </c>
      <c r="AF1127" s="6" t="str">
        <f>IF(Lessons[[#This Row],[Lesson_Date__c]]&lt;=Data_Audit!$F$1, "Yes", "No")</f>
        <v>No</v>
      </c>
    </row>
    <row r="1128" spans="1:32">
      <c r="A1128" t="s">
        <v>52</v>
      </c>
      <c r="B1128" t="s">
        <v>3437</v>
      </c>
      <c r="C1128">
        <v>30</v>
      </c>
      <c r="D1128" t="s">
        <v>4196</v>
      </c>
      <c r="E1128" t="s">
        <v>243</v>
      </c>
      <c r="F1128" t="s">
        <v>244</v>
      </c>
      <c r="H1128" t="s">
        <v>650</v>
      </c>
      <c r="I1128" t="b">
        <v>0</v>
      </c>
      <c r="K1128" t="s">
        <v>52</v>
      </c>
      <c r="L1128" t="s">
        <v>3437</v>
      </c>
      <c r="O1128" s="1">
        <v>46368</v>
      </c>
      <c r="P1128" t="s">
        <v>4197</v>
      </c>
      <c r="Q1128" t="s">
        <v>4198</v>
      </c>
      <c r="R1128" t="s">
        <v>150</v>
      </c>
      <c r="S1128" t="b">
        <v>0</v>
      </c>
      <c r="T1128" t="b">
        <v>0</v>
      </c>
      <c r="U1128" t="s">
        <v>4199</v>
      </c>
      <c r="V1128" t="s">
        <v>3203</v>
      </c>
      <c r="W1128" t="s">
        <v>95</v>
      </c>
      <c r="X1128" t="s">
        <v>927</v>
      </c>
      <c r="Y1128" t="s">
        <v>928</v>
      </c>
      <c r="Z1128" t="s">
        <v>3437</v>
      </c>
      <c r="AA1128" t="b">
        <f>ISNUMBER(SEARCH(";"&amp;Lessons[[#This Row],[Instrument__c]]&amp;";",";"&amp;_xlfn.XLOOKUP(Lessons[[#This Row],[Instructor_External_Id__c]], Instructors[Id], Instructors[Instruments_Taught__c])&amp;";"))</f>
        <v>1</v>
      </c>
      <c r="AB1128" t="str">
        <f>IF(LEFT(Lessons[[#This Row],[Status__c]],9)="Cancelled","",Lessons[[#This Row],[Instructor_External_Id__c]]&amp;"|"&amp;TEXT(Lessons[[#This Row],[Lesson_Date__c]],"yyyy-mm-dd")&amp;"|"&amp;Lessons[[#This Row],[Start_Time__c]])</f>
        <v>a06ak00000amzC1AAI|2026-12-12|11:30:00.000Z</v>
      </c>
      <c r="AC1128">
        <f>IF(Lessons[[#This Row],[Double Booked Key]]="","",COUNTIF(Lessons[Double Booked Key],Lessons[[#This Row],[Double Booked Key]]))</f>
        <v>1</v>
      </c>
      <c r="AD1128" s="6" t="str">
        <f>_xlfn.XLOOKUP(Lessons[[#This Row],[Location_External_Id__c]], Locations[Location Id], Locations[Location Name])</f>
        <v>Toms River</v>
      </c>
      <c r="AE1128" s="6" t="str">
        <f>TEXT(Lessons[[#This Row],[Lesson_Date__c]], "yyyy-mm")</f>
        <v>2026-12</v>
      </c>
      <c r="AF1128" s="6" t="str">
        <f>IF(Lessons[[#This Row],[Lesson_Date__c]]&lt;=Data_Audit!$F$1, "Yes", "No")</f>
        <v>No</v>
      </c>
    </row>
    <row r="1129" spans="1:32">
      <c r="A1129" t="s">
        <v>52</v>
      </c>
      <c r="B1129" t="s">
        <v>3437</v>
      </c>
      <c r="C1129">
        <v>30</v>
      </c>
      <c r="D1129" t="s">
        <v>4200</v>
      </c>
      <c r="E1129" t="s">
        <v>548</v>
      </c>
      <c r="F1129" t="s">
        <v>549</v>
      </c>
      <c r="H1129" t="s">
        <v>203</v>
      </c>
      <c r="I1129" t="b">
        <v>0</v>
      </c>
      <c r="K1129" t="s">
        <v>52</v>
      </c>
      <c r="L1129" t="s">
        <v>3437</v>
      </c>
      <c r="O1129" s="1">
        <v>46368</v>
      </c>
      <c r="P1129" t="s">
        <v>4201</v>
      </c>
      <c r="Q1129" t="s">
        <v>4202</v>
      </c>
      <c r="R1129" t="s">
        <v>63</v>
      </c>
      <c r="S1129" t="b">
        <v>0</v>
      </c>
      <c r="T1129" t="b">
        <v>0</v>
      </c>
      <c r="U1129" t="s">
        <v>4203</v>
      </c>
      <c r="V1129" t="s">
        <v>3203</v>
      </c>
      <c r="W1129" t="s">
        <v>95</v>
      </c>
      <c r="X1129" t="s">
        <v>1377</v>
      </c>
      <c r="Y1129" t="s">
        <v>1378</v>
      </c>
      <c r="Z1129" t="s">
        <v>3437</v>
      </c>
      <c r="AA1129" t="b">
        <f>ISNUMBER(SEARCH(";"&amp;Lessons[[#This Row],[Instrument__c]]&amp;";",";"&amp;_xlfn.XLOOKUP(Lessons[[#This Row],[Instructor_External_Id__c]], Instructors[Id], Instructors[Instruments_Taught__c])&amp;";"))</f>
        <v>1</v>
      </c>
      <c r="AB1129" t="str">
        <f>IF(LEFT(Lessons[[#This Row],[Status__c]],9)="Cancelled","",Lessons[[#This Row],[Instructor_External_Id__c]]&amp;"|"&amp;TEXT(Lessons[[#This Row],[Lesson_Date__c]],"yyyy-mm-dd")&amp;"|"&amp;Lessons[[#This Row],[Start_Time__c]])</f>
        <v>a06ak00000amzCHAAY|2026-12-12|11:30:00.000Z</v>
      </c>
      <c r="AC1129">
        <f>IF(Lessons[[#This Row],[Double Booked Key]]="","",COUNTIF(Lessons[Double Booked Key],Lessons[[#This Row],[Double Booked Key]]))</f>
        <v>1</v>
      </c>
      <c r="AD1129" s="6" t="str">
        <f>_xlfn.XLOOKUP(Lessons[[#This Row],[Location_External_Id__c]], Locations[Location Id], Locations[Location Name])</f>
        <v>Red Bank</v>
      </c>
      <c r="AE1129" s="6" t="str">
        <f>TEXT(Lessons[[#This Row],[Lesson_Date__c]], "yyyy-mm")</f>
        <v>2026-12</v>
      </c>
      <c r="AF1129" s="6" t="str">
        <f>IF(Lessons[[#This Row],[Lesson_Date__c]]&lt;=Data_Audit!$F$1, "Yes", "No")</f>
        <v>No</v>
      </c>
    </row>
    <row r="1130" spans="1:32">
      <c r="A1130" t="s">
        <v>52</v>
      </c>
      <c r="B1130" t="s">
        <v>3437</v>
      </c>
      <c r="C1130">
        <v>30</v>
      </c>
      <c r="D1130" t="s">
        <v>4204</v>
      </c>
      <c r="E1130" t="s">
        <v>318</v>
      </c>
      <c r="F1130" t="s">
        <v>319</v>
      </c>
      <c r="H1130" t="s">
        <v>58</v>
      </c>
      <c r="I1130" t="b">
        <v>0</v>
      </c>
      <c r="K1130" t="s">
        <v>52</v>
      </c>
      <c r="L1130" t="s">
        <v>3437</v>
      </c>
      <c r="O1130" s="1">
        <v>46368</v>
      </c>
      <c r="P1130" t="s">
        <v>4205</v>
      </c>
      <c r="Q1130" t="s">
        <v>4206</v>
      </c>
      <c r="R1130" t="s">
        <v>63</v>
      </c>
      <c r="S1130" t="b">
        <v>0</v>
      </c>
      <c r="T1130" t="b">
        <v>0</v>
      </c>
      <c r="U1130" t="s">
        <v>4207</v>
      </c>
      <c r="V1130" t="s">
        <v>3594</v>
      </c>
      <c r="W1130" t="s">
        <v>95</v>
      </c>
      <c r="X1130" t="s">
        <v>1485</v>
      </c>
      <c r="Y1130" t="s">
        <v>1486</v>
      </c>
      <c r="Z1130" t="s">
        <v>3437</v>
      </c>
      <c r="AA1130" t="b">
        <f>ISNUMBER(SEARCH(";"&amp;Lessons[[#This Row],[Instrument__c]]&amp;";",";"&amp;_xlfn.XLOOKUP(Lessons[[#This Row],[Instructor_External_Id__c]], Instructors[Id], Instructors[Instruments_Taught__c])&amp;";"))</f>
        <v>1</v>
      </c>
      <c r="AB1130" t="str">
        <f>IF(LEFT(Lessons[[#This Row],[Status__c]],9)="Cancelled","",Lessons[[#This Row],[Instructor_External_Id__c]]&amp;"|"&amp;TEXT(Lessons[[#This Row],[Lesson_Date__c]],"yyyy-mm-dd")&amp;"|"&amp;Lessons[[#This Row],[Start_Time__c]])</f>
        <v>a06ak00000amzBzAAI|2026-12-12|12:00:00.000Z</v>
      </c>
      <c r="AC1130">
        <f>IF(Lessons[[#This Row],[Double Booked Key]]="","",COUNTIF(Lessons[Double Booked Key],Lessons[[#This Row],[Double Booked Key]]))</f>
        <v>1</v>
      </c>
      <c r="AD1130" s="6" t="str">
        <f>_xlfn.XLOOKUP(Lessons[[#This Row],[Location_External_Id__c]], Locations[Location Id], Locations[Location Name])</f>
        <v>Red Bank</v>
      </c>
      <c r="AE1130" s="6" t="str">
        <f>TEXT(Lessons[[#This Row],[Lesson_Date__c]], "yyyy-mm")</f>
        <v>2026-12</v>
      </c>
      <c r="AF1130" s="6" t="str">
        <f>IF(Lessons[[#This Row],[Lesson_Date__c]]&lt;=Data_Audit!$F$1, "Yes", "No")</f>
        <v>No</v>
      </c>
    </row>
    <row r="1131" spans="1:32">
      <c r="A1131" t="s">
        <v>52</v>
      </c>
      <c r="B1131" t="s">
        <v>3437</v>
      </c>
      <c r="C1131">
        <v>60</v>
      </c>
      <c r="D1131" t="s">
        <v>4208</v>
      </c>
      <c r="E1131" t="s">
        <v>777</v>
      </c>
      <c r="F1131" t="s">
        <v>778</v>
      </c>
      <c r="H1131" t="s">
        <v>527</v>
      </c>
      <c r="I1131" t="b">
        <v>0</v>
      </c>
      <c r="K1131" t="s">
        <v>52</v>
      </c>
      <c r="L1131" t="s">
        <v>3437</v>
      </c>
      <c r="O1131" s="1">
        <v>46368</v>
      </c>
      <c r="P1131" t="s">
        <v>4209</v>
      </c>
      <c r="Q1131" t="s">
        <v>4210</v>
      </c>
      <c r="R1131" t="s">
        <v>150</v>
      </c>
      <c r="S1131" t="b">
        <v>0</v>
      </c>
      <c r="T1131" t="b">
        <v>0</v>
      </c>
      <c r="U1131" t="s">
        <v>4211</v>
      </c>
      <c r="V1131" t="s">
        <v>3208</v>
      </c>
      <c r="W1131" t="s">
        <v>95</v>
      </c>
      <c r="X1131" t="s">
        <v>781</v>
      </c>
      <c r="Y1131" t="s">
        <v>782</v>
      </c>
      <c r="Z1131" t="s">
        <v>3437</v>
      </c>
      <c r="AA1131" t="b">
        <f>ISNUMBER(SEARCH(";"&amp;Lessons[[#This Row],[Instrument__c]]&amp;";",";"&amp;_xlfn.XLOOKUP(Lessons[[#This Row],[Instructor_External_Id__c]], Instructors[Id], Instructors[Instruments_Taught__c])&amp;";"))</f>
        <v>1</v>
      </c>
      <c r="AB1131" t="str">
        <f>IF(LEFT(Lessons[[#This Row],[Status__c]],9)="Cancelled","",Lessons[[#This Row],[Instructor_External_Id__c]]&amp;"|"&amp;TEXT(Lessons[[#This Row],[Lesson_Date__c]],"yyyy-mm-dd")&amp;"|"&amp;Lessons[[#This Row],[Start_Time__c]])</f>
        <v>a06ak00000amzByAAI|2026-12-12|12:30:00.000Z</v>
      </c>
      <c r="AC1131">
        <f>IF(Lessons[[#This Row],[Double Booked Key]]="","",COUNTIF(Lessons[Double Booked Key],Lessons[[#This Row],[Double Booked Key]]))</f>
        <v>1</v>
      </c>
      <c r="AD1131" s="6" t="str">
        <f>_xlfn.XLOOKUP(Lessons[[#This Row],[Location_External_Id__c]], Locations[Location Id], Locations[Location Name])</f>
        <v>Toms River</v>
      </c>
      <c r="AE1131" s="6" t="str">
        <f>TEXT(Lessons[[#This Row],[Lesson_Date__c]], "yyyy-mm")</f>
        <v>2026-12</v>
      </c>
      <c r="AF1131" s="6" t="str">
        <f>IF(Lessons[[#This Row],[Lesson_Date__c]]&lt;=Data_Audit!$F$1, "Yes", "No")</f>
        <v>No</v>
      </c>
    </row>
    <row r="1132" spans="1:32">
      <c r="A1132" t="s">
        <v>52</v>
      </c>
      <c r="B1132" t="s">
        <v>3437</v>
      </c>
      <c r="C1132">
        <v>45</v>
      </c>
      <c r="D1132" t="s">
        <v>4212</v>
      </c>
      <c r="E1132" t="s">
        <v>76</v>
      </c>
      <c r="F1132" t="s">
        <v>77</v>
      </c>
      <c r="H1132" t="s">
        <v>78</v>
      </c>
      <c r="I1132" t="b">
        <v>0</v>
      </c>
      <c r="K1132" t="s">
        <v>52</v>
      </c>
      <c r="L1132" t="s">
        <v>3437</v>
      </c>
      <c r="O1132" s="1">
        <v>46370</v>
      </c>
      <c r="P1132" t="s">
        <v>4213</v>
      </c>
      <c r="Q1132" t="s">
        <v>4214</v>
      </c>
      <c r="R1132" t="s">
        <v>83</v>
      </c>
      <c r="S1132" t="b">
        <v>0</v>
      </c>
      <c r="T1132" t="b">
        <v>0</v>
      </c>
      <c r="U1132" t="s">
        <v>4215</v>
      </c>
      <c r="V1132" t="s">
        <v>135</v>
      </c>
      <c r="W1132" t="s">
        <v>95</v>
      </c>
      <c r="X1132" t="s">
        <v>1922</v>
      </c>
      <c r="Y1132" t="s">
        <v>1923</v>
      </c>
      <c r="Z1132" t="s">
        <v>3437</v>
      </c>
      <c r="AA1132" t="b">
        <f>ISNUMBER(SEARCH(";"&amp;Lessons[[#This Row],[Instrument__c]]&amp;";",";"&amp;_xlfn.XLOOKUP(Lessons[[#This Row],[Instructor_External_Id__c]], Instructors[Id], Instructors[Instruments_Taught__c])&amp;";"))</f>
        <v>1</v>
      </c>
      <c r="AB1132" t="str">
        <f>IF(LEFT(Lessons[[#This Row],[Status__c]],9)="Cancelled","",Lessons[[#This Row],[Instructor_External_Id__c]]&amp;"|"&amp;TEXT(Lessons[[#This Row],[Lesson_Date__c]],"yyyy-mm-dd")&amp;"|"&amp;Lessons[[#This Row],[Start_Time__c]])</f>
        <v>a06ak00000amzBgAAI|2026-12-14|15:30:00.000Z</v>
      </c>
      <c r="AC1132">
        <f>IF(Lessons[[#This Row],[Double Booked Key]]="","",COUNTIF(Lessons[Double Booked Key],Lessons[[#This Row],[Double Booked Key]]))</f>
        <v>1</v>
      </c>
      <c r="AD1132" s="6" t="str">
        <f>_xlfn.XLOOKUP(Lessons[[#This Row],[Location_External_Id__c]], Locations[Location Id], Locations[Location Name])</f>
        <v>Brick</v>
      </c>
      <c r="AE1132" s="6" t="str">
        <f>TEXT(Lessons[[#This Row],[Lesson_Date__c]], "yyyy-mm")</f>
        <v>2026-12</v>
      </c>
      <c r="AF1132" s="6" t="str">
        <f>IF(Lessons[[#This Row],[Lesson_Date__c]]&lt;=Data_Audit!$F$1, "Yes", "No")</f>
        <v>No</v>
      </c>
    </row>
    <row r="1133" spans="1:32">
      <c r="A1133" t="s">
        <v>52</v>
      </c>
      <c r="B1133" t="s">
        <v>3437</v>
      </c>
      <c r="C1133">
        <v>45</v>
      </c>
      <c r="D1133" t="s">
        <v>4216</v>
      </c>
      <c r="E1133" t="s">
        <v>243</v>
      </c>
      <c r="F1133" t="s">
        <v>244</v>
      </c>
      <c r="H1133" t="s">
        <v>237</v>
      </c>
      <c r="I1133" t="b">
        <v>0</v>
      </c>
      <c r="K1133" t="s">
        <v>52</v>
      </c>
      <c r="L1133" t="s">
        <v>3437</v>
      </c>
      <c r="O1133" s="1">
        <v>46370</v>
      </c>
      <c r="P1133" t="s">
        <v>4217</v>
      </c>
      <c r="Q1133" t="s">
        <v>4218</v>
      </c>
      <c r="R1133" t="s">
        <v>83</v>
      </c>
      <c r="S1133" t="b">
        <v>0</v>
      </c>
      <c r="T1133" t="b">
        <v>0</v>
      </c>
      <c r="U1133" t="s">
        <v>4219</v>
      </c>
      <c r="V1133" t="s">
        <v>135</v>
      </c>
      <c r="W1133" t="s">
        <v>95</v>
      </c>
      <c r="X1133" t="s">
        <v>2745</v>
      </c>
      <c r="Y1133" t="s">
        <v>2746</v>
      </c>
      <c r="Z1133" t="s">
        <v>3437</v>
      </c>
      <c r="AA1133" t="b">
        <f>ISNUMBER(SEARCH(";"&amp;Lessons[[#This Row],[Instrument__c]]&amp;";",";"&amp;_xlfn.XLOOKUP(Lessons[[#This Row],[Instructor_External_Id__c]], Instructors[Id], Instructors[Instruments_Taught__c])&amp;";"))</f>
        <v>1</v>
      </c>
      <c r="AB1133" t="str">
        <f>IF(LEFT(Lessons[[#This Row],[Status__c]],9)="Cancelled","",Lessons[[#This Row],[Instructor_External_Id__c]]&amp;"|"&amp;TEXT(Lessons[[#This Row],[Lesson_Date__c]],"yyyy-mm-dd")&amp;"|"&amp;Lessons[[#This Row],[Start_Time__c]])</f>
        <v>a06ak00000amzC1AAI|2026-12-14|15:30:00.000Z</v>
      </c>
      <c r="AC1133">
        <f>IF(Lessons[[#This Row],[Double Booked Key]]="","",COUNTIF(Lessons[Double Booked Key],Lessons[[#This Row],[Double Booked Key]]))</f>
        <v>1</v>
      </c>
      <c r="AD1133" s="6" t="str">
        <f>_xlfn.XLOOKUP(Lessons[[#This Row],[Location_External_Id__c]], Locations[Location Id], Locations[Location Name])</f>
        <v>Brick</v>
      </c>
      <c r="AE1133" s="6" t="str">
        <f>TEXT(Lessons[[#This Row],[Lesson_Date__c]], "yyyy-mm")</f>
        <v>2026-12</v>
      </c>
      <c r="AF1133" s="6" t="str">
        <f>IF(Lessons[[#This Row],[Lesson_Date__c]]&lt;=Data_Audit!$F$1, "Yes", "No")</f>
        <v>No</v>
      </c>
    </row>
    <row r="1134" spans="1:32">
      <c r="A1134" t="s">
        <v>52</v>
      </c>
      <c r="B1134" t="s">
        <v>3437</v>
      </c>
      <c r="C1134">
        <v>45</v>
      </c>
      <c r="D1134" t="s">
        <v>4220</v>
      </c>
      <c r="E1134" t="s">
        <v>359</v>
      </c>
      <c r="F1134" t="s">
        <v>360</v>
      </c>
      <c r="H1134" t="s">
        <v>78</v>
      </c>
      <c r="I1134" t="b">
        <v>0</v>
      </c>
      <c r="K1134" t="s">
        <v>52</v>
      </c>
      <c r="L1134" t="s">
        <v>3437</v>
      </c>
      <c r="O1134" s="1">
        <v>46370</v>
      </c>
      <c r="P1134" t="s">
        <v>4221</v>
      </c>
      <c r="Q1134" t="s">
        <v>4222</v>
      </c>
      <c r="R1134" t="s">
        <v>63</v>
      </c>
      <c r="S1134" t="b">
        <v>0</v>
      </c>
      <c r="T1134" t="b">
        <v>0</v>
      </c>
      <c r="U1134" t="s">
        <v>4223</v>
      </c>
      <c r="V1134" t="s">
        <v>116</v>
      </c>
      <c r="W1134" t="s">
        <v>95</v>
      </c>
      <c r="X1134" t="s">
        <v>1055</v>
      </c>
      <c r="Y1134" t="s">
        <v>1056</v>
      </c>
      <c r="Z1134" t="s">
        <v>3437</v>
      </c>
      <c r="AA1134" t="b">
        <f>ISNUMBER(SEARCH(";"&amp;Lessons[[#This Row],[Instrument__c]]&amp;";",";"&amp;_xlfn.XLOOKUP(Lessons[[#This Row],[Instructor_External_Id__c]], Instructors[Id], Instructors[Instruments_Taught__c])&amp;";"))</f>
        <v>1</v>
      </c>
      <c r="AB1134" t="str">
        <f>IF(LEFT(Lessons[[#This Row],[Status__c]],9)="Cancelled","",Lessons[[#This Row],[Instructor_External_Id__c]]&amp;"|"&amp;TEXT(Lessons[[#This Row],[Lesson_Date__c]],"yyyy-mm-dd")&amp;"|"&amp;Lessons[[#This Row],[Start_Time__c]])</f>
        <v>a06ak00000amzBiAAI|2026-12-14|17:30:00.000Z</v>
      </c>
      <c r="AC1134">
        <f>IF(Lessons[[#This Row],[Double Booked Key]]="","",COUNTIF(Lessons[Double Booked Key],Lessons[[#This Row],[Double Booked Key]]))</f>
        <v>1</v>
      </c>
      <c r="AD1134" s="6" t="str">
        <f>_xlfn.XLOOKUP(Lessons[[#This Row],[Location_External_Id__c]], Locations[Location Id], Locations[Location Name])</f>
        <v>Red Bank</v>
      </c>
      <c r="AE1134" s="6" t="str">
        <f>TEXT(Lessons[[#This Row],[Lesson_Date__c]], "yyyy-mm")</f>
        <v>2026-12</v>
      </c>
      <c r="AF1134" s="6" t="str">
        <f>IF(Lessons[[#This Row],[Lesson_Date__c]]&lt;=Data_Audit!$F$1, "Yes", "No")</f>
        <v>No</v>
      </c>
    </row>
    <row r="1135" spans="1:32">
      <c r="A1135" t="s">
        <v>52</v>
      </c>
      <c r="B1135" t="s">
        <v>3437</v>
      </c>
      <c r="C1135">
        <v>30</v>
      </c>
      <c r="D1135" t="s">
        <v>4224</v>
      </c>
      <c r="E1135" t="s">
        <v>804</v>
      </c>
      <c r="F1135" t="s">
        <v>805</v>
      </c>
      <c r="H1135" t="s">
        <v>147</v>
      </c>
      <c r="I1135" t="b">
        <v>0</v>
      </c>
      <c r="K1135" t="s">
        <v>52</v>
      </c>
      <c r="L1135" t="s">
        <v>3437</v>
      </c>
      <c r="O1135" s="1">
        <v>46370</v>
      </c>
      <c r="P1135" t="s">
        <v>4225</v>
      </c>
      <c r="Q1135" t="s">
        <v>4226</v>
      </c>
      <c r="R1135" t="s">
        <v>63</v>
      </c>
      <c r="S1135" t="b">
        <v>0</v>
      </c>
      <c r="T1135" t="b">
        <v>0</v>
      </c>
      <c r="U1135" t="s">
        <v>4227</v>
      </c>
      <c r="V1135" t="s">
        <v>116</v>
      </c>
      <c r="W1135" t="s">
        <v>95</v>
      </c>
      <c r="X1135" t="s">
        <v>2502</v>
      </c>
      <c r="Y1135" t="s">
        <v>2503</v>
      </c>
      <c r="Z1135" t="s">
        <v>3437</v>
      </c>
      <c r="AA1135" t="b">
        <f>ISNUMBER(SEARCH(";"&amp;Lessons[[#This Row],[Instrument__c]]&amp;";",";"&amp;_xlfn.XLOOKUP(Lessons[[#This Row],[Instructor_External_Id__c]], Instructors[Id], Instructors[Instruments_Taught__c])&amp;";"))</f>
        <v>1</v>
      </c>
      <c r="AB1135" t="str">
        <f>IF(LEFT(Lessons[[#This Row],[Status__c]],9)="Cancelled","",Lessons[[#This Row],[Instructor_External_Id__c]]&amp;"|"&amp;TEXT(Lessons[[#This Row],[Lesson_Date__c]],"yyyy-mm-dd")&amp;"|"&amp;Lessons[[#This Row],[Start_Time__c]])</f>
        <v>a06ak00000amzCBAAY|2026-12-14|17:30:00.000Z</v>
      </c>
      <c r="AC1135">
        <f>IF(Lessons[[#This Row],[Double Booked Key]]="","",COUNTIF(Lessons[Double Booked Key],Lessons[[#This Row],[Double Booked Key]]))</f>
        <v>1</v>
      </c>
      <c r="AD1135" s="6" t="str">
        <f>_xlfn.XLOOKUP(Lessons[[#This Row],[Location_External_Id__c]], Locations[Location Id], Locations[Location Name])</f>
        <v>Red Bank</v>
      </c>
      <c r="AE1135" s="6" t="str">
        <f>TEXT(Lessons[[#This Row],[Lesson_Date__c]], "yyyy-mm")</f>
        <v>2026-12</v>
      </c>
      <c r="AF1135" s="6" t="str">
        <f>IF(Lessons[[#This Row],[Lesson_Date__c]]&lt;=Data_Audit!$F$1, "Yes", "No")</f>
        <v>No</v>
      </c>
    </row>
    <row r="1136" spans="1:32">
      <c r="A1136" t="s">
        <v>52</v>
      </c>
      <c r="B1136" t="s">
        <v>3437</v>
      </c>
      <c r="C1136">
        <v>60</v>
      </c>
      <c r="D1136" t="s">
        <v>4228</v>
      </c>
      <c r="E1136" t="s">
        <v>573</v>
      </c>
      <c r="F1136" t="s">
        <v>574</v>
      </c>
      <c r="H1136" t="s">
        <v>147</v>
      </c>
      <c r="I1136" t="b">
        <v>0</v>
      </c>
      <c r="K1136" t="s">
        <v>52</v>
      </c>
      <c r="L1136" t="s">
        <v>3437</v>
      </c>
      <c r="O1136" s="1">
        <v>46370</v>
      </c>
      <c r="P1136" t="s">
        <v>4229</v>
      </c>
      <c r="Q1136" t="s">
        <v>4230</v>
      </c>
      <c r="R1136" t="s">
        <v>83</v>
      </c>
      <c r="S1136" t="b">
        <v>0</v>
      </c>
      <c r="T1136" t="b">
        <v>0</v>
      </c>
      <c r="U1136" t="s">
        <v>4231</v>
      </c>
      <c r="V1136" t="s">
        <v>128</v>
      </c>
      <c r="W1136" t="s">
        <v>95</v>
      </c>
      <c r="X1136" t="s">
        <v>577</v>
      </c>
      <c r="Y1136" t="s">
        <v>578</v>
      </c>
      <c r="Z1136" t="s">
        <v>3437</v>
      </c>
      <c r="AA1136" t="b">
        <f>ISNUMBER(SEARCH(";"&amp;Lessons[[#This Row],[Instrument__c]]&amp;";",";"&amp;_xlfn.XLOOKUP(Lessons[[#This Row],[Instructor_External_Id__c]], Instructors[Id], Instructors[Instruments_Taught__c])&amp;";"))</f>
        <v>1</v>
      </c>
      <c r="AB1136" t="str">
        <f>IF(LEFT(Lessons[[#This Row],[Status__c]],9)="Cancelled","",Lessons[[#This Row],[Instructor_External_Id__c]]&amp;"|"&amp;TEXT(Lessons[[#This Row],[Lesson_Date__c]],"yyyy-mm-dd")&amp;"|"&amp;Lessons[[#This Row],[Start_Time__c]])</f>
        <v>a06ak00000amzCCAAY|2026-12-14|18:30:00.000Z</v>
      </c>
      <c r="AC1136">
        <f>IF(Lessons[[#This Row],[Double Booked Key]]="","",COUNTIF(Lessons[Double Booked Key],Lessons[[#This Row],[Double Booked Key]]))</f>
        <v>1</v>
      </c>
      <c r="AD1136" s="6" t="str">
        <f>_xlfn.XLOOKUP(Lessons[[#This Row],[Location_External_Id__c]], Locations[Location Id], Locations[Location Name])</f>
        <v>Brick</v>
      </c>
      <c r="AE1136" s="6" t="str">
        <f>TEXT(Lessons[[#This Row],[Lesson_Date__c]], "yyyy-mm")</f>
        <v>2026-12</v>
      </c>
      <c r="AF1136" s="6" t="str">
        <f>IF(Lessons[[#This Row],[Lesson_Date__c]]&lt;=Data_Audit!$F$1, "Yes", "No")</f>
        <v>No</v>
      </c>
    </row>
    <row r="1137" spans="1:32">
      <c r="A1137" t="s">
        <v>52</v>
      </c>
      <c r="B1137" t="s">
        <v>3437</v>
      </c>
      <c r="C1137">
        <v>60</v>
      </c>
      <c r="D1137" t="s">
        <v>4232</v>
      </c>
      <c r="E1137" t="s">
        <v>76</v>
      </c>
      <c r="F1137" t="s">
        <v>77</v>
      </c>
      <c r="H1137" t="s">
        <v>58</v>
      </c>
      <c r="I1137" t="b">
        <v>0</v>
      </c>
      <c r="K1137" t="s">
        <v>52</v>
      </c>
      <c r="L1137" t="s">
        <v>3437</v>
      </c>
      <c r="O1137" s="1">
        <v>46370</v>
      </c>
      <c r="P1137" t="s">
        <v>4233</v>
      </c>
      <c r="Q1137" t="s">
        <v>4234</v>
      </c>
      <c r="R1137" t="s">
        <v>83</v>
      </c>
      <c r="S1137" t="b">
        <v>0</v>
      </c>
      <c r="T1137" t="b">
        <v>0</v>
      </c>
      <c r="U1137" t="s">
        <v>4235</v>
      </c>
      <c r="V1137" t="s">
        <v>128</v>
      </c>
      <c r="W1137" t="s">
        <v>95</v>
      </c>
      <c r="X1137" t="s">
        <v>844</v>
      </c>
      <c r="Y1137" t="s">
        <v>845</v>
      </c>
      <c r="Z1137" t="s">
        <v>3437</v>
      </c>
      <c r="AA1137" t="b">
        <f>ISNUMBER(SEARCH(";"&amp;Lessons[[#This Row],[Instrument__c]]&amp;";",";"&amp;_xlfn.XLOOKUP(Lessons[[#This Row],[Instructor_External_Id__c]], Instructors[Id], Instructors[Instruments_Taught__c])&amp;";"))</f>
        <v>1</v>
      </c>
      <c r="AB1137" t="str">
        <f>IF(LEFT(Lessons[[#This Row],[Status__c]],9)="Cancelled","",Lessons[[#This Row],[Instructor_External_Id__c]]&amp;"|"&amp;TEXT(Lessons[[#This Row],[Lesson_Date__c]],"yyyy-mm-dd")&amp;"|"&amp;Lessons[[#This Row],[Start_Time__c]])</f>
        <v>a06ak00000amzBgAAI|2026-12-14|18:30:00.000Z</v>
      </c>
      <c r="AC1137">
        <f>IF(Lessons[[#This Row],[Double Booked Key]]="","",COUNTIF(Lessons[Double Booked Key],Lessons[[#This Row],[Double Booked Key]]))</f>
        <v>1</v>
      </c>
      <c r="AD1137" s="6" t="str">
        <f>_xlfn.XLOOKUP(Lessons[[#This Row],[Location_External_Id__c]], Locations[Location Id], Locations[Location Name])</f>
        <v>Brick</v>
      </c>
      <c r="AE1137" s="6" t="str">
        <f>TEXT(Lessons[[#This Row],[Lesson_Date__c]], "yyyy-mm")</f>
        <v>2026-12</v>
      </c>
      <c r="AF1137" s="6" t="str">
        <f>IF(Lessons[[#This Row],[Lesson_Date__c]]&lt;=Data_Audit!$F$1, "Yes", "No")</f>
        <v>No</v>
      </c>
    </row>
    <row r="1138" spans="1:32">
      <c r="A1138" t="s">
        <v>52</v>
      </c>
      <c r="B1138" t="s">
        <v>3437</v>
      </c>
      <c r="C1138">
        <v>45</v>
      </c>
      <c r="D1138" t="s">
        <v>4236</v>
      </c>
      <c r="E1138" t="s">
        <v>337</v>
      </c>
      <c r="F1138" t="s">
        <v>338</v>
      </c>
      <c r="H1138" t="s">
        <v>284</v>
      </c>
      <c r="I1138" t="b">
        <v>0</v>
      </c>
      <c r="K1138" t="s">
        <v>52</v>
      </c>
      <c r="L1138" t="s">
        <v>3437</v>
      </c>
      <c r="O1138" s="1">
        <v>46370</v>
      </c>
      <c r="P1138" t="s">
        <v>4237</v>
      </c>
      <c r="Q1138" t="s">
        <v>4238</v>
      </c>
      <c r="R1138" t="s">
        <v>150</v>
      </c>
      <c r="S1138" t="b">
        <v>0</v>
      </c>
      <c r="T1138" t="b">
        <v>0</v>
      </c>
      <c r="U1138" t="s">
        <v>4239</v>
      </c>
      <c r="V1138" t="s">
        <v>94</v>
      </c>
      <c r="W1138" t="s">
        <v>95</v>
      </c>
      <c r="X1138" t="s">
        <v>341</v>
      </c>
      <c r="Y1138" t="s">
        <v>342</v>
      </c>
      <c r="Z1138" t="s">
        <v>3437</v>
      </c>
      <c r="AA1138" t="b">
        <f>ISNUMBER(SEARCH(";"&amp;Lessons[[#This Row],[Instrument__c]]&amp;";",";"&amp;_xlfn.XLOOKUP(Lessons[[#This Row],[Instructor_External_Id__c]], Instructors[Id], Instructors[Instruments_Taught__c])&amp;";"))</f>
        <v>1</v>
      </c>
      <c r="AB1138" t="str">
        <f>IF(LEFT(Lessons[[#This Row],[Status__c]],9)="Cancelled","",Lessons[[#This Row],[Instructor_External_Id__c]]&amp;"|"&amp;TEXT(Lessons[[#This Row],[Lesson_Date__c]],"yyyy-mm-dd")&amp;"|"&amp;Lessons[[#This Row],[Start_Time__c]])</f>
        <v>a06ak00000amzCIAAY|2026-12-14|19:00:00.000Z</v>
      </c>
      <c r="AC1138">
        <f>IF(Lessons[[#This Row],[Double Booked Key]]="","",COUNTIF(Lessons[Double Booked Key],Lessons[[#This Row],[Double Booked Key]]))</f>
        <v>1</v>
      </c>
      <c r="AD1138" s="6" t="str">
        <f>_xlfn.XLOOKUP(Lessons[[#This Row],[Location_External_Id__c]], Locations[Location Id], Locations[Location Name])</f>
        <v>Toms River</v>
      </c>
      <c r="AE1138" s="6" t="str">
        <f>TEXT(Lessons[[#This Row],[Lesson_Date__c]], "yyyy-mm")</f>
        <v>2026-12</v>
      </c>
      <c r="AF1138" s="6" t="str">
        <f>IF(Lessons[[#This Row],[Lesson_Date__c]]&lt;=Data_Audit!$F$1, "Yes", "No")</f>
        <v>No</v>
      </c>
    </row>
    <row r="1139" spans="1:32">
      <c r="A1139" t="s">
        <v>52</v>
      </c>
      <c r="B1139" t="s">
        <v>2997</v>
      </c>
      <c r="C1139">
        <v>30</v>
      </c>
      <c r="D1139" t="s">
        <v>4240</v>
      </c>
      <c r="E1139" t="s">
        <v>243</v>
      </c>
      <c r="F1139" t="s">
        <v>244</v>
      </c>
      <c r="H1139" t="s">
        <v>650</v>
      </c>
      <c r="I1139" t="b">
        <v>0</v>
      </c>
      <c r="K1139" t="s">
        <v>52</v>
      </c>
      <c r="L1139" t="s">
        <v>2997</v>
      </c>
      <c r="O1139" s="1">
        <v>46412</v>
      </c>
      <c r="P1139" t="s">
        <v>4241</v>
      </c>
      <c r="Q1139" t="s">
        <v>4242</v>
      </c>
      <c r="R1139" t="s">
        <v>83</v>
      </c>
      <c r="S1139" t="b">
        <v>0</v>
      </c>
      <c r="T1139" t="b">
        <v>0</v>
      </c>
      <c r="U1139" t="s">
        <v>4243</v>
      </c>
      <c r="V1139" t="s">
        <v>74</v>
      </c>
      <c r="W1139" t="s">
        <v>95</v>
      </c>
      <c r="X1139" t="s">
        <v>2521</v>
      </c>
      <c r="Y1139" t="s">
        <v>2522</v>
      </c>
      <c r="Z1139" t="s">
        <v>2997</v>
      </c>
      <c r="AA1139" t="b">
        <f>ISNUMBER(SEARCH(";"&amp;Lessons[[#This Row],[Instrument__c]]&amp;";",";"&amp;_xlfn.XLOOKUP(Lessons[[#This Row],[Instructor_External_Id__c]], Instructors[Id], Instructors[Instruments_Taught__c])&amp;";"))</f>
        <v>1</v>
      </c>
      <c r="AB1139" t="str">
        <f>IF(LEFT(Lessons[[#This Row],[Status__c]],9)="Cancelled","",Lessons[[#This Row],[Instructor_External_Id__c]]&amp;"|"&amp;TEXT(Lessons[[#This Row],[Lesson_Date__c]],"yyyy-mm-dd")&amp;"|"&amp;Lessons[[#This Row],[Start_Time__c]])</f>
        <v>a06ak00000amzC1AAI|2027-01-25|16:30:00.000Z</v>
      </c>
      <c r="AC1139">
        <f>IF(Lessons[[#This Row],[Double Booked Key]]="","",COUNTIF(Lessons[Double Booked Key],Lessons[[#This Row],[Double Booked Key]]))</f>
        <v>1</v>
      </c>
      <c r="AD1139" s="6" t="str">
        <f>_xlfn.XLOOKUP(Lessons[[#This Row],[Location_External_Id__c]], Locations[Location Id], Locations[Location Name])</f>
        <v>Brick</v>
      </c>
      <c r="AE1139" s="6" t="str">
        <f>TEXT(Lessons[[#This Row],[Lesson_Date__c]], "yyyy-mm")</f>
        <v>2027-01</v>
      </c>
      <c r="AF1139" s="6" t="str">
        <f>IF(Lessons[[#This Row],[Lesson_Date__c]]&lt;=Data_Audit!$F$1, "Yes", "No")</f>
        <v>No</v>
      </c>
    </row>
    <row r="1140" spans="1:32">
      <c r="A1140" t="s">
        <v>52</v>
      </c>
      <c r="B1140" t="s">
        <v>2997</v>
      </c>
      <c r="C1140">
        <v>60</v>
      </c>
      <c r="D1140" t="s">
        <v>4244</v>
      </c>
      <c r="E1140" t="s">
        <v>573</v>
      </c>
      <c r="F1140" t="s">
        <v>574</v>
      </c>
      <c r="H1140" t="s">
        <v>147</v>
      </c>
      <c r="I1140" t="b">
        <v>0</v>
      </c>
      <c r="K1140" t="s">
        <v>52</v>
      </c>
      <c r="L1140" t="s">
        <v>2997</v>
      </c>
      <c r="O1140" s="1">
        <v>46412</v>
      </c>
      <c r="P1140" t="s">
        <v>4245</v>
      </c>
      <c r="Q1140" t="s">
        <v>4246</v>
      </c>
      <c r="R1140" t="s">
        <v>83</v>
      </c>
      <c r="S1140" t="b">
        <v>0</v>
      </c>
      <c r="T1140" t="b">
        <v>0</v>
      </c>
      <c r="U1140" t="s">
        <v>4247</v>
      </c>
      <c r="V1140" t="s">
        <v>128</v>
      </c>
      <c r="W1140" t="s">
        <v>95</v>
      </c>
      <c r="X1140" t="s">
        <v>577</v>
      </c>
      <c r="Y1140" t="s">
        <v>578</v>
      </c>
      <c r="Z1140" t="s">
        <v>2997</v>
      </c>
      <c r="AA1140" t="b">
        <f>ISNUMBER(SEARCH(";"&amp;Lessons[[#This Row],[Instrument__c]]&amp;";",";"&amp;_xlfn.XLOOKUP(Lessons[[#This Row],[Instructor_External_Id__c]], Instructors[Id], Instructors[Instruments_Taught__c])&amp;";"))</f>
        <v>1</v>
      </c>
      <c r="AB1140" t="str">
        <f>IF(LEFT(Lessons[[#This Row],[Status__c]],9)="Cancelled","",Lessons[[#This Row],[Instructor_External_Id__c]]&amp;"|"&amp;TEXT(Lessons[[#This Row],[Lesson_Date__c]],"yyyy-mm-dd")&amp;"|"&amp;Lessons[[#This Row],[Start_Time__c]])</f>
        <v>a06ak00000amzCCAAY|2027-01-25|18:30:00.000Z</v>
      </c>
      <c r="AC1140">
        <f>IF(Lessons[[#This Row],[Double Booked Key]]="","",COUNTIF(Lessons[Double Booked Key],Lessons[[#This Row],[Double Booked Key]]))</f>
        <v>1</v>
      </c>
      <c r="AD1140" s="6" t="str">
        <f>_xlfn.XLOOKUP(Lessons[[#This Row],[Location_External_Id__c]], Locations[Location Id], Locations[Location Name])</f>
        <v>Brick</v>
      </c>
      <c r="AE1140" s="6" t="str">
        <f>TEXT(Lessons[[#This Row],[Lesson_Date__c]], "yyyy-mm")</f>
        <v>2027-01</v>
      </c>
      <c r="AF1140" s="6" t="str">
        <f>IF(Lessons[[#This Row],[Lesson_Date__c]]&lt;=Data_Audit!$F$1, "Yes", "No")</f>
        <v>No</v>
      </c>
    </row>
    <row r="1141" spans="1:32">
      <c r="A1141" t="s">
        <v>52</v>
      </c>
      <c r="B1141" t="s">
        <v>2997</v>
      </c>
      <c r="C1141">
        <v>45</v>
      </c>
      <c r="D1141" t="s">
        <v>4248</v>
      </c>
      <c r="E1141" t="s">
        <v>804</v>
      </c>
      <c r="F1141" t="s">
        <v>805</v>
      </c>
      <c r="H1141" t="s">
        <v>527</v>
      </c>
      <c r="I1141" t="b">
        <v>0</v>
      </c>
      <c r="K1141" t="s">
        <v>52</v>
      </c>
      <c r="L1141" t="s">
        <v>2997</v>
      </c>
      <c r="O1141" s="1">
        <v>46413</v>
      </c>
      <c r="P1141" t="s">
        <v>4249</v>
      </c>
      <c r="Q1141" t="s">
        <v>4250</v>
      </c>
      <c r="R1141" t="s">
        <v>63</v>
      </c>
      <c r="S1141" t="b">
        <v>0</v>
      </c>
      <c r="T1141" t="b">
        <v>0</v>
      </c>
      <c r="U1141" t="s">
        <v>4251</v>
      </c>
      <c r="V1141" t="s">
        <v>74</v>
      </c>
      <c r="W1141" t="s">
        <v>95</v>
      </c>
      <c r="X1141" t="s">
        <v>1293</v>
      </c>
      <c r="Y1141" t="s">
        <v>1294</v>
      </c>
      <c r="Z1141" t="s">
        <v>2997</v>
      </c>
      <c r="AA1141" t="b">
        <f>ISNUMBER(SEARCH(";"&amp;Lessons[[#This Row],[Instrument__c]]&amp;";",";"&amp;_xlfn.XLOOKUP(Lessons[[#This Row],[Instructor_External_Id__c]], Instructors[Id], Instructors[Instruments_Taught__c])&amp;";"))</f>
        <v>1</v>
      </c>
      <c r="AB1141" t="str">
        <f>IF(LEFT(Lessons[[#This Row],[Status__c]],9)="Cancelled","",Lessons[[#This Row],[Instructor_External_Id__c]]&amp;"|"&amp;TEXT(Lessons[[#This Row],[Lesson_Date__c]],"yyyy-mm-dd")&amp;"|"&amp;Lessons[[#This Row],[Start_Time__c]])</f>
        <v>a06ak00000amzCBAAY|2027-01-26|16:30:00.000Z</v>
      </c>
      <c r="AC1141">
        <f>IF(Lessons[[#This Row],[Double Booked Key]]="","",COUNTIF(Lessons[Double Booked Key],Lessons[[#This Row],[Double Booked Key]]))</f>
        <v>1</v>
      </c>
      <c r="AD1141" s="6" t="str">
        <f>_xlfn.XLOOKUP(Lessons[[#This Row],[Location_External_Id__c]], Locations[Location Id], Locations[Location Name])</f>
        <v>Red Bank</v>
      </c>
      <c r="AE1141" s="6" t="str">
        <f>TEXT(Lessons[[#This Row],[Lesson_Date__c]], "yyyy-mm")</f>
        <v>2027-01</v>
      </c>
      <c r="AF1141" s="6" t="str">
        <f>IF(Lessons[[#This Row],[Lesson_Date__c]]&lt;=Data_Audit!$F$1, "Yes", "No")</f>
        <v>No</v>
      </c>
    </row>
    <row r="1142" spans="1:32">
      <c r="A1142" t="s">
        <v>52</v>
      </c>
      <c r="B1142" t="s">
        <v>2997</v>
      </c>
      <c r="C1142">
        <v>45</v>
      </c>
      <c r="D1142" t="s">
        <v>4252</v>
      </c>
      <c r="E1142" t="s">
        <v>318</v>
      </c>
      <c r="F1142" t="s">
        <v>319</v>
      </c>
      <c r="H1142" t="s">
        <v>58</v>
      </c>
      <c r="I1142" t="b">
        <v>0</v>
      </c>
      <c r="K1142" t="s">
        <v>52</v>
      </c>
      <c r="L1142" t="s">
        <v>2997</v>
      </c>
      <c r="O1142" s="1">
        <v>46413</v>
      </c>
      <c r="P1142" t="s">
        <v>4253</v>
      </c>
      <c r="Q1142" t="s">
        <v>4254</v>
      </c>
      <c r="R1142" t="s">
        <v>63</v>
      </c>
      <c r="S1142" t="b">
        <v>0</v>
      </c>
      <c r="T1142" t="b">
        <v>0</v>
      </c>
      <c r="U1142" t="s">
        <v>4255</v>
      </c>
      <c r="V1142" t="s">
        <v>128</v>
      </c>
      <c r="W1142" t="s">
        <v>95</v>
      </c>
      <c r="X1142" t="s">
        <v>306</v>
      </c>
      <c r="Y1142" t="s">
        <v>307</v>
      </c>
      <c r="Z1142" t="s">
        <v>2997</v>
      </c>
      <c r="AA1142" t="b">
        <f>ISNUMBER(SEARCH(";"&amp;Lessons[[#This Row],[Instrument__c]]&amp;";",";"&amp;_xlfn.XLOOKUP(Lessons[[#This Row],[Instructor_External_Id__c]], Instructors[Id], Instructors[Instruments_Taught__c])&amp;";"))</f>
        <v>1</v>
      </c>
      <c r="AB1142" t="str">
        <f>IF(LEFT(Lessons[[#This Row],[Status__c]],9)="Cancelled","",Lessons[[#This Row],[Instructor_External_Id__c]]&amp;"|"&amp;TEXT(Lessons[[#This Row],[Lesson_Date__c]],"yyyy-mm-dd")&amp;"|"&amp;Lessons[[#This Row],[Start_Time__c]])</f>
        <v>a06ak00000amzBzAAI|2027-01-26|18:30:00.000Z</v>
      </c>
      <c r="AC1142">
        <f>IF(Lessons[[#This Row],[Double Booked Key]]="","",COUNTIF(Lessons[Double Booked Key],Lessons[[#This Row],[Double Booked Key]]))</f>
        <v>1</v>
      </c>
      <c r="AD1142" s="6" t="str">
        <f>_xlfn.XLOOKUP(Lessons[[#This Row],[Location_External_Id__c]], Locations[Location Id], Locations[Location Name])</f>
        <v>Red Bank</v>
      </c>
      <c r="AE1142" s="6" t="str">
        <f>TEXT(Lessons[[#This Row],[Lesson_Date__c]], "yyyy-mm")</f>
        <v>2027-01</v>
      </c>
      <c r="AF1142" s="6" t="str">
        <f>IF(Lessons[[#This Row],[Lesson_Date__c]]&lt;=Data_Audit!$F$1, "Yes", "No")</f>
        <v>No</v>
      </c>
    </row>
    <row r="1143" spans="1:32">
      <c r="A1143" t="s">
        <v>52</v>
      </c>
      <c r="B1143" t="s">
        <v>2997</v>
      </c>
      <c r="C1143">
        <v>60</v>
      </c>
      <c r="D1143" t="s">
        <v>4256</v>
      </c>
      <c r="E1143" t="s">
        <v>359</v>
      </c>
      <c r="F1143" t="s">
        <v>360</v>
      </c>
      <c r="H1143" t="s">
        <v>392</v>
      </c>
      <c r="I1143" t="b">
        <v>0</v>
      </c>
      <c r="K1143" t="s">
        <v>52</v>
      </c>
      <c r="L1143" t="s">
        <v>2997</v>
      </c>
      <c r="O1143" s="1">
        <v>46414</v>
      </c>
      <c r="P1143" t="s">
        <v>4257</v>
      </c>
      <c r="Q1143" t="s">
        <v>4258</v>
      </c>
      <c r="R1143" t="s">
        <v>63</v>
      </c>
      <c r="S1143" t="b">
        <v>0</v>
      </c>
      <c r="T1143" t="b">
        <v>0</v>
      </c>
      <c r="U1143" t="s">
        <v>4259</v>
      </c>
      <c r="V1143" t="s">
        <v>140</v>
      </c>
      <c r="W1143" t="s">
        <v>95</v>
      </c>
      <c r="X1143" t="s">
        <v>2868</v>
      </c>
      <c r="Y1143" t="s">
        <v>2869</v>
      </c>
      <c r="Z1143" t="s">
        <v>2997</v>
      </c>
      <c r="AA1143" t="b">
        <f>ISNUMBER(SEARCH(";"&amp;Lessons[[#This Row],[Instrument__c]]&amp;";",";"&amp;_xlfn.XLOOKUP(Lessons[[#This Row],[Instructor_External_Id__c]], Instructors[Id], Instructors[Instruments_Taught__c])&amp;";"))</f>
        <v>1</v>
      </c>
      <c r="AB1143" t="str">
        <f>IF(LEFT(Lessons[[#This Row],[Status__c]],9)="Cancelled","",Lessons[[#This Row],[Instructor_External_Id__c]]&amp;"|"&amp;TEXT(Lessons[[#This Row],[Lesson_Date__c]],"yyyy-mm-dd")&amp;"|"&amp;Lessons[[#This Row],[Start_Time__c]])</f>
        <v>a06ak00000amzBiAAI|2027-01-27|15:00:00.000Z</v>
      </c>
      <c r="AC1143">
        <f>IF(Lessons[[#This Row],[Double Booked Key]]="","",COUNTIF(Lessons[Double Booked Key],Lessons[[#This Row],[Double Booked Key]]))</f>
        <v>1</v>
      </c>
      <c r="AD1143" s="6" t="str">
        <f>_xlfn.XLOOKUP(Lessons[[#This Row],[Location_External_Id__c]], Locations[Location Id], Locations[Location Name])</f>
        <v>Red Bank</v>
      </c>
      <c r="AE1143" s="6" t="str">
        <f>TEXT(Lessons[[#This Row],[Lesson_Date__c]], "yyyy-mm")</f>
        <v>2027-01</v>
      </c>
      <c r="AF1143" s="6" t="str">
        <f>IF(Lessons[[#This Row],[Lesson_Date__c]]&lt;=Data_Audit!$F$1, "Yes", "No")</f>
        <v>No</v>
      </c>
    </row>
    <row r="1144" spans="1:32">
      <c r="A1144" t="s">
        <v>52</v>
      </c>
      <c r="B1144" t="s">
        <v>2997</v>
      </c>
      <c r="C1144">
        <v>60</v>
      </c>
      <c r="D1144" t="s">
        <v>4260</v>
      </c>
      <c r="E1144" t="s">
        <v>359</v>
      </c>
      <c r="F1144" t="s">
        <v>360</v>
      </c>
      <c r="H1144" t="s">
        <v>284</v>
      </c>
      <c r="I1144" t="b">
        <v>0</v>
      </c>
      <c r="K1144" t="s">
        <v>52</v>
      </c>
      <c r="L1144" t="s">
        <v>2997</v>
      </c>
      <c r="O1144" s="1">
        <v>46414</v>
      </c>
      <c r="P1144" t="s">
        <v>4261</v>
      </c>
      <c r="Q1144" t="s">
        <v>4262</v>
      </c>
      <c r="R1144" t="s">
        <v>63</v>
      </c>
      <c r="S1144" t="b">
        <v>0</v>
      </c>
      <c r="T1144" t="b">
        <v>0</v>
      </c>
      <c r="U1144" t="s">
        <v>4263</v>
      </c>
      <c r="V1144" t="s">
        <v>102</v>
      </c>
      <c r="W1144" t="s">
        <v>95</v>
      </c>
      <c r="X1144" t="s">
        <v>768</v>
      </c>
      <c r="Y1144" t="s">
        <v>769</v>
      </c>
      <c r="Z1144" t="s">
        <v>2997</v>
      </c>
      <c r="AA1144" t="b">
        <f>ISNUMBER(SEARCH(";"&amp;Lessons[[#This Row],[Instrument__c]]&amp;";",";"&amp;_xlfn.XLOOKUP(Lessons[[#This Row],[Instructor_External_Id__c]], Instructors[Id], Instructors[Instruments_Taught__c])&amp;";"))</f>
        <v>1</v>
      </c>
      <c r="AB1144" t="str">
        <f>IF(LEFT(Lessons[[#This Row],[Status__c]],9)="Cancelled","",Lessons[[#This Row],[Instructor_External_Id__c]]&amp;"|"&amp;TEXT(Lessons[[#This Row],[Lesson_Date__c]],"yyyy-mm-dd")&amp;"|"&amp;Lessons[[#This Row],[Start_Time__c]])</f>
        <v>a06ak00000amzBiAAI|2027-01-27|16:00:00.000Z</v>
      </c>
      <c r="AC1144">
        <f>IF(Lessons[[#This Row],[Double Booked Key]]="","",COUNTIF(Lessons[Double Booked Key],Lessons[[#This Row],[Double Booked Key]]))</f>
        <v>1</v>
      </c>
      <c r="AD1144" s="6" t="str">
        <f>_xlfn.XLOOKUP(Lessons[[#This Row],[Location_External_Id__c]], Locations[Location Id], Locations[Location Name])</f>
        <v>Red Bank</v>
      </c>
      <c r="AE1144" s="6" t="str">
        <f>TEXT(Lessons[[#This Row],[Lesson_Date__c]], "yyyy-mm")</f>
        <v>2027-01</v>
      </c>
      <c r="AF1144" s="6" t="str">
        <f>IF(Lessons[[#This Row],[Lesson_Date__c]]&lt;=Data_Audit!$F$1, "Yes", "No")</f>
        <v>No</v>
      </c>
    </row>
    <row r="1145" spans="1:32">
      <c r="A1145" t="s">
        <v>52</v>
      </c>
      <c r="B1145" t="s">
        <v>2997</v>
      </c>
      <c r="C1145">
        <v>45</v>
      </c>
      <c r="D1145" t="s">
        <v>4264</v>
      </c>
      <c r="E1145" t="s">
        <v>401</v>
      </c>
      <c r="F1145" t="s">
        <v>402</v>
      </c>
      <c r="H1145" t="s">
        <v>263</v>
      </c>
      <c r="I1145" t="b">
        <v>0</v>
      </c>
      <c r="K1145" t="s">
        <v>52</v>
      </c>
      <c r="L1145" t="s">
        <v>2997</v>
      </c>
      <c r="O1145" s="1">
        <v>46414</v>
      </c>
      <c r="P1145" t="s">
        <v>4265</v>
      </c>
      <c r="Q1145" t="s">
        <v>4266</v>
      </c>
      <c r="R1145" t="s">
        <v>83</v>
      </c>
      <c r="S1145" t="b">
        <v>0</v>
      </c>
      <c r="T1145" t="b">
        <v>0</v>
      </c>
      <c r="U1145" t="s">
        <v>4267</v>
      </c>
      <c r="V1145" t="s">
        <v>74</v>
      </c>
      <c r="W1145" t="s">
        <v>95</v>
      </c>
      <c r="X1145" t="s">
        <v>1561</v>
      </c>
      <c r="Y1145" t="s">
        <v>1562</v>
      </c>
      <c r="Z1145" t="s">
        <v>2997</v>
      </c>
      <c r="AA1145" t="b">
        <f>ISNUMBER(SEARCH(";"&amp;Lessons[[#This Row],[Instrument__c]]&amp;";",";"&amp;_xlfn.XLOOKUP(Lessons[[#This Row],[Instructor_External_Id__c]], Instructors[Id], Instructors[Instruments_Taught__c])&amp;";"))</f>
        <v>1</v>
      </c>
      <c r="AB1145" t="str">
        <f>IF(LEFT(Lessons[[#This Row],[Status__c]],9)="Cancelled","",Lessons[[#This Row],[Instructor_External_Id__c]]&amp;"|"&amp;TEXT(Lessons[[#This Row],[Lesson_Date__c]],"yyyy-mm-dd")&amp;"|"&amp;Lessons[[#This Row],[Start_Time__c]])</f>
        <v>a06ak00000amzBfAAI|2027-01-27|16:30:00.000Z</v>
      </c>
      <c r="AC1145">
        <f>IF(Lessons[[#This Row],[Double Booked Key]]="","",COUNTIF(Lessons[Double Booked Key],Lessons[[#This Row],[Double Booked Key]]))</f>
        <v>1</v>
      </c>
      <c r="AD1145" s="6" t="str">
        <f>_xlfn.XLOOKUP(Lessons[[#This Row],[Location_External_Id__c]], Locations[Location Id], Locations[Location Name])</f>
        <v>Brick</v>
      </c>
      <c r="AE1145" s="6" t="str">
        <f>TEXT(Lessons[[#This Row],[Lesson_Date__c]], "yyyy-mm")</f>
        <v>2027-01</v>
      </c>
      <c r="AF1145" s="6" t="str">
        <f>IF(Lessons[[#This Row],[Lesson_Date__c]]&lt;=Data_Audit!$F$1, "Yes", "No")</f>
        <v>No</v>
      </c>
    </row>
    <row r="1146" spans="1:32">
      <c r="A1146" t="s">
        <v>52</v>
      </c>
      <c r="B1146" t="s">
        <v>2997</v>
      </c>
      <c r="C1146">
        <v>30</v>
      </c>
      <c r="D1146" t="s">
        <v>4268</v>
      </c>
      <c r="E1146" t="s">
        <v>436</v>
      </c>
      <c r="F1146" t="s">
        <v>437</v>
      </c>
      <c r="H1146" t="s">
        <v>461</v>
      </c>
      <c r="I1146" t="b">
        <v>0</v>
      </c>
      <c r="K1146" t="s">
        <v>52</v>
      </c>
      <c r="L1146" t="s">
        <v>2997</v>
      </c>
      <c r="O1146" s="1">
        <v>46415</v>
      </c>
      <c r="P1146" t="s">
        <v>4269</v>
      </c>
      <c r="Q1146" t="s">
        <v>4270</v>
      </c>
      <c r="R1146" t="s">
        <v>63</v>
      </c>
      <c r="S1146" t="b">
        <v>0</v>
      </c>
      <c r="T1146" t="b">
        <v>0</v>
      </c>
      <c r="U1146" t="s">
        <v>4271</v>
      </c>
      <c r="V1146" t="s">
        <v>140</v>
      </c>
      <c r="W1146" t="s">
        <v>95</v>
      </c>
      <c r="X1146" t="s">
        <v>585</v>
      </c>
      <c r="Y1146" t="s">
        <v>586</v>
      </c>
      <c r="Z1146" t="s">
        <v>2997</v>
      </c>
      <c r="AA1146" t="b">
        <f>ISNUMBER(SEARCH(";"&amp;Lessons[[#This Row],[Instrument__c]]&amp;";",";"&amp;_xlfn.XLOOKUP(Lessons[[#This Row],[Instructor_External_Id__c]], Instructors[Id], Instructors[Instruments_Taught__c])&amp;";"))</f>
        <v>1</v>
      </c>
      <c r="AB1146" t="str">
        <f>IF(LEFT(Lessons[[#This Row],[Status__c]],9)="Cancelled","",Lessons[[#This Row],[Instructor_External_Id__c]]&amp;"|"&amp;TEXT(Lessons[[#This Row],[Lesson_Date__c]],"yyyy-mm-dd")&amp;"|"&amp;Lessons[[#This Row],[Start_Time__c]])</f>
        <v>a06ak00000amzC0AAI|2027-01-28|15:00:00.000Z</v>
      </c>
      <c r="AC1146">
        <f>IF(Lessons[[#This Row],[Double Booked Key]]="","",COUNTIF(Lessons[Double Booked Key],Lessons[[#This Row],[Double Booked Key]]))</f>
        <v>1</v>
      </c>
      <c r="AD1146" s="6" t="str">
        <f>_xlfn.XLOOKUP(Lessons[[#This Row],[Location_External_Id__c]], Locations[Location Id], Locations[Location Name])</f>
        <v>Red Bank</v>
      </c>
      <c r="AE1146" s="6" t="str">
        <f>TEXT(Lessons[[#This Row],[Lesson_Date__c]], "yyyy-mm")</f>
        <v>2027-01</v>
      </c>
      <c r="AF1146" s="6" t="str">
        <f>IF(Lessons[[#This Row],[Lesson_Date__c]]&lt;=Data_Audit!$F$1, "Yes", "No")</f>
        <v>No</v>
      </c>
    </row>
    <row r="1147" spans="1:32">
      <c r="A1147" t="s">
        <v>52</v>
      </c>
      <c r="B1147" t="s">
        <v>2997</v>
      </c>
      <c r="C1147">
        <v>30</v>
      </c>
      <c r="D1147" t="s">
        <v>4272</v>
      </c>
      <c r="E1147" t="s">
        <v>318</v>
      </c>
      <c r="F1147" t="s">
        <v>319</v>
      </c>
      <c r="H1147" t="s">
        <v>237</v>
      </c>
      <c r="I1147" t="b">
        <v>0</v>
      </c>
      <c r="K1147" t="s">
        <v>52</v>
      </c>
      <c r="L1147" t="s">
        <v>2997</v>
      </c>
      <c r="O1147" s="1">
        <v>46415</v>
      </c>
      <c r="P1147" t="s">
        <v>4273</v>
      </c>
      <c r="Q1147" t="s">
        <v>4274</v>
      </c>
      <c r="R1147" t="s">
        <v>63</v>
      </c>
      <c r="S1147" t="b">
        <v>0</v>
      </c>
      <c r="T1147" t="b">
        <v>0</v>
      </c>
      <c r="U1147" t="s">
        <v>4275</v>
      </c>
      <c r="V1147" t="s">
        <v>140</v>
      </c>
      <c r="W1147" t="s">
        <v>95</v>
      </c>
      <c r="X1147" t="s">
        <v>1944</v>
      </c>
      <c r="Y1147" t="s">
        <v>1945</v>
      </c>
      <c r="Z1147" t="s">
        <v>2997</v>
      </c>
      <c r="AA1147" t="b">
        <f>ISNUMBER(SEARCH(";"&amp;Lessons[[#This Row],[Instrument__c]]&amp;";",";"&amp;_xlfn.XLOOKUP(Lessons[[#This Row],[Instructor_External_Id__c]], Instructors[Id], Instructors[Instruments_Taught__c])&amp;";"))</f>
        <v>1</v>
      </c>
      <c r="AB1147" t="str">
        <f>IF(LEFT(Lessons[[#This Row],[Status__c]],9)="Cancelled","",Lessons[[#This Row],[Instructor_External_Id__c]]&amp;"|"&amp;TEXT(Lessons[[#This Row],[Lesson_Date__c]],"yyyy-mm-dd")&amp;"|"&amp;Lessons[[#This Row],[Start_Time__c]])</f>
        <v>a06ak00000amzBzAAI|2027-01-28|15:00:00.000Z</v>
      </c>
      <c r="AC1147">
        <f>IF(Lessons[[#This Row],[Double Booked Key]]="","",COUNTIF(Lessons[Double Booked Key],Lessons[[#This Row],[Double Booked Key]]))</f>
        <v>1</v>
      </c>
      <c r="AD1147" s="6" t="str">
        <f>_xlfn.XLOOKUP(Lessons[[#This Row],[Location_External_Id__c]], Locations[Location Id], Locations[Location Name])</f>
        <v>Red Bank</v>
      </c>
      <c r="AE1147" s="6" t="str">
        <f>TEXT(Lessons[[#This Row],[Lesson_Date__c]], "yyyy-mm")</f>
        <v>2027-01</v>
      </c>
      <c r="AF1147" s="6" t="str">
        <f>IF(Lessons[[#This Row],[Lesson_Date__c]]&lt;=Data_Audit!$F$1, "Yes", "No")</f>
        <v>No</v>
      </c>
    </row>
    <row r="1148" spans="1:32">
      <c r="A1148" t="s">
        <v>52</v>
      </c>
      <c r="B1148" t="s">
        <v>2997</v>
      </c>
      <c r="C1148">
        <v>45</v>
      </c>
      <c r="D1148" t="s">
        <v>4276</v>
      </c>
      <c r="E1148" t="s">
        <v>548</v>
      </c>
      <c r="F1148" t="s">
        <v>549</v>
      </c>
      <c r="H1148" t="s">
        <v>203</v>
      </c>
      <c r="I1148" t="b">
        <v>0</v>
      </c>
      <c r="K1148" t="s">
        <v>52</v>
      </c>
      <c r="L1148" t="s">
        <v>2997</v>
      </c>
      <c r="O1148" s="1">
        <v>46415</v>
      </c>
      <c r="P1148" t="s">
        <v>4277</v>
      </c>
      <c r="Q1148" t="s">
        <v>4278</v>
      </c>
      <c r="R1148" t="s">
        <v>63</v>
      </c>
      <c r="S1148" t="b">
        <v>0</v>
      </c>
      <c r="T1148" t="b">
        <v>0</v>
      </c>
      <c r="U1148" t="s">
        <v>4279</v>
      </c>
      <c r="V1148" t="s">
        <v>135</v>
      </c>
      <c r="W1148" t="s">
        <v>95</v>
      </c>
      <c r="X1148" t="s">
        <v>2165</v>
      </c>
      <c r="Y1148" t="s">
        <v>2166</v>
      </c>
      <c r="Z1148" t="s">
        <v>2997</v>
      </c>
      <c r="AA1148" t="b">
        <f>ISNUMBER(SEARCH(";"&amp;Lessons[[#This Row],[Instrument__c]]&amp;";",";"&amp;_xlfn.XLOOKUP(Lessons[[#This Row],[Instructor_External_Id__c]], Instructors[Id], Instructors[Instruments_Taught__c])&amp;";"))</f>
        <v>1</v>
      </c>
      <c r="AB1148" t="str">
        <f>IF(LEFT(Lessons[[#This Row],[Status__c]],9)="Cancelled","",Lessons[[#This Row],[Instructor_External_Id__c]]&amp;"|"&amp;TEXT(Lessons[[#This Row],[Lesson_Date__c]],"yyyy-mm-dd")&amp;"|"&amp;Lessons[[#This Row],[Start_Time__c]])</f>
        <v>a06ak00000amzCHAAY|2027-01-28|15:30:00.000Z</v>
      </c>
      <c r="AC1148">
        <f>IF(Lessons[[#This Row],[Double Booked Key]]="","",COUNTIF(Lessons[Double Booked Key],Lessons[[#This Row],[Double Booked Key]]))</f>
        <v>1</v>
      </c>
      <c r="AD1148" s="6" t="str">
        <f>_xlfn.XLOOKUP(Lessons[[#This Row],[Location_External_Id__c]], Locations[Location Id], Locations[Location Name])</f>
        <v>Red Bank</v>
      </c>
      <c r="AE1148" s="6" t="str">
        <f>TEXT(Lessons[[#This Row],[Lesson_Date__c]], "yyyy-mm")</f>
        <v>2027-01</v>
      </c>
      <c r="AF1148" s="6" t="str">
        <f>IF(Lessons[[#This Row],[Lesson_Date__c]]&lt;=Data_Audit!$F$1, "Yes", "No")</f>
        <v>No</v>
      </c>
    </row>
    <row r="1149" spans="1:32">
      <c r="A1149" t="s">
        <v>52</v>
      </c>
      <c r="B1149" t="s">
        <v>2997</v>
      </c>
      <c r="C1149">
        <v>30</v>
      </c>
      <c r="D1149" t="s">
        <v>4280</v>
      </c>
      <c r="E1149" t="s">
        <v>436</v>
      </c>
      <c r="F1149" t="s">
        <v>437</v>
      </c>
      <c r="H1149" t="s">
        <v>461</v>
      </c>
      <c r="I1149" t="b">
        <v>0</v>
      </c>
      <c r="K1149" t="s">
        <v>52</v>
      </c>
      <c r="L1149" t="s">
        <v>2997</v>
      </c>
      <c r="O1149" s="1">
        <v>46415</v>
      </c>
      <c r="P1149" t="s">
        <v>4281</v>
      </c>
      <c r="Q1149" t="s">
        <v>4282</v>
      </c>
      <c r="R1149" t="s">
        <v>63</v>
      </c>
      <c r="S1149" t="b">
        <v>0</v>
      </c>
      <c r="T1149" t="b">
        <v>0</v>
      </c>
      <c r="U1149" t="s">
        <v>4283</v>
      </c>
      <c r="V1149" t="s">
        <v>102</v>
      </c>
      <c r="W1149" t="s">
        <v>95</v>
      </c>
      <c r="X1149" t="s">
        <v>1532</v>
      </c>
      <c r="Y1149" t="s">
        <v>1533</v>
      </c>
      <c r="Z1149" t="s">
        <v>2997</v>
      </c>
      <c r="AA1149" t="b">
        <f>ISNUMBER(SEARCH(";"&amp;Lessons[[#This Row],[Instrument__c]]&amp;";",";"&amp;_xlfn.XLOOKUP(Lessons[[#This Row],[Instructor_External_Id__c]], Instructors[Id], Instructors[Instruments_Taught__c])&amp;";"))</f>
        <v>1</v>
      </c>
      <c r="AB1149" t="str">
        <f>IF(LEFT(Lessons[[#This Row],[Status__c]],9)="Cancelled","",Lessons[[#This Row],[Instructor_External_Id__c]]&amp;"|"&amp;TEXT(Lessons[[#This Row],[Lesson_Date__c]],"yyyy-mm-dd")&amp;"|"&amp;Lessons[[#This Row],[Start_Time__c]])</f>
        <v>a06ak00000amzC0AAI|2027-01-28|16:00:00.000Z</v>
      </c>
      <c r="AC1149">
        <f>IF(Lessons[[#This Row],[Double Booked Key]]="","",COUNTIF(Lessons[Double Booked Key],Lessons[[#This Row],[Double Booked Key]]))</f>
        <v>1</v>
      </c>
      <c r="AD1149" s="6" t="str">
        <f>_xlfn.XLOOKUP(Lessons[[#This Row],[Location_External_Id__c]], Locations[Location Id], Locations[Location Name])</f>
        <v>Red Bank</v>
      </c>
      <c r="AE1149" s="6" t="str">
        <f>TEXT(Lessons[[#This Row],[Lesson_Date__c]], "yyyy-mm")</f>
        <v>2027-01</v>
      </c>
      <c r="AF1149" s="6" t="str">
        <f>IF(Lessons[[#This Row],[Lesson_Date__c]]&lt;=Data_Audit!$F$1, "Yes", "No")</f>
        <v>No</v>
      </c>
    </row>
    <row r="1150" spans="1:32">
      <c r="A1150" t="s">
        <v>52</v>
      </c>
      <c r="B1150" t="s">
        <v>2997</v>
      </c>
      <c r="C1150">
        <v>30</v>
      </c>
      <c r="D1150" t="s">
        <v>4284</v>
      </c>
      <c r="E1150" t="s">
        <v>76</v>
      </c>
      <c r="F1150" t="s">
        <v>77</v>
      </c>
      <c r="H1150" t="s">
        <v>392</v>
      </c>
      <c r="I1150" t="b">
        <v>0</v>
      </c>
      <c r="K1150" t="s">
        <v>52</v>
      </c>
      <c r="L1150" t="s">
        <v>2997</v>
      </c>
      <c r="O1150" s="1">
        <v>46415</v>
      </c>
      <c r="P1150" t="s">
        <v>4285</v>
      </c>
      <c r="Q1150" t="s">
        <v>4286</v>
      </c>
      <c r="R1150" t="s">
        <v>83</v>
      </c>
      <c r="S1150" t="b">
        <v>0</v>
      </c>
      <c r="T1150" t="b">
        <v>0</v>
      </c>
      <c r="U1150" t="s">
        <v>4287</v>
      </c>
      <c r="V1150" t="s">
        <v>102</v>
      </c>
      <c r="W1150" t="s">
        <v>95</v>
      </c>
      <c r="X1150" t="s">
        <v>2765</v>
      </c>
      <c r="Y1150" t="s">
        <v>2766</v>
      </c>
      <c r="Z1150" t="s">
        <v>2997</v>
      </c>
      <c r="AA1150" t="b">
        <f>ISNUMBER(SEARCH(";"&amp;Lessons[[#This Row],[Instrument__c]]&amp;";",";"&amp;_xlfn.XLOOKUP(Lessons[[#This Row],[Instructor_External_Id__c]], Instructors[Id], Instructors[Instruments_Taught__c])&amp;";"))</f>
        <v>1</v>
      </c>
      <c r="AB1150" t="str">
        <f>IF(LEFT(Lessons[[#This Row],[Status__c]],9)="Cancelled","",Lessons[[#This Row],[Instructor_External_Id__c]]&amp;"|"&amp;TEXT(Lessons[[#This Row],[Lesson_Date__c]],"yyyy-mm-dd")&amp;"|"&amp;Lessons[[#This Row],[Start_Time__c]])</f>
        <v>a06ak00000amzBgAAI|2027-01-28|16:00:00.000Z</v>
      </c>
      <c r="AC1150">
        <f>IF(Lessons[[#This Row],[Double Booked Key]]="","",COUNTIF(Lessons[Double Booked Key],Lessons[[#This Row],[Double Booked Key]]))</f>
        <v>1</v>
      </c>
      <c r="AD1150" s="6" t="str">
        <f>_xlfn.XLOOKUP(Lessons[[#This Row],[Location_External_Id__c]], Locations[Location Id], Locations[Location Name])</f>
        <v>Brick</v>
      </c>
      <c r="AE1150" s="6" t="str">
        <f>TEXT(Lessons[[#This Row],[Lesson_Date__c]], "yyyy-mm")</f>
        <v>2027-01</v>
      </c>
      <c r="AF1150" s="6" t="str">
        <f>IF(Lessons[[#This Row],[Lesson_Date__c]]&lt;=Data_Audit!$F$1, "Yes", "No")</f>
        <v>No</v>
      </c>
    </row>
    <row r="1151" spans="1:32">
      <c r="A1151" t="s">
        <v>52</v>
      </c>
      <c r="B1151" t="s">
        <v>2997</v>
      </c>
      <c r="C1151">
        <v>60</v>
      </c>
      <c r="D1151" t="s">
        <v>4288</v>
      </c>
      <c r="E1151" t="s">
        <v>318</v>
      </c>
      <c r="F1151" t="s">
        <v>319</v>
      </c>
      <c r="H1151" t="s">
        <v>237</v>
      </c>
      <c r="I1151" t="b">
        <v>0</v>
      </c>
      <c r="K1151" t="s">
        <v>52</v>
      </c>
      <c r="L1151" t="s">
        <v>2997</v>
      </c>
      <c r="O1151" s="1">
        <v>46415</v>
      </c>
      <c r="P1151" t="s">
        <v>4289</v>
      </c>
      <c r="Q1151" t="s">
        <v>4290</v>
      </c>
      <c r="R1151" t="s">
        <v>150</v>
      </c>
      <c r="S1151" t="b">
        <v>0</v>
      </c>
      <c r="T1151" t="b">
        <v>0</v>
      </c>
      <c r="U1151" t="s">
        <v>4291</v>
      </c>
      <c r="V1151" t="s">
        <v>116</v>
      </c>
      <c r="W1151" t="s">
        <v>95</v>
      </c>
      <c r="X1151" t="s">
        <v>1004</v>
      </c>
      <c r="Y1151" t="s">
        <v>1005</v>
      </c>
      <c r="Z1151" t="s">
        <v>2997</v>
      </c>
      <c r="AA1151" t="b">
        <f>ISNUMBER(SEARCH(";"&amp;Lessons[[#This Row],[Instrument__c]]&amp;";",";"&amp;_xlfn.XLOOKUP(Lessons[[#This Row],[Instructor_External_Id__c]], Instructors[Id], Instructors[Instruments_Taught__c])&amp;";"))</f>
        <v>1</v>
      </c>
      <c r="AB1151" t="str">
        <f>IF(LEFT(Lessons[[#This Row],[Status__c]],9)="Cancelled","",Lessons[[#This Row],[Instructor_External_Id__c]]&amp;"|"&amp;TEXT(Lessons[[#This Row],[Lesson_Date__c]],"yyyy-mm-dd")&amp;"|"&amp;Lessons[[#This Row],[Start_Time__c]])</f>
        <v>a06ak00000amzBzAAI|2027-01-28|17:30:00.000Z</v>
      </c>
      <c r="AC1151">
        <f>IF(Lessons[[#This Row],[Double Booked Key]]="","",COUNTIF(Lessons[Double Booked Key],Lessons[[#This Row],[Double Booked Key]]))</f>
        <v>1</v>
      </c>
      <c r="AD1151" s="6" t="str">
        <f>_xlfn.XLOOKUP(Lessons[[#This Row],[Location_External_Id__c]], Locations[Location Id], Locations[Location Name])</f>
        <v>Toms River</v>
      </c>
      <c r="AE1151" s="6" t="str">
        <f>TEXT(Lessons[[#This Row],[Lesson_Date__c]], "yyyy-mm")</f>
        <v>2027-01</v>
      </c>
      <c r="AF1151" s="6" t="str">
        <f>IF(Lessons[[#This Row],[Lesson_Date__c]]&lt;=Data_Audit!$F$1, "Yes", "No")</f>
        <v>No</v>
      </c>
    </row>
    <row r="1152" spans="1:32">
      <c r="A1152" t="s">
        <v>52</v>
      </c>
      <c r="B1152" t="s">
        <v>2997</v>
      </c>
      <c r="C1152">
        <v>45</v>
      </c>
      <c r="D1152" t="s">
        <v>4292</v>
      </c>
      <c r="E1152" t="s">
        <v>548</v>
      </c>
      <c r="F1152" t="s">
        <v>549</v>
      </c>
      <c r="H1152" t="s">
        <v>203</v>
      </c>
      <c r="I1152" t="b">
        <v>0</v>
      </c>
      <c r="K1152" t="s">
        <v>52</v>
      </c>
      <c r="L1152" t="s">
        <v>2997</v>
      </c>
      <c r="O1152" s="1">
        <v>46416</v>
      </c>
      <c r="P1152" t="s">
        <v>4293</v>
      </c>
      <c r="Q1152" t="s">
        <v>4294</v>
      </c>
      <c r="R1152" t="s">
        <v>83</v>
      </c>
      <c r="S1152" t="b">
        <v>0</v>
      </c>
      <c r="T1152" t="b">
        <v>0</v>
      </c>
      <c r="U1152" t="s">
        <v>4295</v>
      </c>
      <c r="V1152" t="s">
        <v>120</v>
      </c>
      <c r="W1152" t="s">
        <v>95</v>
      </c>
      <c r="X1152" t="s">
        <v>1194</v>
      </c>
      <c r="Y1152" t="s">
        <v>1195</v>
      </c>
      <c r="Z1152" t="s">
        <v>2997</v>
      </c>
      <c r="AA1152" t="b">
        <f>ISNUMBER(SEARCH(";"&amp;Lessons[[#This Row],[Instrument__c]]&amp;";",";"&amp;_xlfn.XLOOKUP(Lessons[[#This Row],[Instructor_External_Id__c]], Instructors[Id], Instructors[Instruments_Taught__c])&amp;";"))</f>
        <v>1</v>
      </c>
      <c r="AB1152" t="str">
        <f>IF(LEFT(Lessons[[#This Row],[Status__c]],9)="Cancelled","",Lessons[[#This Row],[Instructor_External_Id__c]]&amp;"|"&amp;TEXT(Lessons[[#This Row],[Lesson_Date__c]],"yyyy-mm-dd")&amp;"|"&amp;Lessons[[#This Row],[Start_Time__c]])</f>
        <v>a06ak00000amzCHAAY|2027-01-29|18:00:00.000Z</v>
      </c>
      <c r="AC1152">
        <f>IF(Lessons[[#This Row],[Double Booked Key]]="","",COUNTIF(Lessons[Double Booked Key],Lessons[[#This Row],[Double Booked Key]]))</f>
        <v>1</v>
      </c>
      <c r="AD1152" s="6" t="str">
        <f>_xlfn.XLOOKUP(Lessons[[#This Row],[Location_External_Id__c]], Locations[Location Id], Locations[Location Name])</f>
        <v>Brick</v>
      </c>
      <c r="AE1152" s="6" t="str">
        <f>TEXT(Lessons[[#This Row],[Lesson_Date__c]], "yyyy-mm")</f>
        <v>2027-01</v>
      </c>
      <c r="AF1152" s="6" t="str">
        <f>IF(Lessons[[#This Row],[Lesson_Date__c]]&lt;=Data_Audit!$F$1, "Yes", "No")</f>
        <v>No</v>
      </c>
    </row>
    <row r="1153" spans="1:32">
      <c r="A1153" t="s">
        <v>52</v>
      </c>
      <c r="B1153" t="s">
        <v>2997</v>
      </c>
      <c r="C1153">
        <v>30</v>
      </c>
      <c r="D1153" t="s">
        <v>4296</v>
      </c>
      <c r="E1153" t="s">
        <v>401</v>
      </c>
      <c r="F1153" t="s">
        <v>402</v>
      </c>
      <c r="H1153" t="s">
        <v>263</v>
      </c>
      <c r="I1153" t="b">
        <v>0</v>
      </c>
      <c r="K1153" t="s">
        <v>52</v>
      </c>
      <c r="L1153" t="s">
        <v>2997</v>
      </c>
      <c r="O1153" s="1">
        <v>46416</v>
      </c>
      <c r="P1153" t="s">
        <v>4297</v>
      </c>
      <c r="Q1153" t="s">
        <v>4298</v>
      </c>
      <c r="R1153" t="s">
        <v>150</v>
      </c>
      <c r="S1153" t="b">
        <v>0</v>
      </c>
      <c r="T1153" t="b">
        <v>0</v>
      </c>
      <c r="U1153" t="s">
        <v>4299</v>
      </c>
      <c r="V1153" t="s">
        <v>120</v>
      </c>
      <c r="W1153" t="s">
        <v>95</v>
      </c>
      <c r="X1153" t="s">
        <v>2414</v>
      </c>
      <c r="Y1153" t="s">
        <v>2415</v>
      </c>
      <c r="Z1153" t="s">
        <v>2997</v>
      </c>
      <c r="AA1153" t="b">
        <f>ISNUMBER(SEARCH(";"&amp;Lessons[[#This Row],[Instrument__c]]&amp;";",";"&amp;_xlfn.XLOOKUP(Lessons[[#This Row],[Instructor_External_Id__c]], Instructors[Id], Instructors[Instruments_Taught__c])&amp;";"))</f>
        <v>1</v>
      </c>
      <c r="AB1153" t="str">
        <f>IF(LEFT(Lessons[[#This Row],[Status__c]],9)="Cancelled","",Lessons[[#This Row],[Instructor_External_Id__c]]&amp;"|"&amp;TEXT(Lessons[[#This Row],[Lesson_Date__c]],"yyyy-mm-dd")&amp;"|"&amp;Lessons[[#This Row],[Start_Time__c]])</f>
        <v>a06ak00000amzBfAAI|2027-01-29|18:00:00.000Z</v>
      </c>
      <c r="AC1153">
        <f>IF(Lessons[[#This Row],[Double Booked Key]]="","",COUNTIF(Lessons[Double Booked Key],Lessons[[#This Row],[Double Booked Key]]))</f>
        <v>1</v>
      </c>
      <c r="AD1153" s="6" t="str">
        <f>_xlfn.XLOOKUP(Lessons[[#This Row],[Location_External_Id__c]], Locations[Location Id], Locations[Location Name])</f>
        <v>Toms River</v>
      </c>
      <c r="AE1153" s="6" t="str">
        <f>TEXT(Lessons[[#This Row],[Lesson_Date__c]], "yyyy-mm")</f>
        <v>2027-01</v>
      </c>
      <c r="AF1153" s="6" t="str">
        <f>IF(Lessons[[#This Row],[Lesson_Date__c]]&lt;=Data_Audit!$F$1, "Yes", "No")</f>
        <v>No</v>
      </c>
    </row>
    <row r="1154" spans="1:32">
      <c r="A1154" t="s">
        <v>52</v>
      </c>
      <c r="B1154" t="s">
        <v>2997</v>
      </c>
      <c r="C1154">
        <v>30</v>
      </c>
      <c r="D1154" t="s">
        <v>4300</v>
      </c>
      <c r="E1154" t="s">
        <v>282</v>
      </c>
      <c r="F1154" t="s">
        <v>283</v>
      </c>
      <c r="H1154" t="s">
        <v>284</v>
      </c>
      <c r="I1154" t="b">
        <v>0</v>
      </c>
      <c r="K1154" t="s">
        <v>52</v>
      </c>
      <c r="L1154" t="s">
        <v>2997</v>
      </c>
      <c r="O1154" s="1">
        <v>46417</v>
      </c>
      <c r="P1154" t="s">
        <v>4301</v>
      </c>
      <c r="Q1154" t="s">
        <v>4302</v>
      </c>
      <c r="R1154" t="s">
        <v>83</v>
      </c>
      <c r="S1154" t="b">
        <v>0</v>
      </c>
      <c r="T1154" t="b">
        <v>0</v>
      </c>
      <c r="U1154" t="s">
        <v>4303</v>
      </c>
      <c r="V1154" t="s">
        <v>110</v>
      </c>
      <c r="W1154" t="s">
        <v>95</v>
      </c>
      <c r="X1154" t="s">
        <v>2816</v>
      </c>
      <c r="Y1154" t="s">
        <v>2817</v>
      </c>
      <c r="Z1154" t="s">
        <v>2997</v>
      </c>
      <c r="AA1154" t="b">
        <f>ISNUMBER(SEARCH(";"&amp;Lessons[[#This Row],[Instrument__c]]&amp;";",";"&amp;_xlfn.XLOOKUP(Lessons[[#This Row],[Instructor_External_Id__c]], Instructors[Id], Instructors[Instruments_Taught__c])&amp;";"))</f>
        <v>1</v>
      </c>
      <c r="AB1154" t="str">
        <f>IF(LEFT(Lessons[[#This Row],[Status__c]],9)="Cancelled","",Lessons[[#This Row],[Instructor_External_Id__c]]&amp;"|"&amp;TEXT(Lessons[[#This Row],[Lesson_Date__c]],"yyyy-mm-dd")&amp;"|"&amp;Lessons[[#This Row],[Start_Time__c]])</f>
        <v>a06ak00000amzBxAAI|2027-01-30|10:00:00.000Z</v>
      </c>
      <c r="AC1154">
        <f>IF(Lessons[[#This Row],[Double Booked Key]]="","",COUNTIF(Lessons[Double Booked Key],Lessons[[#This Row],[Double Booked Key]]))</f>
        <v>1</v>
      </c>
      <c r="AD1154" s="6" t="str">
        <f>_xlfn.XLOOKUP(Lessons[[#This Row],[Location_External_Id__c]], Locations[Location Id], Locations[Location Name])</f>
        <v>Brick</v>
      </c>
      <c r="AE1154" s="6" t="str">
        <f>TEXT(Lessons[[#This Row],[Lesson_Date__c]], "yyyy-mm")</f>
        <v>2027-01</v>
      </c>
      <c r="AF1154" s="6" t="str">
        <f>IF(Lessons[[#This Row],[Lesson_Date__c]]&lt;=Data_Audit!$F$1, "Yes", "No")</f>
        <v>No</v>
      </c>
    </row>
    <row r="1155" spans="1:32">
      <c r="A1155" t="s">
        <v>52</v>
      </c>
      <c r="B1155" t="s">
        <v>2997</v>
      </c>
      <c r="C1155">
        <v>60</v>
      </c>
      <c r="D1155" t="s">
        <v>4304</v>
      </c>
      <c r="E1155" t="s">
        <v>804</v>
      </c>
      <c r="F1155" t="s">
        <v>805</v>
      </c>
      <c r="H1155" t="s">
        <v>527</v>
      </c>
      <c r="I1155" t="b">
        <v>0</v>
      </c>
      <c r="K1155" t="s">
        <v>52</v>
      </c>
      <c r="L1155" t="s">
        <v>2997</v>
      </c>
      <c r="O1155" s="1">
        <v>46417</v>
      </c>
      <c r="P1155" t="s">
        <v>4305</v>
      </c>
      <c r="Q1155" t="s">
        <v>4306</v>
      </c>
      <c r="R1155" t="s">
        <v>63</v>
      </c>
      <c r="S1155" t="b">
        <v>0</v>
      </c>
      <c r="T1155" t="b">
        <v>0</v>
      </c>
      <c r="U1155" t="s">
        <v>4307</v>
      </c>
      <c r="V1155" t="s">
        <v>3208</v>
      </c>
      <c r="W1155" t="s">
        <v>95</v>
      </c>
      <c r="X1155" t="s">
        <v>2328</v>
      </c>
      <c r="Y1155" t="s">
        <v>2329</v>
      </c>
      <c r="Z1155" t="s">
        <v>2997</v>
      </c>
      <c r="AA1155" t="b">
        <f>ISNUMBER(SEARCH(";"&amp;Lessons[[#This Row],[Instrument__c]]&amp;";",";"&amp;_xlfn.XLOOKUP(Lessons[[#This Row],[Instructor_External_Id__c]], Instructors[Id], Instructors[Instruments_Taught__c])&amp;";"))</f>
        <v>1</v>
      </c>
      <c r="AB1155" t="str">
        <f>IF(LEFT(Lessons[[#This Row],[Status__c]],9)="Cancelled","",Lessons[[#This Row],[Instructor_External_Id__c]]&amp;"|"&amp;TEXT(Lessons[[#This Row],[Lesson_Date__c]],"yyyy-mm-dd")&amp;"|"&amp;Lessons[[#This Row],[Start_Time__c]])</f>
        <v>a06ak00000amzCBAAY|2027-01-30|12:30:00.000Z</v>
      </c>
      <c r="AC1155">
        <f>IF(Lessons[[#This Row],[Double Booked Key]]="","",COUNTIF(Lessons[Double Booked Key],Lessons[[#This Row],[Double Booked Key]]))</f>
        <v>1</v>
      </c>
      <c r="AD1155" s="6" t="str">
        <f>_xlfn.XLOOKUP(Lessons[[#This Row],[Location_External_Id__c]], Locations[Location Id], Locations[Location Name])</f>
        <v>Red Bank</v>
      </c>
      <c r="AE1155" s="6" t="str">
        <f>TEXT(Lessons[[#This Row],[Lesson_Date__c]], "yyyy-mm")</f>
        <v>2027-01</v>
      </c>
      <c r="AF1155" s="6" t="str">
        <f>IF(Lessons[[#This Row],[Lesson_Date__c]]&lt;=Data_Audit!$F$1, "Yes", "No")</f>
        <v>No</v>
      </c>
    </row>
    <row r="1156" spans="1:32">
      <c r="A1156" t="s">
        <v>52</v>
      </c>
      <c r="B1156" t="s">
        <v>2997</v>
      </c>
      <c r="C1156">
        <v>30</v>
      </c>
      <c r="D1156" t="s">
        <v>4308</v>
      </c>
      <c r="E1156" t="s">
        <v>318</v>
      </c>
      <c r="F1156" t="s">
        <v>319</v>
      </c>
      <c r="H1156" t="s">
        <v>58</v>
      </c>
      <c r="I1156" t="b">
        <v>0</v>
      </c>
      <c r="K1156" t="s">
        <v>52</v>
      </c>
      <c r="L1156" t="s">
        <v>2997</v>
      </c>
      <c r="O1156" s="1">
        <v>46419</v>
      </c>
      <c r="P1156" t="s">
        <v>4309</v>
      </c>
      <c r="Q1156" t="s">
        <v>4310</v>
      </c>
      <c r="R1156" t="s">
        <v>63</v>
      </c>
      <c r="S1156" t="b">
        <v>0</v>
      </c>
      <c r="T1156" t="b">
        <v>0</v>
      </c>
      <c r="U1156" t="s">
        <v>4311</v>
      </c>
      <c r="V1156" t="s">
        <v>116</v>
      </c>
      <c r="W1156" t="s">
        <v>95</v>
      </c>
      <c r="X1156" t="s">
        <v>1442</v>
      </c>
      <c r="Y1156" t="s">
        <v>1443</v>
      </c>
      <c r="Z1156" t="s">
        <v>2997</v>
      </c>
      <c r="AA1156" t="b">
        <f>ISNUMBER(SEARCH(";"&amp;Lessons[[#This Row],[Instrument__c]]&amp;";",";"&amp;_xlfn.XLOOKUP(Lessons[[#This Row],[Instructor_External_Id__c]], Instructors[Id], Instructors[Instruments_Taught__c])&amp;";"))</f>
        <v>1</v>
      </c>
      <c r="AB1156" t="str">
        <f>IF(LEFT(Lessons[[#This Row],[Status__c]],9)="Cancelled","",Lessons[[#This Row],[Instructor_External_Id__c]]&amp;"|"&amp;TEXT(Lessons[[#This Row],[Lesson_Date__c]],"yyyy-mm-dd")&amp;"|"&amp;Lessons[[#This Row],[Start_Time__c]])</f>
        <v>a06ak00000amzBzAAI|2027-02-01|17:30:00.000Z</v>
      </c>
      <c r="AC1156">
        <f>IF(Lessons[[#This Row],[Double Booked Key]]="","",COUNTIF(Lessons[Double Booked Key],Lessons[[#This Row],[Double Booked Key]]))</f>
        <v>1</v>
      </c>
      <c r="AD1156" s="6" t="str">
        <f>_xlfn.XLOOKUP(Lessons[[#This Row],[Location_External_Id__c]], Locations[Location Id], Locations[Location Name])</f>
        <v>Red Bank</v>
      </c>
      <c r="AE1156" s="6" t="str">
        <f>TEXT(Lessons[[#This Row],[Lesson_Date__c]], "yyyy-mm")</f>
        <v>2027-02</v>
      </c>
      <c r="AF1156" s="6" t="str">
        <f>IF(Lessons[[#This Row],[Lesson_Date__c]]&lt;=Data_Audit!$F$1, "Yes", "No")</f>
        <v>No</v>
      </c>
    </row>
    <row r="1157" spans="1:32">
      <c r="A1157" t="s">
        <v>52</v>
      </c>
      <c r="B1157" t="s">
        <v>2997</v>
      </c>
      <c r="C1157">
        <v>60</v>
      </c>
      <c r="D1157" t="s">
        <v>4312</v>
      </c>
      <c r="E1157" t="s">
        <v>548</v>
      </c>
      <c r="F1157" t="s">
        <v>549</v>
      </c>
      <c r="H1157" t="s">
        <v>203</v>
      </c>
      <c r="I1157" t="b">
        <v>0</v>
      </c>
      <c r="K1157" t="s">
        <v>52</v>
      </c>
      <c r="L1157" t="s">
        <v>2997</v>
      </c>
      <c r="O1157" s="1">
        <v>46419</v>
      </c>
      <c r="P1157" t="s">
        <v>4313</v>
      </c>
      <c r="Q1157" t="s">
        <v>4314</v>
      </c>
      <c r="R1157" t="s">
        <v>83</v>
      </c>
      <c r="S1157" t="b">
        <v>0</v>
      </c>
      <c r="T1157" t="b">
        <v>0</v>
      </c>
      <c r="U1157" t="s">
        <v>4315</v>
      </c>
      <c r="V1157" t="s">
        <v>128</v>
      </c>
      <c r="W1157" t="s">
        <v>95</v>
      </c>
      <c r="X1157" t="s">
        <v>2510</v>
      </c>
      <c r="Y1157" t="s">
        <v>2511</v>
      </c>
      <c r="Z1157" t="s">
        <v>2997</v>
      </c>
      <c r="AA1157" t="b">
        <f>ISNUMBER(SEARCH(";"&amp;Lessons[[#This Row],[Instrument__c]]&amp;";",";"&amp;_xlfn.XLOOKUP(Lessons[[#This Row],[Instructor_External_Id__c]], Instructors[Id], Instructors[Instruments_Taught__c])&amp;";"))</f>
        <v>1</v>
      </c>
      <c r="AB1157" t="str">
        <f>IF(LEFT(Lessons[[#This Row],[Status__c]],9)="Cancelled","",Lessons[[#This Row],[Instructor_External_Id__c]]&amp;"|"&amp;TEXT(Lessons[[#This Row],[Lesson_Date__c]],"yyyy-mm-dd")&amp;"|"&amp;Lessons[[#This Row],[Start_Time__c]])</f>
        <v>a06ak00000amzCHAAY|2027-02-01|18:30:00.000Z</v>
      </c>
      <c r="AC1157">
        <f>IF(Lessons[[#This Row],[Double Booked Key]]="","",COUNTIF(Lessons[Double Booked Key],Lessons[[#This Row],[Double Booked Key]]))</f>
        <v>1</v>
      </c>
      <c r="AD1157" s="6" t="str">
        <f>_xlfn.XLOOKUP(Lessons[[#This Row],[Location_External_Id__c]], Locations[Location Id], Locations[Location Name])</f>
        <v>Brick</v>
      </c>
      <c r="AE1157" s="6" t="str">
        <f>TEXT(Lessons[[#This Row],[Lesson_Date__c]], "yyyy-mm")</f>
        <v>2027-02</v>
      </c>
      <c r="AF1157" s="6" t="str">
        <f>IF(Lessons[[#This Row],[Lesson_Date__c]]&lt;=Data_Audit!$F$1, "Yes", "No")</f>
        <v>No</v>
      </c>
    </row>
    <row r="1158" spans="1:32">
      <c r="A1158" t="s">
        <v>52</v>
      </c>
      <c r="B1158" t="s">
        <v>2997</v>
      </c>
      <c r="C1158">
        <v>30</v>
      </c>
      <c r="D1158" t="s">
        <v>4316</v>
      </c>
      <c r="E1158" t="s">
        <v>282</v>
      </c>
      <c r="F1158" t="s">
        <v>283</v>
      </c>
      <c r="H1158" t="s">
        <v>284</v>
      </c>
      <c r="I1158" t="b">
        <v>0</v>
      </c>
      <c r="K1158" t="s">
        <v>52</v>
      </c>
      <c r="L1158" t="s">
        <v>2997</v>
      </c>
      <c r="O1158" s="1">
        <v>46420</v>
      </c>
      <c r="P1158" t="s">
        <v>4317</v>
      </c>
      <c r="Q1158" t="s">
        <v>4318</v>
      </c>
      <c r="R1158" t="s">
        <v>83</v>
      </c>
      <c r="S1158" t="b">
        <v>0</v>
      </c>
      <c r="T1158" t="b">
        <v>0</v>
      </c>
      <c r="U1158" t="s">
        <v>4319</v>
      </c>
      <c r="V1158" t="s">
        <v>140</v>
      </c>
      <c r="W1158" t="s">
        <v>95</v>
      </c>
      <c r="X1158" t="s">
        <v>2114</v>
      </c>
      <c r="Y1158" t="s">
        <v>2115</v>
      </c>
      <c r="Z1158" t="s">
        <v>2997</v>
      </c>
      <c r="AA1158" t="b">
        <f>ISNUMBER(SEARCH(";"&amp;Lessons[[#This Row],[Instrument__c]]&amp;";",";"&amp;_xlfn.XLOOKUP(Lessons[[#This Row],[Instructor_External_Id__c]], Instructors[Id], Instructors[Instruments_Taught__c])&amp;";"))</f>
        <v>1</v>
      </c>
      <c r="AB1158" t="str">
        <f>IF(LEFT(Lessons[[#This Row],[Status__c]],9)="Cancelled","",Lessons[[#This Row],[Instructor_External_Id__c]]&amp;"|"&amp;TEXT(Lessons[[#This Row],[Lesson_Date__c]],"yyyy-mm-dd")&amp;"|"&amp;Lessons[[#This Row],[Start_Time__c]])</f>
        <v>a06ak00000amzBxAAI|2027-02-02|15:00:00.000Z</v>
      </c>
      <c r="AC1158">
        <f>IF(Lessons[[#This Row],[Double Booked Key]]="","",COUNTIF(Lessons[Double Booked Key],Lessons[[#This Row],[Double Booked Key]]))</f>
        <v>1</v>
      </c>
      <c r="AD1158" s="6" t="str">
        <f>_xlfn.XLOOKUP(Lessons[[#This Row],[Location_External_Id__c]], Locations[Location Id], Locations[Location Name])</f>
        <v>Brick</v>
      </c>
      <c r="AE1158" s="6" t="str">
        <f>TEXT(Lessons[[#This Row],[Lesson_Date__c]], "yyyy-mm")</f>
        <v>2027-02</v>
      </c>
      <c r="AF1158" s="6" t="str">
        <f>IF(Lessons[[#This Row],[Lesson_Date__c]]&lt;=Data_Audit!$F$1, "Yes", "No")</f>
        <v>No</v>
      </c>
    </row>
    <row r="1159" spans="1:32">
      <c r="A1159" t="s">
        <v>52</v>
      </c>
      <c r="B1159" t="s">
        <v>2997</v>
      </c>
      <c r="C1159">
        <v>60</v>
      </c>
      <c r="D1159" t="s">
        <v>4320</v>
      </c>
      <c r="E1159" t="s">
        <v>548</v>
      </c>
      <c r="F1159" t="s">
        <v>549</v>
      </c>
      <c r="H1159" t="s">
        <v>203</v>
      </c>
      <c r="I1159" t="b">
        <v>0</v>
      </c>
      <c r="K1159" t="s">
        <v>52</v>
      </c>
      <c r="L1159" t="s">
        <v>2997</v>
      </c>
      <c r="O1159" s="1">
        <v>46420</v>
      </c>
      <c r="P1159" t="s">
        <v>4321</v>
      </c>
      <c r="Q1159" t="s">
        <v>4322</v>
      </c>
      <c r="R1159" t="s">
        <v>63</v>
      </c>
      <c r="S1159" t="b">
        <v>0</v>
      </c>
      <c r="T1159" t="b">
        <v>0</v>
      </c>
      <c r="U1159" t="s">
        <v>4323</v>
      </c>
      <c r="V1159" t="s">
        <v>74</v>
      </c>
      <c r="W1159" t="s">
        <v>95</v>
      </c>
      <c r="X1159" t="s">
        <v>2456</v>
      </c>
      <c r="Y1159" t="s">
        <v>2457</v>
      </c>
      <c r="Z1159" t="s">
        <v>2997</v>
      </c>
      <c r="AA1159" t="b">
        <f>ISNUMBER(SEARCH(";"&amp;Lessons[[#This Row],[Instrument__c]]&amp;";",";"&amp;_xlfn.XLOOKUP(Lessons[[#This Row],[Instructor_External_Id__c]], Instructors[Id], Instructors[Instruments_Taught__c])&amp;";"))</f>
        <v>1</v>
      </c>
      <c r="AB1159" t="str">
        <f>IF(LEFT(Lessons[[#This Row],[Status__c]],9)="Cancelled","",Lessons[[#This Row],[Instructor_External_Id__c]]&amp;"|"&amp;TEXT(Lessons[[#This Row],[Lesson_Date__c]],"yyyy-mm-dd")&amp;"|"&amp;Lessons[[#This Row],[Start_Time__c]])</f>
        <v>a06ak00000amzCHAAY|2027-02-02|16:30:00.000Z</v>
      </c>
      <c r="AC1159">
        <f>IF(Lessons[[#This Row],[Double Booked Key]]="","",COUNTIF(Lessons[Double Booked Key],Lessons[[#This Row],[Double Booked Key]]))</f>
        <v>1</v>
      </c>
      <c r="AD1159" s="6" t="str">
        <f>_xlfn.XLOOKUP(Lessons[[#This Row],[Location_External_Id__c]], Locations[Location Id], Locations[Location Name])</f>
        <v>Red Bank</v>
      </c>
      <c r="AE1159" s="6" t="str">
        <f>TEXT(Lessons[[#This Row],[Lesson_Date__c]], "yyyy-mm")</f>
        <v>2027-02</v>
      </c>
      <c r="AF1159" s="6" t="str">
        <f>IF(Lessons[[#This Row],[Lesson_Date__c]]&lt;=Data_Audit!$F$1, "Yes", "No")</f>
        <v>No</v>
      </c>
    </row>
    <row r="1160" spans="1:32">
      <c r="A1160" t="s">
        <v>52</v>
      </c>
      <c r="B1160" t="s">
        <v>2997</v>
      </c>
      <c r="C1160">
        <v>60</v>
      </c>
      <c r="D1160" t="s">
        <v>4324</v>
      </c>
      <c r="E1160" t="s">
        <v>459</v>
      </c>
      <c r="F1160" t="s">
        <v>460</v>
      </c>
      <c r="H1160" t="s">
        <v>461</v>
      </c>
      <c r="I1160" t="b">
        <v>0</v>
      </c>
      <c r="K1160" t="s">
        <v>52</v>
      </c>
      <c r="L1160" t="s">
        <v>2997</v>
      </c>
      <c r="O1160" s="1">
        <v>46420</v>
      </c>
      <c r="P1160" t="s">
        <v>4325</v>
      </c>
      <c r="Q1160" t="s">
        <v>4326</v>
      </c>
      <c r="R1160" t="s">
        <v>150</v>
      </c>
      <c r="S1160" t="b">
        <v>0</v>
      </c>
      <c r="T1160" t="b">
        <v>0</v>
      </c>
      <c r="U1160" t="s">
        <v>4327</v>
      </c>
      <c r="V1160" t="s">
        <v>120</v>
      </c>
      <c r="W1160" t="s">
        <v>95</v>
      </c>
      <c r="X1160" t="s">
        <v>1642</v>
      </c>
      <c r="Y1160" t="s">
        <v>1643</v>
      </c>
      <c r="Z1160" t="s">
        <v>2997</v>
      </c>
      <c r="AA1160" t="b">
        <f>ISNUMBER(SEARCH(";"&amp;Lessons[[#This Row],[Instrument__c]]&amp;";",";"&amp;_xlfn.XLOOKUP(Lessons[[#This Row],[Instructor_External_Id__c]], Instructors[Id], Instructors[Instruments_Taught__c])&amp;";"))</f>
        <v>1</v>
      </c>
      <c r="AB1160" t="str">
        <f>IF(LEFT(Lessons[[#This Row],[Status__c]],9)="Cancelled","",Lessons[[#This Row],[Instructor_External_Id__c]]&amp;"|"&amp;TEXT(Lessons[[#This Row],[Lesson_Date__c]],"yyyy-mm-dd")&amp;"|"&amp;Lessons[[#This Row],[Start_Time__c]])</f>
        <v>a06ak00000amzC8AAI|2027-02-02|18:00:00.000Z</v>
      </c>
      <c r="AC1160">
        <f>IF(Lessons[[#This Row],[Double Booked Key]]="","",COUNTIF(Lessons[Double Booked Key],Lessons[[#This Row],[Double Booked Key]]))</f>
        <v>1</v>
      </c>
      <c r="AD1160" s="6" t="str">
        <f>_xlfn.XLOOKUP(Lessons[[#This Row],[Location_External_Id__c]], Locations[Location Id], Locations[Location Name])</f>
        <v>Toms River</v>
      </c>
      <c r="AE1160" s="6" t="str">
        <f>TEXT(Lessons[[#This Row],[Lesson_Date__c]], "yyyy-mm")</f>
        <v>2027-02</v>
      </c>
      <c r="AF1160" s="6" t="str">
        <f>IF(Lessons[[#This Row],[Lesson_Date__c]]&lt;=Data_Audit!$F$1, "Yes", "No")</f>
        <v>No</v>
      </c>
    </row>
    <row r="1161" spans="1:32">
      <c r="A1161" t="s">
        <v>52</v>
      </c>
      <c r="B1161" t="s">
        <v>2997</v>
      </c>
      <c r="C1161">
        <v>60</v>
      </c>
      <c r="D1161" t="s">
        <v>4328</v>
      </c>
      <c r="E1161" t="s">
        <v>401</v>
      </c>
      <c r="F1161" t="s">
        <v>402</v>
      </c>
      <c r="H1161" t="s">
        <v>263</v>
      </c>
      <c r="I1161" t="b">
        <v>0</v>
      </c>
      <c r="K1161" t="s">
        <v>52</v>
      </c>
      <c r="L1161" t="s">
        <v>2997</v>
      </c>
      <c r="O1161" s="1">
        <v>46421</v>
      </c>
      <c r="P1161" t="s">
        <v>4329</v>
      </c>
      <c r="Q1161" t="s">
        <v>4330</v>
      </c>
      <c r="R1161" t="s">
        <v>150</v>
      </c>
      <c r="S1161" t="b">
        <v>0</v>
      </c>
      <c r="T1161" t="b">
        <v>0</v>
      </c>
      <c r="U1161" t="s">
        <v>4331</v>
      </c>
      <c r="V1161" t="s">
        <v>128</v>
      </c>
      <c r="W1161" t="s">
        <v>95</v>
      </c>
      <c r="X1161" t="s">
        <v>405</v>
      </c>
      <c r="Y1161" t="s">
        <v>406</v>
      </c>
      <c r="Z1161" t="s">
        <v>2997</v>
      </c>
      <c r="AA1161" t="b">
        <f>ISNUMBER(SEARCH(";"&amp;Lessons[[#This Row],[Instrument__c]]&amp;";",";"&amp;_xlfn.XLOOKUP(Lessons[[#This Row],[Instructor_External_Id__c]], Instructors[Id], Instructors[Instruments_Taught__c])&amp;";"))</f>
        <v>1</v>
      </c>
      <c r="AB1161" t="str">
        <f>IF(LEFT(Lessons[[#This Row],[Status__c]],9)="Cancelled","",Lessons[[#This Row],[Instructor_External_Id__c]]&amp;"|"&amp;TEXT(Lessons[[#This Row],[Lesson_Date__c]],"yyyy-mm-dd")&amp;"|"&amp;Lessons[[#This Row],[Start_Time__c]])</f>
        <v>a06ak00000amzBfAAI|2027-02-03|18:30:00.000Z</v>
      </c>
      <c r="AC1161">
        <f>IF(Lessons[[#This Row],[Double Booked Key]]="","",COUNTIF(Lessons[Double Booked Key],Lessons[[#This Row],[Double Booked Key]]))</f>
        <v>1</v>
      </c>
      <c r="AD1161" s="6" t="str">
        <f>_xlfn.XLOOKUP(Lessons[[#This Row],[Location_External_Id__c]], Locations[Location Id], Locations[Location Name])</f>
        <v>Toms River</v>
      </c>
      <c r="AE1161" s="6" t="str">
        <f>TEXT(Lessons[[#This Row],[Lesson_Date__c]], "yyyy-mm")</f>
        <v>2027-02</v>
      </c>
      <c r="AF1161" s="6" t="str">
        <f>IF(Lessons[[#This Row],[Lesson_Date__c]]&lt;=Data_Audit!$F$1, "Yes", "No")</f>
        <v>No</v>
      </c>
    </row>
    <row r="1162" spans="1:32">
      <c r="A1162" t="s">
        <v>52</v>
      </c>
      <c r="B1162" t="s">
        <v>2997</v>
      </c>
      <c r="C1162">
        <v>30</v>
      </c>
      <c r="D1162" t="s">
        <v>4332</v>
      </c>
      <c r="E1162" t="s">
        <v>359</v>
      </c>
      <c r="F1162" t="s">
        <v>360</v>
      </c>
      <c r="H1162" t="s">
        <v>392</v>
      </c>
      <c r="I1162" t="b">
        <v>0</v>
      </c>
      <c r="K1162" t="s">
        <v>52</v>
      </c>
      <c r="L1162" t="s">
        <v>2997</v>
      </c>
      <c r="O1162" s="1">
        <v>46422</v>
      </c>
      <c r="P1162" t="s">
        <v>4333</v>
      </c>
      <c r="Q1162" t="s">
        <v>4334</v>
      </c>
      <c r="R1162" t="s">
        <v>63</v>
      </c>
      <c r="S1162" t="b">
        <v>0</v>
      </c>
      <c r="T1162" t="b">
        <v>0</v>
      </c>
      <c r="U1162" t="s">
        <v>4335</v>
      </c>
      <c r="V1162" t="s">
        <v>140</v>
      </c>
      <c r="W1162" t="s">
        <v>95</v>
      </c>
      <c r="X1162" t="s">
        <v>1886</v>
      </c>
      <c r="Y1162" t="s">
        <v>1887</v>
      </c>
      <c r="Z1162" t="s">
        <v>2997</v>
      </c>
      <c r="AA1162" t="b">
        <f>ISNUMBER(SEARCH(";"&amp;Lessons[[#This Row],[Instrument__c]]&amp;";",";"&amp;_xlfn.XLOOKUP(Lessons[[#This Row],[Instructor_External_Id__c]], Instructors[Id], Instructors[Instruments_Taught__c])&amp;";"))</f>
        <v>1</v>
      </c>
      <c r="AB1162" t="str">
        <f>IF(LEFT(Lessons[[#This Row],[Status__c]],9)="Cancelled","",Lessons[[#This Row],[Instructor_External_Id__c]]&amp;"|"&amp;TEXT(Lessons[[#This Row],[Lesson_Date__c]],"yyyy-mm-dd")&amp;"|"&amp;Lessons[[#This Row],[Start_Time__c]])</f>
        <v>a06ak00000amzBiAAI|2027-02-04|15:00:00.000Z</v>
      </c>
      <c r="AC1162">
        <f>IF(Lessons[[#This Row],[Double Booked Key]]="","",COUNTIF(Lessons[Double Booked Key],Lessons[[#This Row],[Double Booked Key]]))</f>
        <v>1</v>
      </c>
      <c r="AD1162" s="6" t="str">
        <f>_xlfn.XLOOKUP(Lessons[[#This Row],[Location_External_Id__c]], Locations[Location Id], Locations[Location Name])</f>
        <v>Red Bank</v>
      </c>
      <c r="AE1162" s="6" t="str">
        <f>TEXT(Lessons[[#This Row],[Lesson_Date__c]], "yyyy-mm")</f>
        <v>2027-02</v>
      </c>
      <c r="AF1162" s="6" t="str">
        <f>IF(Lessons[[#This Row],[Lesson_Date__c]]&lt;=Data_Audit!$F$1, "Yes", "No")</f>
        <v>No</v>
      </c>
    </row>
    <row r="1163" spans="1:32">
      <c r="A1163" t="s">
        <v>52</v>
      </c>
      <c r="B1163" t="s">
        <v>2997</v>
      </c>
      <c r="C1163">
        <v>30</v>
      </c>
      <c r="D1163" t="s">
        <v>4336</v>
      </c>
      <c r="E1163" t="s">
        <v>359</v>
      </c>
      <c r="F1163" t="s">
        <v>360</v>
      </c>
      <c r="H1163" t="s">
        <v>284</v>
      </c>
      <c r="I1163" t="b">
        <v>0</v>
      </c>
      <c r="K1163" t="s">
        <v>52</v>
      </c>
      <c r="L1163" t="s">
        <v>2997</v>
      </c>
      <c r="O1163" s="1">
        <v>46422</v>
      </c>
      <c r="P1163" t="s">
        <v>4337</v>
      </c>
      <c r="Q1163" t="s">
        <v>4338</v>
      </c>
      <c r="R1163" t="s">
        <v>63</v>
      </c>
      <c r="S1163" t="b">
        <v>0</v>
      </c>
      <c r="T1163" t="b">
        <v>0</v>
      </c>
      <c r="U1163" t="s">
        <v>4339</v>
      </c>
      <c r="V1163" t="s">
        <v>135</v>
      </c>
      <c r="W1163" t="s">
        <v>95</v>
      </c>
      <c r="X1163" t="s">
        <v>866</v>
      </c>
      <c r="Y1163" t="s">
        <v>867</v>
      </c>
      <c r="Z1163" t="s">
        <v>2997</v>
      </c>
      <c r="AA1163" t="b">
        <f>ISNUMBER(SEARCH(";"&amp;Lessons[[#This Row],[Instrument__c]]&amp;";",";"&amp;_xlfn.XLOOKUP(Lessons[[#This Row],[Instructor_External_Id__c]], Instructors[Id], Instructors[Instruments_Taught__c])&amp;";"))</f>
        <v>1</v>
      </c>
      <c r="AB1163" t="str">
        <f>IF(LEFT(Lessons[[#This Row],[Status__c]],9)="Cancelled","",Lessons[[#This Row],[Instructor_External_Id__c]]&amp;"|"&amp;TEXT(Lessons[[#This Row],[Lesson_Date__c]],"yyyy-mm-dd")&amp;"|"&amp;Lessons[[#This Row],[Start_Time__c]])</f>
        <v>a06ak00000amzBiAAI|2027-02-04|15:30:00.000Z</v>
      </c>
      <c r="AC1163">
        <f>IF(Lessons[[#This Row],[Double Booked Key]]="","",COUNTIF(Lessons[Double Booked Key],Lessons[[#This Row],[Double Booked Key]]))</f>
        <v>1</v>
      </c>
      <c r="AD1163" s="6" t="str">
        <f>_xlfn.XLOOKUP(Lessons[[#This Row],[Location_External_Id__c]], Locations[Location Id], Locations[Location Name])</f>
        <v>Red Bank</v>
      </c>
      <c r="AE1163" s="6" t="str">
        <f>TEXT(Lessons[[#This Row],[Lesson_Date__c]], "yyyy-mm")</f>
        <v>2027-02</v>
      </c>
      <c r="AF1163" s="6" t="str">
        <f>IF(Lessons[[#This Row],[Lesson_Date__c]]&lt;=Data_Audit!$F$1, "Yes", "No")</f>
        <v>No</v>
      </c>
    </row>
    <row r="1164" spans="1:32">
      <c r="A1164" t="s">
        <v>52</v>
      </c>
      <c r="B1164" t="s">
        <v>2997</v>
      </c>
      <c r="C1164">
        <v>30</v>
      </c>
      <c r="D1164" t="s">
        <v>4340</v>
      </c>
      <c r="E1164" t="s">
        <v>436</v>
      </c>
      <c r="F1164" t="s">
        <v>437</v>
      </c>
      <c r="H1164" t="s">
        <v>461</v>
      </c>
      <c r="I1164" t="b">
        <v>0</v>
      </c>
      <c r="K1164" t="s">
        <v>52</v>
      </c>
      <c r="L1164" t="s">
        <v>2997</v>
      </c>
      <c r="O1164" s="1">
        <v>46422</v>
      </c>
      <c r="P1164" t="s">
        <v>4341</v>
      </c>
      <c r="Q1164" t="s">
        <v>4342</v>
      </c>
      <c r="R1164" t="s">
        <v>63</v>
      </c>
      <c r="S1164" t="b">
        <v>0</v>
      </c>
      <c r="T1164" t="b">
        <v>0</v>
      </c>
      <c r="U1164" t="s">
        <v>4343</v>
      </c>
      <c r="V1164" t="s">
        <v>102</v>
      </c>
      <c r="W1164" t="s">
        <v>95</v>
      </c>
      <c r="X1164" t="s">
        <v>1532</v>
      </c>
      <c r="Y1164" t="s">
        <v>1533</v>
      </c>
      <c r="Z1164" t="s">
        <v>2997</v>
      </c>
      <c r="AA1164" t="b">
        <f>ISNUMBER(SEARCH(";"&amp;Lessons[[#This Row],[Instrument__c]]&amp;";",";"&amp;_xlfn.XLOOKUP(Lessons[[#This Row],[Instructor_External_Id__c]], Instructors[Id], Instructors[Instruments_Taught__c])&amp;";"))</f>
        <v>1</v>
      </c>
      <c r="AB1164" t="str">
        <f>IF(LEFT(Lessons[[#This Row],[Status__c]],9)="Cancelled","",Lessons[[#This Row],[Instructor_External_Id__c]]&amp;"|"&amp;TEXT(Lessons[[#This Row],[Lesson_Date__c]],"yyyy-mm-dd")&amp;"|"&amp;Lessons[[#This Row],[Start_Time__c]])</f>
        <v>a06ak00000amzC0AAI|2027-02-04|16:00:00.000Z</v>
      </c>
      <c r="AC1164">
        <f>IF(Lessons[[#This Row],[Double Booked Key]]="","",COUNTIF(Lessons[Double Booked Key],Lessons[[#This Row],[Double Booked Key]]))</f>
        <v>1</v>
      </c>
      <c r="AD1164" s="6" t="str">
        <f>_xlfn.XLOOKUP(Lessons[[#This Row],[Location_External_Id__c]], Locations[Location Id], Locations[Location Name])</f>
        <v>Red Bank</v>
      </c>
      <c r="AE1164" s="6" t="str">
        <f>TEXT(Lessons[[#This Row],[Lesson_Date__c]], "yyyy-mm")</f>
        <v>2027-02</v>
      </c>
      <c r="AF1164" s="6" t="str">
        <f>IF(Lessons[[#This Row],[Lesson_Date__c]]&lt;=Data_Audit!$F$1, "Yes", "No")</f>
        <v>No</v>
      </c>
    </row>
    <row r="1165" spans="1:32">
      <c r="A1165" t="s">
        <v>52</v>
      </c>
      <c r="B1165" t="s">
        <v>2997</v>
      </c>
      <c r="C1165">
        <v>60</v>
      </c>
      <c r="D1165" t="s">
        <v>4344</v>
      </c>
      <c r="E1165" t="s">
        <v>318</v>
      </c>
      <c r="F1165" t="s">
        <v>319</v>
      </c>
      <c r="H1165" t="s">
        <v>237</v>
      </c>
      <c r="I1165" t="b">
        <v>0</v>
      </c>
      <c r="K1165" t="s">
        <v>52</v>
      </c>
      <c r="L1165" t="s">
        <v>2997</v>
      </c>
      <c r="O1165" s="1">
        <v>46422</v>
      </c>
      <c r="P1165" t="s">
        <v>4345</v>
      </c>
      <c r="Q1165" t="s">
        <v>4346</v>
      </c>
      <c r="R1165" t="s">
        <v>150</v>
      </c>
      <c r="S1165" t="b">
        <v>0</v>
      </c>
      <c r="T1165" t="b">
        <v>0</v>
      </c>
      <c r="U1165" t="s">
        <v>4347</v>
      </c>
      <c r="V1165" t="s">
        <v>116</v>
      </c>
      <c r="W1165" t="s">
        <v>95</v>
      </c>
      <c r="X1165" t="s">
        <v>1004</v>
      </c>
      <c r="Y1165" t="s">
        <v>1005</v>
      </c>
      <c r="Z1165" t="s">
        <v>2997</v>
      </c>
      <c r="AA1165" t="b">
        <f>ISNUMBER(SEARCH(";"&amp;Lessons[[#This Row],[Instrument__c]]&amp;";",";"&amp;_xlfn.XLOOKUP(Lessons[[#This Row],[Instructor_External_Id__c]], Instructors[Id], Instructors[Instruments_Taught__c])&amp;";"))</f>
        <v>1</v>
      </c>
      <c r="AB1165" t="str">
        <f>IF(LEFT(Lessons[[#This Row],[Status__c]],9)="Cancelled","",Lessons[[#This Row],[Instructor_External_Id__c]]&amp;"|"&amp;TEXT(Lessons[[#This Row],[Lesson_Date__c]],"yyyy-mm-dd")&amp;"|"&amp;Lessons[[#This Row],[Start_Time__c]])</f>
        <v>a06ak00000amzBzAAI|2027-02-04|17:30:00.000Z</v>
      </c>
      <c r="AC1165">
        <f>IF(Lessons[[#This Row],[Double Booked Key]]="","",COUNTIF(Lessons[Double Booked Key],Lessons[[#This Row],[Double Booked Key]]))</f>
        <v>1</v>
      </c>
      <c r="AD1165" s="6" t="str">
        <f>_xlfn.XLOOKUP(Lessons[[#This Row],[Location_External_Id__c]], Locations[Location Id], Locations[Location Name])</f>
        <v>Toms River</v>
      </c>
      <c r="AE1165" s="6" t="str">
        <f>TEXT(Lessons[[#This Row],[Lesson_Date__c]], "yyyy-mm")</f>
        <v>2027-02</v>
      </c>
      <c r="AF1165" s="6" t="str">
        <f>IF(Lessons[[#This Row],[Lesson_Date__c]]&lt;=Data_Audit!$F$1, "Yes", "No")</f>
        <v>No</v>
      </c>
    </row>
    <row r="1166" spans="1:32">
      <c r="A1166" t="s">
        <v>52</v>
      </c>
      <c r="B1166" t="s">
        <v>2997</v>
      </c>
      <c r="C1166">
        <v>45</v>
      </c>
      <c r="D1166" t="s">
        <v>4348</v>
      </c>
      <c r="E1166" t="s">
        <v>777</v>
      </c>
      <c r="F1166" t="s">
        <v>778</v>
      </c>
      <c r="H1166" t="s">
        <v>527</v>
      </c>
      <c r="I1166" t="b">
        <v>0</v>
      </c>
      <c r="K1166" t="s">
        <v>52</v>
      </c>
      <c r="L1166" t="s">
        <v>2997</v>
      </c>
      <c r="O1166" s="1">
        <v>46422</v>
      </c>
      <c r="P1166" t="s">
        <v>4349</v>
      </c>
      <c r="Q1166" t="s">
        <v>4350</v>
      </c>
      <c r="R1166" t="s">
        <v>150</v>
      </c>
      <c r="S1166" t="b">
        <v>0</v>
      </c>
      <c r="T1166" t="b">
        <v>0</v>
      </c>
      <c r="U1166" t="s">
        <v>4351</v>
      </c>
      <c r="V1166" t="s">
        <v>94</v>
      </c>
      <c r="W1166" t="s">
        <v>95</v>
      </c>
      <c r="X1166" t="s">
        <v>2422</v>
      </c>
      <c r="Y1166" t="s">
        <v>2423</v>
      </c>
      <c r="Z1166" t="s">
        <v>2997</v>
      </c>
      <c r="AA1166" t="b">
        <f>ISNUMBER(SEARCH(";"&amp;Lessons[[#This Row],[Instrument__c]]&amp;";",";"&amp;_xlfn.XLOOKUP(Lessons[[#This Row],[Instructor_External_Id__c]], Instructors[Id], Instructors[Instruments_Taught__c])&amp;";"))</f>
        <v>1</v>
      </c>
      <c r="AB1166" t="str">
        <f>IF(LEFT(Lessons[[#This Row],[Status__c]],9)="Cancelled","",Lessons[[#This Row],[Instructor_External_Id__c]]&amp;"|"&amp;TEXT(Lessons[[#This Row],[Lesson_Date__c]],"yyyy-mm-dd")&amp;"|"&amp;Lessons[[#This Row],[Start_Time__c]])</f>
        <v>a06ak00000amzByAAI|2027-02-04|19:00:00.000Z</v>
      </c>
      <c r="AC1166">
        <f>IF(Lessons[[#This Row],[Double Booked Key]]="","",COUNTIF(Lessons[Double Booked Key],Lessons[[#This Row],[Double Booked Key]]))</f>
        <v>1</v>
      </c>
      <c r="AD1166" s="6" t="str">
        <f>_xlfn.XLOOKUP(Lessons[[#This Row],[Location_External_Id__c]], Locations[Location Id], Locations[Location Name])</f>
        <v>Toms River</v>
      </c>
      <c r="AE1166" s="6" t="str">
        <f>TEXT(Lessons[[#This Row],[Lesson_Date__c]], "yyyy-mm")</f>
        <v>2027-02</v>
      </c>
      <c r="AF1166" s="6" t="str">
        <f>IF(Lessons[[#This Row],[Lesson_Date__c]]&lt;=Data_Audit!$F$1, "Yes", "No")</f>
        <v>No</v>
      </c>
    </row>
    <row r="1167" spans="1:32">
      <c r="A1167" t="s">
        <v>52</v>
      </c>
      <c r="B1167" t="s">
        <v>2997</v>
      </c>
      <c r="C1167">
        <v>30</v>
      </c>
      <c r="D1167" t="s">
        <v>4352</v>
      </c>
      <c r="E1167" t="s">
        <v>282</v>
      </c>
      <c r="F1167" t="s">
        <v>283</v>
      </c>
      <c r="H1167" t="s">
        <v>284</v>
      </c>
      <c r="I1167" t="b">
        <v>0</v>
      </c>
      <c r="K1167" t="s">
        <v>52</v>
      </c>
      <c r="L1167" t="s">
        <v>2997</v>
      </c>
      <c r="O1167" s="1">
        <v>46423</v>
      </c>
      <c r="P1167" t="s">
        <v>4353</v>
      </c>
      <c r="Q1167" t="s">
        <v>4354</v>
      </c>
      <c r="R1167" t="s">
        <v>83</v>
      </c>
      <c r="S1167" t="b">
        <v>0</v>
      </c>
      <c r="T1167" t="b">
        <v>0</v>
      </c>
      <c r="U1167" t="s">
        <v>4355</v>
      </c>
      <c r="V1167" t="s">
        <v>74</v>
      </c>
      <c r="W1167" t="s">
        <v>95</v>
      </c>
      <c r="X1167" t="s">
        <v>287</v>
      </c>
      <c r="Y1167" t="s">
        <v>288</v>
      </c>
      <c r="Z1167" t="s">
        <v>2997</v>
      </c>
      <c r="AA1167" t="b">
        <f>ISNUMBER(SEARCH(";"&amp;Lessons[[#This Row],[Instrument__c]]&amp;";",";"&amp;_xlfn.XLOOKUP(Lessons[[#This Row],[Instructor_External_Id__c]], Instructors[Id], Instructors[Instruments_Taught__c])&amp;";"))</f>
        <v>1</v>
      </c>
      <c r="AB1167" t="str">
        <f>IF(LEFT(Lessons[[#This Row],[Status__c]],9)="Cancelled","",Lessons[[#This Row],[Instructor_External_Id__c]]&amp;"|"&amp;TEXT(Lessons[[#This Row],[Lesson_Date__c]],"yyyy-mm-dd")&amp;"|"&amp;Lessons[[#This Row],[Start_Time__c]])</f>
        <v>a06ak00000amzBxAAI|2027-02-05|16:30:00.000Z</v>
      </c>
      <c r="AC1167">
        <f>IF(Lessons[[#This Row],[Double Booked Key]]="","",COUNTIF(Lessons[Double Booked Key],Lessons[[#This Row],[Double Booked Key]]))</f>
        <v>1</v>
      </c>
      <c r="AD1167" s="6" t="str">
        <f>_xlfn.XLOOKUP(Lessons[[#This Row],[Location_External_Id__c]], Locations[Location Id], Locations[Location Name])</f>
        <v>Brick</v>
      </c>
      <c r="AE1167" s="6" t="str">
        <f>TEXT(Lessons[[#This Row],[Lesson_Date__c]], "yyyy-mm")</f>
        <v>2027-02</v>
      </c>
      <c r="AF1167" s="6" t="str">
        <f>IF(Lessons[[#This Row],[Lesson_Date__c]]&lt;=Data_Audit!$F$1, "Yes", "No")</f>
        <v>No</v>
      </c>
    </row>
    <row r="1168" spans="1:32">
      <c r="A1168" t="s">
        <v>52</v>
      </c>
      <c r="B1168" t="s">
        <v>2997</v>
      </c>
      <c r="C1168">
        <v>30</v>
      </c>
      <c r="D1168" t="s">
        <v>4356</v>
      </c>
      <c r="E1168" t="s">
        <v>459</v>
      </c>
      <c r="F1168" t="s">
        <v>460</v>
      </c>
      <c r="H1168" t="s">
        <v>461</v>
      </c>
      <c r="I1168" t="b">
        <v>0</v>
      </c>
      <c r="K1168" t="s">
        <v>52</v>
      </c>
      <c r="L1168" t="s">
        <v>2997</v>
      </c>
      <c r="O1168" s="1">
        <v>46423</v>
      </c>
      <c r="P1168" t="s">
        <v>4357</v>
      </c>
      <c r="Q1168" t="s">
        <v>4358</v>
      </c>
      <c r="R1168" t="s">
        <v>83</v>
      </c>
      <c r="S1168" t="b">
        <v>0</v>
      </c>
      <c r="T1168" t="b">
        <v>0</v>
      </c>
      <c r="U1168" t="s">
        <v>4359</v>
      </c>
      <c r="V1168" t="s">
        <v>74</v>
      </c>
      <c r="W1168" t="s">
        <v>95</v>
      </c>
      <c r="X1168" t="s">
        <v>1990</v>
      </c>
      <c r="Y1168" t="s">
        <v>1991</v>
      </c>
      <c r="Z1168" t="s">
        <v>2997</v>
      </c>
      <c r="AA1168" t="b">
        <f>ISNUMBER(SEARCH(";"&amp;Lessons[[#This Row],[Instrument__c]]&amp;";",";"&amp;_xlfn.XLOOKUP(Lessons[[#This Row],[Instructor_External_Id__c]], Instructors[Id], Instructors[Instruments_Taught__c])&amp;";"))</f>
        <v>1</v>
      </c>
      <c r="AB1168" t="str">
        <f>IF(LEFT(Lessons[[#This Row],[Status__c]],9)="Cancelled","",Lessons[[#This Row],[Instructor_External_Id__c]]&amp;"|"&amp;TEXT(Lessons[[#This Row],[Lesson_Date__c]],"yyyy-mm-dd")&amp;"|"&amp;Lessons[[#This Row],[Start_Time__c]])</f>
        <v>a06ak00000amzC8AAI|2027-02-05|16:30:00.000Z</v>
      </c>
      <c r="AC1168">
        <f>IF(Lessons[[#This Row],[Double Booked Key]]="","",COUNTIF(Lessons[Double Booked Key],Lessons[[#This Row],[Double Booked Key]]))</f>
        <v>1</v>
      </c>
      <c r="AD1168" s="6" t="str">
        <f>_xlfn.XLOOKUP(Lessons[[#This Row],[Location_External_Id__c]], Locations[Location Id], Locations[Location Name])</f>
        <v>Brick</v>
      </c>
      <c r="AE1168" s="6" t="str">
        <f>TEXT(Lessons[[#This Row],[Lesson_Date__c]], "yyyy-mm")</f>
        <v>2027-02</v>
      </c>
      <c r="AF1168" s="6" t="str">
        <f>IF(Lessons[[#This Row],[Lesson_Date__c]]&lt;=Data_Audit!$F$1, "Yes", "No")</f>
        <v>No</v>
      </c>
    </row>
    <row r="1169" spans="1:32">
      <c r="A1169" t="s">
        <v>52</v>
      </c>
      <c r="B1169" t="s">
        <v>2997</v>
      </c>
      <c r="C1169">
        <v>30</v>
      </c>
      <c r="D1169" t="s">
        <v>4360</v>
      </c>
      <c r="E1169" t="s">
        <v>804</v>
      </c>
      <c r="F1169" t="s">
        <v>805</v>
      </c>
      <c r="H1169" t="s">
        <v>147</v>
      </c>
      <c r="I1169" t="b">
        <v>0</v>
      </c>
      <c r="K1169" t="s">
        <v>52</v>
      </c>
      <c r="L1169" t="s">
        <v>2997</v>
      </c>
      <c r="O1169" s="1">
        <v>46423</v>
      </c>
      <c r="P1169" t="s">
        <v>4361</v>
      </c>
      <c r="Q1169" t="s">
        <v>4362</v>
      </c>
      <c r="R1169" t="s">
        <v>63</v>
      </c>
      <c r="S1169" t="b">
        <v>0</v>
      </c>
      <c r="T1169" t="b">
        <v>0</v>
      </c>
      <c r="U1169" t="s">
        <v>4363</v>
      </c>
      <c r="V1169" t="s">
        <v>116</v>
      </c>
      <c r="W1169" t="s">
        <v>95</v>
      </c>
      <c r="X1169" t="s">
        <v>1357</v>
      </c>
      <c r="Y1169" t="s">
        <v>1358</v>
      </c>
      <c r="Z1169" t="s">
        <v>2997</v>
      </c>
      <c r="AA1169" t="b">
        <f>ISNUMBER(SEARCH(";"&amp;Lessons[[#This Row],[Instrument__c]]&amp;";",";"&amp;_xlfn.XLOOKUP(Lessons[[#This Row],[Instructor_External_Id__c]], Instructors[Id], Instructors[Instruments_Taught__c])&amp;";"))</f>
        <v>1</v>
      </c>
      <c r="AB1169" t="str">
        <f>IF(LEFT(Lessons[[#This Row],[Status__c]],9)="Cancelled","",Lessons[[#This Row],[Instructor_External_Id__c]]&amp;"|"&amp;TEXT(Lessons[[#This Row],[Lesson_Date__c]],"yyyy-mm-dd")&amp;"|"&amp;Lessons[[#This Row],[Start_Time__c]])</f>
        <v>a06ak00000amzCBAAY|2027-02-05|17:30:00.000Z</v>
      </c>
      <c r="AC1169">
        <f>IF(Lessons[[#This Row],[Double Booked Key]]="","",COUNTIF(Lessons[Double Booked Key],Lessons[[#This Row],[Double Booked Key]]))</f>
        <v>1</v>
      </c>
      <c r="AD1169" s="6" t="str">
        <f>_xlfn.XLOOKUP(Lessons[[#This Row],[Location_External_Id__c]], Locations[Location Id], Locations[Location Name])</f>
        <v>Red Bank</v>
      </c>
      <c r="AE1169" s="6" t="str">
        <f>TEXT(Lessons[[#This Row],[Lesson_Date__c]], "yyyy-mm")</f>
        <v>2027-02</v>
      </c>
      <c r="AF1169" s="6" t="str">
        <f>IF(Lessons[[#This Row],[Lesson_Date__c]]&lt;=Data_Audit!$F$1, "Yes", "No")</f>
        <v>No</v>
      </c>
    </row>
    <row r="1170" spans="1:32">
      <c r="A1170" t="s">
        <v>52</v>
      </c>
      <c r="B1170" t="s">
        <v>2997</v>
      </c>
      <c r="C1170">
        <v>30</v>
      </c>
      <c r="D1170" t="s">
        <v>4364</v>
      </c>
      <c r="E1170" t="s">
        <v>401</v>
      </c>
      <c r="F1170" t="s">
        <v>402</v>
      </c>
      <c r="H1170" t="s">
        <v>263</v>
      </c>
      <c r="I1170" t="b">
        <v>0</v>
      </c>
      <c r="K1170" t="s">
        <v>52</v>
      </c>
      <c r="L1170" t="s">
        <v>2997</v>
      </c>
      <c r="O1170" s="1">
        <v>46423</v>
      </c>
      <c r="P1170" t="s">
        <v>4365</v>
      </c>
      <c r="Q1170" t="s">
        <v>4366</v>
      </c>
      <c r="R1170" t="s">
        <v>150</v>
      </c>
      <c r="S1170" t="b">
        <v>0</v>
      </c>
      <c r="T1170" t="b">
        <v>0</v>
      </c>
      <c r="U1170" t="s">
        <v>4367</v>
      </c>
      <c r="V1170" t="s">
        <v>120</v>
      </c>
      <c r="W1170" t="s">
        <v>95</v>
      </c>
      <c r="X1170" t="s">
        <v>2414</v>
      </c>
      <c r="Y1170" t="s">
        <v>2415</v>
      </c>
      <c r="Z1170" t="s">
        <v>2997</v>
      </c>
      <c r="AA1170" t="b">
        <f>ISNUMBER(SEARCH(";"&amp;Lessons[[#This Row],[Instrument__c]]&amp;";",";"&amp;_xlfn.XLOOKUP(Lessons[[#This Row],[Instructor_External_Id__c]], Instructors[Id], Instructors[Instruments_Taught__c])&amp;";"))</f>
        <v>1</v>
      </c>
      <c r="AB1170" t="str">
        <f>IF(LEFT(Lessons[[#This Row],[Status__c]],9)="Cancelled","",Lessons[[#This Row],[Instructor_External_Id__c]]&amp;"|"&amp;TEXT(Lessons[[#This Row],[Lesson_Date__c]],"yyyy-mm-dd")&amp;"|"&amp;Lessons[[#This Row],[Start_Time__c]])</f>
        <v>a06ak00000amzBfAAI|2027-02-05|18:00:00.000Z</v>
      </c>
      <c r="AC1170">
        <f>IF(Lessons[[#This Row],[Double Booked Key]]="","",COUNTIF(Lessons[Double Booked Key],Lessons[[#This Row],[Double Booked Key]]))</f>
        <v>1</v>
      </c>
      <c r="AD1170" s="6" t="str">
        <f>_xlfn.XLOOKUP(Lessons[[#This Row],[Location_External_Id__c]], Locations[Location Id], Locations[Location Name])</f>
        <v>Toms River</v>
      </c>
      <c r="AE1170" s="6" t="str">
        <f>TEXT(Lessons[[#This Row],[Lesson_Date__c]], "yyyy-mm")</f>
        <v>2027-02</v>
      </c>
      <c r="AF1170" s="6" t="str">
        <f>IF(Lessons[[#This Row],[Lesson_Date__c]]&lt;=Data_Audit!$F$1, "Yes", "No")</f>
        <v>No</v>
      </c>
    </row>
    <row r="1171" spans="1:32">
      <c r="A1171" t="s">
        <v>52</v>
      </c>
      <c r="B1171" t="s">
        <v>2997</v>
      </c>
      <c r="C1171">
        <v>30</v>
      </c>
      <c r="D1171" t="s">
        <v>4368</v>
      </c>
      <c r="E1171" t="s">
        <v>318</v>
      </c>
      <c r="F1171" t="s">
        <v>319</v>
      </c>
      <c r="H1171" t="s">
        <v>237</v>
      </c>
      <c r="I1171" t="b">
        <v>0</v>
      </c>
      <c r="K1171" t="s">
        <v>52</v>
      </c>
      <c r="L1171" t="s">
        <v>2997</v>
      </c>
      <c r="O1171" s="1">
        <v>46424</v>
      </c>
      <c r="P1171" t="s">
        <v>4369</v>
      </c>
      <c r="Q1171" t="s">
        <v>4370</v>
      </c>
      <c r="R1171" t="s">
        <v>63</v>
      </c>
      <c r="S1171" t="b">
        <v>0</v>
      </c>
      <c r="T1171" t="b">
        <v>0</v>
      </c>
      <c r="U1171" t="s">
        <v>4371</v>
      </c>
      <c r="V1171" t="s">
        <v>3373</v>
      </c>
      <c r="W1171" t="s">
        <v>95</v>
      </c>
      <c r="X1171" t="s">
        <v>2842</v>
      </c>
      <c r="Y1171" t="s">
        <v>2843</v>
      </c>
      <c r="Z1171" t="s">
        <v>2997</v>
      </c>
      <c r="AA1171" t="b">
        <f>ISNUMBER(SEARCH(";"&amp;Lessons[[#This Row],[Instrument__c]]&amp;";",";"&amp;_xlfn.XLOOKUP(Lessons[[#This Row],[Instructor_External_Id__c]], Instructors[Id], Instructors[Instruments_Taught__c])&amp;";"))</f>
        <v>1</v>
      </c>
      <c r="AB1171" t="str">
        <f>IF(LEFT(Lessons[[#This Row],[Status__c]],9)="Cancelled","",Lessons[[#This Row],[Instructor_External_Id__c]]&amp;"|"&amp;TEXT(Lessons[[#This Row],[Lesson_Date__c]],"yyyy-mm-dd")&amp;"|"&amp;Lessons[[#This Row],[Start_Time__c]])</f>
        <v>a06ak00000amzBzAAI|2027-02-06|09:00:00.000Z</v>
      </c>
      <c r="AC1171">
        <f>IF(Lessons[[#This Row],[Double Booked Key]]="","",COUNTIF(Lessons[Double Booked Key],Lessons[[#This Row],[Double Booked Key]]))</f>
        <v>1</v>
      </c>
      <c r="AD1171" s="6" t="str">
        <f>_xlfn.XLOOKUP(Lessons[[#This Row],[Location_External_Id__c]], Locations[Location Id], Locations[Location Name])</f>
        <v>Red Bank</v>
      </c>
      <c r="AE1171" s="6" t="str">
        <f>TEXT(Lessons[[#This Row],[Lesson_Date__c]], "yyyy-mm")</f>
        <v>2027-02</v>
      </c>
      <c r="AF1171" s="6" t="str">
        <f>IF(Lessons[[#This Row],[Lesson_Date__c]]&lt;=Data_Audit!$F$1, "Yes", "No")</f>
        <v>No</v>
      </c>
    </row>
    <row r="1172" spans="1:32">
      <c r="A1172" t="s">
        <v>52</v>
      </c>
      <c r="B1172" t="s">
        <v>2997</v>
      </c>
      <c r="C1172">
        <v>45</v>
      </c>
      <c r="D1172" t="s">
        <v>4372</v>
      </c>
      <c r="E1172" t="s">
        <v>777</v>
      </c>
      <c r="F1172" t="s">
        <v>778</v>
      </c>
      <c r="H1172" t="s">
        <v>527</v>
      </c>
      <c r="I1172" t="b">
        <v>0</v>
      </c>
      <c r="K1172" t="s">
        <v>52</v>
      </c>
      <c r="L1172" t="s">
        <v>2997</v>
      </c>
      <c r="O1172" s="1">
        <v>46424</v>
      </c>
      <c r="P1172" t="s">
        <v>4373</v>
      </c>
      <c r="Q1172" t="s">
        <v>4374</v>
      </c>
      <c r="R1172" t="s">
        <v>83</v>
      </c>
      <c r="S1172" t="b">
        <v>0</v>
      </c>
      <c r="T1172" t="b">
        <v>0</v>
      </c>
      <c r="U1172" t="s">
        <v>4375</v>
      </c>
      <c r="V1172" t="s">
        <v>110</v>
      </c>
      <c r="W1172" t="s">
        <v>95</v>
      </c>
      <c r="X1172" t="s">
        <v>935</v>
      </c>
      <c r="Y1172" t="s">
        <v>936</v>
      </c>
      <c r="Z1172" t="s">
        <v>2997</v>
      </c>
      <c r="AA1172" t="b">
        <f>ISNUMBER(SEARCH(";"&amp;Lessons[[#This Row],[Instrument__c]]&amp;";",";"&amp;_xlfn.XLOOKUP(Lessons[[#This Row],[Instructor_External_Id__c]], Instructors[Id], Instructors[Instruments_Taught__c])&amp;";"))</f>
        <v>1</v>
      </c>
      <c r="AB1172" t="str">
        <f>IF(LEFT(Lessons[[#This Row],[Status__c]],9)="Cancelled","",Lessons[[#This Row],[Instructor_External_Id__c]]&amp;"|"&amp;TEXT(Lessons[[#This Row],[Lesson_Date__c]],"yyyy-mm-dd")&amp;"|"&amp;Lessons[[#This Row],[Start_Time__c]])</f>
        <v>a06ak00000amzByAAI|2027-02-06|10:00:00.000Z</v>
      </c>
      <c r="AC1172">
        <f>IF(Lessons[[#This Row],[Double Booked Key]]="","",COUNTIF(Lessons[Double Booked Key],Lessons[[#This Row],[Double Booked Key]]))</f>
        <v>1</v>
      </c>
      <c r="AD1172" s="6" t="str">
        <f>_xlfn.XLOOKUP(Lessons[[#This Row],[Location_External_Id__c]], Locations[Location Id], Locations[Location Name])</f>
        <v>Brick</v>
      </c>
      <c r="AE1172" s="6" t="str">
        <f>TEXT(Lessons[[#This Row],[Lesson_Date__c]], "yyyy-mm")</f>
        <v>2027-02</v>
      </c>
      <c r="AF1172" s="6" t="str">
        <f>IF(Lessons[[#This Row],[Lesson_Date__c]]&lt;=Data_Audit!$F$1, "Yes", "No")</f>
        <v>No</v>
      </c>
    </row>
    <row r="1173" spans="1:32">
      <c r="A1173" t="s">
        <v>52</v>
      </c>
      <c r="B1173" t="s">
        <v>2997</v>
      </c>
      <c r="C1173">
        <v>30</v>
      </c>
      <c r="D1173" t="s">
        <v>4376</v>
      </c>
      <c r="E1173" t="s">
        <v>282</v>
      </c>
      <c r="F1173" t="s">
        <v>283</v>
      </c>
      <c r="H1173" t="s">
        <v>284</v>
      </c>
      <c r="I1173" t="b">
        <v>0</v>
      </c>
      <c r="K1173" t="s">
        <v>52</v>
      </c>
      <c r="L1173" t="s">
        <v>2997</v>
      </c>
      <c r="O1173" s="1">
        <v>46424</v>
      </c>
      <c r="P1173" t="s">
        <v>4377</v>
      </c>
      <c r="Q1173" t="s">
        <v>4378</v>
      </c>
      <c r="R1173" t="s">
        <v>83</v>
      </c>
      <c r="S1173" t="b">
        <v>0</v>
      </c>
      <c r="T1173" t="b">
        <v>0</v>
      </c>
      <c r="U1173" t="s">
        <v>4379</v>
      </c>
      <c r="V1173" t="s">
        <v>3203</v>
      </c>
      <c r="W1173" t="s">
        <v>95</v>
      </c>
      <c r="X1173" t="s">
        <v>1134</v>
      </c>
      <c r="Y1173" t="s">
        <v>1135</v>
      </c>
      <c r="Z1173" t="s">
        <v>2997</v>
      </c>
      <c r="AA1173" t="b">
        <f>ISNUMBER(SEARCH(";"&amp;Lessons[[#This Row],[Instrument__c]]&amp;";",";"&amp;_xlfn.XLOOKUP(Lessons[[#This Row],[Instructor_External_Id__c]], Instructors[Id], Instructors[Instruments_Taught__c])&amp;";"))</f>
        <v>1</v>
      </c>
      <c r="AB1173" t="str">
        <f>IF(LEFT(Lessons[[#This Row],[Status__c]],9)="Cancelled","",Lessons[[#This Row],[Instructor_External_Id__c]]&amp;"|"&amp;TEXT(Lessons[[#This Row],[Lesson_Date__c]],"yyyy-mm-dd")&amp;"|"&amp;Lessons[[#This Row],[Start_Time__c]])</f>
        <v>a06ak00000amzBxAAI|2027-02-06|11:30:00.000Z</v>
      </c>
      <c r="AC1173">
        <f>IF(Lessons[[#This Row],[Double Booked Key]]="","",COUNTIF(Lessons[Double Booked Key],Lessons[[#This Row],[Double Booked Key]]))</f>
        <v>1</v>
      </c>
      <c r="AD1173" s="6" t="str">
        <f>_xlfn.XLOOKUP(Lessons[[#This Row],[Location_External_Id__c]], Locations[Location Id], Locations[Location Name])</f>
        <v>Brick</v>
      </c>
      <c r="AE1173" s="6" t="str">
        <f>TEXT(Lessons[[#This Row],[Lesson_Date__c]], "yyyy-mm")</f>
        <v>2027-02</v>
      </c>
      <c r="AF1173" s="6" t="str">
        <f>IF(Lessons[[#This Row],[Lesson_Date__c]]&lt;=Data_Audit!$F$1, "Yes", "No")</f>
        <v>No</v>
      </c>
    </row>
    <row r="1174" spans="1:32">
      <c r="A1174" t="s">
        <v>52</v>
      </c>
      <c r="B1174" t="s">
        <v>2997</v>
      </c>
      <c r="C1174">
        <v>60</v>
      </c>
      <c r="D1174" t="s">
        <v>4380</v>
      </c>
      <c r="E1174" t="s">
        <v>777</v>
      </c>
      <c r="F1174" t="s">
        <v>778</v>
      </c>
      <c r="H1174" t="s">
        <v>527</v>
      </c>
      <c r="I1174" t="b">
        <v>0</v>
      </c>
      <c r="K1174" t="s">
        <v>52</v>
      </c>
      <c r="L1174" t="s">
        <v>2997</v>
      </c>
      <c r="O1174" s="1">
        <v>46424</v>
      </c>
      <c r="P1174" t="s">
        <v>4381</v>
      </c>
      <c r="Q1174" t="s">
        <v>4382</v>
      </c>
      <c r="R1174" t="s">
        <v>150</v>
      </c>
      <c r="S1174" t="b">
        <v>0</v>
      </c>
      <c r="T1174" t="b">
        <v>0</v>
      </c>
      <c r="U1174" t="s">
        <v>4383</v>
      </c>
      <c r="V1174" t="s">
        <v>3208</v>
      </c>
      <c r="W1174" t="s">
        <v>95</v>
      </c>
      <c r="X1174" t="s">
        <v>781</v>
      </c>
      <c r="Y1174" t="s">
        <v>782</v>
      </c>
      <c r="Z1174" t="s">
        <v>2997</v>
      </c>
      <c r="AA1174" t="b">
        <f>ISNUMBER(SEARCH(";"&amp;Lessons[[#This Row],[Instrument__c]]&amp;";",";"&amp;_xlfn.XLOOKUP(Lessons[[#This Row],[Instructor_External_Id__c]], Instructors[Id], Instructors[Instruments_Taught__c])&amp;";"))</f>
        <v>1</v>
      </c>
      <c r="AB1174" t="str">
        <f>IF(LEFT(Lessons[[#This Row],[Status__c]],9)="Cancelled","",Lessons[[#This Row],[Instructor_External_Id__c]]&amp;"|"&amp;TEXT(Lessons[[#This Row],[Lesson_Date__c]],"yyyy-mm-dd")&amp;"|"&amp;Lessons[[#This Row],[Start_Time__c]])</f>
        <v>a06ak00000amzByAAI|2027-02-06|12:30:00.000Z</v>
      </c>
      <c r="AC1174">
        <f>IF(Lessons[[#This Row],[Double Booked Key]]="","",COUNTIF(Lessons[Double Booked Key],Lessons[[#This Row],[Double Booked Key]]))</f>
        <v>1</v>
      </c>
      <c r="AD1174" s="6" t="str">
        <f>_xlfn.XLOOKUP(Lessons[[#This Row],[Location_External_Id__c]], Locations[Location Id], Locations[Location Name])</f>
        <v>Toms River</v>
      </c>
      <c r="AE1174" s="6" t="str">
        <f>TEXT(Lessons[[#This Row],[Lesson_Date__c]], "yyyy-mm")</f>
        <v>2027-02</v>
      </c>
      <c r="AF1174" s="6" t="str">
        <f>IF(Lessons[[#This Row],[Lesson_Date__c]]&lt;=Data_Audit!$F$1, "Yes", "No")</f>
        <v>No</v>
      </c>
    </row>
    <row r="1175" spans="1:32">
      <c r="A1175" t="s">
        <v>52</v>
      </c>
      <c r="B1175" t="s">
        <v>2997</v>
      </c>
      <c r="C1175">
        <v>60</v>
      </c>
      <c r="D1175" t="s">
        <v>4384</v>
      </c>
      <c r="E1175" t="s">
        <v>804</v>
      </c>
      <c r="F1175" t="s">
        <v>805</v>
      </c>
      <c r="H1175" t="s">
        <v>527</v>
      </c>
      <c r="I1175" t="b">
        <v>0</v>
      </c>
      <c r="K1175" t="s">
        <v>52</v>
      </c>
      <c r="L1175" t="s">
        <v>2997</v>
      </c>
      <c r="O1175" s="1">
        <v>46424</v>
      </c>
      <c r="P1175" t="s">
        <v>4385</v>
      </c>
      <c r="Q1175" t="s">
        <v>4386</v>
      </c>
      <c r="R1175" t="s">
        <v>63</v>
      </c>
      <c r="S1175" t="b">
        <v>0</v>
      </c>
      <c r="T1175" t="b">
        <v>0</v>
      </c>
      <c r="U1175" t="s">
        <v>4387</v>
      </c>
      <c r="V1175" t="s">
        <v>3208</v>
      </c>
      <c r="W1175" t="s">
        <v>95</v>
      </c>
      <c r="X1175" t="s">
        <v>2328</v>
      </c>
      <c r="Y1175" t="s">
        <v>2329</v>
      </c>
      <c r="Z1175" t="s">
        <v>2997</v>
      </c>
      <c r="AA1175" t="b">
        <f>ISNUMBER(SEARCH(";"&amp;Lessons[[#This Row],[Instrument__c]]&amp;";",";"&amp;_xlfn.XLOOKUP(Lessons[[#This Row],[Instructor_External_Id__c]], Instructors[Id], Instructors[Instruments_Taught__c])&amp;";"))</f>
        <v>1</v>
      </c>
      <c r="AB1175" t="str">
        <f>IF(LEFT(Lessons[[#This Row],[Status__c]],9)="Cancelled","",Lessons[[#This Row],[Instructor_External_Id__c]]&amp;"|"&amp;TEXT(Lessons[[#This Row],[Lesson_Date__c]],"yyyy-mm-dd")&amp;"|"&amp;Lessons[[#This Row],[Start_Time__c]])</f>
        <v>a06ak00000amzCBAAY|2027-02-06|12:30:00.000Z</v>
      </c>
      <c r="AC1175">
        <f>IF(Lessons[[#This Row],[Double Booked Key]]="","",COUNTIF(Lessons[Double Booked Key],Lessons[[#This Row],[Double Booked Key]]))</f>
        <v>1</v>
      </c>
      <c r="AD1175" s="6" t="str">
        <f>_xlfn.XLOOKUP(Lessons[[#This Row],[Location_External_Id__c]], Locations[Location Id], Locations[Location Name])</f>
        <v>Red Bank</v>
      </c>
      <c r="AE1175" s="6" t="str">
        <f>TEXT(Lessons[[#This Row],[Lesson_Date__c]], "yyyy-mm")</f>
        <v>2027-02</v>
      </c>
      <c r="AF1175" s="6" t="str">
        <f>IF(Lessons[[#This Row],[Lesson_Date__c]]&lt;=Data_Audit!$F$1, "Yes", "No")</f>
        <v>No</v>
      </c>
    </row>
    <row r="1176" spans="1:32">
      <c r="A1176" t="s">
        <v>52</v>
      </c>
      <c r="B1176" t="s">
        <v>2997</v>
      </c>
      <c r="C1176">
        <v>60</v>
      </c>
      <c r="D1176" t="s">
        <v>4388</v>
      </c>
      <c r="E1176" t="s">
        <v>459</v>
      </c>
      <c r="F1176" t="s">
        <v>460</v>
      </c>
      <c r="H1176" t="s">
        <v>107</v>
      </c>
      <c r="I1176" t="b">
        <v>0</v>
      </c>
      <c r="K1176" t="s">
        <v>52</v>
      </c>
      <c r="L1176" t="s">
        <v>2997</v>
      </c>
      <c r="O1176" s="1">
        <v>46424</v>
      </c>
      <c r="P1176" t="s">
        <v>4389</v>
      </c>
      <c r="Q1176" t="s">
        <v>4390</v>
      </c>
      <c r="R1176" t="s">
        <v>83</v>
      </c>
      <c r="S1176" t="b">
        <v>0</v>
      </c>
      <c r="T1176" t="b">
        <v>0</v>
      </c>
      <c r="U1176" t="s">
        <v>4391</v>
      </c>
      <c r="V1176" t="s">
        <v>3208</v>
      </c>
      <c r="W1176" t="s">
        <v>95</v>
      </c>
      <c r="X1176" t="s">
        <v>2430</v>
      </c>
      <c r="Y1176" t="s">
        <v>2431</v>
      </c>
      <c r="Z1176" t="s">
        <v>2997</v>
      </c>
      <c r="AA1176" t="b">
        <f>ISNUMBER(SEARCH(";"&amp;Lessons[[#This Row],[Instrument__c]]&amp;";",";"&amp;_xlfn.XLOOKUP(Lessons[[#This Row],[Instructor_External_Id__c]], Instructors[Id], Instructors[Instruments_Taught__c])&amp;";"))</f>
        <v>1</v>
      </c>
      <c r="AB1176" t="str">
        <f>IF(LEFT(Lessons[[#This Row],[Status__c]],9)="Cancelled","",Lessons[[#This Row],[Instructor_External_Id__c]]&amp;"|"&amp;TEXT(Lessons[[#This Row],[Lesson_Date__c]],"yyyy-mm-dd")&amp;"|"&amp;Lessons[[#This Row],[Start_Time__c]])</f>
        <v>a06ak00000amzC8AAI|2027-02-06|12:30:00.000Z</v>
      </c>
      <c r="AC1176">
        <f>IF(Lessons[[#This Row],[Double Booked Key]]="","",COUNTIF(Lessons[Double Booked Key],Lessons[[#This Row],[Double Booked Key]]))</f>
        <v>1</v>
      </c>
      <c r="AD1176" s="6" t="str">
        <f>_xlfn.XLOOKUP(Lessons[[#This Row],[Location_External_Id__c]], Locations[Location Id], Locations[Location Name])</f>
        <v>Brick</v>
      </c>
      <c r="AE1176" s="6" t="str">
        <f>TEXT(Lessons[[#This Row],[Lesson_Date__c]], "yyyy-mm")</f>
        <v>2027-02</v>
      </c>
      <c r="AF1176" s="6" t="str">
        <f>IF(Lessons[[#This Row],[Lesson_Date__c]]&lt;=Data_Audit!$F$1, "Yes", "No")</f>
        <v>No</v>
      </c>
    </row>
    <row r="1177" spans="1:32">
      <c r="A1177" t="s">
        <v>52</v>
      </c>
      <c r="B1177" t="s">
        <v>2997</v>
      </c>
      <c r="C1177">
        <v>45</v>
      </c>
      <c r="D1177" t="s">
        <v>4392</v>
      </c>
      <c r="E1177" t="s">
        <v>548</v>
      </c>
      <c r="F1177" t="s">
        <v>549</v>
      </c>
      <c r="H1177" t="s">
        <v>203</v>
      </c>
      <c r="I1177" t="b">
        <v>0</v>
      </c>
      <c r="K1177" t="s">
        <v>52</v>
      </c>
      <c r="L1177" t="s">
        <v>2997</v>
      </c>
      <c r="O1177" s="1">
        <v>46426</v>
      </c>
      <c r="P1177" t="s">
        <v>4393</v>
      </c>
      <c r="Q1177" t="s">
        <v>4394</v>
      </c>
      <c r="R1177" t="s">
        <v>150</v>
      </c>
      <c r="S1177" t="b">
        <v>0</v>
      </c>
      <c r="T1177" t="b">
        <v>0</v>
      </c>
      <c r="U1177" t="s">
        <v>4395</v>
      </c>
      <c r="V1177" t="s">
        <v>74</v>
      </c>
      <c r="W1177" t="s">
        <v>95</v>
      </c>
      <c r="X1177" t="s">
        <v>1168</v>
      </c>
      <c r="Y1177" t="s">
        <v>1169</v>
      </c>
      <c r="Z1177" t="s">
        <v>2997</v>
      </c>
      <c r="AA1177" t="b">
        <f>ISNUMBER(SEARCH(";"&amp;Lessons[[#This Row],[Instrument__c]]&amp;";",";"&amp;_xlfn.XLOOKUP(Lessons[[#This Row],[Instructor_External_Id__c]], Instructors[Id], Instructors[Instruments_Taught__c])&amp;";"))</f>
        <v>1</v>
      </c>
      <c r="AB1177" t="str">
        <f>IF(LEFT(Lessons[[#This Row],[Status__c]],9)="Cancelled","",Lessons[[#This Row],[Instructor_External_Id__c]]&amp;"|"&amp;TEXT(Lessons[[#This Row],[Lesson_Date__c]],"yyyy-mm-dd")&amp;"|"&amp;Lessons[[#This Row],[Start_Time__c]])</f>
        <v>a06ak00000amzCHAAY|2027-02-08|16:30:00.000Z</v>
      </c>
      <c r="AC1177">
        <f>IF(Lessons[[#This Row],[Double Booked Key]]="","",COUNTIF(Lessons[Double Booked Key],Lessons[[#This Row],[Double Booked Key]]))</f>
        <v>1</v>
      </c>
      <c r="AD1177" s="6" t="str">
        <f>_xlfn.XLOOKUP(Lessons[[#This Row],[Location_External_Id__c]], Locations[Location Id], Locations[Location Name])</f>
        <v>Toms River</v>
      </c>
      <c r="AE1177" s="6" t="str">
        <f>TEXT(Lessons[[#This Row],[Lesson_Date__c]], "yyyy-mm")</f>
        <v>2027-02</v>
      </c>
      <c r="AF1177" s="6" t="str">
        <f>IF(Lessons[[#This Row],[Lesson_Date__c]]&lt;=Data_Audit!$F$1, "Yes", "No")</f>
        <v>No</v>
      </c>
    </row>
    <row r="1178" spans="1:32">
      <c r="A1178" t="s">
        <v>52</v>
      </c>
      <c r="B1178" t="s">
        <v>2997</v>
      </c>
      <c r="C1178">
        <v>60</v>
      </c>
      <c r="D1178" t="s">
        <v>4396</v>
      </c>
      <c r="E1178" t="s">
        <v>804</v>
      </c>
      <c r="F1178" t="s">
        <v>805</v>
      </c>
      <c r="H1178" t="s">
        <v>527</v>
      </c>
      <c r="I1178" t="b">
        <v>0</v>
      </c>
      <c r="K1178" t="s">
        <v>52</v>
      </c>
      <c r="L1178" t="s">
        <v>2997</v>
      </c>
      <c r="O1178" s="1">
        <v>46426</v>
      </c>
      <c r="P1178" t="s">
        <v>4397</v>
      </c>
      <c r="Q1178" t="s">
        <v>4398</v>
      </c>
      <c r="R1178" t="s">
        <v>63</v>
      </c>
      <c r="S1178" t="b">
        <v>0</v>
      </c>
      <c r="T1178" t="b">
        <v>0</v>
      </c>
      <c r="U1178" t="s">
        <v>4399</v>
      </c>
      <c r="V1178" t="s">
        <v>74</v>
      </c>
      <c r="W1178" t="s">
        <v>95</v>
      </c>
      <c r="X1178" t="s">
        <v>2305</v>
      </c>
      <c r="Y1178" t="s">
        <v>2306</v>
      </c>
      <c r="Z1178" t="s">
        <v>2997</v>
      </c>
      <c r="AA1178" t="b">
        <f>ISNUMBER(SEARCH(";"&amp;Lessons[[#This Row],[Instrument__c]]&amp;";",";"&amp;_xlfn.XLOOKUP(Lessons[[#This Row],[Instructor_External_Id__c]], Instructors[Id], Instructors[Instruments_Taught__c])&amp;";"))</f>
        <v>1</v>
      </c>
      <c r="AB1178" t="str">
        <f>IF(LEFT(Lessons[[#This Row],[Status__c]],9)="Cancelled","",Lessons[[#This Row],[Instructor_External_Id__c]]&amp;"|"&amp;TEXT(Lessons[[#This Row],[Lesson_Date__c]],"yyyy-mm-dd")&amp;"|"&amp;Lessons[[#This Row],[Start_Time__c]])</f>
        <v>a06ak00000amzCBAAY|2027-02-08|16:30:00.000Z</v>
      </c>
      <c r="AC1178">
        <f>IF(Lessons[[#This Row],[Double Booked Key]]="","",COUNTIF(Lessons[Double Booked Key],Lessons[[#This Row],[Double Booked Key]]))</f>
        <v>1</v>
      </c>
      <c r="AD1178" s="6" t="str">
        <f>_xlfn.XLOOKUP(Lessons[[#This Row],[Location_External_Id__c]], Locations[Location Id], Locations[Location Name])</f>
        <v>Red Bank</v>
      </c>
      <c r="AE1178" s="6" t="str">
        <f>TEXT(Lessons[[#This Row],[Lesson_Date__c]], "yyyy-mm")</f>
        <v>2027-02</v>
      </c>
      <c r="AF1178" s="6" t="str">
        <f>IF(Lessons[[#This Row],[Lesson_Date__c]]&lt;=Data_Audit!$F$1, "Yes", "No")</f>
        <v>No</v>
      </c>
    </row>
    <row r="1179" spans="1:32">
      <c r="A1179" t="s">
        <v>52</v>
      </c>
      <c r="B1179" t="s">
        <v>2997</v>
      </c>
      <c r="C1179">
        <v>30</v>
      </c>
      <c r="D1179" t="s">
        <v>4400</v>
      </c>
      <c r="E1179" t="s">
        <v>243</v>
      </c>
      <c r="F1179" t="s">
        <v>244</v>
      </c>
      <c r="H1179" t="s">
        <v>650</v>
      </c>
      <c r="I1179" t="b">
        <v>0</v>
      </c>
      <c r="K1179" t="s">
        <v>52</v>
      </c>
      <c r="L1179" t="s">
        <v>2997</v>
      </c>
      <c r="O1179" s="1">
        <v>46426</v>
      </c>
      <c r="P1179" t="s">
        <v>4401</v>
      </c>
      <c r="Q1179" t="s">
        <v>4402</v>
      </c>
      <c r="R1179" t="s">
        <v>83</v>
      </c>
      <c r="S1179" t="b">
        <v>0</v>
      </c>
      <c r="T1179" t="b">
        <v>0</v>
      </c>
      <c r="U1179" t="s">
        <v>4403</v>
      </c>
      <c r="V1179" t="s">
        <v>74</v>
      </c>
      <c r="W1179" t="s">
        <v>95</v>
      </c>
      <c r="X1179" t="s">
        <v>2521</v>
      </c>
      <c r="Y1179" t="s">
        <v>2522</v>
      </c>
      <c r="Z1179" t="s">
        <v>2997</v>
      </c>
      <c r="AA1179" t="b">
        <f>ISNUMBER(SEARCH(";"&amp;Lessons[[#This Row],[Instrument__c]]&amp;";",";"&amp;_xlfn.XLOOKUP(Lessons[[#This Row],[Instructor_External_Id__c]], Instructors[Id], Instructors[Instruments_Taught__c])&amp;";"))</f>
        <v>1</v>
      </c>
      <c r="AB1179" t="str">
        <f>IF(LEFT(Lessons[[#This Row],[Status__c]],9)="Cancelled","",Lessons[[#This Row],[Instructor_External_Id__c]]&amp;"|"&amp;TEXT(Lessons[[#This Row],[Lesson_Date__c]],"yyyy-mm-dd")&amp;"|"&amp;Lessons[[#This Row],[Start_Time__c]])</f>
        <v>a06ak00000amzC1AAI|2027-02-08|16:30:00.000Z</v>
      </c>
      <c r="AC1179">
        <f>IF(Lessons[[#This Row],[Double Booked Key]]="","",COUNTIF(Lessons[Double Booked Key],Lessons[[#This Row],[Double Booked Key]]))</f>
        <v>1</v>
      </c>
      <c r="AD1179" s="6" t="str">
        <f>_xlfn.XLOOKUP(Lessons[[#This Row],[Location_External_Id__c]], Locations[Location Id], Locations[Location Name])</f>
        <v>Brick</v>
      </c>
      <c r="AE1179" s="6" t="str">
        <f>TEXT(Lessons[[#This Row],[Lesson_Date__c]], "yyyy-mm")</f>
        <v>2027-02</v>
      </c>
      <c r="AF1179" s="6" t="str">
        <f>IF(Lessons[[#This Row],[Lesson_Date__c]]&lt;=Data_Audit!$F$1, "Yes", "No")</f>
        <v>No</v>
      </c>
    </row>
    <row r="1180" spans="1:32">
      <c r="A1180" t="s">
        <v>52</v>
      </c>
      <c r="B1180" t="s">
        <v>2997</v>
      </c>
      <c r="C1180">
        <v>45</v>
      </c>
      <c r="D1180" t="s">
        <v>4404</v>
      </c>
      <c r="E1180" t="s">
        <v>359</v>
      </c>
      <c r="F1180" t="s">
        <v>360</v>
      </c>
      <c r="H1180" t="s">
        <v>78</v>
      </c>
      <c r="I1180" t="b">
        <v>0</v>
      </c>
      <c r="K1180" t="s">
        <v>52</v>
      </c>
      <c r="L1180" t="s">
        <v>2997</v>
      </c>
      <c r="O1180" s="1">
        <v>46426</v>
      </c>
      <c r="P1180" t="s">
        <v>4405</v>
      </c>
      <c r="Q1180" t="s">
        <v>4406</v>
      </c>
      <c r="R1180" t="s">
        <v>63</v>
      </c>
      <c r="S1180" t="b">
        <v>0</v>
      </c>
      <c r="T1180" t="b">
        <v>0</v>
      </c>
      <c r="U1180" t="s">
        <v>4407</v>
      </c>
      <c r="V1180" t="s">
        <v>128</v>
      </c>
      <c r="W1180" t="s">
        <v>95</v>
      </c>
      <c r="X1180" t="s">
        <v>667</v>
      </c>
      <c r="Y1180" t="s">
        <v>668</v>
      </c>
      <c r="Z1180" t="s">
        <v>2997</v>
      </c>
      <c r="AA1180" t="b">
        <f>ISNUMBER(SEARCH(";"&amp;Lessons[[#This Row],[Instrument__c]]&amp;";",";"&amp;_xlfn.XLOOKUP(Lessons[[#This Row],[Instructor_External_Id__c]], Instructors[Id], Instructors[Instruments_Taught__c])&amp;";"))</f>
        <v>1</v>
      </c>
      <c r="AB1180" t="str">
        <f>IF(LEFT(Lessons[[#This Row],[Status__c]],9)="Cancelled","",Lessons[[#This Row],[Instructor_External_Id__c]]&amp;"|"&amp;TEXT(Lessons[[#This Row],[Lesson_Date__c]],"yyyy-mm-dd")&amp;"|"&amp;Lessons[[#This Row],[Start_Time__c]])</f>
        <v>a06ak00000amzBiAAI|2027-02-08|18:30:00.000Z</v>
      </c>
      <c r="AC1180">
        <f>IF(Lessons[[#This Row],[Double Booked Key]]="","",COUNTIF(Lessons[Double Booked Key],Lessons[[#This Row],[Double Booked Key]]))</f>
        <v>1</v>
      </c>
      <c r="AD1180" s="6" t="str">
        <f>_xlfn.XLOOKUP(Lessons[[#This Row],[Location_External_Id__c]], Locations[Location Id], Locations[Location Name])</f>
        <v>Red Bank</v>
      </c>
      <c r="AE1180" s="6" t="str">
        <f>TEXT(Lessons[[#This Row],[Lesson_Date__c]], "yyyy-mm")</f>
        <v>2027-02</v>
      </c>
      <c r="AF1180" s="6" t="str">
        <f>IF(Lessons[[#This Row],[Lesson_Date__c]]&lt;=Data_Audit!$F$1, "Yes", "No")</f>
        <v>No</v>
      </c>
    </row>
    <row r="1181" spans="1:32">
      <c r="A1181" t="s">
        <v>52</v>
      </c>
      <c r="B1181" t="s">
        <v>2997</v>
      </c>
      <c r="C1181">
        <v>60</v>
      </c>
      <c r="D1181" t="s">
        <v>4408</v>
      </c>
      <c r="E1181" t="s">
        <v>76</v>
      </c>
      <c r="F1181" t="s">
        <v>77</v>
      </c>
      <c r="H1181" t="s">
        <v>58</v>
      </c>
      <c r="I1181" t="b">
        <v>0</v>
      </c>
      <c r="K1181" t="s">
        <v>52</v>
      </c>
      <c r="L1181" t="s">
        <v>2997</v>
      </c>
      <c r="O1181" s="1">
        <v>46426</v>
      </c>
      <c r="P1181" t="s">
        <v>4409</v>
      </c>
      <c r="Q1181" t="s">
        <v>4410</v>
      </c>
      <c r="R1181" t="s">
        <v>83</v>
      </c>
      <c r="S1181" t="b">
        <v>0</v>
      </c>
      <c r="T1181" t="b">
        <v>0</v>
      </c>
      <c r="U1181" t="s">
        <v>4411</v>
      </c>
      <c r="V1181" t="s">
        <v>128</v>
      </c>
      <c r="W1181" t="s">
        <v>95</v>
      </c>
      <c r="X1181" t="s">
        <v>844</v>
      </c>
      <c r="Y1181" t="s">
        <v>845</v>
      </c>
      <c r="Z1181" t="s">
        <v>2997</v>
      </c>
      <c r="AA1181" t="b">
        <f>ISNUMBER(SEARCH(";"&amp;Lessons[[#This Row],[Instrument__c]]&amp;";",";"&amp;_xlfn.XLOOKUP(Lessons[[#This Row],[Instructor_External_Id__c]], Instructors[Id], Instructors[Instruments_Taught__c])&amp;";"))</f>
        <v>1</v>
      </c>
      <c r="AB1181" t="str">
        <f>IF(LEFT(Lessons[[#This Row],[Status__c]],9)="Cancelled","",Lessons[[#This Row],[Instructor_External_Id__c]]&amp;"|"&amp;TEXT(Lessons[[#This Row],[Lesson_Date__c]],"yyyy-mm-dd")&amp;"|"&amp;Lessons[[#This Row],[Start_Time__c]])</f>
        <v>a06ak00000amzBgAAI|2027-02-08|18:30:00.000Z</v>
      </c>
      <c r="AC1181">
        <f>IF(Lessons[[#This Row],[Double Booked Key]]="","",COUNTIF(Lessons[Double Booked Key],Lessons[[#This Row],[Double Booked Key]]))</f>
        <v>1</v>
      </c>
      <c r="AD1181" s="6" t="str">
        <f>_xlfn.XLOOKUP(Lessons[[#This Row],[Location_External_Id__c]], Locations[Location Id], Locations[Location Name])</f>
        <v>Brick</v>
      </c>
      <c r="AE1181" s="6" t="str">
        <f>TEXT(Lessons[[#This Row],[Lesson_Date__c]], "yyyy-mm")</f>
        <v>2027-02</v>
      </c>
      <c r="AF1181" s="6" t="str">
        <f>IF(Lessons[[#This Row],[Lesson_Date__c]]&lt;=Data_Audit!$F$1, "Yes", "No")</f>
        <v>No</v>
      </c>
    </row>
    <row r="1182" spans="1:32">
      <c r="A1182" t="s">
        <v>52</v>
      </c>
      <c r="B1182" t="s">
        <v>2997</v>
      </c>
      <c r="C1182">
        <v>30</v>
      </c>
      <c r="D1182" t="s">
        <v>4412</v>
      </c>
      <c r="E1182" t="s">
        <v>243</v>
      </c>
      <c r="F1182" t="s">
        <v>244</v>
      </c>
      <c r="H1182" t="s">
        <v>237</v>
      </c>
      <c r="I1182" t="b">
        <v>0</v>
      </c>
      <c r="K1182" t="s">
        <v>52</v>
      </c>
      <c r="L1182" t="s">
        <v>2997</v>
      </c>
      <c r="O1182" s="1">
        <v>46426</v>
      </c>
      <c r="P1182" t="s">
        <v>4413</v>
      </c>
      <c r="Q1182" t="s">
        <v>4414</v>
      </c>
      <c r="R1182" t="s">
        <v>150</v>
      </c>
      <c r="S1182" t="b">
        <v>0</v>
      </c>
      <c r="T1182" t="b">
        <v>0</v>
      </c>
      <c r="U1182" t="s">
        <v>4415</v>
      </c>
      <c r="V1182" t="s">
        <v>94</v>
      </c>
      <c r="W1182" t="s">
        <v>95</v>
      </c>
      <c r="X1182" t="s">
        <v>325</v>
      </c>
      <c r="Y1182" t="s">
        <v>326</v>
      </c>
      <c r="Z1182" t="s">
        <v>2997</v>
      </c>
      <c r="AA1182" t="b">
        <f>ISNUMBER(SEARCH(";"&amp;Lessons[[#This Row],[Instrument__c]]&amp;";",";"&amp;_xlfn.XLOOKUP(Lessons[[#This Row],[Instructor_External_Id__c]], Instructors[Id], Instructors[Instruments_Taught__c])&amp;";"))</f>
        <v>1</v>
      </c>
      <c r="AB1182" t="str">
        <f>IF(LEFT(Lessons[[#This Row],[Status__c]],9)="Cancelled","",Lessons[[#This Row],[Instructor_External_Id__c]]&amp;"|"&amp;TEXT(Lessons[[#This Row],[Lesson_Date__c]],"yyyy-mm-dd")&amp;"|"&amp;Lessons[[#This Row],[Start_Time__c]])</f>
        <v>a06ak00000amzC1AAI|2027-02-08|19:00:00.000Z</v>
      </c>
      <c r="AC1182">
        <f>IF(Lessons[[#This Row],[Double Booked Key]]="","",COUNTIF(Lessons[Double Booked Key],Lessons[[#This Row],[Double Booked Key]]))</f>
        <v>1</v>
      </c>
      <c r="AD1182" s="6" t="str">
        <f>_xlfn.XLOOKUP(Lessons[[#This Row],[Location_External_Id__c]], Locations[Location Id], Locations[Location Name])</f>
        <v>Toms River</v>
      </c>
      <c r="AE1182" s="6" t="str">
        <f>TEXT(Lessons[[#This Row],[Lesson_Date__c]], "yyyy-mm")</f>
        <v>2027-02</v>
      </c>
      <c r="AF1182" s="6" t="str">
        <f>IF(Lessons[[#This Row],[Lesson_Date__c]]&lt;=Data_Audit!$F$1, "Yes", "No")</f>
        <v>No</v>
      </c>
    </row>
    <row r="1183" spans="1:32">
      <c r="A1183" t="s">
        <v>52</v>
      </c>
      <c r="B1183" t="s">
        <v>2997</v>
      </c>
      <c r="C1183">
        <v>60</v>
      </c>
      <c r="D1183" t="s">
        <v>4416</v>
      </c>
      <c r="E1183" t="s">
        <v>243</v>
      </c>
      <c r="F1183" t="s">
        <v>244</v>
      </c>
      <c r="H1183" t="s">
        <v>237</v>
      </c>
      <c r="I1183" t="b">
        <v>0</v>
      </c>
      <c r="K1183" t="s">
        <v>52</v>
      </c>
      <c r="L1183" t="s">
        <v>2997</v>
      </c>
      <c r="O1183" s="1">
        <v>46427</v>
      </c>
      <c r="P1183" t="s">
        <v>4417</v>
      </c>
      <c r="Q1183" t="s">
        <v>4418</v>
      </c>
      <c r="R1183" t="s">
        <v>83</v>
      </c>
      <c r="S1183" t="b">
        <v>0</v>
      </c>
      <c r="T1183" t="b">
        <v>0</v>
      </c>
      <c r="U1183" t="s">
        <v>4419</v>
      </c>
      <c r="V1183" t="s">
        <v>135</v>
      </c>
      <c r="W1183" t="s">
        <v>95</v>
      </c>
      <c r="X1183" t="s">
        <v>965</v>
      </c>
      <c r="Y1183" t="s">
        <v>966</v>
      </c>
      <c r="Z1183" t="s">
        <v>2997</v>
      </c>
      <c r="AA1183" t="b">
        <f>ISNUMBER(SEARCH(";"&amp;Lessons[[#This Row],[Instrument__c]]&amp;";",";"&amp;_xlfn.XLOOKUP(Lessons[[#This Row],[Instructor_External_Id__c]], Instructors[Id], Instructors[Instruments_Taught__c])&amp;";"))</f>
        <v>1</v>
      </c>
      <c r="AB1183" t="str">
        <f>IF(LEFT(Lessons[[#This Row],[Status__c]],9)="Cancelled","",Lessons[[#This Row],[Instructor_External_Id__c]]&amp;"|"&amp;TEXT(Lessons[[#This Row],[Lesson_Date__c]],"yyyy-mm-dd")&amp;"|"&amp;Lessons[[#This Row],[Start_Time__c]])</f>
        <v>a06ak00000amzC1AAI|2027-02-09|15:30:00.000Z</v>
      </c>
      <c r="AC1183">
        <f>IF(Lessons[[#This Row],[Double Booked Key]]="","",COUNTIF(Lessons[Double Booked Key],Lessons[[#This Row],[Double Booked Key]]))</f>
        <v>1</v>
      </c>
      <c r="AD1183" s="6" t="str">
        <f>_xlfn.XLOOKUP(Lessons[[#This Row],[Location_External_Id__c]], Locations[Location Id], Locations[Location Name])</f>
        <v>Brick</v>
      </c>
      <c r="AE1183" s="6" t="str">
        <f>TEXT(Lessons[[#This Row],[Lesson_Date__c]], "yyyy-mm")</f>
        <v>2027-02</v>
      </c>
      <c r="AF1183" s="6" t="str">
        <f>IF(Lessons[[#This Row],[Lesson_Date__c]]&lt;=Data_Audit!$F$1, "Yes", "No")</f>
        <v>No</v>
      </c>
    </row>
    <row r="1184" spans="1:32">
      <c r="A1184" t="s">
        <v>52</v>
      </c>
      <c r="B1184" t="s">
        <v>2997</v>
      </c>
      <c r="C1184">
        <v>45</v>
      </c>
      <c r="D1184" t="s">
        <v>4420</v>
      </c>
      <c r="E1184" t="s">
        <v>436</v>
      </c>
      <c r="F1184" t="s">
        <v>437</v>
      </c>
      <c r="H1184" t="s">
        <v>263</v>
      </c>
      <c r="I1184" t="b">
        <v>0</v>
      </c>
      <c r="K1184" t="s">
        <v>52</v>
      </c>
      <c r="L1184" t="s">
        <v>2997</v>
      </c>
      <c r="O1184" s="1">
        <v>46427</v>
      </c>
      <c r="P1184" t="s">
        <v>4421</v>
      </c>
      <c r="Q1184" t="s">
        <v>4422</v>
      </c>
      <c r="R1184" t="s">
        <v>63</v>
      </c>
      <c r="S1184" t="b">
        <v>0</v>
      </c>
      <c r="T1184" t="b">
        <v>0</v>
      </c>
      <c r="U1184" t="s">
        <v>4423</v>
      </c>
      <c r="V1184" t="s">
        <v>102</v>
      </c>
      <c r="W1184" t="s">
        <v>95</v>
      </c>
      <c r="X1184" t="s">
        <v>441</v>
      </c>
      <c r="Y1184" t="s">
        <v>442</v>
      </c>
      <c r="Z1184" t="s">
        <v>2997</v>
      </c>
      <c r="AA1184" t="b">
        <f>ISNUMBER(SEARCH(";"&amp;Lessons[[#This Row],[Instrument__c]]&amp;";",";"&amp;_xlfn.XLOOKUP(Lessons[[#This Row],[Instructor_External_Id__c]], Instructors[Id], Instructors[Instruments_Taught__c])&amp;";"))</f>
        <v>1</v>
      </c>
      <c r="AB1184" t="str">
        <f>IF(LEFT(Lessons[[#This Row],[Status__c]],9)="Cancelled","",Lessons[[#This Row],[Instructor_External_Id__c]]&amp;"|"&amp;TEXT(Lessons[[#This Row],[Lesson_Date__c]],"yyyy-mm-dd")&amp;"|"&amp;Lessons[[#This Row],[Start_Time__c]])</f>
        <v>a06ak00000amzC0AAI|2027-02-09|16:00:00.000Z</v>
      </c>
      <c r="AC1184">
        <f>IF(Lessons[[#This Row],[Double Booked Key]]="","",COUNTIF(Lessons[Double Booked Key],Lessons[[#This Row],[Double Booked Key]]))</f>
        <v>1</v>
      </c>
      <c r="AD1184" s="6" t="str">
        <f>_xlfn.XLOOKUP(Lessons[[#This Row],[Location_External_Id__c]], Locations[Location Id], Locations[Location Name])</f>
        <v>Red Bank</v>
      </c>
      <c r="AE1184" s="6" t="str">
        <f>TEXT(Lessons[[#This Row],[Lesson_Date__c]], "yyyy-mm")</f>
        <v>2027-02</v>
      </c>
      <c r="AF1184" s="6" t="str">
        <f>IF(Lessons[[#This Row],[Lesson_Date__c]]&lt;=Data_Audit!$F$1, "Yes", "No")</f>
        <v>No</v>
      </c>
    </row>
    <row r="1185" spans="1:32">
      <c r="A1185" t="s">
        <v>52</v>
      </c>
      <c r="B1185" t="s">
        <v>2997</v>
      </c>
      <c r="C1185">
        <v>60</v>
      </c>
      <c r="D1185" t="s">
        <v>4424</v>
      </c>
      <c r="E1185" t="s">
        <v>359</v>
      </c>
      <c r="F1185" t="s">
        <v>360</v>
      </c>
      <c r="H1185" t="s">
        <v>284</v>
      </c>
      <c r="I1185" t="b">
        <v>0</v>
      </c>
      <c r="K1185" t="s">
        <v>52</v>
      </c>
      <c r="L1185" t="s">
        <v>2997</v>
      </c>
      <c r="O1185" s="1">
        <v>46428</v>
      </c>
      <c r="P1185" t="s">
        <v>4425</v>
      </c>
      <c r="Q1185" t="s">
        <v>4426</v>
      </c>
      <c r="R1185" t="s">
        <v>63</v>
      </c>
      <c r="S1185" t="b">
        <v>0</v>
      </c>
      <c r="T1185" t="b">
        <v>0</v>
      </c>
      <c r="U1185" t="s">
        <v>4427</v>
      </c>
      <c r="V1185" t="s">
        <v>102</v>
      </c>
      <c r="W1185" t="s">
        <v>95</v>
      </c>
      <c r="X1185" t="s">
        <v>768</v>
      </c>
      <c r="Y1185" t="s">
        <v>769</v>
      </c>
      <c r="Z1185" t="s">
        <v>2997</v>
      </c>
      <c r="AA1185" t="b">
        <f>ISNUMBER(SEARCH(";"&amp;Lessons[[#This Row],[Instrument__c]]&amp;";",";"&amp;_xlfn.XLOOKUP(Lessons[[#This Row],[Instructor_External_Id__c]], Instructors[Id], Instructors[Instruments_Taught__c])&amp;";"))</f>
        <v>1</v>
      </c>
      <c r="AB1185" t="str">
        <f>IF(LEFT(Lessons[[#This Row],[Status__c]],9)="Cancelled","",Lessons[[#This Row],[Instructor_External_Id__c]]&amp;"|"&amp;TEXT(Lessons[[#This Row],[Lesson_Date__c]],"yyyy-mm-dd")&amp;"|"&amp;Lessons[[#This Row],[Start_Time__c]])</f>
        <v>a06ak00000amzBiAAI|2027-02-10|16:00:00.000Z</v>
      </c>
      <c r="AC1185">
        <f>IF(Lessons[[#This Row],[Double Booked Key]]="","",COUNTIF(Lessons[Double Booked Key],Lessons[[#This Row],[Double Booked Key]]))</f>
        <v>1</v>
      </c>
      <c r="AD1185" s="6" t="str">
        <f>_xlfn.XLOOKUP(Lessons[[#This Row],[Location_External_Id__c]], Locations[Location Id], Locations[Location Name])</f>
        <v>Red Bank</v>
      </c>
      <c r="AE1185" s="6" t="str">
        <f>TEXT(Lessons[[#This Row],[Lesson_Date__c]], "yyyy-mm")</f>
        <v>2027-02</v>
      </c>
      <c r="AF1185" s="6" t="str">
        <f>IF(Lessons[[#This Row],[Lesson_Date__c]]&lt;=Data_Audit!$F$1, "Yes", "No")</f>
        <v>No</v>
      </c>
    </row>
    <row r="1186" spans="1:32">
      <c r="A1186" t="s">
        <v>52</v>
      </c>
      <c r="B1186" t="s">
        <v>2997</v>
      </c>
      <c r="C1186">
        <v>30</v>
      </c>
      <c r="D1186" t="s">
        <v>4428</v>
      </c>
      <c r="E1186" t="s">
        <v>318</v>
      </c>
      <c r="F1186" t="s">
        <v>319</v>
      </c>
      <c r="H1186" t="s">
        <v>237</v>
      </c>
      <c r="I1186" t="b">
        <v>0</v>
      </c>
      <c r="K1186" t="s">
        <v>52</v>
      </c>
      <c r="L1186" t="s">
        <v>2997</v>
      </c>
      <c r="O1186" s="1">
        <v>46429</v>
      </c>
      <c r="P1186" t="s">
        <v>4429</v>
      </c>
      <c r="Q1186" t="s">
        <v>4430</v>
      </c>
      <c r="R1186" t="s">
        <v>63</v>
      </c>
      <c r="S1186" t="b">
        <v>0</v>
      </c>
      <c r="T1186" t="b">
        <v>0</v>
      </c>
      <c r="U1186" t="s">
        <v>4431</v>
      </c>
      <c r="V1186" t="s">
        <v>140</v>
      </c>
      <c r="W1186" t="s">
        <v>95</v>
      </c>
      <c r="X1186" t="s">
        <v>1944</v>
      </c>
      <c r="Y1186" t="s">
        <v>1945</v>
      </c>
      <c r="Z1186" t="s">
        <v>2997</v>
      </c>
      <c r="AA1186" t="b">
        <f>ISNUMBER(SEARCH(";"&amp;Lessons[[#This Row],[Instrument__c]]&amp;";",";"&amp;_xlfn.XLOOKUP(Lessons[[#This Row],[Instructor_External_Id__c]], Instructors[Id], Instructors[Instruments_Taught__c])&amp;";"))</f>
        <v>1</v>
      </c>
      <c r="AB1186" t="str">
        <f>IF(LEFT(Lessons[[#This Row],[Status__c]],9)="Cancelled","",Lessons[[#This Row],[Instructor_External_Id__c]]&amp;"|"&amp;TEXT(Lessons[[#This Row],[Lesson_Date__c]],"yyyy-mm-dd")&amp;"|"&amp;Lessons[[#This Row],[Start_Time__c]])</f>
        <v>a06ak00000amzBzAAI|2027-02-11|15:00:00.000Z</v>
      </c>
      <c r="AC1186">
        <f>IF(Lessons[[#This Row],[Double Booked Key]]="","",COUNTIF(Lessons[Double Booked Key],Lessons[[#This Row],[Double Booked Key]]))</f>
        <v>1</v>
      </c>
      <c r="AD1186" s="6" t="str">
        <f>_xlfn.XLOOKUP(Lessons[[#This Row],[Location_External_Id__c]], Locations[Location Id], Locations[Location Name])</f>
        <v>Red Bank</v>
      </c>
      <c r="AE1186" s="6" t="str">
        <f>TEXT(Lessons[[#This Row],[Lesson_Date__c]], "yyyy-mm")</f>
        <v>2027-02</v>
      </c>
      <c r="AF1186" s="6" t="str">
        <f>IF(Lessons[[#This Row],[Lesson_Date__c]]&lt;=Data_Audit!$F$1, "Yes", "No")</f>
        <v>No</v>
      </c>
    </row>
    <row r="1187" spans="1:32">
      <c r="A1187" t="s">
        <v>52</v>
      </c>
      <c r="B1187" t="s">
        <v>2997</v>
      </c>
      <c r="C1187">
        <v>60</v>
      </c>
      <c r="D1187" t="s">
        <v>4432</v>
      </c>
      <c r="E1187" t="s">
        <v>318</v>
      </c>
      <c r="F1187" t="s">
        <v>319</v>
      </c>
      <c r="H1187" t="s">
        <v>237</v>
      </c>
      <c r="I1187" t="b">
        <v>0</v>
      </c>
      <c r="K1187" t="s">
        <v>52</v>
      </c>
      <c r="L1187" t="s">
        <v>2997</v>
      </c>
      <c r="O1187" s="1">
        <v>46429</v>
      </c>
      <c r="P1187" t="s">
        <v>4433</v>
      </c>
      <c r="Q1187" t="s">
        <v>4434</v>
      </c>
      <c r="R1187" t="s">
        <v>150</v>
      </c>
      <c r="S1187" t="b">
        <v>0</v>
      </c>
      <c r="T1187" t="b">
        <v>0</v>
      </c>
      <c r="U1187" t="s">
        <v>4435</v>
      </c>
      <c r="V1187" t="s">
        <v>116</v>
      </c>
      <c r="W1187" t="s">
        <v>95</v>
      </c>
      <c r="X1187" t="s">
        <v>1004</v>
      </c>
      <c r="Y1187" t="s">
        <v>1005</v>
      </c>
      <c r="Z1187" t="s">
        <v>2997</v>
      </c>
      <c r="AA1187" t="b">
        <f>ISNUMBER(SEARCH(";"&amp;Lessons[[#This Row],[Instrument__c]]&amp;";",";"&amp;_xlfn.XLOOKUP(Lessons[[#This Row],[Instructor_External_Id__c]], Instructors[Id], Instructors[Instruments_Taught__c])&amp;";"))</f>
        <v>1</v>
      </c>
      <c r="AB1187" t="str">
        <f>IF(LEFT(Lessons[[#This Row],[Status__c]],9)="Cancelled","",Lessons[[#This Row],[Instructor_External_Id__c]]&amp;"|"&amp;TEXT(Lessons[[#This Row],[Lesson_Date__c]],"yyyy-mm-dd")&amp;"|"&amp;Lessons[[#This Row],[Start_Time__c]])</f>
        <v>a06ak00000amzBzAAI|2027-02-11|17:30:00.000Z</v>
      </c>
      <c r="AC1187">
        <f>IF(Lessons[[#This Row],[Double Booked Key]]="","",COUNTIF(Lessons[Double Booked Key],Lessons[[#This Row],[Double Booked Key]]))</f>
        <v>1</v>
      </c>
      <c r="AD1187" s="6" t="str">
        <f>_xlfn.XLOOKUP(Lessons[[#This Row],[Location_External_Id__c]], Locations[Location Id], Locations[Location Name])</f>
        <v>Toms River</v>
      </c>
      <c r="AE1187" s="6" t="str">
        <f>TEXT(Lessons[[#This Row],[Lesson_Date__c]], "yyyy-mm")</f>
        <v>2027-02</v>
      </c>
      <c r="AF1187" s="6" t="str">
        <f>IF(Lessons[[#This Row],[Lesson_Date__c]]&lt;=Data_Audit!$F$1, "Yes", "No")</f>
        <v>No</v>
      </c>
    </row>
    <row r="1188" spans="1:32">
      <c r="A1188" t="s">
        <v>52</v>
      </c>
      <c r="B1188" t="s">
        <v>2997</v>
      </c>
      <c r="C1188">
        <v>30</v>
      </c>
      <c r="D1188" t="s">
        <v>4436</v>
      </c>
      <c r="E1188" t="s">
        <v>359</v>
      </c>
      <c r="F1188" t="s">
        <v>360</v>
      </c>
      <c r="H1188" t="s">
        <v>392</v>
      </c>
      <c r="I1188" t="b">
        <v>0</v>
      </c>
      <c r="K1188" t="s">
        <v>52</v>
      </c>
      <c r="L1188" t="s">
        <v>2997</v>
      </c>
      <c r="O1188" s="1">
        <v>46429</v>
      </c>
      <c r="P1188" t="s">
        <v>4437</v>
      </c>
      <c r="Q1188" t="s">
        <v>4438</v>
      </c>
      <c r="R1188" t="s">
        <v>63</v>
      </c>
      <c r="S1188" t="b">
        <v>0</v>
      </c>
      <c r="T1188" t="b">
        <v>0</v>
      </c>
      <c r="U1188" t="s">
        <v>4439</v>
      </c>
      <c r="V1188" t="s">
        <v>128</v>
      </c>
      <c r="W1188" t="s">
        <v>95</v>
      </c>
      <c r="X1188" t="s">
        <v>1207</v>
      </c>
      <c r="Y1188" t="s">
        <v>1208</v>
      </c>
      <c r="Z1188" t="s">
        <v>2997</v>
      </c>
      <c r="AA1188" t="b">
        <f>ISNUMBER(SEARCH(";"&amp;Lessons[[#This Row],[Instrument__c]]&amp;";",";"&amp;_xlfn.XLOOKUP(Lessons[[#This Row],[Instructor_External_Id__c]], Instructors[Id], Instructors[Instruments_Taught__c])&amp;";"))</f>
        <v>1</v>
      </c>
      <c r="AB1188" t="str">
        <f>IF(LEFT(Lessons[[#This Row],[Status__c]],9)="Cancelled","",Lessons[[#This Row],[Instructor_External_Id__c]]&amp;"|"&amp;TEXT(Lessons[[#This Row],[Lesson_Date__c]],"yyyy-mm-dd")&amp;"|"&amp;Lessons[[#This Row],[Start_Time__c]])</f>
        <v>a06ak00000amzBiAAI|2027-02-11|18:30:00.000Z</v>
      </c>
      <c r="AC1188">
        <f>IF(Lessons[[#This Row],[Double Booked Key]]="","",COUNTIF(Lessons[Double Booked Key],Lessons[[#This Row],[Double Booked Key]]))</f>
        <v>1</v>
      </c>
      <c r="AD1188" s="6" t="str">
        <f>_xlfn.XLOOKUP(Lessons[[#This Row],[Location_External_Id__c]], Locations[Location Id], Locations[Location Name])</f>
        <v>Red Bank</v>
      </c>
      <c r="AE1188" s="6" t="str">
        <f>TEXT(Lessons[[#This Row],[Lesson_Date__c]], "yyyy-mm")</f>
        <v>2027-02</v>
      </c>
      <c r="AF1188" s="6" t="str">
        <f>IF(Lessons[[#This Row],[Lesson_Date__c]]&lt;=Data_Audit!$F$1, "Yes", "No")</f>
        <v>No</v>
      </c>
    </row>
    <row r="1189" spans="1:32">
      <c r="A1189" t="s">
        <v>52</v>
      </c>
      <c r="B1189" t="s">
        <v>2997</v>
      </c>
      <c r="C1189">
        <v>45</v>
      </c>
      <c r="D1189" t="s">
        <v>4440</v>
      </c>
      <c r="E1189" t="s">
        <v>318</v>
      </c>
      <c r="F1189" t="s">
        <v>319</v>
      </c>
      <c r="H1189" t="s">
        <v>237</v>
      </c>
      <c r="I1189" t="b">
        <v>0</v>
      </c>
      <c r="K1189" t="s">
        <v>52</v>
      </c>
      <c r="L1189" t="s">
        <v>2997</v>
      </c>
      <c r="O1189" s="1">
        <v>46430</v>
      </c>
      <c r="P1189" t="s">
        <v>4441</v>
      </c>
      <c r="Q1189" t="s">
        <v>4442</v>
      </c>
      <c r="R1189" t="s">
        <v>150</v>
      </c>
      <c r="S1189" t="b">
        <v>0</v>
      </c>
      <c r="T1189" t="b">
        <v>0</v>
      </c>
      <c r="U1189" t="s">
        <v>4443</v>
      </c>
      <c r="V1189" t="s">
        <v>74</v>
      </c>
      <c r="W1189" t="s">
        <v>95</v>
      </c>
      <c r="X1189" t="s">
        <v>416</v>
      </c>
      <c r="Y1189" t="s">
        <v>417</v>
      </c>
      <c r="Z1189" t="s">
        <v>2997</v>
      </c>
      <c r="AA1189" t="b">
        <f>ISNUMBER(SEARCH(";"&amp;Lessons[[#This Row],[Instrument__c]]&amp;";",";"&amp;_xlfn.XLOOKUP(Lessons[[#This Row],[Instructor_External_Id__c]], Instructors[Id], Instructors[Instruments_Taught__c])&amp;";"))</f>
        <v>1</v>
      </c>
      <c r="AB1189" t="str">
        <f>IF(LEFT(Lessons[[#This Row],[Status__c]],9)="Cancelled","",Lessons[[#This Row],[Instructor_External_Id__c]]&amp;"|"&amp;TEXT(Lessons[[#This Row],[Lesson_Date__c]],"yyyy-mm-dd")&amp;"|"&amp;Lessons[[#This Row],[Start_Time__c]])</f>
        <v>a06ak00000amzBzAAI|2027-02-12|16:30:00.000Z</v>
      </c>
      <c r="AC1189">
        <f>IF(Lessons[[#This Row],[Double Booked Key]]="","",COUNTIF(Lessons[Double Booked Key],Lessons[[#This Row],[Double Booked Key]]))</f>
        <v>1</v>
      </c>
      <c r="AD1189" s="6" t="str">
        <f>_xlfn.XLOOKUP(Lessons[[#This Row],[Location_External_Id__c]], Locations[Location Id], Locations[Location Name])</f>
        <v>Toms River</v>
      </c>
      <c r="AE1189" s="6" t="str">
        <f>TEXT(Lessons[[#This Row],[Lesson_Date__c]], "yyyy-mm")</f>
        <v>2027-02</v>
      </c>
      <c r="AF1189" s="6" t="str">
        <f>IF(Lessons[[#This Row],[Lesson_Date__c]]&lt;=Data_Audit!$F$1, "Yes", "No")</f>
        <v>No</v>
      </c>
    </row>
    <row r="1190" spans="1:32">
      <c r="A1190" t="s">
        <v>52</v>
      </c>
      <c r="B1190" t="s">
        <v>2997</v>
      </c>
      <c r="C1190">
        <v>30</v>
      </c>
      <c r="D1190" t="s">
        <v>4444</v>
      </c>
      <c r="E1190" t="s">
        <v>459</v>
      </c>
      <c r="F1190" t="s">
        <v>460</v>
      </c>
      <c r="H1190" t="s">
        <v>461</v>
      </c>
      <c r="I1190" t="b">
        <v>0</v>
      </c>
      <c r="K1190" t="s">
        <v>52</v>
      </c>
      <c r="L1190" t="s">
        <v>2997</v>
      </c>
      <c r="O1190" s="1">
        <v>46430</v>
      </c>
      <c r="P1190" t="s">
        <v>4445</v>
      </c>
      <c r="Q1190" t="s">
        <v>4446</v>
      </c>
      <c r="R1190" t="s">
        <v>83</v>
      </c>
      <c r="S1190" t="b">
        <v>0</v>
      </c>
      <c r="T1190" t="b">
        <v>0</v>
      </c>
      <c r="U1190" t="s">
        <v>4447</v>
      </c>
      <c r="V1190" t="s">
        <v>74</v>
      </c>
      <c r="W1190" t="s">
        <v>95</v>
      </c>
      <c r="X1190" t="s">
        <v>1990</v>
      </c>
      <c r="Y1190" t="s">
        <v>1991</v>
      </c>
      <c r="Z1190" t="s">
        <v>2997</v>
      </c>
      <c r="AA1190" t="b">
        <f>ISNUMBER(SEARCH(";"&amp;Lessons[[#This Row],[Instrument__c]]&amp;";",";"&amp;_xlfn.XLOOKUP(Lessons[[#This Row],[Instructor_External_Id__c]], Instructors[Id], Instructors[Instruments_Taught__c])&amp;";"))</f>
        <v>1</v>
      </c>
      <c r="AB1190" t="str">
        <f>IF(LEFT(Lessons[[#This Row],[Status__c]],9)="Cancelled","",Lessons[[#This Row],[Instructor_External_Id__c]]&amp;"|"&amp;TEXT(Lessons[[#This Row],[Lesson_Date__c]],"yyyy-mm-dd")&amp;"|"&amp;Lessons[[#This Row],[Start_Time__c]])</f>
        <v>a06ak00000amzC8AAI|2027-02-12|16:30:00.000Z</v>
      </c>
      <c r="AC1190">
        <f>IF(Lessons[[#This Row],[Double Booked Key]]="","",COUNTIF(Lessons[Double Booked Key],Lessons[[#This Row],[Double Booked Key]]))</f>
        <v>1</v>
      </c>
      <c r="AD1190" s="6" t="str">
        <f>_xlfn.XLOOKUP(Lessons[[#This Row],[Location_External_Id__c]], Locations[Location Id], Locations[Location Name])</f>
        <v>Brick</v>
      </c>
      <c r="AE1190" s="6" t="str">
        <f>TEXT(Lessons[[#This Row],[Lesson_Date__c]], "yyyy-mm")</f>
        <v>2027-02</v>
      </c>
      <c r="AF1190" s="6" t="str">
        <f>IF(Lessons[[#This Row],[Lesson_Date__c]]&lt;=Data_Audit!$F$1, "Yes", "No")</f>
        <v>No</v>
      </c>
    </row>
    <row r="1191" spans="1:32">
      <c r="A1191" t="s">
        <v>52</v>
      </c>
      <c r="B1191" t="s">
        <v>2997</v>
      </c>
      <c r="C1191">
        <v>45</v>
      </c>
      <c r="D1191" t="s">
        <v>4448</v>
      </c>
      <c r="E1191" t="s">
        <v>573</v>
      </c>
      <c r="F1191" t="s">
        <v>574</v>
      </c>
      <c r="H1191" t="s">
        <v>461</v>
      </c>
      <c r="I1191" t="b">
        <v>0</v>
      </c>
      <c r="K1191" t="s">
        <v>52</v>
      </c>
      <c r="L1191" t="s">
        <v>2997</v>
      </c>
      <c r="O1191" s="1">
        <v>46430</v>
      </c>
      <c r="P1191" t="s">
        <v>4449</v>
      </c>
      <c r="Q1191" t="s">
        <v>4450</v>
      </c>
      <c r="R1191" t="s">
        <v>150</v>
      </c>
      <c r="S1191" t="b">
        <v>0</v>
      </c>
      <c r="T1191" t="b">
        <v>0</v>
      </c>
      <c r="U1191" t="s">
        <v>4451</v>
      </c>
      <c r="V1191" t="s">
        <v>84</v>
      </c>
      <c r="W1191" t="s">
        <v>95</v>
      </c>
      <c r="X1191" t="s">
        <v>2620</v>
      </c>
      <c r="Y1191" t="s">
        <v>2621</v>
      </c>
      <c r="Z1191" t="s">
        <v>2997</v>
      </c>
      <c r="AA1191" t="b">
        <f>ISNUMBER(SEARCH(";"&amp;Lessons[[#This Row],[Instrument__c]]&amp;";",";"&amp;_xlfn.XLOOKUP(Lessons[[#This Row],[Instructor_External_Id__c]], Instructors[Id], Instructors[Instruments_Taught__c])&amp;";"))</f>
        <v>1</v>
      </c>
      <c r="AB1191" t="str">
        <f>IF(LEFT(Lessons[[#This Row],[Status__c]],9)="Cancelled","",Lessons[[#This Row],[Instructor_External_Id__c]]&amp;"|"&amp;TEXT(Lessons[[#This Row],[Lesson_Date__c]],"yyyy-mm-dd")&amp;"|"&amp;Lessons[[#This Row],[Start_Time__c]])</f>
        <v>a06ak00000amzCCAAY|2027-02-12|17:00:00.000Z</v>
      </c>
      <c r="AC1191">
        <f>IF(Lessons[[#This Row],[Double Booked Key]]="","",COUNTIF(Lessons[Double Booked Key],Lessons[[#This Row],[Double Booked Key]]))</f>
        <v>1</v>
      </c>
      <c r="AD1191" s="6" t="str">
        <f>_xlfn.XLOOKUP(Lessons[[#This Row],[Location_External_Id__c]], Locations[Location Id], Locations[Location Name])</f>
        <v>Toms River</v>
      </c>
      <c r="AE1191" s="6" t="str">
        <f>TEXT(Lessons[[#This Row],[Lesson_Date__c]], "yyyy-mm")</f>
        <v>2027-02</v>
      </c>
      <c r="AF1191" s="6" t="str">
        <f>IF(Lessons[[#This Row],[Lesson_Date__c]]&lt;=Data_Audit!$F$1, "Yes", "No")</f>
        <v>No</v>
      </c>
    </row>
    <row r="1192" spans="1:32">
      <c r="A1192" t="s">
        <v>52</v>
      </c>
      <c r="B1192" t="s">
        <v>2997</v>
      </c>
      <c r="C1192">
        <v>30</v>
      </c>
      <c r="D1192" t="s">
        <v>4452</v>
      </c>
      <c r="E1192" t="s">
        <v>401</v>
      </c>
      <c r="F1192" t="s">
        <v>402</v>
      </c>
      <c r="H1192" t="s">
        <v>263</v>
      </c>
      <c r="I1192" t="b">
        <v>0</v>
      </c>
      <c r="K1192" t="s">
        <v>52</v>
      </c>
      <c r="L1192" t="s">
        <v>2997</v>
      </c>
      <c r="O1192" s="1">
        <v>46430</v>
      </c>
      <c r="P1192" t="s">
        <v>4453</v>
      </c>
      <c r="Q1192" t="s">
        <v>4454</v>
      </c>
      <c r="R1192" t="s">
        <v>150</v>
      </c>
      <c r="S1192" t="b">
        <v>0</v>
      </c>
      <c r="T1192" t="b">
        <v>0</v>
      </c>
      <c r="U1192" t="s">
        <v>4455</v>
      </c>
      <c r="V1192" t="s">
        <v>120</v>
      </c>
      <c r="W1192" t="s">
        <v>95</v>
      </c>
      <c r="X1192" t="s">
        <v>2414</v>
      </c>
      <c r="Y1192" t="s">
        <v>2415</v>
      </c>
      <c r="Z1192" t="s">
        <v>2997</v>
      </c>
      <c r="AA1192" t="b">
        <f>ISNUMBER(SEARCH(";"&amp;Lessons[[#This Row],[Instrument__c]]&amp;";",";"&amp;_xlfn.XLOOKUP(Lessons[[#This Row],[Instructor_External_Id__c]], Instructors[Id], Instructors[Instruments_Taught__c])&amp;";"))</f>
        <v>1</v>
      </c>
      <c r="AB1192" t="str">
        <f>IF(LEFT(Lessons[[#This Row],[Status__c]],9)="Cancelled","",Lessons[[#This Row],[Instructor_External_Id__c]]&amp;"|"&amp;TEXT(Lessons[[#This Row],[Lesson_Date__c]],"yyyy-mm-dd")&amp;"|"&amp;Lessons[[#This Row],[Start_Time__c]])</f>
        <v>a06ak00000amzBfAAI|2027-02-12|18:00:00.000Z</v>
      </c>
      <c r="AC1192">
        <f>IF(Lessons[[#This Row],[Double Booked Key]]="","",COUNTIF(Lessons[Double Booked Key],Lessons[[#This Row],[Double Booked Key]]))</f>
        <v>1</v>
      </c>
      <c r="AD1192" s="6" t="str">
        <f>_xlfn.XLOOKUP(Lessons[[#This Row],[Location_External_Id__c]], Locations[Location Id], Locations[Location Name])</f>
        <v>Toms River</v>
      </c>
      <c r="AE1192" s="6" t="str">
        <f>TEXT(Lessons[[#This Row],[Lesson_Date__c]], "yyyy-mm")</f>
        <v>2027-02</v>
      </c>
      <c r="AF1192" s="6" t="str">
        <f>IF(Lessons[[#This Row],[Lesson_Date__c]]&lt;=Data_Audit!$F$1, "Yes", "No")</f>
        <v>No</v>
      </c>
    </row>
    <row r="1193" spans="1:32">
      <c r="A1193" t="s">
        <v>52</v>
      </c>
      <c r="B1193" t="s">
        <v>2997</v>
      </c>
      <c r="C1193">
        <v>30</v>
      </c>
      <c r="D1193" t="s">
        <v>4456</v>
      </c>
      <c r="E1193" t="s">
        <v>76</v>
      </c>
      <c r="F1193" t="s">
        <v>77</v>
      </c>
      <c r="H1193" t="s">
        <v>78</v>
      </c>
      <c r="I1193" t="b">
        <v>0</v>
      </c>
      <c r="K1193" t="s">
        <v>52</v>
      </c>
      <c r="L1193" t="s">
        <v>2997</v>
      </c>
      <c r="O1193" s="1">
        <v>46430</v>
      </c>
      <c r="P1193" t="s">
        <v>4457</v>
      </c>
      <c r="Q1193" t="s">
        <v>4458</v>
      </c>
      <c r="R1193" t="s">
        <v>83</v>
      </c>
      <c r="S1193" t="b">
        <v>0</v>
      </c>
      <c r="T1193" t="b">
        <v>0</v>
      </c>
      <c r="U1193" t="s">
        <v>4459</v>
      </c>
      <c r="V1193" t="s">
        <v>128</v>
      </c>
      <c r="W1193" t="s">
        <v>95</v>
      </c>
      <c r="X1193" t="s">
        <v>2906</v>
      </c>
      <c r="Y1193" t="s">
        <v>1034</v>
      </c>
      <c r="Z1193" t="s">
        <v>2997</v>
      </c>
      <c r="AA1193" t="b">
        <f>ISNUMBER(SEARCH(";"&amp;Lessons[[#This Row],[Instrument__c]]&amp;";",";"&amp;_xlfn.XLOOKUP(Lessons[[#This Row],[Instructor_External_Id__c]], Instructors[Id], Instructors[Instruments_Taught__c])&amp;";"))</f>
        <v>1</v>
      </c>
      <c r="AB1193" t="str">
        <f>IF(LEFT(Lessons[[#This Row],[Status__c]],9)="Cancelled","",Lessons[[#This Row],[Instructor_External_Id__c]]&amp;"|"&amp;TEXT(Lessons[[#This Row],[Lesson_Date__c]],"yyyy-mm-dd")&amp;"|"&amp;Lessons[[#This Row],[Start_Time__c]])</f>
        <v>a06ak00000amzBgAAI|2027-02-12|18:30:00.000Z</v>
      </c>
      <c r="AC1193">
        <f>IF(Lessons[[#This Row],[Double Booked Key]]="","",COUNTIF(Lessons[Double Booked Key],Lessons[[#This Row],[Double Booked Key]]))</f>
        <v>1</v>
      </c>
      <c r="AD1193" s="6" t="str">
        <f>_xlfn.XLOOKUP(Lessons[[#This Row],[Location_External_Id__c]], Locations[Location Id], Locations[Location Name])</f>
        <v>Brick</v>
      </c>
      <c r="AE1193" s="6" t="str">
        <f>TEXT(Lessons[[#This Row],[Lesson_Date__c]], "yyyy-mm")</f>
        <v>2027-02</v>
      </c>
      <c r="AF1193" s="6" t="str">
        <f>IF(Lessons[[#This Row],[Lesson_Date__c]]&lt;=Data_Audit!$F$1, "Yes", "No")</f>
        <v>No</v>
      </c>
    </row>
    <row r="1194" spans="1:32">
      <c r="A1194" t="s">
        <v>52</v>
      </c>
      <c r="B1194" t="s">
        <v>2997</v>
      </c>
      <c r="C1194">
        <v>30</v>
      </c>
      <c r="D1194" t="s">
        <v>4460</v>
      </c>
      <c r="E1194" t="s">
        <v>359</v>
      </c>
      <c r="F1194" t="s">
        <v>360</v>
      </c>
      <c r="H1194" t="s">
        <v>392</v>
      </c>
      <c r="I1194" t="b">
        <v>0</v>
      </c>
      <c r="K1194" t="s">
        <v>52</v>
      </c>
      <c r="L1194" t="s">
        <v>2997</v>
      </c>
      <c r="O1194" s="1">
        <v>46431</v>
      </c>
      <c r="P1194" t="s">
        <v>4461</v>
      </c>
      <c r="Q1194" t="s">
        <v>4462</v>
      </c>
      <c r="R1194" t="s">
        <v>63</v>
      </c>
      <c r="S1194" t="b">
        <v>0</v>
      </c>
      <c r="T1194" t="b">
        <v>0</v>
      </c>
      <c r="U1194" t="s">
        <v>4463</v>
      </c>
      <c r="V1194" t="s">
        <v>3378</v>
      </c>
      <c r="W1194" t="s">
        <v>95</v>
      </c>
      <c r="X1194" t="s">
        <v>2356</v>
      </c>
      <c r="Y1194" t="s">
        <v>2357</v>
      </c>
      <c r="Z1194" t="s">
        <v>2997</v>
      </c>
      <c r="AA1194" t="b">
        <f>ISNUMBER(SEARCH(";"&amp;Lessons[[#This Row],[Instrument__c]]&amp;";",";"&amp;_xlfn.XLOOKUP(Lessons[[#This Row],[Instructor_External_Id__c]], Instructors[Id], Instructors[Instruments_Taught__c])&amp;";"))</f>
        <v>1</v>
      </c>
      <c r="AB1194" t="str">
        <f>IF(LEFT(Lessons[[#This Row],[Status__c]],9)="Cancelled","",Lessons[[#This Row],[Instructor_External_Id__c]]&amp;"|"&amp;TEXT(Lessons[[#This Row],[Lesson_Date__c]],"yyyy-mm-dd")&amp;"|"&amp;Lessons[[#This Row],[Start_Time__c]])</f>
        <v>a06ak00000amzBiAAI|2027-02-13|09:30:00.000Z</v>
      </c>
      <c r="AC1194">
        <f>IF(Lessons[[#This Row],[Double Booked Key]]="","",COUNTIF(Lessons[Double Booked Key],Lessons[[#This Row],[Double Booked Key]]))</f>
        <v>1</v>
      </c>
      <c r="AD1194" s="6" t="str">
        <f>_xlfn.XLOOKUP(Lessons[[#This Row],[Location_External_Id__c]], Locations[Location Id], Locations[Location Name])</f>
        <v>Red Bank</v>
      </c>
      <c r="AE1194" s="6" t="str">
        <f>TEXT(Lessons[[#This Row],[Lesson_Date__c]], "yyyy-mm")</f>
        <v>2027-02</v>
      </c>
      <c r="AF1194" s="6" t="str">
        <f>IF(Lessons[[#This Row],[Lesson_Date__c]]&lt;=Data_Audit!$F$1, "Yes", "No")</f>
        <v>No</v>
      </c>
    </row>
    <row r="1195" spans="1:32">
      <c r="A1195" t="s">
        <v>52</v>
      </c>
      <c r="B1195" t="s">
        <v>2997</v>
      </c>
      <c r="C1195">
        <v>30</v>
      </c>
      <c r="D1195" t="s">
        <v>4464</v>
      </c>
      <c r="E1195" t="s">
        <v>359</v>
      </c>
      <c r="F1195" t="s">
        <v>360</v>
      </c>
      <c r="H1195" t="s">
        <v>78</v>
      </c>
      <c r="I1195" t="b">
        <v>0</v>
      </c>
      <c r="K1195" t="s">
        <v>52</v>
      </c>
      <c r="L1195" t="s">
        <v>2997</v>
      </c>
      <c r="O1195" s="1">
        <v>46431</v>
      </c>
      <c r="P1195" t="s">
        <v>4465</v>
      </c>
      <c r="Q1195" t="s">
        <v>4466</v>
      </c>
      <c r="R1195" t="s">
        <v>63</v>
      </c>
      <c r="S1195" t="b">
        <v>0</v>
      </c>
      <c r="T1195" t="b">
        <v>0</v>
      </c>
      <c r="U1195" t="s">
        <v>4467</v>
      </c>
      <c r="V1195" t="s">
        <v>110</v>
      </c>
      <c r="W1195" t="s">
        <v>95</v>
      </c>
      <c r="X1195" t="s">
        <v>481</v>
      </c>
      <c r="Y1195" t="s">
        <v>482</v>
      </c>
      <c r="Z1195" t="s">
        <v>2997</v>
      </c>
      <c r="AA1195" t="b">
        <f>ISNUMBER(SEARCH(";"&amp;Lessons[[#This Row],[Instrument__c]]&amp;";",";"&amp;_xlfn.XLOOKUP(Lessons[[#This Row],[Instructor_External_Id__c]], Instructors[Id], Instructors[Instruments_Taught__c])&amp;";"))</f>
        <v>1</v>
      </c>
      <c r="AB1195" t="str">
        <f>IF(LEFT(Lessons[[#This Row],[Status__c]],9)="Cancelled","",Lessons[[#This Row],[Instructor_External_Id__c]]&amp;"|"&amp;TEXT(Lessons[[#This Row],[Lesson_Date__c]],"yyyy-mm-dd")&amp;"|"&amp;Lessons[[#This Row],[Start_Time__c]])</f>
        <v>a06ak00000amzBiAAI|2027-02-13|10:00:00.000Z</v>
      </c>
      <c r="AC1195">
        <f>IF(Lessons[[#This Row],[Double Booked Key]]="","",COUNTIF(Lessons[Double Booked Key],Lessons[[#This Row],[Double Booked Key]]))</f>
        <v>1</v>
      </c>
      <c r="AD1195" s="6" t="str">
        <f>_xlfn.XLOOKUP(Lessons[[#This Row],[Location_External_Id__c]], Locations[Location Id], Locations[Location Name])</f>
        <v>Red Bank</v>
      </c>
      <c r="AE1195" s="6" t="str">
        <f>TEXT(Lessons[[#This Row],[Lesson_Date__c]], "yyyy-mm")</f>
        <v>2027-02</v>
      </c>
      <c r="AF1195" s="6" t="str">
        <f>IF(Lessons[[#This Row],[Lesson_Date__c]]&lt;=Data_Audit!$F$1, "Yes", "No")</f>
        <v>No</v>
      </c>
    </row>
    <row r="1196" spans="1:32">
      <c r="A1196" t="s">
        <v>52</v>
      </c>
      <c r="B1196" t="s">
        <v>2997</v>
      </c>
      <c r="C1196">
        <v>30</v>
      </c>
      <c r="D1196" t="s">
        <v>4468</v>
      </c>
      <c r="E1196" t="s">
        <v>282</v>
      </c>
      <c r="F1196" t="s">
        <v>283</v>
      </c>
      <c r="H1196" t="s">
        <v>284</v>
      </c>
      <c r="I1196" t="b">
        <v>0</v>
      </c>
      <c r="K1196" t="s">
        <v>52</v>
      </c>
      <c r="L1196" t="s">
        <v>2997</v>
      </c>
      <c r="O1196" s="1">
        <v>46431</v>
      </c>
      <c r="P1196" t="s">
        <v>4469</v>
      </c>
      <c r="Q1196" t="s">
        <v>4470</v>
      </c>
      <c r="R1196" t="s">
        <v>83</v>
      </c>
      <c r="S1196" t="b">
        <v>0</v>
      </c>
      <c r="T1196" t="b">
        <v>0</v>
      </c>
      <c r="U1196" t="s">
        <v>4471</v>
      </c>
      <c r="V1196" t="s">
        <v>64</v>
      </c>
      <c r="W1196" t="s">
        <v>95</v>
      </c>
      <c r="X1196" t="s">
        <v>1282</v>
      </c>
      <c r="Y1196" t="s">
        <v>1283</v>
      </c>
      <c r="Z1196" t="s">
        <v>2997</v>
      </c>
      <c r="AA1196" t="b">
        <f>ISNUMBER(SEARCH(";"&amp;Lessons[[#This Row],[Instrument__c]]&amp;";",";"&amp;_xlfn.XLOOKUP(Lessons[[#This Row],[Instructor_External_Id__c]], Instructors[Id], Instructors[Instruments_Taught__c])&amp;";"))</f>
        <v>1</v>
      </c>
      <c r="AB1196" t="str">
        <f>IF(LEFT(Lessons[[#This Row],[Status__c]],9)="Cancelled","",Lessons[[#This Row],[Instructor_External_Id__c]]&amp;"|"&amp;TEXT(Lessons[[#This Row],[Lesson_Date__c]],"yyyy-mm-dd")&amp;"|"&amp;Lessons[[#This Row],[Start_Time__c]])</f>
        <v>a06ak00000amzBxAAI|2027-02-13|11:00:00.000Z</v>
      </c>
      <c r="AC1196">
        <f>IF(Lessons[[#This Row],[Double Booked Key]]="","",COUNTIF(Lessons[Double Booked Key],Lessons[[#This Row],[Double Booked Key]]))</f>
        <v>1</v>
      </c>
      <c r="AD1196" s="6" t="str">
        <f>_xlfn.XLOOKUP(Lessons[[#This Row],[Location_External_Id__c]], Locations[Location Id], Locations[Location Name])</f>
        <v>Brick</v>
      </c>
      <c r="AE1196" s="6" t="str">
        <f>TEXT(Lessons[[#This Row],[Lesson_Date__c]], "yyyy-mm")</f>
        <v>2027-02</v>
      </c>
      <c r="AF1196" s="6" t="str">
        <f>IF(Lessons[[#This Row],[Lesson_Date__c]]&lt;=Data_Audit!$F$1, "Yes", "No")</f>
        <v>No</v>
      </c>
    </row>
    <row r="1197" spans="1:32">
      <c r="A1197" t="s">
        <v>52</v>
      </c>
      <c r="B1197" t="s">
        <v>2997</v>
      </c>
      <c r="C1197">
        <v>45</v>
      </c>
      <c r="D1197" t="s">
        <v>4472</v>
      </c>
      <c r="E1197" t="s">
        <v>76</v>
      </c>
      <c r="F1197" t="s">
        <v>77</v>
      </c>
      <c r="H1197" t="s">
        <v>78</v>
      </c>
      <c r="I1197" t="b">
        <v>0</v>
      </c>
      <c r="K1197" t="s">
        <v>52</v>
      </c>
      <c r="L1197" t="s">
        <v>2997</v>
      </c>
      <c r="O1197" s="1">
        <v>46433</v>
      </c>
      <c r="P1197" t="s">
        <v>4473</v>
      </c>
      <c r="Q1197" t="s">
        <v>4474</v>
      </c>
      <c r="R1197" t="s">
        <v>83</v>
      </c>
      <c r="S1197" t="b">
        <v>0</v>
      </c>
      <c r="T1197" t="b">
        <v>0</v>
      </c>
      <c r="U1197" t="s">
        <v>4475</v>
      </c>
      <c r="V1197" t="s">
        <v>135</v>
      </c>
      <c r="W1197" t="s">
        <v>95</v>
      </c>
      <c r="X1197" t="s">
        <v>1922</v>
      </c>
      <c r="Y1197" t="s">
        <v>1923</v>
      </c>
      <c r="Z1197" t="s">
        <v>2997</v>
      </c>
      <c r="AA1197" t="b">
        <f>ISNUMBER(SEARCH(";"&amp;Lessons[[#This Row],[Instrument__c]]&amp;";",";"&amp;_xlfn.XLOOKUP(Lessons[[#This Row],[Instructor_External_Id__c]], Instructors[Id], Instructors[Instruments_Taught__c])&amp;";"))</f>
        <v>1</v>
      </c>
      <c r="AB1197" t="str">
        <f>IF(LEFT(Lessons[[#This Row],[Status__c]],9)="Cancelled","",Lessons[[#This Row],[Instructor_External_Id__c]]&amp;"|"&amp;TEXT(Lessons[[#This Row],[Lesson_Date__c]],"yyyy-mm-dd")&amp;"|"&amp;Lessons[[#This Row],[Start_Time__c]])</f>
        <v>a06ak00000amzBgAAI|2027-02-15|15:30:00.000Z</v>
      </c>
      <c r="AC1197">
        <f>IF(Lessons[[#This Row],[Double Booked Key]]="","",COUNTIF(Lessons[Double Booked Key],Lessons[[#This Row],[Double Booked Key]]))</f>
        <v>1</v>
      </c>
      <c r="AD1197" s="6" t="str">
        <f>_xlfn.XLOOKUP(Lessons[[#This Row],[Location_External_Id__c]], Locations[Location Id], Locations[Location Name])</f>
        <v>Brick</v>
      </c>
      <c r="AE1197" s="6" t="str">
        <f>TEXT(Lessons[[#This Row],[Lesson_Date__c]], "yyyy-mm")</f>
        <v>2027-02</v>
      </c>
      <c r="AF1197" s="6" t="str">
        <f>IF(Lessons[[#This Row],[Lesson_Date__c]]&lt;=Data_Audit!$F$1, "Yes", "No")</f>
        <v>No</v>
      </c>
    </row>
    <row r="1198" spans="1:32">
      <c r="A1198" t="s">
        <v>52</v>
      </c>
      <c r="B1198" t="s">
        <v>2997</v>
      </c>
      <c r="C1198">
        <v>45</v>
      </c>
      <c r="D1198" t="s">
        <v>4476</v>
      </c>
      <c r="E1198" t="s">
        <v>243</v>
      </c>
      <c r="F1198" t="s">
        <v>244</v>
      </c>
      <c r="H1198" t="s">
        <v>237</v>
      </c>
      <c r="I1198" t="b">
        <v>0</v>
      </c>
      <c r="K1198" t="s">
        <v>52</v>
      </c>
      <c r="L1198" t="s">
        <v>2997</v>
      </c>
      <c r="O1198" s="1">
        <v>46433</v>
      </c>
      <c r="P1198" t="s">
        <v>4477</v>
      </c>
      <c r="Q1198" t="s">
        <v>4478</v>
      </c>
      <c r="R1198" t="s">
        <v>83</v>
      </c>
      <c r="S1198" t="b">
        <v>0</v>
      </c>
      <c r="T1198" t="b">
        <v>0</v>
      </c>
      <c r="U1198" t="s">
        <v>4479</v>
      </c>
      <c r="V1198" t="s">
        <v>84</v>
      </c>
      <c r="W1198" t="s">
        <v>95</v>
      </c>
      <c r="X1198" t="s">
        <v>1459</v>
      </c>
      <c r="Y1198" t="s">
        <v>1460</v>
      </c>
      <c r="Z1198" t="s">
        <v>2997</v>
      </c>
      <c r="AA1198" t="b">
        <f>ISNUMBER(SEARCH(";"&amp;Lessons[[#This Row],[Instrument__c]]&amp;";",";"&amp;_xlfn.XLOOKUP(Lessons[[#This Row],[Instructor_External_Id__c]], Instructors[Id], Instructors[Instruments_Taught__c])&amp;";"))</f>
        <v>1</v>
      </c>
      <c r="AB1198" t="str">
        <f>IF(LEFT(Lessons[[#This Row],[Status__c]],9)="Cancelled","",Lessons[[#This Row],[Instructor_External_Id__c]]&amp;"|"&amp;TEXT(Lessons[[#This Row],[Lesson_Date__c]],"yyyy-mm-dd")&amp;"|"&amp;Lessons[[#This Row],[Start_Time__c]])</f>
        <v>a06ak00000amzC1AAI|2027-02-15|17:00:00.000Z</v>
      </c>
      <c r="AC1198">
        <f>IF(Lessons[[#This Row],[Double Booked Key]]="","",COUNTIF(Lessons[Double Booked Key],Lessons[[#This Row],[Double Booked Key]]))</f>
        <v>1</v>
      </c>
      <c r="AD1198" s="6" t="str">
        <f>_xlfn.XLOOKUP(Lessons[[#This Row],[Location_External_Id__c]], Locations[Location Id], Locations[Location Name])</f>
        <v>Brick</v>
      </c>
      <c r="AE1198" s="6" t="str">
        <f>TEXT(Lessons[[#This Row],[Lesson_Date__c]], "yyyy-mm")</f>
        <v>2027-02</v>
      </c>
      <c r="AF1198" s="6" t="str">
        <f>IF(Lessons[[#This Row],[Lesson_Date__c]]&lt;=Data_Audit!$F$1, "Yes", "No")</f>
        <v>No</v>
      </c>
    </row>
    <row r="1199" spans="1:32">
      <c r="A1199" t="s">
        <v>52</v>
      </c>
      <c r="B1199" t="s">
        <v>2997</v>
      </c>
      <c r="C1199">
        <v>30</v>
      </c>
      <c r="D1199" t="s">
        <v>4480</v>
      </c>
      <c r="E1199" t="s">
        <v>318</v>
      </c>
      <c r="F1199" t="s">
        <v>319</v>
      </c>
      <c r="H1199" t="s">
        <v>58</v>
      </c>
      <c r="I1199" t="b">
        <v>0</v>
      </c>
      <c r="K1199" t="s">
        <v>52</v>
      </c>
      <c r="L1199" t="s">
        <v>2997</v>
      </c>
      <c r="O1199" s="1">
        <v>46433</v>
      </c>
      <c r="P1199" t="s">
        <v>4481</v>
      </c>
      <c r="Q1199" t="s">
        <v>4482</v>
      </c>
      <c r="R1199" t="s">
        <v>63</v>
      </c>
      <c r="S1199" t="b">
        <v>0</v>
      </c>
      <c r="T1199" t="b">
        <v>0</v>
      </c>
      <c r="U1199" t="s">
        <v>4483</v>
      </c>
      <c r="V1199" t="s">
        <v>116</v>
      </c>
      <c r="W1199" t="s">
        <v>95</v>
      </c>
      <c r="X1199" t="s">
        <v>1442</v>
      </c>
      <c r="Y1199" t="s">
        <v>1443</v>
      </c>
      <c r="Z1199" t="s">
        <v>2997</v>
      </c>
      <c r="AA1199" t="b">
        <f>ISNUMBER(SEARCH(";"&amp;Lessons[[#This Row],[Instrument__c]]&amp;";",";"&amp;_xlfn.XLOOKUP(Lessons[[#This Row],[Instructor_External_Id__c]], Instructors[Id], Instructors[Instruments_Taught__c])&amp;";"))</f>
        <v>1</v>
      </c>
      <c r="AB1199" t="str">
        <f>IF(LEFT(Lessons[[#This Row],[Status__c]],9)="Cancelled","",Lessons[[#This Row],[Instructor_External_Id__c]]&amp;"|"&amp;TEXT(Lessons[[#This Row],[Lesson_Date__c]],"yyyy-mm-dd")&amp;"|"&amp;Lessons[[#This Row],[Start_Time__c]])</f>
        <v>a06ak00000amzBzAAI|2027-02-15|17:30:00.000Z</v>
      </c>
      <c r="AC1199">
        <f>IF(Lessons[[#This Row],[Double Booked Key]]="","",COUNTIF(Lessons[Double Booked Key],Lessons[[#This Row],[Double Booked Key]]))</f>
        <v>1</v>
      </c>
      <c r="AD1199" s="6" t="str">
        <f>_xlfn.XLOOKUP(Lessons[[#This Row],[Location_External_Id__c]], Locations[Location Id], Locations[Location Name])</f>
        <v>Red Bank</v>
      </c>
      <c r="AE1199" s="6" t="str">
        <f>TEXT(Lessons[[#This Row],[Lesson_Date__c]], "yyyy-mm")</f>
        <v>2027-02</v>
      </c>
      <c r="AF1199" s="6" t="str">
        <f>IF(Lessons[[#This Row],[Lesson_Date__c]]&lt;=Data_Audit!$F$1, "Yes", "No")</f>
        <v>No</v>
      </c>
    </row>
    <row r="1200" spans="1:32">
      <c r="A1200" t="s">
        <v>52</v>
      </c>
      <c r="B1200" t="s">
        <v>2997</v>
      </c>
      <c r="C1200">
        <v>30</v>
      </c>
      <c r="D1200" t="s">
        <v>4484</v>
      </c>
      <c r="E1200" t="s">
        <v>573</v>
      </c>
      <c r="F1200" t="s">
        <v>574</v>
      </c>
      <c r="H1200" t="s">
        <v>461</v>
      </c>
      <c r="I1200" t="b">
        <v>0</v>
      </c>
      <c r="K1200" t="s">
        <v>52</v>
      </c>
      <c r="L1200" t="s">
        <v>2997</v>
      </c>
      <c r="O1200" s="1">
        <v>46434</v>
      </c>
      <c r="P1200" t="s">
        <v>4485</v>
      </c>
      <c r="Q1200" t="s">
        <v>4486</v>
      </c>
      <c r="R1200" t="s">
        <v>150</v>
      </c>
      <c r="S1200" t="b">
        <v>0</v>
      </c>
      <c r="T1200" t="b">
        <v>0</v>
      </c>
      <c r="U1200" t="s">
        <v>4487</v>
      </c>
      <c r="V1200" t="s">
        <v>84</v>
      </c>
      <c r="W1200" t="s">
        <v>95</v>
      </c>
      <c r="X1200" t="s">
        <v>2567</v>
      </c>
      <c r="Y1200" t="s">
        <v>2568</v>
      </c>
      <c r="Z1200" t="s">
        <v>2997</v>
      </c>
      <c r="AA1200" t="b">
        <f>ISNUMBER(SEARCH(";"&amp;Lessons[[#This Row],[Instrument__c]]&amp;";",";"&amp;_xlfn.XLOOKUP(Lessons[[#This Row],[Instructor_External_Id__c]], Instructors[Id], Instructors[Instruments_Taught__c])&amp;";"))</f>
        <v>1</v>
      </c>
      <c r="AB1200" t="str">
        <f>IF(LEFT(Lessons[[#This Row],[Status__c]],9)="Cancelled","",Lessons[[#This Row],[Instructor_External_Id__c]]&amp;"|"&amp;TEXT(Lessons[[#This Row],[Lesson_Date__c]],"yyyy-mm-dd")&amp;"|"&amp;Lessons[[#This Row],[Start_Time__c]])</f>
        <v>a06ak00000amzCCAAY|2027-02-16|17:00:00.000Z</v>
      </c>
      <c r="AC1200">
        <f>IF(Lessons[[#This Row],[Double Booked Key]]="","",COUNTIF(Lessons[Double Booked Key],Lessons[[#This Row],[Double Booked Key]]))</f>
        <v>1</v>
      </c>
      <c r="AD1200" s="6" t="str">
        <f>_xlfn.XLOOKUP(Lessons[[#This Row],[Location_External_Id__c]], Locations[Location Id], Locations[Location Name])</f>
        <v>Toms River</v>
      </c>
      <c r="AE1200" s="6" t="str">
        <f>TEXT(Lessons[[#This Row],[Lesson_Date__c]], "yyyy-mm")</f>
        <v>2027-02</v>
      </c>
      <c r="AF1200" s="6" t="str">
        <f>IF(Lessons[[#This Row],[Lesson_Date__c]]&lt;=Data_Audit!$F$1, "Yes", "No")</f>
        <v>No</v>
      </c>
    </row>
    <row r="1201" spans="1:32">
      <c r="A1201" t="s">
        <v>52</v>
      </c>
      <c r="B1201" t="s">
        <v>2997</v>
      </c>
      <c r="C1201">
        <v>30</v>
      </c>
      <c r="D1201" t="s">
        <v>4488</v>
      </c>
      <c r="E1201" t="s">
        <v>944</v>
      </c>
      <c r="F1201" t="s">
        <v>945</v>
      </c>
      <c r="H1201" t="s">
        <v>107</v>
      </c>
      <c r="I1201" t="b">
        <v>0</v>
      </c>
      <c r="K1201" t="s">
        <v>52</v>
      </c>
      <c r="L1201" t="s">
        <v>2997</v>
      </c>
      <c r="O1201" s="1">
        <v>46434</v>
      </c>
      <c r="P1201" t="s">
        <v>4489</v>
      </c>
      <c r="Q1201" t="s">
        <v>4490</v>
      </c>
      <c r="R1201" t="s">
        <v>63</v>
      </c>
      <c r="S1201" t="b">
        <v>0</v>
      </c>
      <c r="T1201" t="b">
        <v>0</v>
      </c>
      <c r="U1201" t="s">
        <v>4491</v>
      </c>
      <c r="V1201" t="s">
        <v>120</v>
      </c>
      <c r="W1201" t="s">
        <v>95</v>
      </c>
      <c r="X1201" t="s">
        <v>2717</v>
      </c>
      <c r="Y1201" t="s">
        <v>2718</v>
      </c>
      <c r="Z1201" t="s">
        <v>2997</v>
      </c>
      <c r="AA1201" t="b">
        <f>ISNUMBER(SEARCH(";"&amp;Lessons[[#This Row],[Instrument__c]]&amp;";",";"&amp;_xlfn.XLOOKUP(Lessons[[#This Row],[Instructor_External_Id__c]], Instructors[Id], Instructors[Instruments_Taught__c])&amp;";"))</f>
        <v>1</v>
      </c>
      <c r="AB1201" t="str">
        <f>IF(LEFT(Lessons[[#This Row],[Status__c]],9)="Cancelled","",Lessons[[#This Row],[Instructor_External_Id__c]]&amp;"|"&amp;TEXT(Lessons[[#This Row],[Lesson_Date__c]],"yyyy-mm-dd")&amp;"|"&amp;Lessons[[#This Row],[Start_Time__c]])</f>
        <v>a06ak00000amzBtAAI|2027-02-16|18:00:00.000Z</v>
      </c>
      <c r="AC1201">
        <f>IF(Lessons[[#This Row],[Double Booked Key]]="","",COUNTIF(Lessons[Double Booked Key],Lessons[[#This Row],[Double Booked Key]]))</f>
        <v>1</v>
      </c>
      <c r="AD1201" s="6" t="str">
        <f>_xlfn.XLOOKUP(Lessons[[#This Row],[Location_External_Id__c]], Locations[Location Id], Locations[Location Name])</f>
        <v>Red Bank</v>
      </c>
      <c r="AE1201" s="6" t="str">
        <f>TEXT(Lessons[[#This Row],[Lesson_Date__c]], "yyyy-mm")</f>
        <v>2027-02</v>
      </c>
      <c r="AF1201" s="6" t="str">
        <f>IF(Lessons[[#This Row],[Lesson_Date__c]]&lt;=Data_Audit!$F$1, "Yes", "No")</f>
        <v>No</v>
      </c>
    </row>
    <row r="1202" spans="1:32">
      <c r="A1202" t="s">
        <v>52</v>
      </c>
      <c r="B1202" t="s">
        <v>2997</v>
      </c>
      <c r="C1202">
        <v>45</v>
      </c>
      <c r="D1202" t="s">
        <v>4492</v>
      </c>
      <c r="E1202" t="s">
        <v>944</v>
      </c>
      <c r="F1202" t="s">
        <v>945</v>
      </c>
      <c r="H1202" t="s">
        <v>107</v>
      </c>
      <c r="I1202" t="b">
        <v>0</v>
      </c>
      <c r="K1202" t="s">
        <v>52</v>
      </c>
      <c r="L1202" t="s">
        <v>2997</v>
      </c>
      <c r="O1202" s="1">
        <v>46434</v>
      </c>
      <c r="P1202" t="s">
        <v>4493</v>
      </c>
      <c r="Q1202" t="s">
        <v>4494</v>
      </c>
      <c r="R1202" t="s">
        <v>63</v>
      </c>
      <c r="S1202" t="b">
        <v>0</v>
      </c>
      <c r="T1202" t="b">
        <v>0</v>
      </c>
      <c r="U1202" t="s">
        <v>4495</v>
      </c>
      <c r="V1202" t="s">
        <v>128</v>
      </c>
      <c r="W1202" t="s">
        <v>95</v>
      </c>
      <c r="X1202" t="s">
        <v>1589</v>
      </c>
      <c r="Y1202" t="s">
        <v>1590</v>
      </c>
      <c r="Z1202" t="s">
        <v>2997</v>
      </c>
      <c r="AA1202" t="b">
        <f>ISNUMBER(SEARCH(";"&amp;Lessons[[#This Row],[Instrument__c]]&amp;";",";"&amp;_xlfn.XLOOKUP(Lessons[[#This Row],[Instructor_External_Id__c]], Instructors[Id], Instructors[Instruments_Taught__c])&amp;";"))</f>
        <v>1</v>
      </c>
      <c r="AB1202" t="str">
        <f>IF(LEFT(Lessons[[#This Row],[Status__c]],9)="Cancelled","",Lessons[[#This Row],[Instructor_External_Id__c]]&amp;"|"&amp;TEXT(Lessons[[#This Row],[Lesson_Date__c]],"yyyy-mm-dd")&amp;"|"&amp;Lessons[[#This Row],[Start_Time__c]])</f>
        <v>a06ak00000amzBtAAI|2027-02-16|18:30:00.000Z</v>
      </c>
      <c r="AC1202">
        <f>IF(Lessons[[#This Row],[Double Booked Key]]="","",COUNTIF(Lessons[Double Booked Key],Lessons[[#This Row],[Double Booked Key]]))</f>
        <v>1</v>
      </c>
      <c r="AD1202" s="6" t="str">
        <f>_xlfn.XLOOKUP(Lessons[[#This Row],[Location_External_Id__c]], Locations[Location Id], Locations[Location Name])</f>
        <v>Red Bank</v>
      </c>
      <c r="AE1202" s="6" t="str">
        <f>TEXT(Lessons[[#This Row],[Lesson_Date__c]], "yyyy-mm")</f>
        <v>2027-02</v>
      </c>
      <c r="AF1202" s="6" t="str">
        <f>IF(Lessons[[#This Row],[Lesson_Date__c]]&lt;=Data_Audit!$F$1, "Yes", "No")</f>
        <v>No</v>
      </c>
    </row>
    <row r="1203" spans="1:32">
      <c r="A1203" t="s">
        <v>52</v>
      </c>
      <c r="B1203" t="s">
        <v>2997</v>
      </c>
      <c r="C1203">
        <v>30</v>
      </c>
      <c r="D1203" t="s">
        <v>4496</v>
      </c>
      <c r="E1203" t="s">
        <v>436</v>
      </c>
      <c r="F1203" t="s">
        <v>437</v>
      </c>
      <c r="H1203" t="s">
        <v>527</v>
      </c>
      <c r="I1203" t="b">
        <v>0</v>
      </c>
      <c r="K1203" t="s">
        <v>52</v>
      </c>
      <c r="L1203" t="s">
        <v>2997</v>
      </c>
      <c r="O1203" s="1">
        <v>46434</v>
      </c>
      <c r="P1203" t="s">
        <v>4497</v>
      </c>
      <c r="Q1203" t="s">
        <v>4498</v>
      </c>
      <c r="R1203" t="s">
        <v>63</v>
      </c>
      <c r="S1203" t="b">
        <v>0</v>
      </c>
      <c r="T1203" t="b">
        <v>0</v>
      </c>
      <c r="U1203" t="s">
        <v>4499</v>
      </c>
      <c r="V1203" t="s">
        <v>94</v>
      </c>
      <c r="W1203" t="s">
        <v>95</v>
      </c>
      <c r="X1203" t="s">
        <v>2578</v>
      </c>
      <c r="Y1203" t="s">
        <v>2579</v>
      </c>
      <c r="Z1203" t="s">
        <v>2997</v>
      </c>
      <c r="AA1203" t="b">
        <f>ISNUMBER(SEARCH(";"&amp;Lessons[[#This Row],[Instrument__c]]&amp;";",";"&amp;_xlfn.XLOOKUP(Lessons[[#This Row],[Instructor_External_Id__c]], Instructors[Id], Instructors[Instruments_Taught__c])&amp;";"))</f>
        <v>1</v>
      </c>
      <c r="AB1203" t="str">
        <f>IF(LEFT(Lessons[[#This Row],[Status__c]],9)="Cancelled","",Lessons[[#This Row],[Instructor_External_Id__c]]&amp;"|"&amp;TEXT(Lessons[[#This Row],[Lesson_Date__c]],"yyyy-mm-dd")&amp;"|"&amp;Lessons[[#This Row],[Start_Time__c]])</f>
        <v>a06ak00000amzC0AAI|2027-02-16|19:00:00.000Z</v>
      </c>
      <c r="AC1203">
        <f>IF(Lessons[[#This Row],[Double Booked Key]]="","",COUNTIF(Lessons[Double Booked Key],Lessons[[#This Row],[Double Booked Key]]))</f>
        <v>1</v>
      </c>
      <c r="AD1203" s="6" t="str">
        <f>_xlfn.XLOOKUP(Lessons[[#This Row],[Location_External_Id__c]], Locations[Location Id], Locations[Location Name])</f>
        <v>Red Bank</v>
      </c>
      <c r="AE1203" s="6" t="str">
        <f>TEXT(Lessons[[#This Row],[Lesson_Date__c]], "yyyy-mm")</f>
        <v>2027-02</v>
      </c>
      <c r="AF1203" s="6" t="str">
        <f>IF(Lessons[[#This Row],[Lesson_Date__c]]&lt;=Data_Audit!$F$1, "Yes", "No")</f>
        <v>No</v>
      </c>
    </row>
    <row r="1204" spans="1:32">
      <c r="A1204" t="s">
        <v>52</v>
      </c>
      <c r="B1204" t="s">
        <v>2997</v>
      </c>
      <c r="C1204">
        <v>30</v>
      </c>
      <c r="D1204" t="s">
        <v>4500</v>
      </c>
      <c r="E1204" t="s">
        <v>243</v>
      </c>
      <c r="F1204" t="s">
        <v>244</v>
      </c>
      <c r="H1204" t="s">
        <v>650</v>
      </c>
      <c r="I1204" t="b">
        <v>0</v>
      </c>
      <c r="K1204" t="s">
        <v>52</v>
      </c>
      <c r="L1204" t="s">
        <v>2997</v>
      </c>
      <c r="O1204" s="1">
        <v>46436</v>
      </c>
      <c r="P1204" t="s">
        <v>4501</v>
      </c>
      <c r="Q1204" t="s">
        <v>4502</v>
      </c>
      <c r="R1204" t="s">
        <v>83</v>
      </c>
      <c r="S1204" t="b">
        <v>0</v>
      </c>
      <c r="T1204" t="b">
        <v>0</v>
      </c>
      <c r="U1204" t="s">
        <v>4503</v>
      </c>
      <c r="V1204" t="s">
        <v>140</v>
      </c>
      <c r="W1204" t="s">
        <v>95</v>
      </c>
      <c r="X1204" t="s">
        <v>743</v>
      </c>
      <c r="Y1204" t="s">
        <v>744</v>
      </c>
      <c r="Z1204" t="s">
        <v>2997</v>
      </c>
      <c r="AA1204" t="b">
        <f>ISNUMBER(SEARCH(";"&amp;Lessons[[#This Row],[Instrument__c]]&amp;";",";"&amp;_xlfn.XLOOKUP(Lessons[[#This Row],[Instructor_External_Id__c]], Instructors[Id], Instructors[Instruments_Taught__c])&amp;";"))</f>
        <v>1</v>
      </c>
      <c r="AB1204" t="str">
        <f>IF(LEFT(Lessons[[#This Row],[Status__c]],9)="Cancelled","",Lessons[[#This Row],[Instructor_External_Id__c]]&amp;"|"&amp;TEXT(Lessons[[#This Row],[Lesson_Date__c]],"yyyy-mm-dd")&amp;"|"&amp;Lessons[[#This Row],[Start_Time__c]])</f>
        <v>a06ak00000amzC1AAI|2027-02-18|15:00:00.000Z</v>
      </c>
      <c r="AC1204">
        <f>IF(Lessons[[#This Row],[Double Booked Key]]="","",COUNTIF(Lessons[Double Booked Key],Lessons[[#This Row],[Double Booked Key]]))</f>
        <v>1</v>
      </c>
      <c r="AD1204" s="6" t="str">
        <f>_xlfn.XLOOKUP(Lessons[[#This Row],[Location_External_Id__c]], Locations[Location Id], Locations[Location Name])</f>
        <v>Brick</v>
      </c>
      <c r="AE1204" s="6" t="str">
        <f>TEXT(Lessons[[#This Row],[Lesson_Date__c]], "yyyy-mm")</f>
        <v>2027-02</v>
      </c>
      <c r="AF1204" s="6" t="str">
        <f>IF(Lessons[[#This Row],[Lesson_Date__c]]&lt;=Data_Audit!$F$1, "Yes", "No")</f>
        <v>No</v>
      </c>
    </row>
    <row r="1205" spans="1:32">
      <c r="A1205" t="s">
        <v>52</v>
      </c>
      <c r="B1205" t="s">
        <v>2997</v>
      </c>
      <c r="C1205">
        <v>60</v>
      </c>
      <c r="D1205" t="s">
        <v>4504</v>
      </c>
      <c r="E1205" t="s">
        <v>804</v>
      </c>
      <c r="F1205" t="s">
        <v>805</v>
      </c>
      <c r="H1205" t="s">
        <v>527</v>
      </c>
      <c r="I1205" t="b">
        <v>0</v>
      </c>
      <c r="K1205" t="s">
        <v>52</v>
      </c>
      <c r="L1205" t="s">
        <v>2997</v>
      </c>
      <c r="O1205" s="1">
        <v>46436</v>
      </c>
      <c r="P1205" t="s">
        <v>4505</v>
      </c>
      <c r="Q1205" t="s">
        <v>4506</v>
      </c>
      <c r="R1205" t="s">
        <v>63</v>
      </c>
      <c r="S1205" t="b">
        <v>0</v>
      </c>
      <c r="T1205" t="b">
        <v>0</v>
      </c>
      <c r="U1205" t="s">
        <v>4507</v>
      </c>
      <c r="V1205" t="s">
        <v>140</v>
      </c>
      <c r="W1205" t="s">
        <v>95</v>
      </c>
      <c r="X1205" t="s">
        <v>2229</v>
      </c>
      <c r="Y1205" t="s">
        <v>2230</v>
      </c>
      <c r="Z1205" t="s">
        <v>2997</v>
      </c>
      <c r="AA1205" t="b">
        <f>ISNUMBER(SEARCH(";"&amp;Lessons[[#This Row],[Instrument__c]]&amp;";",";"&amp;_xlfn.XLOOKUP(Lessons[[#This Row],[Instructor_External_Id__c]], Instructors[Id], Instructors[Instruments_Taught__c])&amp;";"))</f>
        <v>1</v>
      </c>
      <c r="AB1205" t="str">
        <f>IF(LEFT(Lessons[[#This Row],[Status__c]],9)="Cancelled","",Lessons[[#This Row],[Instructor_External_Id__c]]&amp;"|"&amp;TEXT(Lessons[[#This Row],[Lesson_Date__c]],"yyyy-mm-dd")&amp;"|"&amp;Lessons[[#This Row],[Start_Time__c]])</f>
        <v>a06ak00000amzCBAAY|2027-02-18|15:00:00.000Z</v>
      </c>
      <c r="AC1205">
        <f>IF(Lessons[[#This Row],[Double Booked Key]]="","",COUNTIF(Lessons[Double Booked Key],Lessons[[#This Row],[Double Booked Key]]))</f>
        <v>1</v>
      </c>
      <c r="AD1205" s="6" t="str">
        <f>_xlfn.XLOOKUP(Lessons[[#This Row],[Location_External_Id__c]], Locations[Location Id], Locations[Location Name])</f>
        <v>Red Bank</v>
      </c>
      <c r="AE1205" s="6" t="str">
        <f>TEXT(Lessons[[#This Row],[Lesson_Date__c]], "yyyy-mm")</f>
        <v>2027-02</v>
      </c>
      <c r="AF1205" s="6" t="str">
        <f>IF(Lessons[[#This Row],[Lesson_Date__c]]&lt;=Data_Audit!$F$1, "Yes", "No")</f>
        <v>No</v>
      </c>
    </row>
    <row r="1206" spans="1:32">
      <c r="A1206" t="s">
        <v>52</v>
      </c>
      <c r="B1206" t="s">
        <v>2997</v>
      </c>
      <c r="C1206">
        <v>45</v>
      </c>
      <c r="D1206" t="s">
        <v>4508</v>
      </c>
      <c r="E1206" t="s">
        <v>548</v>
      </c>
      <c r="F1206" t="s">
        <v>549</v>
      </c>
      <c r="H1206" t="s">
        <v>203</v>
      </c>
      <c r="I1206" t="b">
        <v>0</v>
      </c>
      <c r="K1206" t="s">
        <v>52</v>
      </c>
      <c r="L1206" t="s">
        <v>2997</v>
      </c>
      <c r="O1206" s="1">
        <v>46436</v>
      </c>
      <c r="P1206" t="s">
        <v>4509</v>
      </c>
      <c r="Q1206" t="s">
        <v>4510</v>
      </c>
      <c r="R1206" t="s">
        <v>63</v>
      </c>
      <c r="S1206" t="b">
        <v>0</v>
      </c>
      <c r="T1206" t="b">
        <v>0</v>
      </c>
      <c r="U1206" t="s">
        <v>4511</v>
      </c>
      <c r="V1206" t="s">
        <v>135</v>
      </c>
      <c r="W1206" t="s">
        <v>95</v>
      </c>
      <c r="X1206" t="s">
        <v>2165</v>
      </c>
      <c r="Y1206" t="s">
        <v>2166</v>
      </c>
      <c r="Z1206" t="s">
        <v>2997</v>
      </c>
      <c r="AA1206" t="b">
        <f>ISNUMBER(SEARCH(";"&amp;Lessons[[#This Row],[Instrument__c]]&amp;";",";"&amp;_xlfn.XLOOKUP(Lessons[[#This Row],[Instructor_External_Id__c]], Instructors[Id], Instructors[Instruments_Taught__c])&amp;";"))</f>
        <v>1</v>
      </c>
      <c r="AB1206" t="str">
        <f>IF(LEFT(Lessons[[#This Row],[Status__c]],9)="Cancelled","",Lessons[[#This Row],[Instructor_External_Id__c]]&amp;"|"&amp;TEXT(Lessons[[#This Row],[Lesson_Date__c]],"yyyy-mm-dd")&amp;"|"&amp;Lessons[[#This Row],[Start_Time__c]])</f>
        <v>a06ak00000amzCHAAY|2027-02-18|15:30:00.000Z</v>
      </c>
      <c r="AC1206">
        <f>IF(Lessons[[#This Row],[Double Booked Key]]="","",COUNTIF(Lessons[Double Booked Key],Lessons[[#This Row],[Double Booked Key]]))</f>
        <v>1</v>
      </c>
      <c r="AD1206" s="6" t="str">
        <f>_xlfn.XLOOKUP(Lessons[[#This Row],[Location_External_Id__c]], Locations[Location Id], Locations[Location Name])</f>
        <v>Red Bank</v>
      </c>
      <c r="AE1206" s="6" t="str">
        <f>TEXT(Lessons[[#This Row],[Lesson_Date__c]], "yyyy-mm")</f>
        <v>2027-02</v>
      </c>
      <c r="AF1206" s="6" t="str">
        <f>IF(Lessons[[#This Row],[Lesson_Date__c]]&lt;=Data_Audit!$F$1, "Yes", "No")</f>
        <v>No</v>
      </c>
    </row>
    <row r="1207" spans="1:32">
      <c r="A1207" t="s">
        <v>52</v>
      </c>
      <c r="B1207" t="s">
        <v>2997</v>
      </c>
      <c r="C1207">
        <v>30</v>
      </c>
      <c r="D1207" t="s">
        <v>4512</v>
      </c>
      <c r="E1207" t="s">
        <v>436</v>
      </c>
      <c r="F1207" t="s">
        <v>437</v>
      </c>
      <c r="H1207" t="s">
        <v>461</v>
      </c>
      <c r="I1207" t="b">
        <v>0</v>
      </c>
      <c r="K1207" t="s">
        <v>52</v>
      </c>
      <c r="L1207" t="s">
        <v>2997</v>
      </c>
      <c r="O1207" s="1">
        <v>46436</v>
      </c>
      <c r="P1207" t="s">
        <v>4513</v>
      </c>
      <c r="Q1207" t="s">
        <v>4514</v>
      </c>
      <c r="R1207" t="s">
        <v>63</v>
      </c>
      <c r="S1207" t="b">
        <v>0</v>
      </c>
      <c r="T1207" t="b">
        <v>0</v>
      </c>
      <c r="U1207" t="s">
        <v>4515</v>
      </c>
      <c r="V1207" t="s">
        <v>102</v>
      </c>
      <c r="W1207" t="s">
        <v>95</v>
      </c>
      <c r="X1207" t="s">
        <v>1532</v>
      </c>
      <c r="Y1207" t="s">
        <v>1533</v>
      </c>
      <c r="Z1207" t="s">
        <v>2997</v>
      </c>
      <c r="AA1207" t="b">
        <f>ISNUMBER(SEARCH(";"&amp;Lessons[[#This Row],[Instrument__c]]&amp;";",";"&amp;_xlfn.XLOOKUP(Lessons[[#This Row],[Instructor_External_Id__c]], Instructors[Id], Instructors[Instruments_Taught__c])&amp;";"))</f>
        <v>1</v>
      </c>
      <c r="AB1207" t="str">
        <f>IF(LEFT(Lessons[[#This Row],[Status__c]],9)="Cancelled","",Lessons[[#This Row],[Instructor_External_Id__c]]&amp;"|"&amp;TEXT(Lessons[[#This Row],[Lesson_Date__c]],"yyyy-mm-dd")&amp;"|"&amp;Lessons[[#This Row],[Start_Time__c]])</f>
        <v>a06ak00000amzC0AAI|2027-02-18|16:00:00.000Z</v>
      </c>
      <c r="AC1207">
        <f>IF(Lessons[[#This Row],[Double Booked Key]]="","",COUNTIF(Lessons[Double Booked Key],Lessons[[#This Row],[Double Booked Key]]))</f>
        <v>1</v>
      </c>
      <c r="AD1207" s="6" t="str">
        <f>_xlfn.XLOOKUP(Lessons[[#This Row],[Location_External_Id__c]], Locations[Location Id], Locations[Location Name])</f>
        <v>Red Bank</v>
      </c>
      <c r="AE1207" s="6" t="str">
        <f>TEXT(Lessons[[#This Row],[Lesson_Date__c]], "yyyy-mm")</f>
        <v>2027-02</v>
      </c>
      <c r="AF1207" s="6" t="str">
        <f>IF(Lessons[[#This Row],[Lesson_Date__c]]&lt;=Data_Audit!$F$1, "Yes", "No")</f>
        <v>No</v>
      </c>
    </row>
    <row r="1208" spans="1:32">
      <c r="A1208" t="s">
        <v>52</v>
      </c>
      <c r="B1208" t="s">
        <v>2997</v>
      </c>
      <c r="C1208">
        <v>30</v>
      </c>
      <c r="D1208" t="s">
        <v>4516</v>
      </c>
      <c r="E1208" t="s">
        <v>804</v>
      </c>
      <c r="F1208" t="s">
        <v>805</v>
      </c>
      <c r="H1208" t="s">
        <v>147</v>
      </c>
      <c r="I1208" t="b">
        <v>0</v>
      </c>
      <c r="K1208" t="s">
        <v>52</v>
      </c>
      <c r="L1208" t="s">
        <v>2997</v>
      </c>
      <c r="O1208" s="1">
        <v>46436</v>
      </c>
      <c r="P1208" t="s">
        <v>4517</v>
      </c>
      <c r="Q1208" t="s">
        <v>4518</v>
      </c>
      <c r="R1208" t="s">
        <v>63</v>
      </c>
      <c r="S1208" t="b">
        <v>0</v>
      </c>
      <c r="T1208" t="b">
        <v>0</v>
      </c>
      <c r="U1208" t="s">
        <v>4519</v>
      </c>
      <c r="V1208" t="s">
        <v>116</v>
      </c>
      <c r="W1208" t="s">
        <v>95</v>
      </c>
      <c r="X1208" t="s">
        <v>1617</v>
      </c>
      <c r="Y1208" t="s">
        <v>1618</v>
      </c>
      <c r="Z1208" t="s">
        <v>2997</v>
      </c>
      <c r="AA1208" t="b">
        <f>ISNUMBER(SEARCH(";"&amp;Lessons[[#This Row],[Instrument__c]]&amp;";",";"&amp;_xlfn.XLOOKUP(Lessons[[#This Row],[Instructor_External_Id__c]], Instructors[Id], Instructors[Instruments_Taught__c])&amp;";"))</f>
        <v>1</v>
      </c>
      <c r="AB1208" t="str">
        <f>IF(LEFT(Lessons[[#This Row],[Status__c]],9)="Cancelled","",Lessons[[#This Row],[Instructor_External_Id__c]]&amp;"|"&amp;TEXT(Lessons[[#This Row],[Lesson_Date__c]],"yyyy-mm-dd")&amp;"|"&amp;Lessons[[#This Row],[Start_Time__c]])</f>
        <v>a06ak00000amzCBAAY|2027-02-18|17:30:00.000Z</v>
      </c>
      <c r="AC1208">
        <f>IF(Lessons[[#This Row],[Double Booked Key]]="","",COUNTIF(Lessons[Double Booked Key],Lessons[[#This Row],[Double Booked Key]]))</f>
        <v>1</v>
      </c>
      <c r="AD1208" s="6" t="str">
        <f>_xlfn.XLOOKUP(Lessons[[#This Row],[Location_External_Id__c]], Locations[Location Id], Locations[Location Name])</f>
        <v>Red Bank</v>
      </c>
      <c r="AE1208" s="6" t="str">
        <f>TEXT(Lessons[[#This Row],[Lesson_Date__c]], "yyyy-mm")</f>
        <v>2027-02</v>
      </c>
      <c r="AF1208" s="6" t="str">
        <f>IF(Lessons[[#This Row],[Lesson_Date__c]]&lt;=Data_Audit!$F$1, "Yes", "No")</f>
        <v>No</v>
      </c>
    </row>
    <row r="1209" spans="1:32">
      <c r="A1209" t="s">
        <v>52</v>
      </c>
      <c r="B1209" t="s">
        <v>2997</v>
      </c>
      <c r="C1209">
        <v>30</v>
      </c>
      <c r="D1209" t="s">
        <v>4520</v>
      </c>
      <c r="E1209" t="s">
        <v>401</v>
      </c>
      <c r="F1209" t="s">
        <v>402</v>
      </c>
      <c r="H1209" t="s">
        <v>263</v>
      </c>
      <c r="I1209" t="b">
        <v>0</v>
      </c>
      <c r="K1209" t="s">
        <v>52</v>
      </c>
      <c r="L1209" t="s">
        <v>2997</v>
      </c>
      <c r="O1209" s="1">
        <v>46436</v>
      </c>
      <c r="P1209" t="s">
        <v>4521</v>
      </c>
      <c r="Q1209" t="s">
        <v>4522</v>
      </c>
      <c r="R1209" t="s">
        <v>83</v>
      </c>
      <c r="S1209" t="b">
        <v>0</v>
      </c>
      <c r="T1209" t="b">
        <v>0</v>
      </c>
      <c r="U1209" t="s">
        <v>4523</v>
      </c>
      <c r="V1209" t="s">
        <v>120</v>
      </c>
      <c r="W1209" t="s">
        <v>95</v>
      </c>
      <c r="X1209" t="s">
        <v>2876</v>
      </c>
      <c r="Y1209" t="s">
        <v>2877</v>
      </c>
      <c r="Z1209" t="s">
        <v>2997</v>
      </c>
      <c r="AA1209" t="b">
        <f>ISNUMBER(SEARCH(";"&amp;Lessons[[#This Row],[Instrument__c]]&amp;";",";"&amp;_xlfn.XLOOKUP(Lessons[[#This Row],[Instructor_External_Id__c]], Instructors[Id], Instructors[Instruments_Taught__c])&amp;";"))</f>
        <v>1</v>
      </c>
      <c r="AB1209" t="str">
        <f>IF(LEFT(Lessons[[#This Row],[Status__c]],9)="Cancelled","",Lessons[[#This Row],[Instructor_External_Id__c]]&amp;"|"&amp;TEXT(Lessons[[#This Row],[Lesson_Date__c]],"yyyy-mm-dd")&amp;"|"&amp;Lessons[[#This Row],[Start_Time__c]])</f>
        <v>a06ak00000amzBfAAI|2027-02-18|18:00:00.000Z</v>
      </c>
      <c r="AC1209">
        <f>IF(Lessons[[#This Row],[Double Booked Key]]="","",COUNTIF(Lessons[Double Booked Key],Lessons[[#This Row],[Double Booked Key]]))</f>
        <v>1</v>
      </c>
      <c r="AD1209" s="6" t="str">
        <f>_xlfn.XLOOKUP(Lessons[[#This Row],[Location_External_Id__c]], Locations[Location Id], Locations[Location Name])</f>
        <v>Brick</v>
      </c>
      <c r="AE1209" s="6" t="str">
        <f>TEXT(Lessons[[#This Row],[Lesson_Date__c]], "yyyy-mm")</f>
        <v>2027-02</v>
      </c>
      <c r="AF1209" s="6" t="str">
        <f>IF(Lessons[[#This Row],[Lesson_Date__c]]&lt;=Data_Audit!$F$1, "Yes", "No")</f>
        <v>No</v>
      </c>
    </row>
    <row r="1210" spans="1:32">
      <c r="A1210" t="s">
        <v>52</v>
      </c>
      <c r="B1210" t="s">
        <v>2997</v>
      </c>
      <c r="C1210">
        <v>45</v>
      </c>
      <c r="D1210" t="s">
        <v>4524</v>
      </c>
      <c r="E1210" t="s">
        <v>777</v>
      </c>
      <c r="F1210" t="s">
        <v>778</v>
      </c>
      <c r="H1210" t="s">
        <v>527</v>
      </c>
      <c r="I1210" t="b">
        <v>0</v>
      </c>
      <c r="K1210" t="s">
        <v>52</v>
      </c>
      <c r="L1210" t="s">
        <v>2997</v>
      </c>
      <c r="O1210" s="1">
        <v>46436</v>
      </c>
      <c r="P1210" t="s">
        <v>4525</v>
      </c>
      <c r="Q1210" t="s">
        <v>4526</v>
      </c>
      <c r="R1210" t="s">
        <v>150</v>
      </c>
      <c r="S1210" t="b">
        <v>0</v>
      </c>
      <c r="T1210" t="b">
        <v>0</v>
      </c>
      <c r="U1210" t="s">
        <v>4527</v>
      </c>
      <c r="V1210" t="s">
        <v>94</v>
      </c>
      <c r="W1210" t="s">
        <v>95</v>
      </c>
      <c r="X1210" t="s">
        <v>2422</v>
      </c>
      <c r="Y1210" t="s">
        <v>2423</v>
      </c>
      <c r="Z1210" t="s">
        <v>2997</v>
      </c>
      <c r="AA1210" t="b">
        <f>ISNUMBER(SEARCH(";"&amp;Lessons[[#This Row],[Instrument__c]]&amp;";",";"&amp;_xlfn.XLOOKUP(Lessons[[#This Row],[Instructor_External_Id__c]], Instructors[Id], Instructors[Instruments_Taught__c])&amp;";"))</f>
        <v>1</v>
      </c>
      <c r="AB1210" t="str">
        <f>IF(LEFT(Lessons[[#This Row],[Status__c]],9)="Cancelled","",Lessons[[#This Row],[Instructor_External_Id__c]]&amp;"|"&amp;TEXT(Lessons[[#This Row],[Lesson_Date__c]],"yyyy-mm-dd")&amp;"|"&amp;Lessons[[#This Row],[Start_Time__c]])</f>
        <v>a06ak00000amzByAAI|2027-02-18|19:00:00.000Z</v>
      </c>
      <c r="AC1210">
        <f>IF(Lessons[[#This Row],[Double Booked Key]]="","",COUNTIF(Lessons[Double Booked Key],Lessons[[#This Row],[Double Booked Key]]))</f>
        <v>1</v>
      </c>
      <c r="AD1210" s="6" t="str">
        <f>_xlfn.XLOOKUP(Lessons[[#This Row],[Location_External_Id__c]], Locations[Location Id], Locations[Location Name])</f>
        <v>Toms River</v>
      </c>
      <c r="AE1210" s="6" t="str">
        <f>TEXT(Lessons[[#This Row],[Lesson_Date__c]], "yyyy-mm")</f>
        <v>2027-02</v>
      </c>
      <c r="AF1210" s="6" t="str">
        <f>IF(Lessons[[#This Row],[Lesson_Date__c]]&lt;=Data_Audit!$F$1, "Yes", "No")</f>
        <v>No</v>
      </c>
    </row>
    <row r="1211" spans="1:32">
      <c r="A1211" t="s">
        <v>52</v>
      </c>
      <c r="B1211" t="s">
        <v>2997</v>
      </c>
      <c r="C1211">
        <v>45</v>
      </c>
      <c r="D1211" t="s">
        <v>4528</v>
      </c>
      <c r="E1211" t="s">
        <v>359</v>
      </c>
      <c r="F1211" t="s">
        <v>360</v>
      </c>
      <c r="H1211" t="s">
        <v>78</v>
      </c>
      <c r="I1211" t="b">
        <v>0</v>
      </c>
      <c r="K1211" t="s">
        <v>52</v>
      </c>
      <c r="L1211" t="s">
        <v>2997</v>
      </c>
      <c r="O1211" s="1">
        <v>46437</v>
      </c>
      <c r="P1211" t="s">
        <v>4529</v>
      </c>
      <c r="Q1211" t="s">
        <v>4530</v>
      </c>
      <c r="R1211" t="s">
        <v>63</v>
      </c>
      <c r="S1211" t="b">
        <v>0</v>
      </c>
      <c r="T1211" t="b">
        <v>0</v>
      </c>
      <c r="U1211" t="s">
        <v>4531</v>
      </c>
      <c r="V1211" t="s">
        <v>140</v>
      </c>
      <c r="W1211" t="s">
        <v>95</v>
      </c>
      <c r="X1211" t="s">
        <v>831</v>
      </c>
      <c r="Y1211" t="s">
        <v>832</v>
      </c>
      <c r="Z1211" t="s">
        <v>2997</v>
      </c>
      <c r="AA1211" t="b">
        <f>ISNUMBER(SEARCH(";"&amp;Lessons[[#This Row],[Instrument__c]]&amp;";",";"&amp;_xlfn.XLOOKUP(Lessons[[#This Row],[Instructor_External_Id__c]], Instructors[Id], Instructors[Instruments_Taught__c])&amp;";"))</f>
        <v>1</v>
      </c>
      <c r="AB1211" t="str">
        <f>IF(LEFT(Lessons[[#This Row],[Status__c]],9)="Cancelled","",Lessons[[#This Row],[Instructor_External_Id__c]]&amp;"|"&amp;TEXT(Lessons[[#This Row],[Lesson_Date__c]],"yyyy-mm-dd")&amp;"|"&amp;Lessons[[#This Row],[Start_Time__c]])</f>
        <v>a06ak00000amzBiAAI|2027-02-19|15:00:00.000Z</v>
      </c>
      <c r="AC1211">
        <f>IF(Lessons[[#This Row],[Double Booked Key]]="","",COUNTIF(Lessons[Double Booked Key],Lessons[[#This Row],[Double Booked Key]]))</f>
        <v>1</v>
      </c>
      <c r="AD1211" s="6" t="str">
        <f>_xlfn.XLOOKUP(Lessons[[#This Row],[Location_External_Id__c]], Locations[Location Id], Locations[Location Name])</f>
        <v>Red Bank</v>
      </c>
      <c r="AE1211" s="6" t="str">
        <f>TEXT(Lessons[[#This Row],[Lesson_Date__c]], "yyyy-mm")</f>
        <v>2027-02</v>
      </c>
      <c r="AF1211" s="6" t="str">
        <f>IF(Lessons[[#This Row],[Lesson_Date__c]]&lt;=Data_Audit!$F$1, "Yes", "No")</f>
        <v>No</v>
      </c>
    </row>
    <row r="1212" spans="1:32">
      <c r="A1212" t="s">
        <v>52</v>
      </c>
      <c r="B1212" t="s">
        <v>2997</v>
      </c>
      <c r="C1212">
        <v>45</v>
      </c>
      <c r="D1212" t="s">
        <v>4532</v>
      </c>
      <c r="E1212" t="s">
        <v>573</v>
      </c>
      <c r="F1212" t="s">
        <v>574</v>
      </c>
      <c r="H1212" t="s">
        <v>461</v>
      </c>
      <c r="I1212" t="b">
        <v>0</v>
      </c>
      <c r="K1212" t="s">
        <v>52</v>
      </c>
      <c r="L1212" t="s">
        <v>2997</v>
      </c>
      <c r="O1212" s="1">
        <v>46438</v>
      </c>
      <c r="P1212" t="s">
        <v>4533</v>
      </c>
      <c r="Q1212" t="s">
        <v>4534</v>
      </c>
      <c r="R1212" t="s">
        <v>150</v>
      </c>
      <c r="S1212" t="b">
        <v>0</v>
      </c>
      <c r="T1212" t="b">
        <v>0</v>
      </c>
      <c r="U1212" t="s">
        <v>4535</v>
      </c>
      <c r="V1212" t="s">
        <v>3208</v>
      </c>
      <c r="W1212" t="s">
        <v>95</v>
      </c>
      <c r="X1212" t="s">
        <v>464</v>
      </c>
      <c r="Y1212" t="s">
        <v>465</v>
      </c>
      <c r="Z1212" t="s">
        <v>2997</v>
      </c>
      <c r="AA1212" t="b">
        <f>ISNUMBER(SEARCH(";"&amp;Lessons[[#This Row],[Instrument__c]]&amp;";",";"&amp;_xlfn.XLOOKUP(Lessons[[#This Row],[Instructor_External_Id__c]], Instructors[Id], Instructors[Instruments_Taught__c])&amp;";"))</f>
        <v>1</v>
      </c>
      <c r="AB1212" t="str">
        <f>IF(LEFT(Lessons[[#This Row],[Status__c]],9)="Cancelled","",Lessons[[#This Row],[Instructor_External_Id__c]]&amp;"|"&amp;TEXT(Lessons[[#This Row],[Lesson_Date__c]],"yyyy-mm-dd")&amp;"|"&amp;Lessons[[#This Row],[Start_Time__c]])</f>
        <v>a06ak00000amzCCAAY|2027-02-20|12:30:00.000Z</v>
      </c>
      <c r="AC1212">
        <f>IF(Lessons[[#This Row],[Double Booked Key]]="","",COUNTIF(Lessons[Double Booked Key],Lessons[[#This Row],[Double Booked Key]]))</f>
        <v>1</v>
      </c>
      <c r="AD1212" s="6" t="str">
        <f>_xlfn.XLOOKUP(Lessons[[#This Row],[Location_External_Id__c]], Locations[Location Id], Locations[Location Name])</f>
        <v>Toms River</v>
      </c>
      <c r="AE1212" s="6" t="str">
        <f>TEXT(Lessons[[#This Row],[Lesson_Date__c]], "yyyy-mm")</f>
        <v>2027-02</v>
      </c>
      <c r="AF1212" s="6" t="str">
        <f>IF(Lessons[[#This Row],[Lesson_Date__c]]&lt;=Data_Audit!$F$1, "Yes", "No")</f>
        <v>No</v>
      </c>
    </row>
    <row r="1213" spans="1:32">
      <c r="A1213" t="s">
        <v>52</v>
      </c>
      <c r="B1213" t="s">
        <v>2997</v>
      </c>
      <c r="C1213">
        <v>45</v>
      </c>
      <c r="D1213" t="s">
        <v>4536</v>
      </c>
      <c r="E1213" t="s">
        <v>548</v>
      </c>
      <c r="F1213" t="s">
        <v>549</v>
      </c>
      <c r="H1213" t="s">
        <v>203</v>
      </c>
      <c r="I1213" t="b">
        <v>0</v>
      </c>
      <c r="K1213" t="s">
        <v>52</v>
      </c>
      <c r="L1213" t="s">
        <v>2997</v>
      </c>
      <c r="O1213" s="1">
        <v>46440</v>
      </c>
      <c r="P1213" t="s">
        <v>4537</v>
      </c>
      <c r="Q1213" t="s">
        <v>4538</v>
      </c>
      <c r="R1213" t="s">
        <v>150</v>
      </c>
      <c r="S1213" t="b">
        <v>0</v>
      </c>
      <c r="T1213" t="b">
        <v>0</v>
      </c>
      <c r="U1213" t="s">
        <v>4539</v>
      </c>
      <c r="V1213" t="s">
        <v>74</v>
      </c>
      <c r="W1213" t="s">
        <v>95</v>
      </c>
      <c r="X1213" t="s">
        <v>1168</v>
      </c>
      <c r="Y1213" t="s">
        <v>1169</v>
      </c>
      <c r="Z1213" t="s">
        <v>2997</v>
      </c>
      <c r="AA1213" t="b">
        <f>ISNUMBER(SEARCH(";"&amp;Lessons[[#This Row],[Instrument__c]]&amp;";",";"&amp;_xlfn.XLOOKUP(Lessons[[#This Row],[Instructor_External_Id__c]], Instructors[Id], Instructors[Instruments_Taught__c])&amp;";"))</f>
        <v>1</v>
      </c>
      <c r="AB1213" t="str">
        <f>IF(LEFT(Lessons[[#This Row],[Status__c]],9)="Cancelled","",Lessons[[#This Row],[Instructor_External_Id__c]]&amp;"|"&amp;TEXT(Lessons[[#This Row],[Lesson_Date__c]],"yyyy-mm-dd")&amp;"|"&amp;Lessons[[#This Row],[Start_Time__c]])</f>
        <v>a06ak00000amzCHAAY|2027-02-22|16:30:00.000Z</v>
      </c>
      <c r="AC1213">
        <f>IF(Lessons[[#This Row],[Double Booked Key]]="","",COUNTIF(Lessons[Double Booked Key],Lessons[[#This Row],[Double Booked Key]]))</f>
        <v>1</v>
      </c>
      <c r="AD1213" s="6" t="str">
        <f>_xlfn.XLOOKUP(Lessons[[#This Row],[Location_External_Id__c]], Locations[Location Id], Locations[Location Name])</f>
        <v>Toms River</v>
      </c>
      <c r="AE1213" s="6" t="str">
        <f>TEXT(Lessons[[#This Row],[Lesson_Date__c]], "yyyy-mm")</f>
        <v>2027-02</v>
      </c>
      <c r="AF1213" s="6" t="str">
        <f>IF(Lessons[[#This Row],[Lesson_Date__c]]&lt;=Data_Audit!$F$1, "Yes", "No")</f>
        <v>No</v>
      </c>
    </row>
    <row r="1214" spans="1:32">
      <c r="A1214" t="s">
        <v>52</v>
      </c>
      <c r="B1214" t="s">
        <v>2997</v>
      </c>
      <c r="C1214">
        <v>60</v>
      </c>
      <c r="D1214" t="s">
        <v>4540</v>
      </c>
      <c r="E1214" t="s">
        <v>318</v>
      </c>
      <c r="F1214" t="s">
        <v>319</v>
      </c>
      <c r="H1214" t="s">
        <v>650</v>
      </c>
      <c r="I1214" t="b">
        <v>0</v>
      </c>
      <c r="K1214" t="s">
        <v>52</v>
      </c>
      <c r="L1214" t="s">
        <v>2997</v>
      </c>
      <c r="O1214" s="1">
        <v>46440</v>
      </c>
      <c r="P1214" t="s">
        <v>4541</v>
      </c>
      <c r="Q1214" t="s">
        <v>4542</v>
      </c>
      <c r="R1214" t="s">
        <v>63</v>
      </c>
      <c r="S1214" t="b">
        <v>0</v>
      </c>
      <c r="T1214" t="b">
        <v>0</v>
      </c>
      <c r="U1214" t="s">
        <v>4543</v>
      </c>
      <c r="V1214" t="s">
        <v>74</v>
      </c>
      <c r="W1214" t="s">
        <v>95</v>
      </c>
      <c r="X1214" t="s">
        <v>1767</v>
      </c>
      <c r="Y1214" t="s">
        <v>1768</v>
      </c>
      <c r="Z1214" t="s">
        <v>2997</v>
      </c>
      <c r="AA1214" t="b">
        <f>ISNUMBER(SEARCH(";"&amp;Lessons[[#This Row],[Instrument__c]]&amp;";",";"&amp;_xlfn.XLOOKUP(Lessons[[#This Row],[Instructor_External_Id__c]], Instructors[Id], Instructors[Instruments_Taught__c])&amp;";"))</f>
        <v>1</v>
      </c>
      <c r="AB1214" t="str">
        <f>IF(LEFT(Lessons[[#This Row],[Status__c]],9)="Cancelled","",Lessons[[#This Row],[Instructor_External_Id__c]]&amp;"|"&amp;TEXT(Lessons[[#This Row],[Lesson_Date__c]],"yyyy-mm-dd")&amp;"|"&amp;Lessons[[#This Row],[Start_Time__c]])</f>
        <v>a06ak00000amzBzAAI|2027-02-22|16:30:00.000Z</v>
      </c>
      <c r="AC1214">
        <f>IF(Lessons[[#This Row],[Double Booked Key]]="","",COUNTIF(Lessons[Double Booked Key],Lessons[[#This Row],[Double Booked Key]]))</f>
        <v>1</v>
      </c>
      <c r="AD1214" s="6" t="str">
        <f>_xlfn.XLOOKUP(Lessons[[#This Row],[Location_External_Id__c]], Locations[Location Id], Locations[Location Name])</f>
        <v>Red Bank</v>
      </c>
      <c r="AE1214" s="6" t="str">
        <f>TEXT(Lessons[[#This Row],[Lesson_Date__c]], "yyyy-mm")</f>
        <v>2027-02</v>
      </c>
      <c r="AF1214" s="6" t="str">
        <f>IF(Lessons[[#This Row],[Lesson_Date__c]]&lt;=Data_Audit!$F$1, "Yes", "No")</f>
        <v>No</v>
      </c>
    </row>
    <row r="1215" spans="1:32">
      <c r="A1215" t="s">
        <v>52</v>
      </c>
      <c r="B1215" t="s">
        <v>2997</v>
      </c>
      <c r="C1215">
        <v>45</v>
      </c>
      <c r="D1215" t="s">
        <v>4544</v>
      </c>
      <c r="E1215" t="s">
        <v>359</v>
      </c>
      <c r="F1215" t="s">
        <v>360</v>
      </c>
      <c r="H1215" t="s">
        <v>78</v>
      </c>
      <c r="I1215" t="b">
        <v>0</v>
      </c>
      <c r="K1215" t="s">
        <v>52</v>
      </c>
      <c r="L1215" t="s">
        <v>2997</v>
      </c>
      <c r="O1215" s="1">
        <v>46440</v>
      </c>
      <c r="P1215" t="s">
        <v>4545</v>
      </c>
      <c r="Q1215" t="s">
        <v>4546</v>
      </c>
      <c r="R1215" t="s">
        <v>63</v>
      </c>
      <c r="S1215" t="b">
        <v>0</v>
      </c>
      <c r="T1215" t="b">
        <v>0</v>
      </c>
      <c r="U1215" t="s">
        <v>4547</v>
      </c>
      <c r="V1215" t="s">
        <v>116</v>
      </c>
      <c r="W1215" t="s">
        <v>95</v>
      </c>
      <c r="X1215" t="s">
        <v>1055</v>
      </c>
      <c r="Y1215" t="s">
        <v>1056</v>
      </c>
      <c r="Z1215" t="s">
        <v>2997</v>
      </c>
      <c r="AA1215" t="b">
        <f>ISNUMBER(SEARCH(";"&amp;Lessons[[#This Row],[Instrument__c]]&amp;";",";"&amp;_xlfn.XLOOKUP(Lessons[[#This Row],[Instructor_External_Id__c]], Instructors[Id], Instructors[Instruments_Taught__c])&amp;";"))</f>
        <v>1</v>
      </c>
      <c r="AB1215" t="str">
        <f>IF(LEFT(Lessons[[#This Row],[Status__c]],9)="Cancelled","",Lessons[[#This Row],[Instructor_External_Id__c]]&amp;"|"&amp;TEXT(Lessons[[#This Row],[Lesson_Date__c]],"yyyy-mm-dd")&amp;"|"&amp;Lessons[[#This Row],[Start_Time__c]])</f>
        <v>a06ak00000amzBiAAI|2027-02-22|17:30:00.000Z</v>
      </c>
      <c r="AC1215">
        <f>IF(Lessons[[#This Row],[Double Booked Key]]="","",COUNTIF(Lessons[Double Booked Key],Lessons[[#This Row],[Double Booked Key]]))</f>
        <v>1</v>
      </c>
      <c r="AD1215" s="6" t="str">
        <f>_xlfn.XLOOKUP(Lessons[[#This Row],[Location_External_Id__c]], Locations[Location Id], Locations[Location Name])</f>
        <v>Red Bank</v>
      </c>
      <c r="AE1215" s="6" t="str">
        <f>TEXT(Lessons[[#This Row],[Lesson_Date__c]], "yyyy-mm")</f>
        <v>2027-02</v>
      </c>
      <c r="AF1215" s="6" t="str">
        <f>IF(Lessons[[#This Row],[Lesson_Date__c]]&lt;=Data_Audit!$F$1, "Yes", "No")</f>
        <v>No</v>
      </c>
    </row>
    <row r="1216" spans="1:32">
      <c r="A1216" t="s">
        <v>52</v>
      </c>
      <c r="B1216" t="s">
        <v>2997</v>
      </c>
      <c r="C1216">
        <v>30</v>
      </c>
      <c r="D1216" t="s">
        <v>4548</v>
      </c>
      <c r="E1216" t="s">
        <v>804</v>
      </c>
      <c r="F1216" t="s">
        <v>805</v>
      </c>
      <c r="H1216" t="s">
        <v>147</v>
      </c>
      <c r="I1216" t="b">
        <v>0</v>
      </c>
      <c r="K1216" t="s">
        <v>52</v>
      </c>
      <c r="L1216" t="s">
        <v>2997</v>
      </c>
      <c r="O1216" s="1">
        <v>46441</v>
      </c>
      <c r="P1216" t="s">
        <v>4549</v>
      </c>
      <c r="Q1216" t="s">
        <v>4550</v>
      </c>
      <c r="R1216" t="s">
        <v>63</v>
      </c>
      <c r="S1216" t="b">
        <v>0</v>
      </c>
      <c r="T1216" t="b">
        <v>0</v>
      </c>
      <c r="U1216" t="s">
        <v>4551</v>
      </c>
      <c r="V1216" t="s">
        <v>140</v>
      </c>
      <c r="W1216" t="s">
        <v>95</v>
      </c>
      <c r="X1216" t="s">
        <v>2830</v>
      </c>
      <c r="Y1216" t="s">
        <v>2831</v>
      </c>
      <c r="Z1216" t="s">
        <v>2997</v>
      </c>
      <c r="AA1216" t="b">
        <f>ISNUMBER(SEARCH(";"&amp;Lessons[[#This Row],[Instrument__c]]&amp;";",";"&amp;_xlfn.XLOOKUP(Lessons[[#This Row],[Instructor_External_Id__c]], Instructors[Id], Instructors[Instruments_Taught__c])&amp;";"))</f>
        <v>1</v>
      </c>
      <c r="AB1216" t="str">
        <f>IF(LEFT(Lessons[[#This Row],[Status__c]],9)="Cancelled","",Lessons[[#This Row],[Instructor_External_Id__c]]&amp;"|"&amp;TEXT(Lessons[[#This Row],[Lesson_Date__c]],"yyyy-mm-dd")&amp;"|"&amp;Lessons[[#This Row],[Start_Time__c]])</f>
        <v>a06ak00000amzCBAAY|2027-02-23|15:00:00.000Z</v>
      </c>
      <c r="AC1216">
        <f>IF(Lessons[[#This Row],[Double Booked Key]]="","",COUNTIF(Lessons[Double Booked Key],Lessons[[#This Row],[Double Booked Key]]))</f>
        <v>1</v>
      </c>
      <c r="AD1216" s="6" t="str">
        <f>_xlfn.XLOOKUP(Lessons[[#This Row],[Location_External_Id__c]], Locations[Location Id], Locations[Location Name])</f>
        <v>Red Bank</v>
      </c>
      <c r="AE1216" s="6" t="str">
        <f>TEXT(Lessons[[#This Row],[Lesson_Date__c]], "yyyy-mm")</f>
        <v>2027-02</v>
      </c>
      <c r="AF1216" s="6" t="str">
        <f>IF(Lessons[[#This Row],[Lesson_Date__c]]&lt;=Data_Audit!$F$1, "Yes", "No")</f>
        <v>No</v>
      </c>
    </row>
    <row r="1217" spans="1:32">
      <c r="A1217" t="s">
        <v>52</v>
      </c>
      <c r="B1217" t="s">
        <v>2997</v>
      </c>
      <c r="C1217">
        <v>30</v>
      </c>
      <c r="D1217" t="s">
        <v>4552</v>
      </c>
      <c r="E1217" t="s">
        <v>804</v>
      </c>
      <c r="F1217" t="s">
        <v>805</v>
      </c>
      <c r="H1217" t="s">
        <v>147</v>
      </c>
      <c r="I1217" t="b">
        <v>0</v>
      </c>
      <c r="K1217" t="s">
        <v>52</v>
      </c>
      <c r="L1217" t="s">
        <v>2997</v>
      </c>
      <c r="O1217" s="1">
        <v>46441</v>
      </c>
      <c r="P1217" t="s">
        <v>4553</v>
      </c>
      <c r="Q1217" t="s">
        <v>4554</v>
      </c>
      <c r="R1217" t="s">
        <v>63</v>
      </c>
      <c r="S1217" t="b">
        <v>0</v>
      </c>
      <c r="T1217" t="b">
        <v>0</v>
      </c>
      <c r="U1217" t="s">
        <v>4555</v>
      </c>
      <c r="V1217" t="s">
        <v>135</v>
      </c>
      <c r="W1217" t="s">
        <v>95</v>
      </c>
      <c r="X1217" t="s">
        <v>2688</v>
      </c>
      <c r="Y1217" t="s">
        <v>2689</v>
      </c>
      <c r="Z1217" t="s">
        <v>2997</v>
      </c>
      <c r="AA1217" t="b">
        <f>ISNUMBER(SEARCH(";"&amp;Lessons[[#This Row],[Instrument__c]]&amp;";",";"&amp;_xlfn.XLOOKUP(Lessons[[#This Row],[Instructor_External_Id__c]], Instructors[Id], Instructors[Instruments_Taught__c])&amp;";"))</f>
        <v>1</v>
      </c>
      <c r="AB1217" t="str">
        <f>IF(LEFT(Lessons[[#This Row],[Status__c]],9)="Cancelled","",Lessons[[#This Row],[Instructor_External_Id__c]]&amp;"|"&amp;TEXT(Lessons[[#This Row],[Lesson_Date__c]],"yyyy-mm-dd")&amp;"|"&amp;Lessons[[#This Row],[Start_Time__c]])</f>
        <v>a06ak00000amzCBAAY|2027-02-23|15:30:00.000Z</v>
      </c>
      <c r="AC1217">
        <f>IF(Lessons[[#This Row],[Double Booked Key]]="","",COUNTIF(Lessons[Double Booked Key],Lessons[[#This Row],[Double Booked Key]]))</f>
        <v>1</v>
      </c>
      <c r="AD1217" s="6" t="str">
        <f>_xlfn.XLOOKUP(Lessons[[#This Row],[Location_External_Id__c]], Locations[Location Id], Locations[Location Name])</f>
        <v>Red Bank</v>
      </c>
      <c r="AE1217" s="6" t="str">
        <f>TEXT(Lessons[[#This Row],[Lesson_Date__c]], "yyyy-mm")</f>
        <v>2027-02</v>
      </c>
      <c r="AF1217" s="6" t="str">
        <f>IF(Lessons[[#This Row],[Lesson_Date__c]]&lt;=Data_Audit!$F$1, "Yes", "No")</f>
        <v>No</v>
      </c>
    </row>
    <row r="1218" spans="1:32">
      <c r="A1218" t="s">
        <v>52</v>
      </c>
      <c r="B1218" t="s">
        <v>2997</v>
      </c>
      <c r="C1218">
        <v>30</v>
      </c>
      <c r="D1218" t="s">
        <v>4556</v>
      </c>
      <c r="E1218" t="s">
        <v>573</v>
      </c>
      <c r="F1218" t="s">
        <v>574</v>
      </c>
      <c r="H1218" t="s">
        <v>461</v>
      </c>
      <c r="I1218" t="b">
        <v>0</v>
      </c>
      <c r="K1218" t="s">
        <v>52</v>
      </c>
      <c r="L1218" t="s">
        <v>2997</v>
      </c>
      <c r="O1218" s="1">
        <v>46441</v>
      </c>
      <c r="P1218" t="s">
        <v>4557</v>
      </c>
      <c r="Q1218" t="s">
        <v>4558</v>
      </c>
      <c r="R1218" t="s">
        <v>150</v>
      </c>
      <c r="S1218" t="b">
        <v>0</v>
      </c>
      <c r="T1218" t="b">
        <v>0</v>
      </c>
      <c r="U1218" t="s">
        <v>4559</v>
      </c>
      <c r="V1218" t="s">
        <v>84</v>
      </c>
      <c r="W1218" t="s">
        <v>95</v>
      </c>
      <c r="X1218" t="s">
        <v>2567</v>
      </c>
      <c r="Y1218" t="s">
        <v>2568</v>
      </c>
      <c r="Z1218" t="s">
        <v>2997</v>
      </c>
      <c r="AA1218" t="b">
        <f>ISNUMBER(SEARCH(";"&amp;Lessons[[#This Row],[Instrument__c]]&amp;";",";"&amp;_xlfn.XLOOKUP(Lessons[[#This Row],[Instructor_External_Id__c]], Instructors[Id], Instructors[Instruments_Taught__c])&amp;";"))</f>
        <v>1</v>
      </c>
      <c r="AB1218" t="str">
        <f>IF(LEFT(Lessons[[#This Row],[Status__c]],9)="Cancelled","",Lessons[[#This Row],[Instructor_External_Id__c]]&amp;"|"&amp;TEXT(Lessons[[#This Row],[Lesson_Date__c]],"yyyy-mm-dd")&amp;"|"&amp;Lessons[[#This Row],[Start_Time__c]])</f>
        <v>a06ak00000amzCCAAY|2027-02-23|17:00:00.000Z</v>
      </c>
      <c r="AC1218">
        <f>IF(Lessons[[#This Row],[Double Booked Key]]="","",COUNTIF(Lessons[Double Booked Key],Lessons[[#This Row],[Double Booked Key]]))</f>
        <v>1</v>
      </c>
      <c r="AD1218" s="6" t="str">
        <f>_xlfn.XLOOKUP(Lessons[[#This Row],[Location_External_Id__c]], Locations[Location Id], Locations[Location Name])</f>
        <v>Toms River</v>
      </c>
      <c r="AE1218" s="6" t="str">
        <f>TEXT(Lessons[[#This Row],[Lesson_Date__c]], "yyyy-mm")</f>
        <v>2027-02</v>
      </c>
      <c r="AF1218" s="6" t="str">
        <f>IF(Lessons[[#This Row],[Lesson_Date__c]]&lt;=Data_Audit!$F$1, "Yes", "No")</f>
        <v>No</v>
      </c>
    </row>
    <row r="1219" spans="1:32">
      <c r="A1219" t="s">
        <v>52</v>
      </c>
      <c r="B1219" t="s">
        <v>2997</v>
      </c>
      <c r="C1219">
        <v>30</v>
      </c>
      <c r="D1219" t="s">
        <v>4560</v>
      </c>
      <c r="E1219" t="s">
        <v>804</v>
      </c>
      <c r="F1219" t="s">
        <v>805</v>
      </c>
      <c r="H1219" t="s">
        <v>147</v>
      </c>
      <c r="I1219" t="b">
        <v>0</v>
      </c>
      <c r="K1219" t="s">
        <v>52</v>
      </c>
      <c r="L1219" t="s">
        <v>2997</v>
      </c>
      <c r="O1219" s="1">
        <v>46442</v>
      </c>
      <c r="P1219" t="s">
        <v>4561</v>
      </c>
      <c r="Q1219" t="s">
        <v>4562</v>
      </c>
      <c r="R1219" t="s">
        <v>63</v>
      </c>
      <c r="S1219" t="b">
        <v>0</v>
      </c>
      <c r="T1219" t="b">
        <v>0</v>
      </c>
      <c r="U1219" t="s">
        <v>4563</v>
      </c>
      <c r="V1219" t="s">
        <v>140</v>
      </c>
      <c r="W1219" t="s">
        <v>95</v>
      </c>
      <c r="X1219" t="s">
        <v>1795</v>
      </c>
      <c r="Y1219" t="s">
        <v>1796</v>
      </c>
      <c r="Z1219" t="s">
        <v>2997</v>
      </c>
      <c r="AA1219" t="b">
        <f>ISNUMBER(SEARCH(";"&amp;Lessons[[#This Row],[Instrument__c]]&amp;";",";"&amp;_xlfn.XLOOKUP(Lessons[[#This Row],[Instructor_External_Id__c]], Instructors[Id], Instructors[Instruments_Taught__c])&amp;";"))</f>
        <v>1</v>
      </c>
      <c r="AB1219" t="str">
        <f>IF(LEFT(Lessons[[#This Row],[Status__c]],9)="Cancelled","",Lessons[[#This Row],[Instructor_External_Id__c]]&amp;"|"&amp;TEXT(Lessons[[#This Row],[Lesson_Date__c]],"yyyy-mm-dd")&amp;"|"&amp;Lessons[[#This Row],[Start_Time__c]])</f>
        <v>a06ak00000amzCBAAY|2027-02-24|15:00:00.000Z</v>
      </c>
      <c r="AC1219">
        <f>IF(Lessons[[#This Row],[Double Booked Key]]="","",COUNTIF(Lessons[Double Booked Key],Lessons[[#This Row],[Double Booked Key]]))</f>
        <v>1</v>
      </c>
      <c r="AD1219" s="6" t="str">
        <f>_xlfn.XLOOKUP(Lessons[[#This Row],[Location_External_Id__c]], Locations[Location Id], Locations[Location Name])</f>
        <v>Red Bank</v>
      </c>
      <c r="AE1219" s="6" t="str">
        <f>TEXT(Lessons[[#This Row],[Lesson_Date__c]], "yyyy-mm")</f>
        <v>2027-02</v>
      </c>
      <c r="AF1219" s="6" t="str">
        <f>IF(Lessons[[#This Row],[Lesson_Date__c]]&lt;=Data_Audit!$F$1, "Yes", "No")</f>
        <v>No</v>
      </c>
    </row>
    <row r="1220" spans="1:32">
      <c r="A1220" t="s">
        <v>52</v>
      </c>
      <c r="B1220" t="s">
        <v>2997</v>
      </c>
      <c r="C1220">
        <v>60</v>
      </c>
      <c r="D1220" t="s">
        <v>4564</v>
      </c>
      <c r="E1220" t="s">
        <v>359</v>
      </c>
      <c r="F1220" t="s">
        <v>360</v>
      </c>
      <c r="H1220" t="s">
        <v>392</v>
      </c>
      <c r="I1220" t="b">
        <v>0</v>
      </c>
      <c r="K1220" t="s">
        <v>52</v>
      </c>
      <c r="L1220" t="s">
        <v>2997</v>
      </c>
      <c r="O1220" s="1">
        <v>46442</v>
      </c>
      <c r="P1220" t="s">
        <v>4565</v>
      </c>
      <c r="Q1220" t="s">
        <v>4566</v>
      </c>
      <c r="R1220" t="s">
        <v>63</v>
      </c>
      <c r="S1220" t="b">
        <v>0</v>
      </c>
      <c r="T1220" t="b">
        <v>0</v>
      </c>
      <c r="U1220" t="s">
        <v>4567</v>
      </c>
      <c r="V1220" t="s">
        <v>140</v>
      </c>
      <c r="W1220" t="s">
        <v>95</v>
      </c>
      <c r="X1220" t="s">
        <v>2868</v>
      </c>
      <c r="Y1220" t="s">
        <v>2869</v>
      </c>
      <c r="Z1220" t="s">
        <v>2997</v>
      </c>
      <c r="AA1220" t="b">
        <f>ISNUMBER(SEARCH(";"&amp;Lessons[[#This Row],[Instrument__c]]&amp;";",";"&amp;_xlfn.XLOOKUP(Lessons[[#This Row],[Instructor_External_Id__c]], Instructors[Id], Instructors[Instruments_Taught__c])&amp;";"))</f>
        <v>1</v>
      </c>
      <c r="AB1220" t="str">
        <f>IF(LEFT(Lessons[[#This Row],[Status__c]],9)="Cancelled","",Lessons[[#This Row],[Instructor_External_Id__c]]&amp;"|"&amp;TEXT(Lessons[[#This Row],[Lesson_Date__c]],"yyyy-mm-dd")&amp;"|"&amp;Lessons[[#This Row],[Start_Time__c]])</f>
        <v>a06ak00000amzBiAAI|2027-02-24|15:00:00.000Z</v>
      </c>
      <c r="AC1220">
        <f>IF(Lessons[[#This Row],[Double Booked Key]]="","",COUNTIF(Lessons[Double Booked Key],Lessons[[#This Row],[Double Booked Key]]))</f>
        <v>1</v>
      </c>
      <c r="AD1220" s="6" t="str">
        <f>_xlfn.XLOOKUP(Lessons[[#This Row],[Location_External_Id__c]], Locations[Location Id], Locations[Location Name])</f>
        <v>Red Bank</v>
      </c>
      <c r="AE1220" s="6" t="str">
        <f>TEXT(Lessons[[#This Row],[Lesson_Date__c]], "yyyy-mm")</f>
        <v>2027-02</v>
      </c>
      <c r="AF1220" s="6" t="str">
        <f>IF(Lessons[[#This Row],[Lesson_Date__c]]&lt;=Data_Audit!$F$1, "Yes", "No")</f>
        <v>No</v>
      </c>
    </row>
    <row r="1221" spans="1:32">
      <c r="A1221" t="s">
        <v>52</v>
      </c>
      <c r="B1221" t="s">
        <v>2997</v>
      </c>
      <c r="C1221">
        <v>45</v>
      </c>
      <c r="D1221" t="s">
        <v>4568</v>
      </c>
      <c r="E1221" t="s">
        <v>401</v>
      </c>
      <c r="F1221" t="s">
        <v>402</v>
      </c>
      <c r="H1221" t="s">
        <v>263</v>
      </c>
      <c r="I1221" t="b">
        <v>0</v>
      </c>
      <c r="K1221" t="s">
        <v>52</v>
      </c>
      <c r="L1221" t="s">
        <v>2997</v>
      </c>
      <c r="O1221" s="1">
        <v>46442</v>
      </c>
      <c r="P1221" t="s">
        <v>4569</v>
      </c>
      <c r="Q1221" t="s">
        <v>4570</v>
      </c>
      <c r="R1221" t="s">
        <v>83</v>
      </c>
      <c r="S1221" t="b">
        <v>0</v>
      </c>
      <c r="T1221" t="b">
        <v>0</v>
      </c>
      <c r="U1221" t="s">
        <v>4571</v>
      </c>
      <c r="V1221" t="s">
        <v>74</v>
      </c>
      <c r="W1221" t="s">
        <v>95</v>
      </c>
      <c r="X1221" t="s">
        <v>1561</v>
      </c>
      <c r="Y1221" t="s">
        <v>1562</v>
      </c>
      <c r="Z1221" t="s">
        <v>2997</v>
      </c>
      <c r="AA1221" t="b">
        <f>ISNUMBER(SEARCH(";"&amp;Lessons[[#This Row],[Instrument__c]]&amp;";",";"&amp;_xlfn.XLOOKUP(Lessons[[#This Row],[Instructor_External_Id__c]], Instructors[Id], Instructors[Instruments_Taught__c])&amp;";"))</f>
        <v>1</v>
      </c>
      <c r="AB1221" t="str">
        <f>IF(LEFT(Lessons[[#This Row],[Status__c]],9)="Cancelled","",Lessons[[#This Row],[Instructor_External_Id__c]]&amp;"|"&amp;TEXT(Lessons[[#This Row],[Lesson_Date__c]],"yyyy-mm-dd")&amp;"|"&amp;Lessons[[#This Row],[Start_Time__c]])</f>
        <v>a06ak00000amzBfAAI|2027-02-24|16:30:00.000Z</v>
      </c>
      <c r="AC1221">
        <f>IF(Lessons[[#This Row],[Double Booked Key]]="","",COUNTIF(Lessons[Double Booked Key],Lessons[[#This Row],[Double Booked Key]]))</f>
        <v>1</v>
      </c>
      <c r="AD1221" s="6" t="str">
        <f>_xlfn.XLOOKUP(Lessons[[#This Row],[Location_External_Id__c]], Locations[Location Id], Locations[Location Name])</f>
        <v>Brick</v>
      </c>
      <c r="AE1221" s="6" t="str">
        <f>TEXT(Lessons[[#This Row],[Lesson_Date__c]], "yyyy-mm")</f>
        <v>2027-02</v>
      </c>
      <c r="AF1221" s="6" t="str">
        <f>IF(Lessons[[#This Row],[Lesson_Date__c]]&lt;=Data_Audit!$F$1, "Yes", "No")</f>
        <v>No</v>
      </c>
    </row>
    <row r="1222" spans="1:32">
      <c r="A1222" t="s">
        <v>52</v>
      </c>
      <c r="B1222" t="s">
        <v>2997</v>
      </c>
      <c r="C1222">
        <v>30</v>
      </c>
      <c r="D1222" t="s">
        <v>4572</v>
      </c>
      <c r="E1222" t="s">
        <v>337</v>
      </c>
      <c r="F1222" t="s">
        <v>338</v>
      </c>
      <c r="H1222" t="s">
        <v>284</v>
      </c>
      <c r="I1222" t="b">
        <v>0</v>
      </c>
      <c r="K1222" t="s">
        <v>52</v>
      </c>
      <c r="L1222" t="s">
        <v>2997</v>
      </c>
      <c r="O1222" s="1">
        <v>46442</v>
      </c>
      <c r="P1222" t="s">
        <v>4573</v>
      </c>
      <c r="Q1222" t="s">
        <v>4574</v>
      </c>
      <c r="R1222" t="s">
        <v>150</v>
      </c>
      <c r="S1222" t="b">
        <v>0</v>
      </c>
      <c r="T1222" t="b">
        <v>0</v>
      </c>
      <c r="U1222" t="s">
        <v>4575</v>
      </c>
      <c r="V1222" t="s">
        <v>84</v>
      </c>
      <c r="W1222" t="s">
        <v>95</v>
      </c>
      <c r="X1222" t="s">
        <v>611</v>
      </c>
      <c r="Y1222" t="s">
        <v>612</v>
      </c>
      <c r="Z1222" t="s">
        <v>2997</v>
      </c>
      <c r="AA1222" t="b">
        <f>ISNUMBER(SEARCH(";"&amp;Lessons[[#This Row],[Instrument__c]]&amp;";",";"&amp;_xlfn.XLOOKUP(Lessons[[#This Row],[Instructor_External_Id__c]], Instructors[Id], Instructors[Instruments_Taught__c])&amp;";"))</f>
        <v>1</v>
      </c>
      <c r="AB1222" t="str">
        <f>IF(LEFT(Lessons[[#This Row],[Status__c]],9)="Cancelled","",Lessons[[#This Row],[Instructor_External_Id__c]]&amp;"|"&amp;TEXT(Lessons[[#This Row],[Lesson_Date__c]],"yyyy-mm-dd")&amp;"|"&amp;Lessons[[#This Row],[Start_Time__c]])</f>
        <v>a06ak00000amzCIAAY|2027-02-24|17:00:00.000Z</v>
      </c>
      <c r="AC1222">
        <f>IF(Lessons[[#This Row],[Double Booked Key]]="","",COUNTIF(Lessons[Double Booked Key],Lessons[[#This Row],[Double Booked Key]]))</f>
        <v>1</v>
      </c>
      <c r="AD1222" s="6" t="str">
        <f>_xlfn.XLOOKUP(Lessons[[#This Row],[Location_External_Id__c]], Locations[Location Id], Locations[Location Name])</f>
        <v>Toms River</v>
      </c>
      <c r="AE1222" s="6" t="str">
        <f>TEXT(Lessons[[#This Row],[Lesson_Date__c]], "yyyy-mm")</f>
        <v>2027-02</v>
      </c>
      <c r="AF1222" s="6" t="str">
        <f>IF(Lessons[[#This Row],[Lesson_Date__c]]&lt;=Data_Audit!$F$1, "Yes", "No")</f>
        <v>No</v>
      </c>
    </row>
    <row r="1223" spans="1:32">
      <c r="A1223" t="s">
        <v>52</v>
      </c>
      <c r="B1223" t="s">
        <v>2997</v>
      </c>
      <c r="C1223">
        <v>45</v>
      </c>
      <c r="D1223" t="s">
        <v>4576</v>
      </c>
      <c r="E1223" t="s">
        <v>436</v>
      </c>
      <c r="F1223" t="s">
        <v>437</v>
      </c>
      <c r="H1223" t="s">
        <v>263</v>
      </c>
      <c r="I1223" t="b">
        <v>0</v>
      </c>
      <c r="K1223" t="s">
        <v>52</v>
      </c>
      <c r="L1223" t="s">
        <v>2997</v>
      </c>
      <c r="O1223" s="1">
        <v>46442</v>
      </c>
      <c r="P1223" t="s">
        <v>4577</v>
      </c>
      <c r="Q1223" t="s">
        <v>4578</v>
      </c>
      <c r="R1223" t="s">
        <v>63</v>
      </c>
      <c r="S1223" t="b">
        <v>0</v>
      </c>
      <c r="T1223" t="b">
        <v>0</v>
      </c>
      <c r="U1223" t="s">
        <v>4579</v>
      </c>
      <c r="V1223" t="s">
        <v>84</v>
      </c>
      <c r="W1223" t="s">
        <v>95</v>
      </c>
      <c r="X1223" t="s">
        <v>1142</v>
      </c>
      <c r="Y1223" t="s">
        <v>1143</v>
      </c>
      <c r="Z1223" t="s">
        <v>2997</v>
      </c>
      <c r="AA1223" t="b">
        <f>ISNUMBER(SEARCH(";"&amp;Lessons[[#This Row],[Instrument__c]]&amp;";",";"&amp;_xlfn.XLOOKUP(Lessons[[#This Row],[Instructor_External_Id__c]], Instructors[Id], Instructors[Instruments_Taught__c])&amp;";"))</f>
        <v>1</v>
      </c>
      <c r="AB1223" t="str">
        <f>IF(LEFT(Lessons[[#This Row],[Status__c]],9)="Cancelled","",Lessons[[#This Row],[Instructor_External_Id__c]]&amp;"|"&amp;TEXT(Lessons[[#This Row],[Lesson_Date__c]],"yyyy-mm-dd")&amp;"|"&amp;Lessons[[#This Row],[Start_Time__c]])</f>
        <v>a06ak00000amzC0AAI|2027-02-24|17:00:00.000Z</v>
      </c>
      <c r="AC1223">
        <f>IF(Lessons[[#This Row],[Double Booked Key]]="","",COUNTIF(Lessons[Double Booked Key],Lessons[[#This Row],[Double Booked Key]]))</f>
        <v>1</v>
      </c>
      <c r="AD1223" s="6" t="str">
        <f>_xlfn.XLOOKUP(Lessons[[#This Row],[Location_External_Id__c]], Locations[Location Id], Locations[Location Name])</f>
        <v>Red Bank</v>
      </c>
      <c r="AE1223" s="6" t="str">
        <f>TEXT(Lessons[[#This Row],[Lesson_Date__c]], "yyyy-mm")</f>
        <v>2027-02</v>
      </c>
      <c r="AF1223" s="6" t="str">
        <f>IF(Lessons[[#This Row],[Lesson_Date__c]]&lt;=Data_Audit!$F$1, "Yes", "No")</f>
        <v>No</v>
      </c>
    </row>
    <row r="1224" spans="1:32">
      <c r="A1224" t="s">
        <v>52</v>
      </c>
      <c r="B1224" t="s">
        <v>2997</v>
      </c>
      <c r="C1224">
        <v>30</v>
      </c>
      <c r="D1224" t="s">
        <v>4580</v>
      </c>
      <c r="E1224" t="s">
        <v>573</v>
      </c>
      <c r="F1224" t="s">
        <v>574</v>
      </c>
      <c r="H1224" t="s">
        <v>147</v>
      </c>
      <c r="I1224" t="b">
        <v>0</v>
      </c>
      <c r="K1224" t="s">
        <v>52</v>
      </c>
      <c r="L1224" t="s">
        <v>2997</v>
      </c>
      <c r="O1224" s="1">
        <v>46442</v>
      </c>
      <c r="P1224" t="s">
        <v>4581</v>
      </c>
      <c r="Q1224" t="s">
        <v>4582</v>
      </c>
      <c r="R1224" t="s">
        <v>83</v>
      </c>
      <c r="S1224" t="b">
        <v>0</v>
      </c>
      <c r="T1224" t="b">
        <v>0</v>
      </c>
      <c r="U1224" t="s">
        <v>4583</v>
      </c>
      <c r="V1224" t="s">
        <v>120</v>
      </c>
      <c r="W1224" t="s">
        <v>95</v>
      </c>
      <c r="X1224" t="s">
        <v>2016</v>
      </c>
      <c r="Y1224" t="s">
        <v>2017</v>
      </c>
      <c r="Z1224" t="s">
        <v>2997</v>
      </c>
      <c r="AA1224" t="b">
        <f>ISNUMBER(SEARCH(";"&amp;Lessons[[#This Row],[Instrument__c]]&amp;";",";"&amp;_xlfn.XLOOKUP(Lessons[[#This Row],[Instructor_External_Id__c]], Instructors[Id], Instructors[Instruments_Taught__c])&amp;";"))</f>
        <v>1</v>
      </c>
      <c r="AB1224" t="str">
        <f>IF(LEFT(Lessons[[#This Row],[Status__c]],9)="Cancelled","",Lessons[[#This Row],[Instructor_External_Id__c]]&amp;"|"&amp;TEXT(Lessons[[#This Row],[Lesson_Date__c]],"yyyy-mm-dd")&amp;"|"&amp;Lessons[[#This Row],[Start_Time__c]])</f>
        <v>a06ak00000amzCCAAY|2027-02-24|18:00:00.000Z</v>
      </c>
      <c r="AC1224">
        <f>IF(Lessons[[#This Row],[Double Booked Key]]="","",COUNTIF(Lessons[Double Booked Key],Lessons[[#This Row],[Double Booked Key]]))</f>
        <v>1</v>
      </c>
      <c r="AD1224" s="6" t="str">
        <f>_xlfn.XLOOKUP(Lessons[[#This Row],[Location_External_Id__c]], Locations[Location Id], Locations[Location Name])</f>
        <v>Brick</v>
      </c>
      <c r="AE1224" s="6" t="str">
        <f>TEXT(Lessons[[#This Row],[Lesson_Date__c]], "yyyy-mm")</f>
        <v>2027-02</v>
      </c>
      <c r="AF1224" s="6" t="str">
        <f>IF(Lessons[[#This Row],[Lesson_Date__c]]&lt;=Data_Audit!$F$1, "Yes", "No")</f>
        <v>No</v>
      </c>
    </row>
    <row r="1225" spans="1:32">
      <c r="A1225" t="s">
        <v>52</v>
      </c>
      <c r="B1225" t="s">
        <v>2997</v>
      </c>
      <c r="C1225">
        <v>60</v>
      </c>
      <c r="D1225" t="s">
        <v>4584</v>
      </c>
      <c r="E1225" t="s">
        <v>777</v>
      </c>
      <c r="F1225" t="s">
        <v>778</v>
      </c>
      <c r="H1225" t="s">
        <v>392</v>
      </c>
      <c r="I1225" t="b">
        <v>0</v>
      </c>
      <c r="K1225" t="s">
        <v>52</v>
      </c>
      <c r="L1225" t="s">
        <v>2997</v>
      </c>
      <c r="O1225" s="1">
        <v>46443</v>
      </c>
      <c r="P1225" t="s">
        <v>4585</v>
      </c>
      <c r="Q1225" t="s">
        <v>4586</v>
      </c>
      <c r="R1225" t="s">
        <v>83</v>
      </c>
      <c r="S1225" t="b">
        <v>0</v>
      </c>
      <c r="T1225" t="b">
        <v>0</v>
      </c>
      <c r="U1225" t="s">
        <v>4587</v>
      </c>
      <c r="V1225" t="s">
        <v>135</v>
      </c>
      <c r="W1225" t="s">
        <v>95</v>
      </c>
      <c r="X1225" t="s">
        <v>497</v>
      </c>
      <c r="Y1225" t="s">
        <v>498</v>
      </c>
      <c r="Z1225" t="s">
        <v>2997</v>
      </c>
      <c r="AA1225" t="b">
        <f>ISNUMBER(SEARCH(";"&amp;Lessons[[#This Row],[Instrument__c]]&amp;";",";"&amp;_xlfn.XLOOKUP(Lessons[[#This Row],[Instructor_External_Id__c]], Instructors[Id], Instructors[Instruments_Taught__c])&amp;";"))</f>
        <v>1</v>
      </c>
      <c r="AB1225" t="str">
        <f>IF(LEFT(Lessons[[#This Row],[Status__c]],9)="Cancelled","",Lessons[[#This Row],[Instructor_External_Id__c]]&amp;"|"&amp;TEXT(Lessons[[#This Row],[Lesson_Date__c]],"yyyy-mm-dd")&amp;"|"&amp;Lessons[[#This Row],[Start_Time__c]])</f>
        <v>a06ak00000amzByAAI|2027-02-25|15:30:00.000Z</v>
      </c>
      <c r="AC1225">
        <f>IF(Lessons[[#This Row],[Double Booked Key]]="","",COUNTIF(Lessons[Double Booked Key],Lessons[[#This Row],[Double Booked Key]]))</f>
        <v>1</v>
      </c>
      <c r="AD1225" s="6" t="str">
        <f>_xlfn.XLOOKUP(Lessons[[#This Row],[Location_External_Id__c]], Locations[Location Id], Locations[Location Name])</f>
        <v>Brick</v>
      </c>
      <c r="AE1225" s="6" t="str">
        <f>TEXT(Lessons[[#This Row],[Lesson_Date__c]], "yyyy-mm")</f>
        <v>2027-02</v>
      </c>
      <c r="AF1225" s="6" t="str">
        <f>IF(Lessons[[#This Row],[Lesson_Date__c]]&lt;=Data_Audit!$F$1, "Yes", "No")</f>
        <v>No</v>
      </c>
    </row>
    <row r="1226" spans="1:32">
      <c r="A1226" t="s">
        <v>52</v>
      </c>
      <c r="B1226" t="s">
        <v>2997</v>
      </c>
      <c r="C1226">
        <v>45</v>
      </c>
      <c r="D1226" t="s">
        <v>4588</v>
      </c>
      <c r="E1226" t="s">
        <v>548</v>
      </c>
      <c r="F1226" t="s">
        <v>549</v>
      </c>
      <c r="H1226" t="s">
        <v>203</v>
      </c>
      <c r="I1226" t="b">
        <v>0</v>
      </c>
      <c r="K1226" t="s">
        <v>52</v>
      </c>
      <c r="L1226" t="s">
        <v>2997</v>
      </c>
      <c r="O1226" s="1">
        <v>46443</v>
      </c>
      <c r="P1226" t="s">
        <v>4589</v>
      </c>
      <c r="Q1226" t="s">
        <v>4590</v>
      </c>
      <c r="R1226" t="s">
        <v>63</v>
      </c>
      <c r="S1226" t="b">
        <v>0</v>
      </c>
      <c r="T1226" t="b">
        <v>0</v>
      </c>
      <c r="U1226" t="s">
        <v>4591</v>
      </c>
      <c r="V1226" t="s">
        <v>135</v>
      </c>
      <c r="W1226" t="s">
        <v>95</v>
      </c>
      <c r="X1226" t="s">
        <v>2165</v>
      </c>
      <c r="Y1226" t="s">
        <v>2166</v>
      </c>
      <c r="Z1226" t="s">
        <v>2997</v>
      </c>
      <c r="AA1226" t="b">
        <f>ISNUMBER(SEARCH(";"&amp;Lessons[[#This Row],[Instrument__c]]&amp;";",";"&amp;_xlfn.XLOOKUP(Lessons[[#This Row],[Instructor_External_Id__c]], Instructors[Id], Instructors[Instruments_Taught__c])&amp;";"))</f>
        <v>1</v>
      </c>
      <c r="AB1226" t="str">
        <f>IF(LEFT(Lessons[[#This Row],[Status__c]],9)="Cancelled","",Lessons[[#This Row],[Instructor_External_Id__c]]&amp;"|"&amp;TEXT(Lessons[[#This Row],[Lesson_Date__c]],"yyyy-mm-dd")&amp;"|"&amp;Lessons[[#This Row],[Start_Time__c]])</f>
        <v>a06ak00000amzCHAAY|2027-02-25|15:30:00.000Z</v>
      </c>
      <c r="AC1226">
        <f>IF(Lessons[[#This Row],[Double Booked Key]]="","",COUNTIF(Lessons[Double Booked Key],Lessons[[#This Row],[Double Booked Key]]))</f>
        <v>1</v>
      </c>
      <c r="AD1226" s="6" t="str">
        <f>_xlfn.XLOOKUP(Lessons[[#This Row],[Location_External_Id__c]], Locations[Location Id], Locations[Location Name])</f>
        <v>Red Bank</v>
      </c>
      <c r="AE1226" s="6" t="str">
        <f>TEXT(Lessons[[#This Row],[Lesson_Date__c]], "yyyy-mm")</f>
        <v>2027-02</v>
      </c>
      <c r="AF1226" s="6" t="str">
        <f>IF(Lessons[[#This Row],[Lesson_Date__c]]&lt;=Data_Audit!$F$1, "Yes", "No")</f>
        <v>No</v>
      </c>
    </row>
    <row r="1227" spans="1:32">
      <c r="A1227" t="s">
        <v>52</v>
      </c>
      <c r="B1227" t="s">
        <v>2997</v>
      </c>
      <c r="C1227">
        <v>60</v>
      </c>
      <c r="D1227" t="s">
        <v>4592</v>
      </c>
      <c r="E1227" t="s">
        <v>318</v>
      </c>
      <c r="F1227" t="s">
        <v>319</v>
      </c>
      <c r="H1227" t="s">
        <v>237</v>
      </c>
      <c r="I1227" t="b">
        <v>0</v>
      </c>
      <c r="K1227" t="s">
        <v>52</v>
      </c>
      <c r="L1227" t="s">
        <v>2997</v>
      </c>
      <c r="O1227" s="1">
        <v>46443</v>
      </c>
      <c r="P1227" t="s">
        <v>4593</v>
      </c>
      <c r="Q1227" t="s">
        <v>4594</v>
      </c>
      <c r="R1227" t="s">
        <v>63</v>
      </c>
      <c r="S1227" t="b">
        <v>0</v>
      </c>
      <c r="T1227" t="b">
        <v>0</v>
      </c>
      <c r="U1227" t="s">
        <v>4595</v>
      </c>
      <c r="V1227" t="s">
        <v>135</v>
      </c>
      <c r="W1227" t="s">
        <v>95</v>
      </c>
      <c r="X1227" t="s">
        <v>2240</v>
      </c>
      <c r="Y1227" t="s">
        <v>2241</v>
      </c>
      <c r="Z1227" t="s">
        <v>2997</v>
      </c>
      <c r="AA1227" t="b">
        <f>ISNUMBER(SEARCH(";"&amp;Lessons[[#This Row],[Instrument__c]]&amp;";",";"&amp;_xlfn.XLOOKUP(Lessons[[#This Row],[Instructor_External_Id__c]], Instructors[Id], Instructors[Instruments_Taught__c])&amp;";"))</f>
        <v>1</v>
      </c>
      <c r="AB1227" t="str">
        <f>IF(LEFT(Lessons[[#This Row],[Status__c]],9)="Cancelled","",Lessons[[#This Row],[Instructor_External_Id__c]]&amp;"|"&amp;TEXT(Lessons[[#This Row],[Lesson_Date__c]],"yyyy-mm-dd")&amp;"|"&amp;Lessons[[#This Row],[Start_Time__c]])</f>
        <v>a06ak00000amzBzAAI|2027-02-25|15:30:00.000Z</v>
      </c>
      <c r="AC1227">
        <f>IF(Lessons[[#This Row],[Double Booked Key]]="","",COUNTIF(Lessons[Double Booked Key],Lessons[[#This Row],[Double Booked Key]]))</f>
        <v>1</v>
      </c>
      <c r="AD1227" s="6" t="str">
        <f>_xlfn.XLOOKUP(Lessons[[#This Row],[Location_External_Id__c]], Locations[Location Id], Locations[Location Name])</f>
        <v>Red Bank</v>
      </c>
      <c r="AE1227" s="6" t="str">
        <f>TEXT(Lessons[[#This Row],[Lesson_Date__c]], "yyyy-mm")</f>
        <v>2027-02</v>
      </c>
      <c r="AF1227" s="6" t="str">
        <f>IF(Lessons[[#This Row],[Lesson_Date__c]]&lt;=Data_Audit!$F$1, "Yes", "No")</f>
        <v>No</v>
      </c>
    </row>
    <row r="1228" spans="1:32">
      <c r="A1228" t="s">
        <v>52</v>
      </c>
      <c r="B1228" t="s">
        <v>2997</v>
      </c>
      <c r="C1228">
        <v>30</v>
      </c>
      <c r="D1228" t="s">
        <v>4596</v>
      </c>
      <c r="E1228" t="s">
        <v>459</v>
      </c>
      <c r="F1228" t="s">
        <v>460</v>
      </c>
      <c r="H1228" t="s">
        <v>107</v>
      </c>
      <c r="I1228" t="b">
        <v>0</v>
      </c>
      <c r="K1228" t="s">
        <v>52</v>
      </c>
      <c r="L1228" t="s">
        <v>2997</v>
      </c>
      <c r="O1228" s="1">
        <v>46443</v>
      </c>
      <c r="P1228" t="s">
        <v>4597</v>
      </c>
      <c r="Q1228" t="s">
        <v>4598</v>
      </c>
      <c r="R1228" t="s">
        <v>83</v>
      </c>
      <c r="S1228" t="b">
        <v>0</v>
      </c>
      <c r="T1228" t="b">
        <v>0</v>
      </c>
      <c r="U1228" t="s">
        <v>4599</v>
      </c>
      <c r="V1228" t="s">
        <v>120</v>
      </c>
      <c r="W1228" t="s">
        <v>95</v>
      </c>
      <c r="X1228" t="s">
        <v>1514</v>
      </c>
      <c r="Y1228" t="s">
        <v>1515</v>
      </c>
      <c r="Z1228" t="s">
        <v>2997</v>
      </c>
      <c r="AA1228" t="b">
        <f>ISNUMBER(SEARCH(";"&amp;Lessons[[#This Row],[Instrument__c]]&amp;";",";"&amp;_xlfn.XLOOKUP(Lessons[[#This Row],[Instructor_External_Id__c]], Instructors[Id], Instructors[Instruments_Taught__c])&amp;";"))</f>
        <v>1</v>
      </c>
      <c r="AB1228" t="str">
        <f>IF(LEFT(Lessons[[#This Row],[Status__c]],9)="Cancelled","",Lessons[[#This Row],[Instructor_External_Id__c]]&amp;"|"&amp;TEXT(Lessons[[#This Row],[Lesson_Date__c]],"yyyy-mm-dd")&amp;"|"&amp;Lessons[[#This Row],[Start_Time__c]])</f>
        <v>a06ak00000amzC8AAI|2027-02-25|18:00:00.000Z</v>
      </c>
      <c r="AC1228">
        <f>IF(Lessons[[#This Row],[Double Booked Key]]="","",COUNTIF(Lessons[Double Booked Key],Lessons[[#This Row],[Double Booked Key]]))</f>
        <v>1</v>
      </c>
      <c r="AD1228" s="6" t="str">
        <f>_xlfn.XLOOKUP(Lessons[[#This Row],[Location_External_Id__c]], Locations[Location Id], Locations[Location Name])</f>
        <v>Brick</v>
      </c>
      <c r="AE1228" s="6" t="str">
        <f>TEXT(Lessons[[#This Row],[Lesson_Date__c]], "yyyy-mm")</f>
        <v>2027-02</v>
      </c>
      <c r="AF1228" s="6" t="str">
        <f>IF(Lessons[[#This Row],[Lesson_Date__c]]&lt;=Data_Audit!$F$1, "Yes", "No")</f>
        <v>No</v>
      </c>
    </row>
    <row r="1229" spans="1:32">
      <c r="A1229" t="s">
        <v>52</v>
      </c>
      <c r="B1229" t="s">
        <v>2997</v>
      </c>
      <c r="C1229">
        <v>60</v>
      </c>
      <c r="D1229" t="s">
        <v>4600</v>
      </c>
      <c r="E1229" t="s">
        <v>337</v>
      </c>
      <c r="F1229" t="s">
        <v>338</v>
      </c>
      <c r="H1229" t="s">
        <v>284</v>
      </c>
      <c r="I1229" t="b">
        <v>0</v>
      </c>
      <c r="K1229" t="s">
        <v>52</v>
      </c>
      <c r="L1229" t="s">
        <v>2997</v>
      </c>
      <c r="O1229" s="1">
        <v>46443</v>
      </c>
      <c r="P1229" t="s">
        <v>4601</v>
      </c>
      <c r="Q1229" t="s">
        <v>4602</v>
      </c>
      <c r="R1229" t="s">
        <v>150</v>
      </c>
      <c r="S1229" t="b">
        <v>0</v>
      </c>
      <c r="T1229" t="b">
        <v>0</v>
      </c>
      <c r="U1229" t="s">
        <v>4603</v>
      </c>
      <c r="V1229" t="s">
        <v>120</v>
      </c>
      <c r="W1229" t="s">
        <v>95</v>
      </c>
      <c r="X1229" t="s">
        <v>1964</v>
      </c>
      <c r="Y1229" t="s">
        <v>1965</v>
      </c>
      <c r="Z1229" t="s">
        <v>2997</v>
      </c>
      <c r="AA1229" t="b">
        <f>ISNUMBER(SEARCH(";"&amp;Lessons[[#This Row],[Instrument__c]]&amp;";",";"&amp;_xlfn.XLOOKUP(Lessons[[#This Row],[Instructor_External_Id__c]], Instructors[Id], Instructors[Instruments_Taught__c])&amp;";"))</f>
        <v>1</v>
      </c>
      <c r="AB1229" t="str">
        <f>IF(LEFT(Lessons[[#This Row],[Status__c]],9)="Cancelled","",Lessons[[#This Row],[Instructor_External_Id__c]]&amp;"|"&amp;TEXT(Lessons[[#This Row],[Lesson_Date__c]],"yyyy-mm-dd")&amp;"|"&amp;Lessons[[#This Row],[Start_Time__c]])</f>
        <v>a06ak00000amzCIAAY|2027-02-25|18:00:00.000Z</v>
      </c>
      <c r="AC1229">
        <f>IF(Lessons[[#This Row],[Double Booked Key]]="","",COUNTIF(Lessons[Double Booked Key],Lessons[[#This Row],[Double Booked Key]]))</f>
        <v>1</v>
      </c>
      <c r="AD1229" s="6" t="str">
        <f>_xlfn.XLOOKUP(Lessons[[#This Row],[Location_External_Id__c]], Locations[Location Id], Locations[Location Name])</f>
        <v>Toms River</v>
      </c>
      <c r="AE1229" s="6" t="str">
        <f>TEXT(Lessons[[#This Row],[Lesson_Date__c]], "yyyy-mm")</f>
        <v>2027-02</v>
      </c>
      <c r="AF1229" s="6" t="str">
        <f>IF(Lessons[[#This Row],[Lesson_Date__c]]&lt;=Data_Audit!$F$1, "Yes", "No")</f>
        <v>No</v>
      </c>
    </row>
    <row r="1230" spans="1:32">
      <c r="A1230" t="s">
        <v>52</v>
      </c>
      <c r="B1230" t="s">
        <v>2997</v>
      </c>
      <c r="C1230">
        <v>30</v>
      </c>
      <c r="D1230" t="s">
        <v>4604</v>
      </c>
      <c r="E1230" t="s">
        <v>401</v>
      </c>
      <c r="F1230" t="s">
        <v>402</v>
      </c>
      <c r="H1230" t="s">
        <v>263</v>
      </c>
      <c r="I1230" t="b">
        <v>0</v>
      </c>
      <c r="K1230" t="s">
        <v>52</v>
      </c>
      <c r="L1230" t="s">
        <v>2997</v>
      </c>
      <c r="O1230" s="1">
        <v>46443</v>
      </c>
      <c r="P1230" t="s">
        <v>4605</v>
      </c>
      <c r="Q1230" t="s">
        <v>4606</v>
      </c>
      <c r="R1230" t="s">
        <v>83</v>
      </c>
      <c r="S1230" t="b">
        <v>0</v>
      </c>
      <c r="T1230" t="b">
        <v>0</v>
      </c>
      <c r="U1230" t="s">
        <v>4607</v>
      </c>
      <c r="V1230" t="s">
        <v>120</v>
      </c>
      <c r="W1230" t="s">
        <v>95</v>
      </c>
      <c r="X1230" t="s">
        <v>2876</v>
      </c>
      <c r="Y1230" t="s">
        <v>2877</v>
      </c>
      <c r="Z1230" t="s">
        <v>2997</v>
      </c>
      <c r="AA1230" t="b">
        <f>ISNUMBER(SEARCH(";"&amp;Lessons[[#This Row],[Instrument__c]]&amp;";",";"&amp;_xlfn.XLOOKUP(Lessons[[#This Row],[Instructor_External_Id__c]], Instructors[Id], Instructors[Instruments_Taught__c])&amp;";"))</f>
        <v>1</v>
      </c>
      <c r="AB1230" t="str">
        <f>IF(LEFT(Lessons[[#This Row],[Status__c]],9)="Cancelled","",Lessons[[#This Row],[Instructor_External_Id__c]]&amp;"|"&amp;TEXT(Lessons[[#This Row],[Lesson_Date__c]],"yyyy-mm-dd")&amp;"|"&amp;Lessons[[#This Row],[Start_Time__c]])</f>
        <v>a06ak00000amzBfAAI|2027-02-25|18:00:00.000Z</v>
      </c>
      <c r="AC1230">
        <f>IF(Lessons[[#This Row],[Double Booked Key]]="","",COUNTIF(Lessons[Double Booked Key],Lessons[[#This Row],[Double Booked Key]]))</f>
        <v>1</v>
      </c>
      <c r="AD1230" s="6" t="str">
        <f>_xlfn.XLOOKUP(Lessons[[#This Row],[Location_External_Id__c]], Locations[Location Id], Locations[Location Name])</f>
        <v>Brick</v>
      </c>
      <c r="AE1230" s="6" t="str">
        <f>TEXT(Lessons[[#This Row],[Lesson_Date__c]], "yyyy-mm")</f>
        <v>2027-02</v>
      </c>
      <c r="AF1230" s="6" t="str">
        <f>IF(Lessons[[#This Row],[Lesson_Date__c]]&lt;=Data_Audit!$F$1, "Yes", "No")</f>
        <v>No</v>
      </c>
    </row>
    <row r="1231" spans="1:32">
      <c r="A1231" t="s">
        <v>52</v>
      </c>
      <c r="B1231" t="s">
        <v>2997</v>
      </c>
      <c r="C1231">
        <v>30</v>
      </c>
      <c r="D1231" t="s">
        <v>4608</v>
      </c>
      <c r="E1231" t="s">
        <v>359</v>
      </c>
      <c r="F1231" t="s">
        <v>360</v>
      </c>
      <c r="H1231" t="s">
        <v>392</v>
      </c>
      <c r="I1231" t="b">
        <v>0</v>
      </c>
      <c r="K1231" t="s">
        <v>52</v>
      </c>
      <c r="L1231" t="s">
        <v>2997</v>
      </c>
      <c r="O1231" s="1">
        <v>46443</v>
      </c>
      <c r="P1231" t="s">
        <v>4609</v>
      </c>
      <c r="Q1231" t="s">
        <v>4610</v>
      </c>
      <c r="R1231" t="s">
        <v>63</v>
      </c>
      <c r="S1231" t="b">
        <v>0</v>
      </c>
      <c r="T1231" t="b">
        <v>0</v>
      </c>
      <c r="U1231" t="s">
        <v>4611</v>
      </c>
      <c r="V1231" t="s">
        <v>94</v>
      </c>
      <c r="W1231" t="s">
        <v>95</v>
      </c>
      <c r="X1231" t="s">
        <v>1248</v>
      </c>
      <c r="Y1231" t="s">
        <v>1249</v>
      </c>
      <c r="Z1231" t="s">
        <v>2997</v>
      </c>
      <c r="AA1231" t="b">
        <f>ISNUMBER(SEARCH(";"&amp;Lessons[[#This Row],[Instrument__c]]&amp;";",";"&amp;_xlfn.XLOOKUP(Lessons[[#This Row],[Instructor_External_Id__c]], Instructors[Id], Instructors[Instruments_Taught__c])&amp;";"))</f>
        <v>1</v>
      </c>
      <c r="AB1231" t="str">
        <f>IF(LEFT(Lessons[[#This Row],[Status__c]],9)="Cancelled","",Lessons[[#This Row],[Instructor_External_Id__c]]&amp;"|"&amp;TEXT(Lessons[[#This Row],[Lesson_Date__c]],"yyyy-mm-dd")&amp;"|"&amp;Lessons[[#This Row],[Start_Time__c]])</f>
        <v>a06ak00000amzBiAAI|2027-02-25|19:00:00.000Z</v>
      </c>
      <c r="AC1231">
        <f>IF(Lessons[[#This Row],[Double Booked Key]]="","",COUNTIF(Lessons[Double Booked Key],Lessons[[#This Row],[Double Booked Key]]))</f>
        <v>1</v>
      </c>
      <c r="AD1231" s="6" t="str">
        <f>_xlfn.XLOOKUP(Lessons[[#This Row],[Location_External_Id__c]], Locations[Location Id], Locations[Location Name])</f>
        <v>Red Bank</v>
      </c>
      <c r="AE1231" s="6" t="str">
        <f>TEXT(Lessons[[#This Row],[Lesson_Date__c]], "yyyy-mm")</f>
        <v>2027-02</v>
      </c>
      <c r="AF1231" s="6" t="str">
        <f>IF(Lessons[[#This Row],[Lesson_Date__c]]&lt;=Data_Audit!$F$1, "Yes", "No")</f>
        <v>No</v>
      </c>
    </row>
    <row r="1232" spans="1:32">
      <c r="A1232" t="s">
        <v>52</v>
      </c>
      <c r="B1232" t="s">
        <v>2997</v>
      </c>
      <c r="C1232">
        <v>45</v>
      </c>
      <c r="D1232" t="s">
        <v>4612</v>
      </c>
      <c r="E1232" t="s">
        <v>359</v>
      </c>
      <c r="F1232" t="s">
        <v>360</v>
      </c>
      <c r="H1232" t="s">
        <v>78</v>
      </c>
      <c r="I1232" t="b">
        <v>0</v>
      </c>
      <c r="K1232" t="s">
        <v>52</v>
      </c>
      <c r="L1232" t="s">
        <v>2997</v>
      </c>
      <c r="O1232" s="1">
        <v>46444</v>
      </c>
      <c r="P1232" t="s">
        <v>4613</v>
      </c>
      <c r="Q1232" t="s">
        <v>4614</v>
      </c>
      <c r="R1232" t="s">
        <v>63</v>
      </c>
      <c r="S1232" t="b">
        <v>0</v>
      </c>
      <c r="T1232" t="b">
        <v>0</v>
      </c>
      <c r="U1232" t="s">
        <v>4615</v>
      </c>
      <c r="V1232" t="s">
        <v>140</v>
      </c>
      <c r="W1232" t="s">
        <v>95</v>
      </c>
      <c r="X1232" t="s">
        <v>831</v>
      </c>
      <c r="Y1232" t="s">
        <v>832</v>
      </c>
      <c r="Z1232" t="s">
        <v>2997</v>
      </c>
      <c r="AA1232" t="b">
        <f>ISNUMBER(SEARCH(";"&amp;Lessons[[#This Row],[Instrument__c]]&amp;";",";"&amp;_xlfn.XLOOKUP(Lessons[[#This Row],[Instructor_External_Id__c]], Instructors[Id], Instructors[Instruments_Taught__c])&amp;";"))</f>
        <v>1</v>
      </c>
      <c r="AB1232" t="str">
        <f>IF(LEFT(Lessons[[#This Row],[Status__c]],9)="Cancelled","",Lessons[[#This Row],[Instructor_External_Id__c]]&amp;"|"&amp;TEXT(Lessons[[#This Row],[Lesson_Date__c]],"yyyy-mm-dd")&amp;"|"&amp;Lessons[[#This Row],[Start_Time__c]])</f>
        <v>a06ak00000amzBiAAI|2027-02-26|15:00:00.000Z</v>
      </c>
      <c r="AC1232">
        <f>IF(Lessons[[#This Row],[Double Booked Key]]="","",COUNTIF(Lessons[Double Booked Key],Lessons[[#This Row],[Double Booked Key]]))</f>
        <v>1</v>
      </c>
      <c r="AD1232" s="6" t="str">
        <f>_xlfn.XLOOKUP(Lessons[[#This Row],[Location_External_Id__c]], Locations[Location Id], Locations[Location Name])</f>
        <v>Red Bank</v>
      </c>
      <c r="AE1232" s="6" t="str">
        <f>TEXT(Lessons[[#This Row],[Lesson_Date__c]], "yyyy-mm")</f>
        <v>2027-02</v>
      </c>
      <c r="AF1232" s="6" t="str">
        <f>IF(Lessons[[#This Row],[Lesson_Date__c]]&lt;=Data_Audit!$F$1, "Yes", "No")</f>
        <v>No</v>
      </c>
    </row>
    <row r="1233" spans="1:32">
      <c r="A1233" t="s">
        <v>52</v>
      </c>
      <c r="B1233" t="s">
        <v>2997</v>
      </c>
      <c r="C1233">
        <v>45</v>
      </c>
      <c r="D1233" t="s">
        <v>4616</v>
      </c>
      <c r="E1233" t="s">
        <v>318</v>
      </c>
      <c r="F1233" t="s">
        <v>319</v>
      </c>
      <c r="H1233" t="s">
        <v>237</v>
      </c>
      <c r="I1233" t="b">
        <v>0</v>
      </c>
      <c r="K1233" t="s">
        <v>52</v>
      </c>
      <c r="L1233" t="s">
        <v>2997</v>
      </c>
      <c r="O1233" s="1">
        <v>46444</v>
      </c>
      <c r="P1233" t="s">
        <v>4617</v>
      </c>
      <c r="Q1233" t="s">
        <v>4618</v>
      </c>
      <c r="R1233" t="s">
        <v>150</v>
      </c>
      <c r="S1233" t="b">
        <v>0</v>
      </c>
      <c r="T1233" t="b">
        <v>0</v>
      </c>
      <c r="U1233" t="s">
        <v>4619</v>
      </c>
      <c r="V1233" t="s">
        <v>74</v>
      </c>
      <c r="W1233" t="s">
        <v>95</v>
      </c>
      <c r="X1233" t="s">
        <v>416</v>
      </c>
      <c r="Y1233" t="s">
        <v>417</v>
      </c>
      <c r="Z1233" t="s">
        <v>2997</v>
      </c>
      <c r="AA1233" t="b">
        <f>ISNUMBER(SEARCH(";"&amp;Lessons[[#This Row],[Instrument__c]]&amp;";",";"&amp;_xlfn.XLOOKUP(Lessons[[#This Row],[Instructor_External_Id__c]], Instructors[Id], Instructors[Instruments_Taught__c])&amp;";"))</f>
        <v>1</v>
      </c>
      <c r="AB1233" t="str">
        <f>IF(LEFT(Lessons[[#This Row],[Status__c]],9)="Cancelled","",Lessons[[#This Row],[Instructor_External_Id__c]]&amp;"|"&amp;TEXT(Lessons[[#This Row],[Lesson_Date__c]],"yyyy-mm-dd")&amp;"|"&amp;Lessons[[#This Row],[Start_Time__c]])</f>
        <v>a06ak00000amzBzAAI|2027-02-26|16:30:00.000Z</v>
      </c>
      <c r="AC1233">
        <f>IF(Lessons[[#This Row],[Double Booked Key]]="","",COUNTIF(Lessons[Double Booked Key],Lessons[[#This Row],[Double Booked Key]]))</f>
        <v>1</v>
      </c>
      <c r="AD1233" s="6" t="str">
        <f>_xlfn.XLOOKUP(Lessons[[#This Row],[Location_External_Id__c]], Locations[Location Id], Locations[Location Name])</f>
        <v>Toms River</v>
      </c>
      <c r="AE1233" s="6" t="str">
        <f>TEXT(Lessons[[#This Row],[Lesson_Date__c]], "yyyy-mm")</f>
        <v>2027-02</v>
      </c>
      <c r="AF1233" s="6" t="str">
        <f>IF(Lessons[[#This Row],[Lesson_Date__c]]&lt;=Data_Audit!$F$1, "Yes", "No")</f>
        <v>No</v>
      </c>
    </row>
    <row r="1234" spans="1:32">
      <c r="A1234" t="s">
        <v>52</v>
      </c>
      <c r="B1234" t="s">
        <v>2997</v>
      </c>
      <c r="C1234">
        <v>45</v>
      </c>
      <c r="D1234" t="s">
        <v>4620</v>
      </c>
      <c r="E1234" t="s">
        <v>436</v>
      </c>
      <c r="F1234" t="s">
        <v>437</v>
      </c>
      <c r="H1234" t="s">
        <v>263</v>
      </c>
      <c r="I1234" t="b">
        <v>0</v>
      </c>
      <c r="K1234" t="s">
        <v>52</v>
      </c>
      <c r="L1234" t="s">
        <v>2997</v>
      </c>
      <c r="O1234" s="1">
        <v>46444</v>
      </c>
      <c r="P1234" t="s">
        <v>4621</v>
      </c>
      <c r="Q1234" t="s">
        <v>4622</v>
      </c>
      <c r="R1234" t="s">
        <v>63</v>
      </c>
      <c r="S1234" t="b">
        <v>0</v>
      </c>
      <c r="T1234" t="b">
        <v>0</v>
      </c>
      <c r="U1234" t="s">
        <v>4623</v>
      </c>
      <c r="V1234" t="s">
        <v>116</v>
      </c>
      <c r="W1234" t="s">
        <v>95</v>
      </c>
      <c r="X1234" t="s">
        <v>1818</v>
      </c>
      <c r="Y1234" t="s">
        <v>1819</v>
      </c>
      <c r="Z1234" t="s">
        <v>2997</v>
      </c>
      <c r="AA1234" t="b">
        <f>ISNUMBER(SEARCH(";"&amp;Lessons[[#This Row],[Instrument__c]]&amp;";",";"&amp;_xlfn.XLOOKUP(Lessons[[#This Row],[Instructor_External_Id__c]], Instructors[Id], Instructors[Instruments_Taught__c])&amp;";"))</f>
        <v>1</v>
      </c>
      <c r="AB1234" t="str">
        <f>IF(LEFT(Lessons[[#This Row],[Status__c]],9)="Cancelled","",Lessons[[#This Row],[Instructor_External_Id__c]]&amp;"|"&amp;TEXT(Lessons[[#This Row],[Lesson_Date__c]],"yyyy-mm-dd")&amp;"|"&amp;Lessons[[#This Row],[Start_Time__c]])</f>
        <v>a06ak00000amzC0AAI|2027-02-26|17:30:00.000Z</v>
      </c>
      <c r="AC1234">
        <f>IF(Lessons[[#This Row],[Double Booked Key]]="","",COUNTIF(Lessons[Double Booked Key],Lessons[[#This Row],[Double Booked Key]]))</f>
        <v>1</v>
      </c>
      <c r="AD1234" s="6" t="str">
        <f>_xlfn.XLOOKUP(Lessons[[#This Row],[Location_External_Id__c]], Locations[Location Id], Locations[Location Name])</f>
        <v>Red Bank</v>
      </c>
      <c r="AE1234" s="6" t="str">
        <f>TEXT(Lessons[[#This Row],[Lesson_Date__c]], "yyyy-mm")</f>
        <v>2027-02</v>
      </c>
      <c r="AF1234" s="6" t="str">
        <f>IF(Lessons[[#This Row],[Lesson_Date__c]]&lt;=Data_Audit!$F$1, "Yes", "No")</f>
        <v>No</v>
      </c>
    </row>
    <row r="1235" spans="1:32">
      <c r="A1235" t="s">
        <v>52</v>
      </c>
      <c r="B1235" t="s">
        <v>2997</v>
      </c>
      <c r="C1235">
        <v>30</v>
      </c>
      <c r="D1235" t="s">
        <v>4624</v>
      </c>
      <c r="E1235" t="s">
        <v>401</v>
      </c>
      <c r="F1235" t="s">
        <v>402</v>
      </c>
      <c r="H1235" t="s">
        <v>263</v>
      </c>
      <c r="I1235" t="b">
        <v>0</v>
      </c>
      <c r="K1235" t="s">
        <v>52</v>
      </c>
      <c r="L1235" t="s">
        <v>2997</v>
      </c>
      <c r="O1235" s="1">
        <v>46444</v>
      </c>
      <c r="P1235" t="s">
        <v>4625</v>
      </c>
      <c r="Q1235" t="s">
        <v>4626</v>
      </c>
      <c r="R1235" t="s">
        <v>150</v>
      </c>
      <c r="S1235" t="b">
        <v>0</v>
      </c>
      <c r="T1235" t="b">
        <v>0</v>
      </c>
      <c r="U1235" t="s">
        <v>4627</v>
      </c>
      <c r="V1235" t="s">
        <v>120</v>
      </c>
      <c r="W1235" t="s">
        <v>95</v>
      </c>
      <c r="X1235" t="s">
        <v>2414</v>
      </c>
      <c r="Y1235" t="s">
        <v>2415</v>
      </c>
      <c r="Z1235" t="s">
        <v>2997</v>
      </c>
      <c r="AA1235" t="b">
        <f>ISNUMBER(SEARCH(";"&amp;Lessons[[#This Row],[Instrument__c]]&amp;";",";"&amp;_xlfn.XLOOKUP(Lessons[[#This Row],[Instructor_External_Id__c]], Instructors[Id], Instructors[Instruments_Taught__c])&amp;";"))</f>
        <v>1</v>
      </c>
      <c r="AB1235" t="str">
        <f>IF(LEFT(Lessons[[#This Row],[Status__c]],9)="Cancelled","",Lessons[[#This Row],[Instructor_External_Id__c]]&amp;"|"&amp;TEXT(Lessons[[#This Row],[Lesson_Date__c]],"yyyy-mm-dd")&amp;"|"&amp;Lessons[[#This Row],[Start_Time__c]])</f>
        <v>a06ak00000amzBfAAI|2027-02-26|18:00:00.000Z</v>
      </c>
      <c r="AC1235">
        <f>IF(Lessons[[#This Row],[Double Booked Key]]="","",COUNTIF(Lessons[Double Booked Key],Lessons[[#This Row],[Double Booked Key]]))</f>
        <v>1</v>
      </c>
      <c r="AD1235" s="6" t="str">
        <f>_xlfn.XLOOKUP(Lessons[[#This Row],[Location_External_Id__c]], Locations[Location Id], Locations[Location Name])</f>
        <v>Toms River</v>
      </c>
      <c r="AE1235" s="6" t="str">
        <f>TEXT(Lessons[[#This Row],[Lesson_Date__c]], "yyyy-mm")</f>
        <v>2027-02</v>
      </c>
      <c r="AF1235" s="6" t="str">
        <f>IF(Lessons[[#This Row],[Lesson_Date__c]]&lt;=Data_Audit!$F$1, "Yes", "No")</f>
        <v>No</v>
      </c>
    </row>
    <row r="1236" spans="1:32">
      <c r="A1236" t="s">
        <v>52</v>
      </c>
      <c r="B1236" t="s">
        <v>2997</v>
      </c>
      <c r="C1236">
        <v>45</v>
      </c>
      <c r="D1236" t="s">
        <v>4628</v>
      </c>
      <c r="E1236" t="s">
        <v>359</v>
      </c>
      <c r="F1236" t="s">
        <v>360</v>
      </c>
      <c r="H1236" t="s">
        <v>284</v>
      </c>
      <c r="I1236" t="b">
        <v>0</v>
      </c>
      <c r="K1236" t="s">
        <v>52</v>
      </c>
      <c r="L1236" t="s">
        <v>2997</v>
      </c>
      <c r="O1236" s="1">
        <v>46444</v>
      </c>
      <c r="P1236" t="s">
        <v>4629</v>
      </c>
      <c r="Q1236" t="s">
        <v>4630</v>
      </c>
      <c r="R1236" t="s">
        <v>63</v>
      </c>
      <c r="S1236" t="b">
        <v>0</v>
      </c>
      <c r="T1236" t="b">
        <v>0</v>
      </c>
      <c r="U1236" t="s">
        <v>4631</v>
      </c>
      <c r="V1236" t="s">
        <v>128</v>
      </c>
      <c r="W1236" t="s">
        <v>95</v>
      </c>
      <c r="X1236" t="s">
        <v>1419</v>
      </c>
      <c r="Y1236" t="s">
        <v>1420</v>
      </c>
      <c r="Z1236" t="s">
        <v>2997</v>
      </c>
      <c r="AA1236" t="b">
        <f>ISNUMBER(SEARCH(";"&amp;Lessons[[#This Row],[Instrument__c]]&amp;";",";"&amp;_xlfn.XLOOKUP(Lessons[[#This Row],[Instructor_External_Id__c]], Instructors[Id], Instructors[Instruments_Taught__c])&amp;";"))</f>
        <v>1</v>
      </c>
      <c r="AB1236" t="str">
        <f>IF(LEFT(Lessons[[#This Row],[Status__c]],9)="Cancelled","",Lessons[[#This Row],[Instructor_External_Id__c]]&amp;"|"&amp;TEXT(Lessons[[#This Row],[Lesson_Date__c]],"yyyy-mm-dd")&amp;"|"&amp;Lessons[[#This Row],[Start_Time__c]])</f>
        <v>a06ak00000amzBiAAI|2027-02-26|18:30:00.000Z</v>
      </c>
      <c r="AC1236">
        <f>IF(Lessons[[#This Row],[Double Booked Key]]="","",COUNTIF(Lessons[Double Booked Key],Lessons[[#This Row],[Double Booked Key]]))</f>
        <v>1</v>
      </c>
      <c r="AD1236" s="6" t="str">
        <f>_xlfn.XLOOKUP(Lessons[[#This Row],[Location_External_Id__c]], Locations[Location Id], Locations[Location Name])</f>
        <v>Red Bank</v>
      </c>
      <c r="AE1236" s="6" t="str">
        <f>TEXT(Lessons[[#This Row],[Lesson_Date__c]], "yyyy-mm")</f>
        <v>2027-02</v>
      </c>
      <c r="AF1236" s="6" t="str">
        <f>IF(Lessons[[#This Row],[Lesson_Date__c]]&lt;=Data_Audit!$F$1, "Yes", "No")</f>
        <v>No</v>
      </c>
    </row>
    <row r="1237" spans="1:32">
      <c r="A1237" t="s">
        <v>52</v>
      </c>
      <c r="B1237" t="s">
        <v>2997</v>
      </c>
      <c r="C1237">
        <v>30</v>
      </c>
      <c r="D1237" t="s">
        <v>4632</v>
      </c>
      <c r="E1237" t="s">
        <v>76</v>
      </c>
      <c r="F1237" t="s">
        <v>77</v>
      </c>
      <c r="H1237" t="s">
        <v>78</v>
      </c>
      <c r="I1237" t="b">
        <v>0</v>
      </c>
      <c r="K1237" t="s">
        <v>52</v>
      </c>
      <c r="L1237" t="s">
        <v>2997</v>
      </c>
      <c r="O1237" s="1">
        <v>46444</v>
      </c>
      <c r="P1237" t="s">
        <v>4633</v>
      </c>
      <c r="Q1237" t="s">
        <v>4634</v>
      </c>
      <c r="R1237" t="s">
        <v>83</v>
      </c>
      <c r="S1237" t="b">
        <v>0</v>
      </c>
      <c r="T1237" t="b">
        <v>0</v>
      </c>
      <c r="U1237" t="s">
        <v>4635</v>
      </c>
      <c r="V1237" t="s">
        <v>128</v>
      </c>
      <c r="W1237" t="s">
        <v>95</v>
      </c>
      <c r="X1237" t="s">
        <v>2906</v>
      </c>
      <c r="Y1237" t="s">
        <v>1034</v>
      </c>
      <c r="Z1237" t="s">
        <v>2997</v>
      </c>
      <c r="AA1237" t="b">
        <f>ISNUMBER(SEARCH(";"&amp;Lessons[[#This Row],[Instrument__c]]&amp;";",";"&amp;_xlfn.XLOOKUP(Lessons[[#This Row],[Instructor_External_Id__c]], Instructors[Id], Instructors[Instruments_Taught__c])&amp;";"))</f>
        <v>1</v>
      </c>
      <c r="AB1237" t="str">
        <f>IF(LEFT(Lessons[[#This Row],[Status__c]],9)="Cancelled","",Lessons[[#This Row],[Instructor_External_Id__c]]&amp;"|"&amp;TEXT(Lessons[[#This Row],[Lesson_Date__c]],"yyyy-mm-dd")&amp;"|"&amp;Lessons[[#This Row],[Start_Time__c]])</f>
        <v>a06ak00000amzBgAAI|2027-02-26|18:30:00.000Z</v>
      </c>
      <c r="AC1237">
        <f>IF(Lessons[[#This Row],[Double Booked Key]]="","",COUNTIF(Lessons[Double Booked Key],Lessons[[#This Row],[Double Booked Key]]))</f>
        <v>1</v>
      </c>
      <c r="AD1237" s="6" t="str">
        <f>_xlfn.XLOOKUP(Lessons[[#This Row],[Location_External_Id__c]], Locations[Location Id], Locations[Location Name])</f>
        <v>Brick</v>
      </c>
      <c r="AE1237" s="6" t="str">
        <f>TEXT(Lessons[[#This Row],[Lesson_Date__c]], "yyyy-mm")</f>
        <v>2027-02</v>
      </c>
      <c r="AF1237" s="6" t="str">
        <f>IF(Lessons[[#This Row],[Lesson_Date__c]]&lt;=Data_Audit!$F$1, "Yes", "No")</f>
        <v>No</v>
      </c>
    </row>
    <row r="1238" spans="1:32">
      <c r="A1238" t="s">
        <v>52</v>
      </c>
      <c r="B1238" t="s">
        <v>2997</v>
      </c>
      <c r="C1238">
        <v>30</v>
      </c>
      <c r="D1238" t="s">
        <v>4636</v>
      </c>
      <c r="E1238" t="s">
        <v>359</v>
      </c>
      <c r="F1238" t="s">
        <v>360</v>
      </c>
      <c r="H1238" t="s">
        <v>392</v>
      </c>
      <c r="I1238" t="b">
        <v>0</v>
      </c>
      <c r="K1238" t="s">
        <v>52</v>
      </c>
      <c r="L1238" t="s">
        <v>2997</v>
      </c>
      <c r="O1238" s="1">
        <v>46445</v>
      </c>
      <c r="P1238" t="s">
        <v>4637</v>
      </c>
      <c r="Q1238" t="s">
        <v>4638</v>
      </c>
      <c r="R1238" t="s">
        <v>63</v>
      </c>
      <c r="S1238" t="b">
        <v>0</v>
      </c>
      <c r="T1238" t="b">
        <v>0</v>
      </c>
      <c r="U1238" t="s">
        <v>4639</v>
      </c>
      <c r="V1238" t="s">
        <v>3378</v>
      </c>
      <c r="W1238" t="s">
        <v>95</v>
      </c>
      <c r="X1238" t="s">
        <v>2356</v>
      </c>
      <c r="Y1238" t="s">
        <v>2357</v>
      </c>
      <c r="Z1238" t="s">
        <v>2997</v>
      </c>
      <c r="AA1238" t="b">
        <f>ISNUMBER(SEARCH(";"&amp;Lessons[[#This Row],[Instrument__c]]&amp;";",";"&amp;_xlfn.XLOOKUP(Lessons[[#This Row],[Instructor_External_Id__c]], Instructors[Id], Instructors[Instruments_Taught__c])&amp;";"))</f>
        <v>1</v>
      </c>
      <c r="AB1238" t="str">
        <f>IF(LEFT(Lessons[[#This Row],[Status__c]],9)="Cancelled","",Lessons[[#This Row],[Instructor_External_Id__c]]&amp;"|"&amp;TEXT(Lessons[[#This Row],[Lesson_Date__c]],"yyyy-mm-dd")&amp;"|"&amp;Lessons[[#This Row],[Start_Time__c]])</f>
        <v>a06ak00000amzBiAAI|2027-02-27|09:30:00.000Z</v>
      </c>
      <c r="AC1238">
        <f>IF(Lessons[[#This Row],[Double Booked Key]]="","",COUNTIF(Lessons[Double Booked Key],Lessons[[#This Row],[Double Booked Key]]))</f>
        <v>1</v>
      </c>
      <c r="AD1238" s="6" t="str">
        <f>_xlfn.XLOOKUP(Lessons[[#This Row],[Location_External_Id__c]], Locations[Location Id], Locations[Location Name])</f>
        <v>Red Bank</v>
      </c>
      <c r="AE1238" s="6" t="str">
        <f>TEXT(Lessons[[#This Row],[Lesson_Date__c]], "yyyy-mm")</f>
        <v>2027-02</v>
      </c>
      <c r="AF1238" s="6" t="str">
        <f>IF(Lessons[[#This Row],[Lesson_Date__c]]&lt;=Data_Audit!$F$1, "Yes", "No")</f>
        <v>No</v>
      </c>
    </row>
    <row r="1239" spans="1:32">
      <c r="A1239" t="s">
        <v>52</v>
      </c>
      <c r="B1239" t="s">
        <v>2997</v>
      </c>
      <c r="C1239">
        <v>30</v>
      </c>
      <c r="D1239" t="s">
        <v>4640</v>
      </c>
      <c r="E1239" t="s">
        <v>359</v>
      </c>
      <c r="F1239" t="s">
        <v>360</v>
      </c>
      <c r="H1239" t="s">
        <v>78</v>
      </c>
      <c r="I1239" t="b">
        <v>0</v>
      </c>
      <c r="K1239" t="s">
        <v>52</v>
      </c>
      <c r="L1239" t="s">
        <v>2997</v>
      </c>
      <c r="O1239" s="1">
        <v>46445</v>
      </c>
      <c r="P1239" t="s">
        <v>4641</v>
      </c>
      <c r="Q1239" t="s">
        <v>4642</v>
      </c>
      <c r="R1239" t="s">
        <v>63</v>
      </c>
      <c r="S1239" t="b">
        <v>0</v>
      </c>
      <c r="T1239" t="b">
        <v>0</v>
      </c>
      <c r="U1239" t="s">
        <v>4643</v>
      </c>
      <c r="V1239" t="s">
        <v>110</v>
      </c>
      <c r="W1239" t="s">
        <v>95</v>
      </c>
      <c r="X1239" t="s">
        <v>481</v>
      </c>
      <c r="Y1239" t="s">
        <v>482</v>
      </c>
      <c r="Z1239" t="s">
        <v>2997</v>
      </c>
      <c r="AA1239" t="b">
        <f>ISNUMBER(SEARCH(";"&amp;Lessons[[#This Row],[Instrument__c]]&amp;";",";"&amp;_xlfn.XLOOKUP(Lessons[[#This Row],[Instructor_External_Id__c]], Instructors[Id], Instructors[Instruments_Taught__c])&amp;";"))</f>
        <v>1</v>
      </c>
      <c r="AB1239" t="str">
        <f>IF(LEFT(Lessons[[#This Row],[Status__c]],9)="Cancelled","",Lessons[[#This Row],[Instructor_External_Id__c]]&amp;"|"&amp;TEXT(Lessons[[#This Row],[Lesson_Date__c]],"yyyy-mm-dd")&amp;"|"&amp;Lessons[[#This Row],[Start_Time__c]])</f>
        <v>a06ak00000amzBiAAI|2027-02-27|10:00:00.000Z</v>
      </c>
      <c r="AC1239">
        <f>IF(Lessons[[#This Row],[Double Booked Key]]="","",COUNTIF(Lessons[Double Booked Key],Lessons[[#This Row],[Double Booked Key]]))</f>
        <v>1</v>
      </c>
      <c r="AD1239" s="6" t="str">
        <f>_xlfn.XLOOKUP(Lessons[[#This Row],[Location_External_Id__c]], Locations[Location Id], Locations[Location Name])</f>
        <v>Red Bank</v>
      </c>
      <c r="AE1239" s="6" t="str">
        <f>TEXT(Lessons[[#This Row],[Lesson_Date__c]], "yyyy-mm")</f>
        <v>2027-02</v>
      </c>
      <c r="AF1239" s="6" t="str">
        <f>IF(Lessons[[#This Row],[Lesson_Date__c]]&lt;=Data_Audit!$F$1, "Yes", "No")</f>
        <v>No</v>
      </c>
    </row>
    <row r="1240" spans="1:32">
      <c r="A1240" t="s">
        <v>52</v>
      </c>
      <c r="B1240" t="s">
        <v>2997</v>
      </c>
      <c r="C1240">
        <v>45</v>
      </c>
      <c r="D1240" t="s">
        <v>4644</v>
      </c>
      <c r="E1240" t="s">
        <v>436</v>
      </c>
      <c r="F1240" t="s">
        <v>437</v>
      </c>
      <c r="H1240" t="s">
        <v>461</v>
      </c>
      <c r="I1240" t="b">
        <v>0</v>
      </c>
      <c r="K1240" t="s">
        <v>52</v>
      </c>
      <c r="L1240" t="s">
        <v>2997</v>
      </c>
      <c r="O1240" s="1">
        <v>46445</v>
      </c>
      <c r="P1240" t="s">
        <v>4645</v>
      </c>
      <c r="Q1240" t="s">
        <v>4646</v>
      </c>
      <c r="R1240" t="s">
        <v>63</v>
      </c>
      <c r="S1240" t="b">
        <v>0</v>
      </c>
      <c r="T1240" t="b">
        <v>0</v>
      </c>
      <c r="U1240" t="s">
        <v>4647</v>
      </c>
      <c r="V1240" t="s">
        <v>110</v>
      </c>
      <c r="W1240" t="s">
        <v>95</v>
      </c>
      <c r="X1240" t="s">
        <v>1625</v>
      </c>
      <c r="Y1240" t="s">
        <v>1626</v>
      </c>
      <c r="Z1240" t="s">
        <v>2997</v>
      </c>
      <c r="AA1240" t="b">
        <f>ISNUMBER(SEARCH(";"&amp;Lessons[[#This Row],[Instrument__c]]&amp;";",";"&amp;_xlfn.XLOOKUP(Lessons[[#This Row],[Instructor_External_Id__c]], Instructors[Id], Instructors[Instruments_Taught__c])&amp;";"))</f>
        <v>1</v>
      </c>
      <c r="AB1240" t="str">
        <f>IF(LEFT(Lessons[[#This Row],[Status__c]],9)="Cancelled","",Lessons[[#This Row],[Instructor_External_Id__c]]&amp;"|"&amp;TEXT(Lessons[[#This Row],[Lesson_Date__c]],"yyyy-mm-dd")&amp;"|"&amp;Lessons[[#This Row],[Start_Time__c]])</f>
        <v>a06ak00000amzC0AAI|2027-02-27|10:00:00.000Z</v>
      </c>
      <c r="AC1240">
        <f>IF(Lessons[[#This Row],[Double Booked Key]]="","",COUNTIF(Lessons[Double Booked Key],Lessons[[#This Row],[Double Booked Key]]))</f>
        <v>1</v>
      </c>
      <c r="AD1240" s="6" t="str">
        <f>_xlfn.XLOOKUP(Lessons[[#This Row],[Location_External_Id__c]], Locations[Location Id], Locations[Location Name])</f>
        <v>Red Bank</v>
      </c>
      <c r="AE1240" s="6" t="str">
        <f>TEXT(Lessons[[#This Row],[Lesson_Date__c]], "yyyy-mm")</f>
        <v>2027-02</v>
      </c>
      <c r="AF1240" s="6" t="str">
        <f>IF(Lessons[[#This Row],[Lesson_Date__c]]&lt;=Data_Audit!$F$1, "Yes", "No")</f>
        <v>No</v>
      </c>
    </row>
    <row r="1241" spans="1:32">
      <c r="A1241" t="s">
        <v>52</v>
      </c>
      <c r="B1241" t="s">
        <v>4648</v>
      </c>
      <c r="C1241">
        <v>30</v>
      </c>
      <c r="D1241" t="s">
        <v>4649</v>
      </c>
      <c r="E1241" t="s">
        <v>243</v>
      </c>
      <c r="F1241" t="s">
        <v>244</v>
      </c>
      <c r="H1241" t="s">
        <v>650</v>
      </c>
      <c r="I1241" t="b">
        <v>0</v>
      </c>
      <c r="K1241" t="s">
        <v>52</v>
      </c>
      <c r="L1241" t="s">
        <v>4648</v>
      </c>
      <c r="O1241" s="1">
        <v>46445</v>
      </c>
      <c r="P1241" t="s">
        <v>4650</v>
      </c>
      <c r="Q1241" t="s">
        <v>4651</v>
      </c>
      <c r="R1241" t="s">
        <v>150</v>
      </c>
      <c r="S1241" t="b">
        <v>0</v>
      </c>
      <c r="T1241" t="b">
        <v>0</v>
      </c>
      <c r="U1241" t="s">
        <v>4652</v>
      </c>
      <c r="V1241" t="s">
        <v>3203</v>
      </c>
      <c r="W1241" t="s">
        <v>95</v>
      </c>
      <c r="X1241" t="s">
        <v>927</v>
      </c>
      <c r="Y1241" t="s">
        <v>928</v>
      </c>
      <c r="Z1241" t="s">
        <v>4648</v>
      </c>
      <c r="AA1241" t="b">
        <f>ISNUMBER(SEARCH(";"&amp;Lessons[[#This Row],[Instrument__c]]&amp;";",";"&amp;_xlfn.XLOOKUP(Lessons[[#This Row],[Instructor_External_Id__c]], Instructors[Id], Instructors[Instruments_Taught__c])&amp;";"))</f>
        <v>1</v>
      </c>
      <c r="AB1241" t="str">
        <f>IF(LEFT(Lessons[[#This Row],[Status__c]],9)="Cancelled","",Lessons[[#This Row],[Instructor_External_Id__c]]&amp;"|"&amp;TEXT(Lessons[[#This Row],[Lesson_Date__c]],"yyyy-mm-dd")&amp;"|"&amp;Lessons[[#This Row],[Start_Time__c]])</f>
        <v>a06ak00000amzC1AAI|2027-02-27|11:30:00.000Z</v>
      </c>
      <c r="AC1241">
        <f>IF(Lessons[[#This Row],[Double Booked Key]]="","",COUNTIF(Lessons[Double Booked Key],Lessons[[#This Row],[Double Booked Key]]))</f>
        <v>1</v>
      </c>
      <c r="AD1241" s="6" t="str">
        <f>_xlfn.XLOOKUP(Lessons[[#This Row],[Location_External_Id__c]], Locations[Location Id], Locations[Location Name])</f>
        <v>Toms River</v>
      </c>
      <c r="AE1241" s="6" t="str">
        <f>TEXT(Lessons[[#This Row],[Lesson_Date__c]], "yyyy-mm")</f>
        <v>2027-02</v>
      </c>
      <c r="AF1241" s="6" t="str">
        <f>IF(Lessons[[#This Row],[Lesson_Date__c]]&lt;=Data_Audit!$F$1, "Yes", "No")</f>
        <v>No</v>
      </c>
    </row>
    <row r="1242" spans="1:32">
      <c r="A1242" t="s">
        <v>52</v>
      </c>
      <c r="B1242" t="s">
        <v>4648</v>
      </c>
      <c r="C1242">
        <v>30</v>
      </c>
      <c r="D1242" t="s">
        <v>4653</v>
      </c>
      <c r="E1242" t="s">
        <v>282</v>
      </c>
      <c r="F1242" t="s">
        <v>283</v>
      </c>
      <c r="H1242" t="s">
        <v>284</v>
      </c>
      <c r="I1242" t="b">
        <v>0</v>
      </c>
      <c r="K1242" t="s">
        <v>52</v>
      </c>
      <c r="L1242" t="s">
        <v>4648</v>
      </c>
      <c r="O1242" s="1">
        <v>46445</v>
      </c>
      <c r="P1242" t="s">
        <v>4654</v>
      </c>
      <c r="Q1242" t="s">
        <v>4655</v>
      </c>
      <c r="R1242" t="s">
        <v>83</v>
      </c>
      <c r="S1242" t="b">
        <v>0</v>
      </c>
      <c r="T1242" t="b">
        <v>0</v>
      </c>
      <c r="U1242" t="s">
        <v>4656</v>
      </c>
      <c r="V1242" t="s">
        <v>3203</v>
      </c>
      <c r="W1242" t="s">
        <v>95</v>
      </c>
      <c r="X1242" t="s">
        <v>1134</v>
      </c>
      <c r="Y1242" t="s">
        <v>1135</v>
      </c>
      <c r="Z1242" t="s">
        <v>4648</v>
      </c>
      <c r="AA1242" t="b">
        <f>ISNUMBER(SEARCH(";"&amp;Lessons[[#This Row],[Instrument__c]]&amp;";",";"&amp;_xlfn.XLOOKUP(Lessons[[#This Row],[Instructor_External_Id__c]], Instructors[Id], Instructors[Instruments_Taught__c])&amp;";"))</f>
        <v>1</v>
      </c>
      <c r="AB1242" t="str">
        <f>IF(LEFT(Lessons[[#This Row],[Status__c]],9)="Cancelled","",Lessons[[#This Row],[Instructor_External_Id__c]]&amp;"|"&amp;TEXT(Lessons[[#This Row],[Lesson_Date__c]],"yyyy-mm-dd")&amp;"|"&amp;Lessons[[#This Row],[Start_Time__c]])</f>
        <v>a06ak00000amzBxAAI|2027-02-27|11:30:00.000Z</v>
      </c>
      <c r="AC1242">
        <f>IF(Lessons[[#This Row],[Double Booked Key]]="","",COUNTIF(Lessons[Double Booked Key],Lessons[[#This Row],[Double Booked Key]]))</f>
        <v>1</v>
      </c>
      <c r="AD1242" s="6" t="str">
        <f>_xlfn.XLOOKUP(Lessons[[#This Row],[Location_External_Id__c]], Locations[Location Id], Locations[Location Name])</f>
        <v>Brick</v>
      </c>
      <c r="AE1242" s="6" t="str">
        <f>TEXT(Lessons[[#This Row],[Lesson_Date__c]], "yyyy-mm")</f>
        <v>2027-02</v>
      </c>
      <c r="AF1242" s="6" t="str">
        <f>IF(Lessons[[#This Row],[Lesson_Date__c]]&lt;=Data_Audit!$F$1, "Yes", "No")</f>
        <v>No</v>
      </c>
    </row>
    <row r="1243" spans="1:32">
      <c r="A1243" t="s">
        <v>52</v>
      </c>
      <c r="B1243" t="s">
        <v>4648</v>
      </c>
      <c r="C1243">
        <v>60</v>
      </c>
      <c r="D1243" t="s">
        <v>4657</v>
      </c>
      <c r="E1243" t="s">
        <v>804</v>
      </c>
      <c r="F1243" t="s">
        <v>805</v>
      </c>
      <c r="H1243" t="s">
        <v>527</v>
      </c>
      <c r="I1243" t="b">
        <v>0</v>
      </c>
      <c r="K1243" t="s">
        <v>52</v>
      </c>
      <c r="L1243" t="s">
        <v>4648</v>
      </c>
      <c r="O1243" s="1">
        <v>46445</v>
      </c>
      <c r="P1243" t="s">
        <v>4658</v>
      </c>
      <c r="Q1243" t="s">
        <v>4659</v>
      </c>
      <c r="R1243" t="s">
        <v>63</v>
      </c>
      <c r="S1243" t="b">
        <v>0</v>
      </c>
      <c r="T1243" t="b">
        <v>0</v>
      </c>
      <c r="U1243" t="s">
        <v>4660</v>
      </c>
      <c r="V1243" t="s">
        <v>3208</v>
      </c>
      <c r="W1243" t="s">
        <v>95</v>
      </c>
      <c r="X1243" t="s">
        <v>2328</v>
      </c>
      <c r="Y1243" t="s">
        <v>2329</v>
      </c>
      <c r="Z1243" t="s">
        <v>4648</v>
      </c>
      <c r="AA1243" t="b">
        <f>ISNUMBER(SEARCH(";"&amp;Lessons[[#This Row],[Instrument__c]]&amp;";",";"&amp;_xlfn.XLOOKUP(Lessons[[#This Row],[Instructor_External_Id__c]], Instructors[Id], Instructors[Instruments_Taught__c])&amp;";"))</f>
        <v>1</v>
      </c>
      <c r="AB1243" t="str">
        <f>IF(LEFT(Lessons[[#This Row],[Status__c]],9)="Cancelled","",Lessons[[#This Row],[Instructor_External_Id__c]]&amp;"|"&amp;TEXT(Lessons[[#This Row],[Lesson_Date__c]],"yyyy-mm-dd")&amp;"|"&amp;Lessons[[#This Row],[Start_Time__c]])</f>
        <v>a06ak00000amzCBAAY|2027-02-27|12:30:00.000Z</v>
      </c>
      <c r="AC1243">
        <f>IF(Lessons[[#This Row],[Double Booked Key]]="","",COUNTIF(Lessons[Double Booked Key],Lessons[[#This Row],[Double Booked Key]]))</f>
        <v>1</v>
      </c>
      <c r="AD1243" s="6" t="str">
        <f>_xlfn.XLOOKUP(Lessons[[#This Row],[Location_External_Id__c]], Locations[Location Id], Locations[Location Name])</f>
        <v>Red Bank</v>
      </c>
      <c r="AE1243" s="6" t="str">
        <f>TEXT(Lessons[[#This Row],[Lesson_Date__c]], "yyyy-mm")</f>
        <v>2027-02</v>
      </c>
      <c r="AF1243" s="6" t="str">
        <f>IF(Lessons[[#This Row],[Lesson_Date__c]]&lt;=Data_Audit!$F$1, "Yes", "No")</f>
        <v>No</v>
      </c>
    </row>
    <row r="1244" spans="1:32">
      <c r="A1244" t="s">
        <v>52</v>
      </c>
      <c r="B1244" t="s">
        <v>4648</v>
      </c>
      <c r="C1244">
        <v>60</v>
      </c>
      <c r="D1244" t="s">
        <v>4661</v>
      </c>
      <c r="E1244" t="s">
        <v>318</v>
      </c>
      <c r="F1244" t="s">
        <v>319</v>
      </c>
      <c r="H1244" t="s">
        <v>237</v>
      </c>
      <c r="I1244" t="b">
        <v>0</v>
      </c>
      <c r="K1244" t="s">
        <v>52</v>
      </c>
      <c r="L1244" t="s">
        <v>4648</v>
      </c>
      <c r="O1244" s="1">
        <v>46447</v>
      </c>
      <c r="P1244" t="s">
        <v>4662</v>
      </c>
      <c r="Q1244" t="s">
        <v>4663</v>
      </c>
      <c r="R1244" t="s">
        <v>63</v>
      </c>
      <c r="S1244" t="b">
        <v>0</v>
      </c>
      <c r="T1244" t="b">
        <v>0</v>
      </c>
      <c r="U1244" t="s">
        <v>4664</v>
      </c>
      <c r="V1244" t="s">
        <v>135</v>
      </c>
      <c r="W1244" t="s">
        <v>95</v>
      </c>
      <c r="X1244" t="s">
        <v>1223</v>
      </c>
      <c r="Y1244" t="s">
        <v>1224</v>
      </c>
      <c r="Z1244" t="s">
        <v>4648</v>
      </c>
      <c r="AA1244" t="b">
        <f>ISNUMBER(SEARCH(";"&amp;Lessons[[#This Row],[Instrument__c]]&amp;";",";"&amp;_xlfn.XLOOKUP(Lessons[[#This Row],[Instructor_External_Id__c]], Instructors[Id], Instructors[Instruments_Taught__c])&amp;";"))</f>
        <v>1</v>
      </c>
      <c r="AB1244" t="str">
        <f>IF(LEFT(Lessons[[#This Row],[Status__c]],9)="Cancelled","",Lessons[[#This Row],[Instructor_External_Id__c]]&amp;"|"&amp;TEXT(Lessons[[#This Row],[Lesson_Date__c]],"yyyy-mm-dd")&amp;"|"&amp;Lessons[[#This Row],[Start_Time__c]])</f>
        <v>a06ak00000amzBzAAI|2027-03-01|15:30:00.000Z</v>
      </c>
      <c r="AC1244">
        <f>IF(Lessons[[#This Row],[Double Booked Key]]="","",COUNTIF(Lessons[Double Booked Key],Lessons[[#This Row],[Double Booked Key]]))</f>
        <v>1</v>
      </c>
      <c r="AD1244" s="6" t="str">
        <f>_xlfn.XLOOKUP(Lessons[[#This Row],[Location_External_Id__c]], Locations[Location Id], Locations[Location Name])</f>
        <v>Red Bank</v>
      </c>
      <c r="AE1244" s="6" t="str">
        <f>TEXT(Lessons[[#This Row],[Lesson_Date__c]], "yyyy-mm")</f>
        <v>2027-03</v>
      </c>
      <c r="AF1244" s="6" t="str">
        <f>IF(Lessons[[#This Row],[Lesson_Date__c]]&lt;=Data_Audit!$F$1, "Yes", "No")</f>
        <v>No</v>
      </c>
    </row>
    <row r="1245" spans="1:32">
      <c r="A1245" t="s">
        <v>52</v>
      </c>
      <c r="B1245" t="s">
        <v>4648</v>
      </c>
      <c r="C1245">
        <v>45</v>
      </c>
      <c r="D1245" t="s">
        <v>4665</v>
      </c>
      <c r="E1245" t="s">
        <v>76</v>
      </c>
      <c r="F1245" t="s">
        <v>77</v>
      </c>
      <c r="H1245" t="s">
        <v>78</v>
      </c>
      <c r="I1245" t="b">
        <v>0</v>
      </c>
      <c r="K1245" t="s">
        <v>52</v>
      </c>
      <c r="L1245" t="s">
        <v>4648</v>
      </c>
      <c r="O1245" s="1">
        <v>46447</v>
      </c>
      <c r="P1245" t="s">
        <v>4666</v>
      </c>
      <c r="Q1245" t="s">
        <v>4667</v>
      </c>
      <c r="R1245" t="s">
        <v>83</v>
      </c>
      <c r="S1245" t="b">
        <v>0</v>
      </c>
      <c r="T1245" t="b">
        <v>0</v>
      </c>
      <c r="U1245" t="s">
        <v>4668</v>
      </c>
      <c r="V1245" t="s">
        <v>74</v>
      </c>
      <c r="W1245" t="s">
        <v>95</v>
      </c>
      <c r="X1245" t="s">
        <v>183</v>
      </c>
      <c r="Y1245" t="s">
        <v>184</v>
      </c>
      <c r="Z1245" t="s">
        <v>4648</v>
      </c>
      <c r="AA1245" t="b">
        <f>ISNUMBER(SEARCH(";"&amp;Lessons[[#This Row],[Instrument__c]]&amp;";",";"&amp;_xlfn.XLOOKUP(Lessons[[#This Row],[Instructor_External_Id__c]], Instructors[Id], Instructors[Instruments_Taught__c])&amp;";"))</f>
        <v>1</v>
      </c>
      <c r="AB1245" t="str">
        <f>IF(LEFT(Lessons[[#This Row],[Status__c]],9)="Cancelled","",Lessons[[#This Row],[Instructor_External_Id__c]]&amp;"|"&amp;TEXT(Lessons[[#This Row],[Lesson_Date__c]],"yyyy-mm-dd")&amp;"|"&amp;Lessons[[#This Row],[Start_Time__c]])</f>
        <v>a06ak00000amzBgAAI|2027-03-01|16:30:00.000Z</v>
      </c>
      <c r="AC1245">
        <f>IF(Lessons[[#This Row],[Double Booked Key]]="","",COUNTIF(Lessons[Double Booked Key],Lessons[[#This Row],[Double Booked Key]]))</f>
        <v>1</v>
      </c>
      <c r="AD1245" s="6" t="str">
        <f>_xlfn.XLOOKUP(Lessons[[#This Row],[Location_External_Id__c]], Locations[Location Id], Locations[Location Name])</f>
        <v>Brick</v>
      </c>
      <c r="AE1245" s="6" t="str">
        <f>TEXT(Lessons[[#This Row],[Lesson_Date__c]], "yyyy-mm")</f>
        <v>2027-03</v>
      </c>
      <c r="AF1245" s="6" t="str">
        <f>IF(Lessons[[#This Row],[Lesson_Date__c]]&lt;=Data_Audit!$F$1, "Yes", "No")</f>
        <v>No</v>
      </c>
    </row>
    <row r="1246" spans="1:32">
      <c r="A1246" t="s">
        <v>52</v>
      </c>
      <c r="B1246" t="s">
        <v>4648</v>
      </c>
      <c r="C1246">
        <v>45</v>
      </c>
      <c r="D1246" t="s">
        <v>4669</v>
      </c>
      <c r="E1246" t="s">
        <v>548</v>
      </c>
      <c r="F1246" t="s">
        <v>549</v>
      </c>
      <c r="H1246" t="s">
        <v>203</v>
      </c>
      <c r="I1246" t="b">
        <v>0</v>
      </c>
      <c r="K1246" t="s">
        <v>52</v>
      </c>
      <c r="L1246" t="s">
        <v>4648</v>
      </c>
      <c r="O1246" s="1">
        <v>46447</v>
      </c>
      <c r="P1246" t="s">
        <v>4670</v>
      </c>
      <c r="Q1246" t="s">
        <v>4671</v>
      </c>
      <c r="R1246" t="s">
        <v>150</v>
      </c>
      <c r="S1246" t="b">
        <v>0</v>
      </c>
      <c r="T1246" t="b">
        <v>0</v>
      </c>
      <c r="U1246" t="s">
        <v>4672</v>
      </c>
      <c r="V1246" t="s">
        <v>74</v>
      </c>
      <c r="W1246" t="s">
        <v>95</v>
      </c>
      <c r="X1246" t="s">
        <v>1168</v>
      </c>
      <c r="Y1246" t="s">
        <v>1169</v>
      </c>
      <c r="Z1246" t="s">
        <v>4648</v>
      </c>
      <c r="AA1246" t="b">
        <f>ISNUMBER(SEARCH(";"&amp;Lessons[[#This Row],[Instrument__c]]&amp;";",";"&amp;_xlfn.XLOOKUP(Lessons[[#This Row],[Instructor_External_Id__c]], Instructors[Id], Instructors[Instruments_Taught__c])&amp;";"))</f>
        <v>1</v>
      </c>
      <c r="AB1246" t="str">
        <f>IF(LEFT(Lessons[[#This Row],[Status__c]],9)="Cancelled","",Lessons[[#This Row],[Instructor_External_Id__c]]&amp;"|"&amp;TEXT(Lessons[[#This Row],[Lesson_Date__c]],"yyyy-mm-dd")&amp;"|"&amp;Lessons[[#This Row],[Start_Time__c]])</f>
        <v>a06ak00000amzCHAAY|2027-03-01|16:30:00.000Z</v>
      </c>
      <c r="AC1246">
        <f>IF(Lessons[[#This Row],[Double Booked Key]]="","",COUNTIF(Lessons[Double Booked Key],Lessons[[#This Row],[Double Booked Key]]))</f>
        <v>1</v>
      </c>
      <c r="AD1246" s="6" t="str">
        <f>_xlfn.XLOOKUP(Lessons[[#This Row],[Location_External_Id__c]], Locations[Location Id], Locations[Location Name])</f>
        <v>Toms River</v>
      </c>
      <c r="AE1246" s="6" t="str">
        <f>TEXT(Lessons[[#This Row],[Lesson_Date__c]], "yyyy-mm")</f>
        <v>2027-03</v>
      </c>
      <c r="AF1246" s="6" t="str">
        <f>IF(Lessons[[#This Row],[Lesson_Date__c]]&lt;=Data_Audit!$F$1, "Yes", "No")</f>
        <v>No</v>
      </c>
    </row>
    <row r="1247" spans="1:32">
      <c r="A1247" t="s">
        <v>52</v>
      </c>
      <c r="B1247" t="s">
        <v>4648</v>
      </c>
      <c r="C1247">
        <v>30</v>
      </c>
      <c r="D1247" t="s">
        <v>4673</v>
      </c>
      <c r="E1247" t="s">
        <v>318</v>
      </c>
      <c r="F1247" t="s">
        <v>319</v>
      </c>
      <c r="H1247" t="s">
        <v>58</v>
      </c>
      <c r="I1247" t="b">
        <v>0</v>
      </c>
      <c r="K1247" t="s">
        <v>52</v>
      </c>
      <c r="L1247" t="s">
        <v>4648</v>
      </c>
      <c r="O1247" s="1">
        <v>46447</v>
      </c>
      <c r="P1247" t="s">
        <v>4674</v>
      </c>
      <c r="Q1247" t="s">
        <v>4675</v>
      </c>
      <c r="R1247" t="s">
        <v>63</v>
      </c>
      <c r="S1247" t="b">
        <v>0</v>
      </c>
      <c r="T1247" t="b">
        <v>0</v>
      </c>
      <c r="U1247" t="s">
        <v>4676</v>
      </c>
      <c r="V1247" t="s">
        <v>116</v>
      </c>
      <c r="W1247" t="s">
        <v>95</v>
      </c>
      <c r="X1247" t="s">
        <v>1442</v>
      </c>
      <c r="Y1247" t="s">
        <v>1443</v>
      </c>
      <c r="Z1247" t="s">
        <v>4648</v>
      </c>
      <c r="AA1247" t="b">
        <f>ISNUMBER(SEARCH(";"&amp;Lessons[[#This Row],[Instrument__c]]&amp;";",";"&amp;_xlfn.XLOOKUP(Lessons[[#This Row],[Instructor_External_Id__c]], Instructors[Id], Instructors[Instruments_Taught__c])&amp;";"))</f>
        <v>1</v>
      </c>
      <c r="AB1247" t="str">
        <f>IF(LEFT(Lessons[[#This Row],[Status__c]],9)="Cancelled","",Lessons[[#This Row],[Instructor_External_Id__c]]&amp;"|"&amp;TEXT(Lessons[[#This Row],[Lesson_Date__c]],"yyyy-mm-dd")&amp;"|"&amp;Lessons[[#This Row],[Start_Time__c]])</f>
        <v>a06ak00000amzBzAAI|2027-03-01|17:30:00.000Z</v>
      </c>
      <c r="AC1247">
        <f>IF(Lessons[[#This Row],[Double Booked Key]]="","",COUNTIF(Lessons[Double Booked Key],Lessons[[#This Row],[Double Booked Key]]))</f>
        <v>1</v>
      </c>
      <c r="AD1247" s="6" t="str">
        <f>_xlfn.XLOOKUP(Lessons[[#This Row],[Location_External_Id__c]], Locations[Location Id], Locations[Location Name])</f>
        <v>Red Bank</v>
      </c>
      <c r="AE1247" s="6" t="str">
        <f>TEXT(Lessons[[#This Row],[Lesson_Date__c]], "yyyy-mm")</f>
        <v>2027-03</v>
      </c>
      <c r="AF1247" s="6" t="str">
        <f>IF(Lessons[[#This Row],[Lesson_Date__c]]&lt;=Data_Audit!$F$1, "Yes", "No")</f>
        <v>No</v>
      </c>
    </row>
    <row r="1248" spans="1:32">
      <c r="A1248" t="s">
        <v>52</v>
      </c>
      <c r="B1248" t="s">
        <v>4648</v>
      </c>
      <c r="C1248">
        <v>45</v>
      </c>
      <c r="D1248" t="s">
        <v>4677</v>
      </c>
      <c r="E1248" t="s">
        <v>359</v>
      </c>
      <c r="F1248" t="s">
        <v>360</v>
      </c>
      <c r="H1248" t="s">
        <v>78</v>
      </c>
      <c r="I1248" t="b">
        <v>0</v>
      </c>
      <c r="K1248" t="s">
        <v>52</v>
      </c>
      <c r="L1248" t="s">
        <v>4648</v>
      </c>
      <c r="O1248" s="1">
        <v>46447</v>
      </c>
      <c r="P1248" t="s">
        <v>4678</v>
      </c>
      <c r="Q1248" t="s">
        <v>4679</v>
      </c>
      <c r="R1248" t="s">
        <v>63</v>
      </c>
      <c r="S1248" t="b">
        <v>0</v>
      </c>
      <c r="T1248" t="b">
        <v>0</v>
      </c>
      <c r="U1248" t="s">
        <v>4680</v>
      </c>
      <c r="V1248" t="s">
        <v>128</v>
      </c>
      <c r="W1248" t="s">
        <v>95</v>
      </c>
      <c r="X1248" t="s">
        <v>667</v>
      </c>
      <c r="Y1248" t="s">
        <v>668</v>
      </c>
      <c r="Z1248" t="s">
        <v>4648</v>
      </c>
      <c r="AA1248" t="b">
        <f>ISNUMBER(SEARCH(";"&amp;Lessons[[#This Row],[Instrument__c]]&amp;";",";"&amp;_xlfn.XLOOKUP(Lessons[[#This Row],[Instructor_External_Id__c]], Instructors[Id], Instructors[Instruments_Taught__c])&amp;";"))</f>
        <v>1</v>
      </c>
      <c r="AB1248" t="str">
        <f>IF(LEFT(Lessons[[#This Row],[Status__c]],9)="Cancelled","",Lessons[[#This Row],[Instructor_External_Id__c]]&amp;"|"&amp;TEXT(Lessons[[#This Row],[Lesson_Date__c]],"yyyy-mm-dd")&amp;"|"&amp;Lessons[[#This Row],[Start_Time__c]])</f>
        <v>a06ak00000amzBiAAI|2027-03-01|18:30:00.000Z</v>
      </c>
      <c r="AC1248">
        <f>IF(Lessons[[#This Row],[Double Booked Key]]="","",COUNTIF(Lessons[Double Booked Key],Lessons[[#This Row],[Double Booked Key]]))</f>
        <v>1</v>
      </c>
      <c r="AD1248" s="6" t="str">
        <f>_xlfn.XLOOKUP(Lessons[[#This Row],[Location_External_Id__c]], Locations[Location Id], Locations[Location Name])</f>
        <v>Red Bank</v>
      </c>
      <c r="AE1248" s="6" t="str">
        <f>TEXT(Lessons[[#This Row],[Lesson_Date__c]], "yyyy-mm")</f>
        <v>2027-03</v>
      </c>
      <c r="AF1248" s="6" t="str">
        <f>IF(Lessons[[#This Row],[Lesson_Date__c]]&lt;=Data_Audit!$F$1, "Yes", "No")</f>
        <v>No</v>
      </c>
    </row>
    <row r="1249" spans="1:32">
      <c r="A1249" t="s">
        <v>52</v>
      </c>
      <c r="B1249" t="s">
        <v>4648</v>
      </c>
      <c r="C1249">
        <v>45</v>
      </c>
      <c r="D1249" t="s">
        <v>4681</v>
      </c>
      <c r="E1249" t="s">
        <v>944</v>
      </c>
      <c r="F1249" t="s">
        <v>945</v>
      </c>
      <c r="H1249" t="s">
        <v>392</v>
      </c>
      <c r="I1249" t="b">
        <v>0</v>
      </c>
      <c r="K1249" t="s">
        <v>52</v>
      </c>
      <c r="L1249" t="s">
        <v>4648</v>
      </c>
      <c r="O1249" s="1">
        <v>46447</v>
      </c>
      <c r="P1249" t="s">
        <v>4682</v>
      </c>
      <c r="Q1249" t="s">
        <v>4683</v>
      </c>
      <c r="R1249" t="s">
        <v>150</v>
      </c>
      <c r="S1249" t="b">
        <v>0</v>
      </c>
      <c r="T1249" t="b">
        <v>0</v>
      </c>
      <c r="U1249" t="s">
        <v>4684</v>
      </c>
      <c r="V1249" t="s">
        <v>128</v>
      </c>
      <c r="W1249" t="s">
        <v>95</v>
      </c>
      <c r="X1249" t="s">
        <v>2482</v>
      </c>
      <c r="Y1249" t="s">
        <v>2483</v>
      </c>
      <c r="Z1249" t="s">
        <v>4648</v>
      </c>
      <c r="AA1249" t="b">
        <f>ISNUMBER(SEARCH(";"&amp;Lessons[[#This Row],[Instrument__c]]&amp;";",";"&amp;_xlfn.XLOOKUP(Lessons[[#This Row],[Instructor_External_Id__c]], Instructors[Id], Instructors[Instruments_Taught__c])&amp;";"))</f>
        <v>1</v>
      </c>
      <c r="AB1249" t="str">
        <f>IF(LEFT(Lessons[[#This Row],[Status__c]],9)="Cancelled","",Lessons[[#This Row],[Instructor_External_Id__c]]&amp;"|"&amp;TEXT(Lessons[[#This Row],[Lesson_Date__c]],"yyyy-mm-dd")&amp;"|"&amp;Lessons[[#This Row],[Start_Time__c]])</f>
        <v>a06ak00000amzBtAAI|2027-03-01|18:30:00.000Z</v>
      </c>
      <c r="AC1249">
        <f>IF(Lessons[[#This Row],[Double Booked Key]]="","",COUNTIF(Lessons[Double Booked Key],Lessons[[#This Row],[Double Booked Key]]))</f>
        <v>1</v>
      </c>
      <c r="AD1249" s="6" t="str">
        <f>_xlfn.XLOOKUP(Lessons[[#This Row],[Location_External_Id__c]], Locations[Location Id], Locations[Location Name])</f>
        <v>Toms River</v>
      </c>
      <c r="AE1249" s="6" t="str">
        <f>TEXT(Lessons[[#This Row],[Lesson_Date__c]], "yyyy-mm")</f>
        <v>2027-03</v>
      </c>
      <c r="AF1249" s="6" t="str">
        <f>IF(Lessons[[#This Row],[Lesson_Date__c]]&lt;=Data_Audit!$F$1, "Yes", "No")</f>
        <v>No</v>
      </c>
    </row>
    <row r="1250" spans="1:32">
      <c r="A1250" t="s">
        <v>52</v>
      </c>
      <c r="B1250" t="s">
        <v>4648</v>
      </c>
      <c r="C1250">
        <v>60</v>
      </c>
      <c r="D1250" t="s">
        <v>4685</v>
      </c>
      <c r="E1250" t="s">
        <v>243</v>
      </c>
      <c r="F1250" t="s">
        <v>244</v>
      </c>
      <c r="H1250" t="s">
        <v>650</v>
      </c>
      <c r="I1250" t="b">
        <v>0</v>
      </c>
      <c r="K1250" t="s">
        <v>52</v>
      </c>
      <c r="L1250" t="s">
        <v>4648</v>
      </c>
      <c r="O1250" s="1">
        <v>46448</v>
      </c>
      <c r="P1250" t="s">
        <v>4686</v>
      </c>
      <c r="Q1250" t="s">
        <v>4687</v>
      </c>
      <c r="R1250" t="s">
        <v>83</v>
      </c>
      <c r="S1250" t="b">
        <v>0</v>
      </c>
      <c r="T1250" t="b">
        <v>0</v>
      </c>
      <c r="U1250" t="s">
        <v>4688</v>
      </c>
      <c r="V1250" t="s">
        <v>74</v>
      </c>
      <c r="W1250" t="s">
        <v>95</v>
      </c>
      <c r="X1250" t="s">
        <v>2122</v>
      </c>
      <c r="Y1250" t="s">
        <v>2123</v>
      </c>
      <c r="Z1250" t="s">
        <v>4648</v>
      </c>
      <c r="AA1250" t="b">
        <f>ISNUMBER(SEARCH(";"&amp;Lessons[[#This Row],[Instrument__c]]&amp;";",";"&amp;_xlfn.XLOOKUP(Lessons[[#This Row],[Instructor_External_Id__c]], Instructors[Id], Instructors[Instruments_Taught__c])&amp;";"))</f>
        <v>1</v>
      </c>
      <c r="AB1250" t="str">
        <f>IF(LEFT(Lessons[[#This Row],[Status__c]],9)="Cancelled","",Lessons[[#This Row],[Instructor_External_Id__c]]&amp;"|"&amp;TEXT(Lessons[[#This Row],[Lesson_Date__c]],"yyyy-mm-dd")&amp;"|"&amp;Lessons[[#This Row],[Start_Time__c]])</f>
        <v>a06ak00000amzC1AAI|2027-03-02|16:30:00.000Z</v>
      </c>
      <c r="AC1250">
        <f>IF(Lessons[[#This Row],[Double Booked Key]]="","",COUNTIF(Lessons[Double Booked Key],Lessons[[#This Row],[Double Booked Key]]))</f>
        <v>1</v>
      </c>
      <c r="AD1250" s="6" t="str">
        <f>_xlfn.XLOOKUP(Lessons[[#This Row],[Location_External_Id__c]], Locations[Location Id], Locations[Location Name])</f>
        <v>Brick</v>
      </c>
      <c r="AE1250" s="6" t="str">
        <f>TEXT(Lessons[[#This Row],[Lesson_Date__c]], "yyyy-mm")</f>
        <v>2027-03</v>
      </c>
      <c r="AF1250" s="6" t="str">
        <f>IF(Lessons[[#This Row],[Lesson_Date__c]]&lt;=Data_Audit!$F$1, "Yes", "No")</f>
        <v>No</v>
      </c>
    </row>
    <row r="1251" spans="1:32">
      <c r="A1251" t="s">
        <v>52</v>
      </c>
      <c r="B1251" t="s">
        <v>4648</v>
      </c>
      <c r="C1251">
        <v>45</v>
      </c>
      <c r="D1251" t="s">
        <v>4689</v>
      </c>
      <c r="E1251" t="s">
        <v>243</v>
      </c>
      <c r="F1251" t="s">
        <v>244</v>
      </c>
      <c r="H1251" t="s">
        <v>237</v>
      </c>
      <c r="I1251" t="b">
        <v>0</v>
      </c>
      <c r="K1251" t="s">
        <v>52</v>
      </c>
      <c r="L1251" t="s">
        <v>4648</v>
      </c>
      <c r="O1251" s="1">
        <v>46448</v>
      </c>
      <c r="P1251" t="s">
        <v>4690</v>
      </c>
      <c r="Q1251" t="s">
        <v>4691</v>
      </c>
      <c r="R1251" t="s">
        <v>83</v>
      </c>
      <c r="S1251" t="b">
        <v>0</v>
      </c>
      <c r="T1251" t="b">
        <v>0</v>
      </c>
      <c r="U1251" t="s">
        <v>4692</v>
      </c>
      <c r="V1251" t="s">
        <v>116</v>
      </c>
      <c r="W1251" t="s">
        <v>95</v>
      </c>
      <c r="X1251" t="s">
        <v>2348</v>
      </c>
      <c r="Y1251" t="s">
        <v>2349</v>
      </c>
      <c r="Z1251" t="s">
        <v>4648</v>
      </c>
      <c r="AA1251" t="b">
        <f>ISNUMBER(SEARCH(";"&amp;Lessons[[#This Row],[Instrument__c]]&amp;";",";"&amp;_xlfn.XLOOKUP(Lessons[[#This Row],[Instructor_External_Id__c]], Instructors[Id], Instructors[Instruments_Taught__c])&amp;";"))</f>
        <v>1</v>
      </c>
      <c r="AB1251" t="str">
        <f>IF(LEFT(Lessons[[#This Row],[Status__c]],9)="Cancelled","",Lessons[[#This Row],[Instructor_External_Id__c]]&amp;"|"&amp;TEXT(Lessons[[#This Row],[Lesson_Date__c]],"yyyy-mm-dd")&amp;"|"&amp;Lessons[[#This Row],[Start_Time__c]])</f>
        <v>a06ak00000amzC1AAI|2027-03-02|17:30:00.000Z</v>
      </c>
      <c r="AC1251">
        <f>IF(Lessons[[#This Row],[Double Booked Key]]="","",COUNTIF(Lessons[Double Booked Key],Lessons[[#This Row],[Double Booked Key]]))</f>
        <v>1</v>
      </c>
      <c r="AD1251" s="6" t="str">
        <f>_xlfn.XLOOKUP(Lessons[[#This Row],[Location_External_Id__c]], Locations[Location Id], Locations[Location Name])</f>
        <v>Brick</v>
      </c>
      <c r="AE1251" s="6" t="str">
        <f>TEXT(Lessons[[#This Row],[Lesson_Date__c]], "yyyy-mm")</f>
        <v>2027-03</v>
      </c>
      <c r="AF1251" s="6" t="str">
        <f>IF(Lessons[[#This Row],[Lesson_Date__c]]&lt;=Data_Audit!$F$1, "Yes", "No")</f>
        <v>No</v>
      </c>
    </row>
    <row r="1252" spans="1:32">
      <c r="A1252" t="s">
        <v>52</v>
      </c>
      <c r="B1252" t="s">
        <v>4648</v>
      </c>
      <c r="C1252">
        <v>45</v>
      </c>
      <c r="D1252" t="s">
        <v>4693</v>
      </c>
      <c r="E1252" t="s">
        <v>944</v>
      </c>
      <c r="F1252" t="s">
        <v>945</v>
      </c>
      <c r="H1252" t="s">
        <v>107</v>
      </c>
      <c r="I1252" t="b">
        <v>0</v>
      </c>
      <c r="K1252" t="s">
        <v>52</v>
      </c>
      <c r="L1252" t="s">
        <v>4648</v>
      </c>
      <c r="O1252" s="1">
        <v>46448</v>
      </c>
      <c r="P1252" t="s">
        <v>4694</v>
      </c>
      <c r="Q1252" t="s">
        <v>4695</v>
      </c>
      <c r="R1252" t="s">
        <v>63</v>
      </c>
      <c r="S1252" t="b">
        <v>0</v>
      </c>
      <c r="T1252" t="b">
        <v>0</v>
      </c>
      <c r="U1252" t="s">
        <v>4696</v>
      </c>
      <c r="V1252" t="s">
        <v>128</v>
      </c>
      <c r="W1252" t="s">
        <v>95</v>
      </c>
      <c r="X1252" t="s">
        <v>1589</v>
      </c>
      <c r="Y1252" t="s">
        <v>1590</v>
      </c>
      <c r="Z1252" t="s">
        <v>4648</v>
      </c>
      <c r="AA1252" t="b">
        <f>ISNUMBER(SEARCH(";"&amp;Lessons[[#This Row],[Instrument__c]]&amp;";",";"&amp;_xlfn.XLOOKUP(Lessons[[#This Row],[Instructor_External_Id__c]], Instructors[Id], Instructors[Instruments_Taught__c])&amp;";"))</f>
        <v>1</v>
      </c>
      <c r="AB1252" t="str">
        <f>IF(LEFT(Lessons[[#This Row],[Status__c]],9)="Cancelled","",Lessons[[#This Row],[Instructor_External_Id__c]]&amp;"|"&amp;TEXT(Lessons[[#This Row],[Lesson_Date__c]],"yyyy-mm-dd")&amp;"|"&amp;Lessons[[#This Row],[Start_Time__c]])</f>
        <v>a06ak00000amzBtAAI|2027-03-02|18:30:00.000Z</v>
      </c>
      <c r="AC1252">
        <f>IF(Lessons[[#This Row],[Double Booked Key]]="","",COUNTIF(Lessons[Double Booked Key],Lessons[[#This Row],[Double Booked Key]]))</f>
        <v>1</v>
      </c>
      <c r="AD1252" s="6" t="str">
        <f>_xlfn.XLOOKUP(Lessons[[#This Row],[Location_External_Id__c]], Locations[Location Id], Locations[Location Name])</f>
        <v>Red Bank</v>
      </c>
      <c r="AE1252" s="6" t="str">
        <f>TEXT(Lessons[[#This Row],[Lesson_Date__c]], "yyyy-mm")</f>
        <v>2027-03</v>
      </c>
      <c r="AF1252" s="6" t="str">
        <f>IF(Lessons[[#This Row],[Lesson_Date__c]]&lt;=Data_Audit!$F$1, "Yes", "No")</f>
        <v>No</v>
      </c>
    </row>
    <row r="1253" spans="1:32">
      <c r="A1253" t="s">
        <v>52</v>
      </c>
      <c r="B1253" t="s">
        <v>4648</v>
      </c>
      <c r="C1253">
        <v>30</v>
      </c>
      <c r="D1253" t="s">
        <v>4697</v>
      </c>
      <c r="E1253" t="s">
        <v>436</v>
      </c>
      <c r="F1253" t="s">
        <v>437</v>
      </c>
      <c r="H1253" t="s">
        <v>527</v>
      </c>
      <c r="I1253" t="b">
        <v>0</v>
      </c>
      <c r="K1253" t="s">
        <v>52</v>
      </c>
      <c r="L1253" t="s">
        <v>4648</v>
      </c>
      <c r="O1253" s="1">
        <v>46448</v>
      </c>
      <c r="P1253" t="s">
        <v>4698</v>
      </c>
      <c r="Q1253" t="s">
        <v>4699</v>
      </c>
      <c r="R1253" t="s">
        <v>63</v>
      </c>
      <c r="S1253" t="b">
        <v>0</v>
      </c>
      <c r="T1253" t="b">
        <v>0</v>
      </c>
      <c r="U1253" t="s">
        <v>4700</v>
      </c>
      <c r="V1253" t="s">
        <v>94</v>
      </c>
      <c r="W1253" t="s">
        <v>95</v>
      </c>
      <c r="X1253" t="s">
        <v>2578</v>
      </c>
      <c r="Y1253" t="s">
        <v>2579</v>
      </c>
      <c r="Z1253" t="s">
        <v>4648</v>
      </c>
      <c r="AA1253" t="b">
        <f>ISNUMBER(SEARCH(";"&amp;Lessons[[#This Row],[Instrument__c]]&amp;";",";"&amp;_xlfn.XLOOKUP(Lessons[[#This Row],[Instructor_External_Id__c]], Instructors[Id], Instructors[Instruments_Taught__c])&amp;";"))</f>
        <v>1</v>
      </c>
      <c r="AB1253" t="str">
        <f>IF(LEFT(Lessons[[#This Row],[Status__c]],9)="Cancelled","",Lessons[[#This Row],[Instructor_External_Id__c]]&amp;"|"&amp;TEXT(Lessons[[#This Row],[Lesson_Date__c]],"yyyy-mm-dd")&amp;"|"&amp;Lessons[[#This Row],[Start_Time__c]])</f>
        <v>a06ak00000amzC0AAI|2027-03-02|19:00:00.000Z</v>
      </c>
      <c r="AC1253">
        <f>IF(Lessons[[#This Row],[Double Booked Key]]="","",COUNTIF(Lessons[Double Booked Key],Lessons[[#This Row],[Double Booked Key]]))</f>
        <v>1</v>
      </c>
      <c r="AD1253" s="6" t="str">
        <f>_xlfn.XLOOKUP(Lessons[[#This Row],[Location_External_Id__c]], Locations[Location Id], Locations[Location Name])</f>
        <v>Red Bank</v>
      </c>
      <c r="AE1253" s="6" t="str">
        <f>TEXT(Lessons[[#This Row],[Lesson_Date__c]], "yyyy-mm")</f>
        <v>2027-03</v>
      </c>
      <c r="AF1253" s="6" t="str">
        <f>IF(Lessons[[#This Row],[Lesson_Date__c]]&lt;=Data_Audit!$F$1, "Yes", "No")</f>
        <v>No</v>
      </c>
    </row>
    <row r="1254" spans="1:32">
      <c r="A1254" t="s">
        <v>52</v>
      </c>
      <c r="B1254" t="s">
        <v>4648</v>
      </c>
      <c r="C1254">
        <v>30</v>
      </c>
      <c r="D1254" t="s">
        <v>4701</v>
      </c>
      <c r="E1254" t="s">
        <v>243</v>
      </c>
      <c r="F1254" t="s">
        <v>244</v>
      </c>
      <c r="H1254" t="s">
        <v>237</v>
      </c>
      <c r="I1254" t="b">
        <v>0</v>
      </c>
      <c r="K1254" t="s">
        <v>52</v>
      </c>
      <c r="L1254" t="s">
        <v>4648</v>
      </c>
      <c r="O1254" s="1">
        <v>46449</v>
      </c>
      <c r="P1254" t="s">
        <v>4702</v>
      </c>
      <c r="Q1254" t="s">
        <v>4703</v>
      </c>
      <c r="R1254" t="s">
        <v>83</v>
      </c>
      <c r="S1254" t="b">
        <v>0</v>
      </c>
      <c r="T1254" t="b">
        <v>0</v>
      </c>
      <c r="U1254" t="s">
        <v>4704</v>
      </c>
      <c r="V1254" t="s">
        <v>102</v>
      </c>
      <c r="W1254" t="s">
        <v>95</v>
      </c>
      <c r="X1254" t="s">
        <v>240</v>
      </c>
      <c r="Y1254" t="s">
        <v>241</v>
      </c>
      <c r="Z1254" t="s">
        <v>4648</v>
      </c>
      <c r="AA1254" t="b">
        <f>ISNUMBER(SEARCH(";"&amp;Lessons[[#This Row],[Instrument__c]]&amp;";",";"&amp;_xlfn.XLOOKUP(Lessons[[#This Row],[Instructor_External_Id__c]], Instructors[Id], Instructors[Instruments_Taught__c])&amp;";"))</f>
        <v>1</v>
      </c>
      <c r="AB1254" t="str">
        <f>IF(LEFT(Lessons[[#This Row],[Status__c]],9)="Cancelled","",Lessons[[#This Row],[Instructor_External_Id__c]]&amp;"|"&amp;TEXT(Lessons[[#This Row],[Lesson_Date__c]],"yyyy-mm-dd")&amp;"|"&amp;Lessons[[#This Row],[Start_Time__c]])</f>
        <v>a06ak00000amzC1AAI|2027-03-03|16:00:00.000Z</v>
      </c>
      <c r="AC1254">
        <f>IF(Lessons[[#This Row],[Double Booked Key]]="","",COUNTIF(Lessons[Double Booked Key],Lessons[[#This Row],[Double Booked Key]]))</f>
        <v>1</v>
      </c>
      <c r="AD1254" s="6" t="str">
        <f>_xlfn.XLOOKUP(Lessons[[#This Row],[Location_External_Id__c]], Locations[Location Id], Locations[Location Name])</f>
        <v>Brick</v>
      </c>
      <c r="AE1254" s="6" t="str">
        <f>TEXT(Lessons[[#This Row],[Lesson_Date__c]], "yyyy-mm")</f>
        <v>2027-03</v>
      </c>
      <c r="AF1254" s="6" t="str">
        <f>IF(Lessons[[#This Row],[Lesson_Date__c]]&lt;=Data_Audit!$F$1, "Yes", "No")</f>
        <v>No</v>
      </c>
    </row>
    <row r="1255" spans="1:32">
      <c r="A1255" t="s">
        <v>52</v>
      </c>
      <c r="B1255" t="s">
        <v>4648</v>
      </c>
      <c r="C1255">
        <v>45</v>
      </c>
      <c r="D1255" t="s">
        <v>4705</v>
      </c>
      <c r="E1255" t="s">
        <v>401</v>
      </c>
      <c r="F1255" t="s">
        <v>402</v>
      </c>
      <c r="H1255" t="s">
        <v>263</v>
      </c>
      <c r="I1255" t="b">
        <v>0</v>
      </c>
      <c r="K1255" t="s">
        <v>52</v>
      </c>
      <c r="L1255" t="s">
        <v>4648</v>
      </c>
      <c r="O1255" s="1">
        <v>46449</v>
      </c>
      <c r="P1255" t="s">
        <v>4706</v>
      </c>
      <c r="Q1255" t="s">
        <v>4707</v>
      </c>
      <c r="R1255" t="s">
        <v>83</v>
      </c>
      <c r="S1255" t="b">
        <v>0</v>
      </c>
      <c r="T1255" t="b">
        <v>0</v>
      </c>
      <c r="U1255" t="s">
        <v>4708</v>
      </c>
      <c r="V1255" t="s">
        <v>74</v>
      </c>
      <c r="W1255" t="s">
        <v>95</v>
      </c>
      <c r="X1255" t="s">
        <v>1561</v>
      </c>
      <c r="Y1255" t="s">
        <v>1562</v>
      </c>
      <c r="Z1255" t="s">
        <v>4648</v>
      </c>
      <c r="AA1255" t="b">
        <f>ISNUMBER(SEARCH(";"&amp;Lessons[[#This Row],[Instrument__c]]&amp;";",";"&amp;_xlfn.XLOOKUP(Lessons[[#This Row],[Instructor_External_Id__c]], Instructors[Id], Instructors[Instruments_Taught__c])&amp;";"))</f>
        <v>1</v>
      </c>
      <c r="AB1255" t="str">
        <f>IF(LEFT(Lessons[[#This Row],[Status__c]],9)="Cancelled","",Lessons[[#This Row],[Instructor_External_Id__c]]&amp;"|"&amp;TEXT(Lessons[[#This Row],[Lesson_Date__c]],"yyyy-mm-dd")&amp;"|"&amp;Lessons[[#This Row],[Start_Time__c]])</f>
        <v>a06ak00000amzBfAAI|2027-03-03|16:30:00.000Z</v>
      </c>
      <c r="AC1255">
        <f>IF(Lessons[[#This Row],[Double Booked Key]]="","",COUNTIF(Lessons[Double Booked Key],Lessons[[#This Row],[Double Booked Key]]))</f>
        <v>1</v>
      </c>
      <c r="AD1255" s="6" t="str">
        <f>_xlfn.XLOOKUP(Lessons[[#This Row],[Location_External_Id__c]], Locations[Location Id], Locations[Location Name])</f>
        <v>Brick</v>
      </c>
      <c r="AE1255" s="6" t="str">
        <f>TEXT(Lessons[[#This Row],[Lesson_Date__c]], "yyyy-mm")</f>
        <v>2027-03</v>
      </c>
      <c r="AF1255" s="6" t="str">
        <f>IF(Lessons[[#This Row],[Lesson_Date__c]]&lt;=Data_Audit!$F$1, "Yes", "No")</f>
        <v>No</v>
      </c>
    </row>
    <row r="1256" spans="1:32">
      <c r="A1256" t="s">
        <v>52</v>
      </c>
      <c r="B1256" t="s">
        <v>4648</v>
      </c>
      <c r="C1256">
        <v>60</v>
      </c>
      <c r="D1256" t="s">
        <v>4709</v>
      </c>
      <c r="E1256" t="s">
        <v>318</v>
      </c>
      <c r="F1256" t="s">
        <v>319</v>
      </c>
      <c r="H1256" t="s">
        <v>650</v>
      </c>
      <c r="I1256" t="b">
        <v>0</v>
      </c>
      <c r="K1256" t="s">
        <v>52</v>
      </c>
      <c r="L1256" t="s">
        <v>4648</v>
      </c>
      <c r="O1256" s="1">
        <v>46449</v>
      </c>
      <c r="P1256" t="s">
        <v>4710</v>
      </c>
      <c r="Q1256" t="s">
        <v>4711</v>
      </c>
      <c r="R1256" t="s">
        <v>63</v>
      </c>
      <c r="S1256" t="b">
        <v>0</v>
      </c>
      <c r="T1256" t="b">
        <v>0</v>
      </c>
      <c r="U1256" t="s">
        <v>4712</v>
      </c>
      <c r="V1256" t="s">
        <v>116</v>
      </c>
      <c r="W1256" t="s">
        <v>95</v>
      </c>
      <c r="X1256" t="s">
        <v>653</v>
      </c>
      <c r="Y1256" t="s">
        <v>654</v>
      </c>
      <c r="Z1256" t="s">
        <v>4648</v>
      </c>
      <c r="AA1256" t="b">
        <f>ISNUMBER(SEARCH(";"&amp;Lessons[[#This Row],[Instrument__c]]&amp;";",";"&amp;_xlfn.XLOOKUP(Lessons[[#This Row],[Instructor_External_Id__c]], Instructors[Id], Instructors[Instruments_Taught__c])&amp;";"))</f>
        <v>1</v>
      </c>
      <c r="AB1256" t="str">
        <f>IF(LEFT(Lessons[[#This Row],[Status__c]],9)="Cancelled","",Lessons[[#This Row],[Instructor_External_Id__c]]&amp;"|"&amp;TEXT(Lessons[[#This Row],[Lesson_Date__c]],"yyyy-mm-dd")&amp;"|"&amp;Lessons[[#This Row],[Start_Time__c]])</f>
        <v>a06ak00000amzBzAAI|2027-03-03|17:30:00.000Z</v>
      </c>
      <c r="AC1256">
        <f>IF(Lessons[[#This Row],[Double Booked Key]]="","",COUNTIF(Lessons[Double Booked Key],Lessons[[#This Row],[Double Booked Key]]))</f>
        <v>1</v>
      </c>
      <c r="AD1256" s="6" t="str">
        <f>_xlfn.XLOOKUP(Lessons[[#This Row],[Location_External_Id__c]], Locations[Location Id], Locations[Location Name])</f>
        <v>Red Bank</v>
      </c>
      <c r="AE1256" s="6" t="str">
        <f>TEXT(Lessons[[#This Row],[Lesson_Date__c]], "yyyy-mm")</f>
        <v>2027-03</v>
      </c>
      <c r="AF1256" s="6" t="str">
        <f>IF(Lessons[[#This Row],[Lesson_Date__c]]&lt;=Data_Audit!$F$1, "Yes", "No")</f>
        <v>No</v>
      </c>
    </row>
    <row r="1257" spans="1:32">
      <c r="A1257" t="s">
        <v>52</v>
      </c>
      <c r="B1257" t="s">
        <v>4648</v>
      </c>
      <c r="C1257">
        <v>60</v>
      </c>
      <c r="D1257" t="s">
        <v>4713</v>
      </c>
      <c r="E1257" t="s">
        <v>359</v>
      </c>
      <c r="F1257" t="s">
        <v>360</v>
      </c>
      <c r="H1257" t="s">
        <v>392</v>
      </c>
      <c r="I1257" t="b">
        <v>0</v>
      </c>
      <c r="K1257" t="s">
        <v>52</v>
      </c>
      <c r="L1257" t="s">
        <v>4648</v>
      </c>
      <c r="O1257" s="1">
        <v>46449</v>
      </c>
      <c r="P1257" t="s">
        <v>4714</v>
      </c>
      <c r="Q1257" t="s">
        <v>4715</v>
      </c>
      <c r="R1257" t="s">
        <v>63</v>
      </c>
      <c r="S1257" t="b">
        <v>0</v>
      </c>
      <c r="T1257" t="b">
        <v>0</v>
      </c>
      <c r="U1257" t="s">
        <v>4716</v>
      </c>
      <c r="V1257" t="s">
        <v>94</v>
      </c>
      <c r="W1257" t="s">
        <v>95</v>
      </c>
      <c r="X1257" t="s">
        <v>2091</v>
      </c>
      <c r="Y1257" t="s">
        <v>2092</v>
      </c>
      <c r="Z1257" t="s">
        <v>4648</v>
      </c>
      <c r="AA1257" t="b">
        <f>ISNUMBER(SEARCH(";"&amp;Lessons[[#This Row],[Instrument__c]]&amp;";",";"&amp;_xlfn.XLOOKUP(Lessons[[#This Row],[Instructor_External_Id__c]], Instructors[Id], Instructors[Instruments_Taught__c])&amp;";"))</f>
        <v>1</v>
      </c>
      <c r="AB1257" t="str">
        <f>IF(LEFT(Lessons[[#This Row],[Status__c]],9)="Cancelled","",Lessons[[#This Row],[Instructor_External_Id__c]]&amp;"|"&amp;TEXT(Lessons[[#This Row],[Lesson_Date__c]],"yyyy-mm-dd")&amp;"|"&amp;Lessons[[#This Row],[Start_Time__c]])</f>
        <v>a06ak00000amzBiAAI|2027-03-03|19:00:00.000Z</v>
      </c>
      <c r="AC1257">
        <f>IF(Lessons[[#This Row],[Double Booked Key]]="","",COUNTIF(Lessons[Double Booked Key],Lessons[[#This Row],[Double Booked Key]]))</f>
        <v>1</v>
      </c>
      <c r="AD1257" s="6" t="str">
        <f>_xlfn.XLOOKUP(Lessons[[#This Row],[Location_External_Id__c]], Locations[Location Id], Locations[Location Name])</f>
        <v>Red Bank</v>
      </c>
      <c r="AE1257" s="6" t="str">
        <f>TEXT(Lessons[[#This Row],[Lesson_Date__c]], "yyyy-mm")</f>
        <v>2027-03</v>
      </c>
      <c r="AF1257" s="6" t="str">
        <f>IF(Lessons[[#This Row],[Lesson_Date__c]]&lt;=Data_Audit!$F$1, "Yes", "No")</f>
        <v>No</v>
      </c>
    </row>
    <row r="1258" spans="1:32">
      <c r="A1258" t="s">
        <v>52</v>
      </c>
      <c r="B1258" t="s">
        <v>4648</v>
      </c>
      <c r="C1258">
        <v>30</v>
      </c>
      <c r="D1258" t="s">
        <v>4717</v>
      </c>
      <c r="E1258" t="s">
        <v>359</v>
      </c>
      <c r="F1258" t="s">
        <v>360</v>
      </c>
      <c r="H1258" t="s">
        <v>392</v>
      </c>
      <c r="I1258" t="b">
        <v>0</v>
      </c>
      <c r="K1258" t="s">
        <v>52</v>
      </c>
      <c r="L1258" t="s">
        <v>4648</v>
      </c>
      <c r="O1258" s="1">
        <v>46450</v>
      </c>
      <c r="P1258" t="s">
        <v>4718</v>
      </c>
      <c r="Q1258" t="s">
        <v>4719</v>
      </c>
      <c r="R1258" t="s">
        <v>63</v>
      </c>
      <c r="S1258" t="b">
        <v>0</v>
      </c>
      <c r="T1258" t="b">
        <v>0</v>
      </c>
      <c r="U1258" t="s">
        <v>4720</v>
      </c>
      <c r="V1258" t="s">
        <v>140</v>
      </c>
      <c r="W1258" t="s">
        <v>95</v>
      </c>
      <c r="X1258" t="s">
        <v>1886</v>
      </c>
      <c r="Y1258" t="s">
        <v>1887</v>
      </c>
      <c r="Z1258" t="s">
        <v>4648</v>
      </c>
      <c r="AA1258" t="b">
        <f>ISNUMBER(SEARCH(";"&amp;Lessons[[#This Row],[Instrument__c]]&amp;";",";"&amp;_xlfn.XLOOKUP(Lessons[[#This Row],[Instructor_External_Id__c]], Instructors[Id], Instructors[Instruments_Taught__c])&amp;";"))</f>
        <v>1</v>
      </c>
      <c r="AB1258" t="str">
        <f>IF(LEFT(Lessons[[#This Row],[Status__c]],9)="Cancelled","",Lessons[[#This Row],[Instructor_External_Id__c]]&amp;"|"&amp;TEXT(Lessons[[#This Row],[Lesson_Date__c]],"yyyy-mm-dd")&amp;"|"&amp;Lessons[[#This Row],[Start_Time__c]])</f>
        <v>a06ak00000amzBiAAI|2027-03-04|15:00:00.000Z</v>
      </c>
      <c r="AC1258">
        <f>IF(Lessons[[#This Row],[Double Booked Key]]="","",COUNTIF(Lessons[Double Booked Key],Lessons[[#This Row],[Double Booked Key]]))</f>
        <v>1</v>
      </c>
      <c r="AD1258" s="6" t="str">
        <f>_xlfn.XLOOKUP(Lessons[[#This Row],[Location_External_Id__c]], Locations[Location Id], Locations[Location Name])</f>
        <v>Red Bank</v>
      </c>
      <c r="AE1258" s="6" t="str">
        <f>TEXT(Lessons[[#This Row],[Lesson_Date__c]], "yyyy-mm")</f>
        <v>2027-03</v>
      </c>
      <c r="AF1258" s="6" t="str">
        <f>IF(Lessons[[#This Row],[Lesson_Date__c]]&lt;=Data_Audit!$F$1, "Yes", "No")</f>
        <v>No</v>
      </c>
    </row>
    <row r="1259" spans="1:32">
      <c r="A1259" t="s">
        <v>52</v>
      </c>
      <c r="B1259" t="s">
        <v>4648</v>
      </c>
      <c r="C1259">
        <v>30</v>
      </c>
      <c r="D1259" t="s">
        <v>4721</v>
      </c>
      <c r="E1259" t="s">
        <v>436</v>
      </c>
      <c r="F1259" t="s">
        <v>437</v>
      </c>
      <c r="H1259" t="s">
        <v>461</v>
      </c>
      <c r="I1259" t="b">
        <v>0</v>
      </c>
      <c r="K1259" t="s">
        <v>52</v>
      </c>
      <c r="L1259" t="s">
        <v>4648</v>
      </c>
      <c r="O1259" s="1">
        <v>46450</v>
      </c>
      <c r="P1259" t="s">
        <v>4722</v>
      </c>
      <c r="Q1259" t="s">
        <v>4723</v>
      </c>
      <c r="R1259" t="s">
        <v>63</v>
      </c>
      <c r="S1259" t="b">
        <v>0</v>
      </c>
      <c r="T1259" t="b">
        <v>0</v>
      </c>
      <c r="U1259" t="s">
        <v>4724</v>
      </c>
      <c r="V1259" t="s">
        <v>102</v>
      </c>
      <c r="W1259" t="s">
        <v>95</v>
      </c>
      <c r="X1259" t="s">
        <v>1532</v>
      </c>
      <c r="Y1259" t="s">
        <v>1533</v>
      </c>
      <c r="Z1259" t="s">
        <v>4648</v>
      </c>
      <c r="AA1259" t="b">
        <f>ISNUMBER(SEARCH(";"&amp;Lessons[[#This Row],[Instrument__c]]&amp;";",";"&amp;_xlfn.XLOOKUP(Lessons[[#This Row],[Instructor_External_Id__c]], Instructors[Id], Instructors[Instruments_Taught__c])&amp;";"))</f>
        <v>1</v>
      </c>
      <c r="AB1259" t="str">
        <f>IF(LEFT(Lessons[[#This Row],[Status__c]],9)="Cancelled","",Lessons[[#This Row],[Instructor_External_Id__c]]&amp;"|"&amp;TEXT(Lessons[[#This Row],[Lesson_Date__c]],"yyyy-mm-dd")&amp;"|"&amp;Lessons[[#This Row],[Start_Time__c]])</f>
        <v>a06ak00000amzC0AAI|2027-03-04|16:00:00.000Z</v>
      </c>
      <c r="AC1259">
        <f>IF(Lessons[[#This Row],[Double Booked Key]]="","",COUNTIF(Lessons[Double Booked Key],Lessons[[#This Row],[Double Booked Key]]))</f>
        <v>1</v>
      </c>
      <c r="AD1259" s="6" t="str">
        <f>_xlfn.XLOOKUP(Lessons[[#This Row],[Location_External_Id__c]], Locations[Location Id], Locations[Location Name])</f>
        <v>Red Bank</v>
      </c>
      <c r="AE1259" s="6" t="str">
        <f>TEXT(Lessons[[#This Row],[Lesson_Date__c]], "yyyy-mm")</f>
        <v>2027-03</v>
      </c>
      <c r="AF1259" s="6" t="str">
        <f>IF(Lessons[[#This Row],[Lesson_Date__c]]&lt;=Data_Audit!$F$1, "Yes", "No")</f>
        <v>No</v>
      </c>
    </row>
    <row r="1260" spans="1:32">
      <c r="A1260" t="s">
        <v>52</v>
      </c>
      <c r="B1260" t="s">
        <v>4648</v>
      </c>
      <c r="C1260">
        <v>45</v>
      </c>
      <c r="D1260" t="s">
        <v>4725</v>
      </c>
      <c r="E1260" t="s">
        <v>777</v>
      </c>
      <c r="F1260" t="s">
        <v>778</v>
      </c>
      <c r="H1260" t="s">
        <v>527</v>
      </c>
      <c r="I1260" t="b">
        <v>0</v>
      </c>
      <c r="K1260" t="s">
        <v>52</v>
      </c>
      <c r="L1260" t="s">
        <v>4648</v>
      </c>
      <c r="O1260" s="1">
        <v>46450</v>
      </c>
      <c r="P1260" t="s">
        <v>4726</v>
      </c>
      <c r="Q1260" t="s">
        <v>4727</v>
      </c>
      <c r="R1260" t="s">
        <v>150</v>
      </c>
      <c r="S1260" t="b">
        <v>0</v>
      </c>
      <c r="T1260" t="b">
        <v>0</v>
      </c>
      <c r="U1260" t="s">
        <v>4728</v>
      </c>
      <c r="V1260" t="s">
        <v>94</v>
      </c>
      <c r="W1260" t="s">
        <v>95</v>
      </c>
      <c r="X1260" t="s">
        <v>2422</v>
      </c>
      <c r="Y1260" t="s">
        <v>2423</v>
      </c>
      <c r="Z1260" t="s">
        <v>4648</v>
      </c>
      <c r="AA1260" t="b">
        <f>ISNUMBER(SEARCH(";"&amp;Lessons[[#This Row],[Instrument__c]]&amp;";",";"&amp;_xlfn.XLOOKUP(Lessons[[#This Row],[Instructor_External_Id__c]], Instructors[Id], Instructors[Instruments_Taught__c])&amp;";"))</f>
        <v>1</v>
      </c>
      <c r="AB1260" t="str">
        <f>IF(LEFT(Lessons[[#This Row],[Status__c]],9)="Cancelled","",Lessons[[#This Row],[Instructor_External_Id__c]]&amp;"|"&amp;TEXT(Lessons[[#This Row],[Lesson_Date__c]],"yyyy-mm-dd")&amp;"|"&amp;Lessons[[#This Row],[Start_Time__c]])</f>
        <v>a06ak00000amzByAAI|2027-03-04|19:00:00.000Z</v>
      </c>
      <c r="AC1260">
        <f>IF(Lessons[[#This Row],[Double Booked Key]]="","",COUNTIF(Lessons[Double Booked Key],Lessons[[#This Row],[Double Booked Key]]))</f>
        <v>1</v>
      </c>
      <c r="AD1260" s="6" t="str">
        <f>_xlfn.XLOOKUP(Lessons[[#This Row],[Location_External_Id__c]], Locations[Location Id], Locations[Location Name])</f>
        <v>Toms River</v>
      </c>
      <c r="AE1260" s="6" t="str">
        <f>TEXT(Lessons[[#This Row],[Lesson_Date__c]], "yyyy-mm")</f>
        <v>2027-03</v>
      </c>
      <c r="AF1260" s="6" t="str">
        <f>IF(Lessons[[#This Row],[Lesson_Date__c]]&lt;=Data_Audit!$F$1, "Yes", "No")</f>
        <v>No</v>
      </c>
    </row>
    <row r="1261" spans="1:32">
      <c r="A1261" t="s">
        <v>52</v>
      </c>
      <c r="B1261" t="s">
        <v>4648</v>
      </c>
      <c r="C1261">
        <v>30</v>
      </c>
      <c r="D1261" t="s">
        <v>4729</v>
      </c>
      <c r="E1261" t="s">
        <v>573</v>
      </c>
      <c r="F1261" t="s">
        <v>574</v>
      </c>
      <c r="H1261" t="s">
        <v>461</v>
      </c>
      <c r="I1261" t="b">
        <v>0</v>
      </c>
      <c r="K1261" t="s">
        <v>52</v>
      </c>
      <c r="L1261" t="s">
        <v>4648</v>
      </c>
      <c r="O1261" s="1">
        <v>46451</v>
      </c>
      <c r="P1261" t="s">
        <v>4730</v>
      </c>
      <c r="Q1261" t="s">
        <v>4731</v>
      </c>
      <c r="R1261" t="s">
        <v>83</v>
      </c>
      <c r="S1261" t="b">
        <v>0</v>
      </c>
      <c r="T1261" t="b">
        <v>0</v>
      </c>
      <c r="U1261" t="s">
        <v>4732</v>
      </c>
      <c r="V1261" t="s">
        <v>135</v>
      </c>
      <c r="W1261" t="s">
        <v>95</v>
      </c>
      <c r="X1261" t="s">
        <v>1047</v>
      </c>
      <c r="Y1261" t="s">
        <v>1048</v>
      </c>
      <c r="Z1261" t="s">
        <v>4648</v>
      </c>
      <c r="AA1261" t="b">
        <f>ISNUMBER(SEARCH(";"&amp;Lessons[[#This Row],[Instrument__c]]&amp;";",";"&amp;_xlfn.XLOOKUP(Lessons[[#This Row],[Instructor_External_Id__c]], Instructors[Id], Instructors[Instruments_Taught__c])&amp;";"))</f>
        <v>1</v>
      </c>
      <c r="AB1261" t="str">
        <f>IF(LEFT(Lessons[[#This Row],[Status__c]],9)="Cancelled","",Lessons[[#This Row],[Instructor_External_Id__c]]&amp;"|"&amp;TEXT(Lessons[[#This Row],[Lesson_Date__c]],"yyyy-mm-dd")&amp;"|"&amp;Lessons[[#This Row],[Start_Time__c]])</f>
        <v>a06ak00000amzCCAAY|2027-03-05|15:30:00.000Z</v>
      </c>
      <c r="AC1261">
        <f>IF(Lessons[[#This Row],[Double Booked Key]]="","",COUNTIF(Lessons[Double Booked Key],Lessons[[#This Row],[Double Booked Key]]))</f>
        <v>1</v>
      </c>
      <c r="AD1261" s="6" t="str">
        <f>_xlfn.XLOOKUP(Lessons[[#This Row],[Location_External_Id__c]], Locations[Location Id], Locations[Location Name])</f>
        <v>Brick</v>
      </c>
      <c r="AE1261" s="6" t="str">
        <f>TEXT(Lessons[[#This Row],[Lesson_Date__c]], "yyyy-mm")</f>
        <v>2027-03</v>
      </c>
      <c r="AF1261" s="6" t="str">
        <f>IF(Lessons[[#This Row],[Lesson_Date__c]]&lt;=Data_Audit!$F$1, "Yes", "No")</f>
        <v>No</v>
      </c>
    </row>
    <row r="1262" spans="1:32">
      <c r="A1262" t="s">
        <v>52</v>
      </c>
      <c r="B1262" t="s">
        <v>4648</v>
      </c>
      <c r="C1262">
        <v>30</v>
      </c>
      <c r="D1262" t="s">
        <v>4733</v>
      </c>
      <c r="E1262" t="s">
        <v>548</v>
      </c>
      <c r="F1262" t="s">
        <v>549</v>
      </c>
      <c r="H1262" t="s">
        <v>203</v>
      </c>
      <c r="I1262" t="b">
        <v>0</v>
      </c>
      <c r="K1262" t="s">
        <v>52</v>
      </c>
      <c r="L1262" t="s">
        <v>4648</v>
      </c>
      <c r="O1262" s="1">
        <v>46451</v>
      </c>
      <c r="P1262" t="s">
        <v>4734</v>
      </c>
      <c r="Q1262" t="s">
        <v>4735</v>
      </c>
      <c r="R1262" t="s">
        <v>150</v>
      </c>
      <c r="S1262" t="b">
        <v>0</v>
      </c>
      <c r="T1262" t="b">
        <v>0</v>
      </c>
      <c r="U1262" t="s">
        <v>4736</v>
      </c>
      <c r="V1262" t="s">
        <v>74</v>
      </c>
      <c r="W1262" t="s">
        <v>95</v>
      </c>
      <c r="X1262" t="s">
        <v>206</v>
      </c>
      <c r="Y1262" t="s">
        <v>207</v>
      </c>
      <c r="Z1262" t="s">
        <v>4648</v>
      </c>
      <c r="AA1262" t="b">
        <f>ISNUMBER(SEARCH(";"&amp;Lessons[[#This Row],[Instrument__c]]&amp;";",";"&amp;_xlfn.XLOOKUP(Lessons[[#This Row],[Instructor_External_Id__c]], Instructors[Id], Instructors[Instruments_Taught__c])&amp;";"))</f>
        <v>1</v>
      </c>
      <c r="AB1262" t="str">
        <f>IF(LEFT(Lessons[[#This Row],[Status__c]],9)="Cancelled","",Lessons[[#This Row],[Instructor_External_Id__c]]&amp;"|"&amp;TEXT(Lessons[[#This Row],[Lesson_Date__c]],"yyyy-mm-dd")&amp;"|"&amp;Lessons[[#This Row],[Start_Time__c]])</f>
        <v>a06ak00000amzCHAAY|2027-03-05|16:30:00.000Z</v>
      </c>
      <c r="AC1262">
        <f>IF(Lessons[[#This Row],[Double Booked Key]]="","",COUNTIF(Lessons[Double Booked Key],Lessons[[#This Row],[Double Booked Key]]))</f>
        <v>1</v>
      </c>
      <c r="AD1262" s="6" t="str">
        <f>_xlfn.XLOOKUP(Lessons[[#This Row],[Location_External_Id__c]], Locations[Location Id], Locations[Location Name])</f>
        <v>Toms River</v>
      </c>
      <c r="AE1262" s="6" t="str">
        <f>TEXT(Lessons[[#This Row],[Lesson_Date__c]], "yyyy-mm")</f>
        <v>2027-03</v>
      </c>
      <c r="AF1262" s="6" t="str">
        <f>IF(Lessons[[#This Row],[Lesson_Date__c]]&lt;=Data_Audit!$F$1, "Yes", "No")</f>
        <v>No</v>
      </c>
    </row>
    <row r="1263" spans="1:32">
      <c r="A1263" t="s">
        <v>52</v>
      </c>
      <c r="B1263" t="s">
        <v>4648</v>
      </c>
      <c r="C1263">
        <v>45</v>
      </c>
      <c r="D1263" t="s">
        <v>4737</v>
      </c>
      <c r="E1263" t="s">
        <v>318</v>
      </c>
      <c r="F1263" t="s">
        <v>319</v>
      </c>
      <c r="H1263" t="s">
        <v>237</v>
      </c>
      <c r="I1263" t="b">
        <v>0</v>
      </c>
      <c r="K1263" t="s">
        <v>52</v>
      </c>
      <c r="L1263" t="s">
        <v>4648</v>
      </c>
      <c r="O1263" s="1">
        <v>46451</v>
      </c>
      <c r="P1263" t="s">
        <v>4738</v>
      </c>
      <c r="Q1263" t="s">
        <v>4739</v>
      </c>
      <c r="R1263" t="s">
        <v>150</v>
      </c>
      <c r="S1263" t="b">
        <v>0</v>
      </c>
      <c r="T1263" t="b">
        <v>0</v>
      </c>
      <c r="U1263" t="s">
        <v>4740</v>
      </c>
      <c r="V1263" t="s">
        <v>74</v>
      </c>
      <c r="W1263" t="s">
        <v>95</v>
      </c>
      <c r="X1263" t="s">
        <v>416</v>
      </c>
      <c r="Y1263" t="s">
        <v>417</v>
      </c>
      <c r="Z1263" t="s">
        <v>4648</v>
      </c>
      <c r="AA1263" t="b">
        <f>ISNUMBER(SEARCH(";"&amp;Lessons[[#This Row],[Instrument__c]]&amp;";",";"&amp;_xlfn.XLOOKUP(Lessons[[#This Row],[Instructor_External_Id__c]], Instructors[Id], Instructors[Instruments_Taught__c])&amp;";"))</f>
        <v>1</v>
      </c>
      <c r="AB1263" t="str">
        <f>IF(LEFT(Lessons[[#This Row],[Status__c]],9)="Cancelled","",Lessons[[#This Row],[Instructor_External_Id__c]]&amp;"|"&amp;TEXT(Lessons[[#This Row],[Lesson_Date__c]],"yyyy-mm-dd")&amp;"|"&amp;Lessons[[#This Row],[Start_Time__c]])</f>
        <v>a06ak00000amzBzAAI|2027-03-05|16:30:00.000Z</v>
      </c>
      <c r="AC1263">
        <f>IF(Lessons[[#This Row],[Double Booked Key]]="","",COUNTIF(Lessons[Double Booked Key],Lessons[[#This Row],[Double Booked Key]]))</f>
        <v>1</v>
      </c>
      <c r="AD1263" s="6" t="str">
        <f>_xlfn.XLOOKUP(Lessons[[#This Row],[Location_External_Id__c]], Locations[Location Id], Locations[Location Name])</f>
        <v>Toms River</v>
      </c>
      <c r="AE1263" s="6" t="str">
        <f>TEXT(Lessons[[#This Row],[Lesson_Date__c]], "yyyy-mm")</f>
        <v>2027-03</v>
      </c>
      <c r="AF1263" s="6" t="str">
        <f>IF(Lessons[[#This Row],[Lesson_Date__c]]&lt;=Data_Audit!$F$1, "Yes", "No")</f>
        <v>No</v>
      </c>
    </row>
    <row r="1264" spans="1:32">
      <c r="A1264" t="s">
        <v>52</v>
      </c>
      <c r="B1264" t="s">
        <v>4648</v>
      </c>
      <c r="C1264">
        <v>30</v>
      </c>
      <c r="D1264" t="s">
        <v>4741</v>
      </c>
      <c r="E1264" t="s">
        <v>459</v>
      </c>
      <c r="F1264" t="s">
        <v>460</v>
      </c>
      <c r="H1264" t="s">
        <v>107</v>
      </c>
      <c r="I1264" t="b">
        <v>0</v>
      </c>
      <c r="K1264" t="s">
        <v>52</v>
      </c>
      <c r="L1264" t="s">
        <v>4648</v>
      </c>
      <c r="O1264" s="1">
        <v>46451</v>
      </c>
      <c r="P1264" t="s">
        <v>4742</v>
      </c>
      <c r="Q1264" t="s">
        <v>4743</v>
      </c>
      <c r="R1264" t="s">
        <v>83</v>
      </c>
      <c r="S1264" t="b">
        <v>0</v>
      </c>
      <c r="T1264" t="b">
        <v>0</v>
      </c>
      <c r="U1264" t="s">
        <v>4744</v>
      </c>
      <c r="V1264" t="s">
        <v>94</v>
      </c>
      <c r="W1264" t="s">
        <v>95</v>
      </c>
      <c r="X1264" t="s">
        <v>710</v>
      </c>
      <c r="Y1264" t="s">
        <v>711</v>
      </c>
      <c r="Z1264" t="s">
        <v>4648</v>
      </c>
      <c r="AA1264" t="b">
        <f>ISNUMBER(SEARCH(";"&amp;Lessons[[#This Row],[Instrument__c]]&amp;";",";"&amp;_xlfn.XLOOKUP(Lessons[[#This Row],[Instructor_External_Id__c]], Instructors[Id], Instructors[Instruments_Taught__c])&amp;";"))</f>
        <v>1</v>
      </c>
      <c r="AB1264" t="str">
        <f>IF(LEFT(Lessons[[#This Row],[Status__c]],9)="Cancelled","",Lessons[[#This Row],[Instructor_External_Id__c]]&amp;"|"&amp;TEXT(Lessons[[#This Row],[Lesson_Date__c]],"yyyy-mm-dd")&amp;"|"&amp;Lessons[[#This Row],[Start_Time__c]])</f>
        <v>a06ak00000amzC8AAI|2027-03-05|19:00:00.000Z</v>
      </c>
      <c r="AC1264">
        <f>IF(Lessons[[#This Row],[Double Booked Key]]="","",COUNTIF(Lessons[Double Booked Key],Lessons[[#This Row],[Double Booked Key]]))</f>
        <v>1</v>
      </c>
      <c r="AD1264" s="6" t="str">
        <f>_xlfn.XLOOKUP(Lessons[[#This Row],[Location_External_Id__c]], Locations[Location Id], Locations[Location Name])</f>
        <v>Brick</v>
      </c>
      <c r="AE1264" s="6" t="str">
        <f>TEXT(Lessons[[#This Row],[Lesson_Date__c]], "yyyy-mm")</f>
        <v>2027-03</v>
      </c>
      <c r="AF1264" s="6" t="str">
        <f>IF(Lessons[[#This Row],[Lesson_Date__c]]&lt;=Data_Audit!$F$1, "Yes", "No")</f>
        <v>No</v>
      </c>
    </row>
    <row r="1265" spans="1:32">
      <c r="A1265" t="s">
        <v>52</v>
      </c>
      <c r="B1265" t="s">
        <v>4648</v>
      </c>
      <c r="C1265">
        <v>30</v>
      </c>
      <c r="D1265" t="s">
        <v>4745</v>
      </c>
      <c r="E1265" t="s">
        <v>359</v>
      </c>
      <c r="F1265" t="s">
        <v>360</v>
      </c>
      <c r="H1265" t="s">
        <v>392</v>
      </c>
      <c r="I1265" t="b">
        <v>0</v>
      </c>
      <c r="K1265" t="s">
        <v>52</v>
      </c>
      <c r="L1265" t="s">
        <v>4648</v>
      </c>
      <c r="O1265" s="1">
        <v>46452</v>
      </c>
      <c r="P1265" t="s">
        <v>4746</v>
      </c>
      <c r="Q1265" t="s">
        <v>4747</v>
      </c>
      <c r="R1265" t="s">
        <v>63</v>
      </c>
      <c r="S1265" t="b">
        <v>0</v>
      </c>
      <c r="T1265" t="b">
        <v>0</v>
      </c>
      <c r="U1265" t="s">
        <v>4748</v>
      </c>
      <c r="V1265" t="s">
        <v>3378</v>
      </c>
      <c r="W1265" t="s">
        <v>95</v>
      </c>
      <c r="X1265" t="s">
        <v>2356</v>
      </c>
      <c r="Y1265" t="s">
        <v>2357</v>
      </c>
      <c r="Z1265" t="s">
        <v>4648</v>
      </c>
      <c r="AA1265" t="b">
        <f>ISNUMBER(SEARCH(";"&amp;Lessons[[#This Row],[Instrument__c]]&amp;";",";"&amp;_xlfn.XLOOKUP(Lessons[[#This Row],[Instructor_External_Id__c]], Instructors[Id], Instructors[Instruments_Taught__c])&amp;";"))</f>
        <v>1</v>
      </c>
      <c r="AB1265" t="str">
        <f>IF(LEFT(Lessons[[#This Row],[Status__c]],9)="Cancelled","",Lessons[[#This Row],[Instructor_External_Id__c]]&amp;"|"&amp;TEXT(Lessons[[#This Row],[Lesson_Date__c]],"yyyy-mm-dd")&amp;"|"&amp;Lessons[[#This Row],[Start_Time__c]])</f>
        <v>a06ak00000amzBiAAI|2027-03-06|09:30:00.000Z</v>
      </c>
      <c r="AC1265">
        <f>IF(Lessons[[#This Row],[Double Booked Key]]="","",COUNTIF(Lessons[Double Booked Key],Lessons[[#This Row],[Double Booked Key]]))</f>
        <v>1</v>
      </c>
      <c r="AD1265" s="6" t="str">
        <f>_xlfn.XLOOKUP(Lessons[[#This Row],[Location_External_Id__c]], Locations[Location Id], Locations[Location Name])</f>
        <v>Red Bank</v>
      </c>
      <c r="AE1265" s="6" t="str">
        <f>TEXT(Lessons[[#This Row],[Lesson_Date__c]], "yyyy-mm")</f>
        <v>2027-03</v>
      </c>
      <c r="AF1265" s="6" t="str">
        <f>IF(Lessons[[#This Row],[Lesson_Date__c]]&lt;=Data_Audit!$F$1, "Yes", "No")</f>
        <v>No</v>
      </c>
    </row>
    <row r="1266" spans="1:32">
      <c r="A1266" t="s">
        <v>52</v>
      </c>
      <c r="B1266" t="s">
        <v>4648</v>
      </c>
      <c r="C1266">
        <v>45</v>
      </c>
      <c r="D1266" t="s">
        <v>4749</v>
      </c>
      <c r="E1266" t="s">
        <v>573</v>
      </c>
      <c r="F1266" t="s">
        <v>574</v>
      </c>
      <c r="H1266" t="s">
        <v>461</v>
      </c>
      <c r="I1266" t="b">
        <v>0</v>
      </c>
      <c r="K1266" t="s">
        <v>52</v>
      </c>
      <c r="L1266" t="s">
        <v>4648</v>
      </c>
      <c r="O1266" s="1">
        <v>46452</v>
      </c>
      <c r="P1266" t="s">
        <v>4750</v>
      </c>
      <c r="Q1266" t="s">
        <v>4751</v>
      </c>
      <c r="R1266" t="s">
        <v>83</v>
      </c>
      <c r="S1266" t="b">
        <v>0</v>
      </c>
      <c r="T1266" t="b">
        <v>0</v>
      </c>
      <c r="U1266" t="s">
        <v>4752</v>
      </c>
      <c r="V1266" t="s">
        <v>110</v>
      </c>
      <c r="W1266" t="s">
        <v>95</v>
      </c>
      <c r="X1266" t="s">
        <v>681</v>
      </c>
      <c r="Y1266" t="s">
        <v>682</v>
      </c>
      <c r="Z1266" t="s">
        <v>4648</v>
      </c>
      <c r="AA1266" t="b">
        <f>ISNUMBER(SEARCH(";"&amp;Lessons[[#This Row],[Instrument__c]]&amp;";",";"&amp;_xlfn.XLOOKUP(Lessons[[#This Row],[Instructor_External_Id__c]], Instructors[Id], Instructors[Instruments_Taught__c])&amp;";"))</f>
        <v>1</v>
      </c>
      <c r="AB1266" t="str">
        <f>IF(LEFT(Lessons[[#This Row],[Status__c]],9)="Cancelled","",Lessons[[#This Row],[Instructor_External_Id__c]]&amp;"|"&amp;TEXT(Lessons[[#This Row],[Lesson_Date__c]],"yyyy-mm-dd")&amp;"|"&amp;Lessons[[#This Row],[Start_Time__c]])</f>
        <v>a06ak00000amzCCAAY|2027-03-06|10:00:00.000Z</v>
      </c>
      <c r="AC1266">
        <f>IF(Lessons[[#This Row],[Double Booked Key]]="","",COUNTIF(Lessons[Double Booked Key],Lessons[[#This Row],[Double Booked Key]]))</f>
        <v>1</v>
      </c>
      <c r="AD1266" s="6" t="str">
        <f>_xlfn.XLOOKUP(Lessons[[#This Row],[Location_External_Id__c]], Locations[Location Id], Locations[Location Name])</f>
        <v>Brick</v>
      </c>
      <c r="AE1266" s="6" t="str">
        <f>TEXT(Lessons[[#This Row],[Lesson_Date__c]], "yyyy-mm")</f>
        <v>2027-03</v>
      </c>
      <c r="AF1266" s="6" t="str">
        <f>IF(Lessons[[#This Row],[Lesson_Date__c]]&lt;=Data_Audit!$F$1, "Yes", "No")</f>
        <v>No</v>
      </c>
    </row>
    <row r="1267" spans="1:32">
      <c r="A1267" t="s">
        <v>52</v>
      </c>
      <c r="B1267" t="s">
        <v>4648</v>
      </c>
      <c r="C1267">
        <v>45</v>
      </c>
      <c r="D1267" t="s">
        <v>4753</v>
      </c>
      <c r="E1267" t="s">
        <v>318</v>
      </c>
      <c r="F1267" t="s">
        <v>319</v>
      </c>
      <c r="H1267" t="s">
        <v>237</v>
      </c>
      <c r="I1267" t="b">
        <v>0</v>
      </c>
      <c r="K1267" t="s">
        <v>52</v>
      </c>
      <c r="L1267" t="s">
        <v>4648</v>
      </c>
      <c r="O1267" s="1">
        <v>46452</v>
      </c>
      <c r="P1267" t="s">
        <v>4754</v>
      </c>
      <c r="Q1267" t="s">
        <v>4755</v>
      </c>
      <c r="R1267" t="s">
        <v>63</v>
      </c>
      <c r="S1267" t="b">
        <v>0</v>
      </c>
      <c r="T1267" t="b">
        <v>0</v>
      </c>
      <c r="U1267" t="s">
        <v>4756</v>
      </c>
      <c r="V1267" t="s">
        <v>64</v>
      </c>
      <c r="W1267" t="s">
        <v>95</v>
      </c>
      <c r="X1267" t="s">
        <v>905</v>
      </c>
      <c r="Y1267" t="s">
        <v>906</v>
      </c>
      <c r="Z1267" t="s">
        <v>4648</v>
      </c>
      <c r="AA1267" t="b">
        <f>ISNUMBER(SEARCH(";"&amp;Lessons[[#This Row],[Instrument__c]]&amp;";",";"&amp;_xlfn.XLOOKUP(Lessons[[#This Row],[Instructor_External_Id__c]], Instructors[Id], Instructors[Instruments_Taught__c])&amp;";"))</f>
        <v>1</v>
      </c>
      <c r="AB1267" t="str">
        <f>IF(LEFT(Lessons[[#This Row],[Status__c]],9)="Cancelled","",Lessons[[#This Row],[Instructor_External_Id__c]]&amp;"|"&amp;TEXT(Lessons[[#This Row],[Lesson_Date__c]],"yyyy-mm-dd")&amp;"|"&amp;Lessons[[#This Row],[Start_Time__c]])</f>
        <v>a06ak00000amzBzAAI|2027-03-06|11:00:00.000Z</v>
      </c>
      <c r="AC1267">
        <f>IF(Lessons[[#This Row],[Double Booked Key]]="","",COUNTIF(Lessons[Double Booked Key],Lessons[[#This Row],[Double Booked Key]]))</f>
        <v>1</v>
      </c>
      <c r="AD1267" s="6" t="str">
        <f>_xlfn.XLOOKUP(Lessons[[#This Row],[Location_External_Id__c]], Locations[Location Id], Locations[Location Name])</f>
        <v>Red Bank</v>
      </c>
      <c r="AE1267" s="6" t="str">
        <f>TEXT(Lessons[[#This Row],[Lesson_Date__c]], "yyyy-mm")</f>
        <v>2027-03</v>
      </c>
      <c r="AF1267" s="6" t="str">
        <f>IF(Lessons[[#This Row],[Lesson_Date__c]]&lt;=Data_Audit!$F$1, "Yes", "No")</f>
        <v>No</v>
      </c>
    </row>
    <row r="1268" spans="1:32">
      <c r="A1268" t="s">
        <v>52</v>
      </c>
      <c r="B1268" t="s">
        <v>4648</v>
      </c>
      <c r="C1268">
        <v>45</v>
      </c>
      <c r="D1268" t="s">
        <v>4757</v>
      </c>
      <c r="E1268" t="s">
        <v>573</v>
      </c>
      <c r="F1268" t="s">
        <v>574</v>
      </c>
      <c r="H1268" t="s">
        <v>461</v>
      </c>
      <c r="I1268" t="b">
        <v>0</v>
      </c>
      <c r="K1268" t="s">
        <v>52</v>
      </c>
      <c r="L1268" t="s">
        <v>4648</v>
      </c>
      <c r="O1268" s="1">
        <v>46452</v>
      </c>
      <c r="P1268" t="s">
        <v>4758</v>
      </c>
      <c r="Q1268" t="s">
        <v>4759</v>
      </c>
      <c r="R1268" t="s">
        <v>150</v>
      </c>
      <c r="S1268" t="b">
        <v>0</v>
      </c>
      <c r="T1268" t="b">
        <v>0</v>
      </c>
      <c r="U1268" t="s">
        <v>4760</v>
      </c>
      <c r="V1268" t="s">
        <v>3208</v>
      </c>
      <c r="W1268" t="s">
        <v>95</v>
      </c>
      <c r="X1268" t="s">
        <v>464</v>
      </c>
      <c r="Y1268" t="s">
        <v>465</v>
      </c>
      <c r="Z1268" t="s">
        <v>4648</v>
      </c>
      <c r="AA1268" t="b">
        <f>ISNUMBER(SEARCH(";"&amp;Lessons[[#This Row],[Instrument__c]]&amp;";",";"&amp;_xlfn.XLOOKUP(Lessons[[#This Row],[Instructor_External_Id__c]], Instructors[Id], Instructors[Instruments_Taught__c])&amp;";"))</f>
        <v>1</v>
      </c>
      <c r="AB1268" t="str">
        <f>IF(LEFT(Lessons[[#This Row],[Status__c]],9)="Cancelled","",Lessons[[#This Row],[Instructor_External_Id__c]]&amp;"|"&amp;TEXT(Lessons[[#This Row],[Lesson_Date__c]],"yyyy-mm-dd")&amp;"|"&amp;Lessons[[#This Row],[Start_Time__c]])</f>
        <v>a06ak00000amzCCAAY|2027-03-06|12:30:00.000Z</v>
      </c>
      <c r="AC1268">
        <f>IF(Lessons[[#This Row],[Double Booked Key]]="","",COUNTIF(Lessons[Double Booked Key],Lessons[[#This Row],[Double Booked Key]]))</f>
        <v>1</v>
      </c>
      <c r="AD1268" s="6" t="str">
        <f>_xlfn.XLOOKUP(Lessons[[#This Row],[Location_External_Id__c]], Locations[Location Id], Locations[Location Name])</f>
        <v>Toms River</v>
      </c>
      <c r="AE1268" s="6" t="str">
        <f>TEXT(Lessons[[#This Row],[Lesson_Date__c]], "yyyy-mm")</f>
        <v>2027-03</v>
      </c>
      <c r="AF1268" s="6" t="str">
        <f>IF(Lessons[[#This Row],[Lesson_Date__c]]&lt;=Data_Audit!$F$1, "Yes", "No")</f>
        <v>No</v>
      </c>
    </row>
    <row r="1269" spans="1:32">
      <c r="A1269" t="s">
        <v>52</v>
      </c>
      <c r="B1269" t="s">
        <v>4648</v>
      </c>
      <c r="C1269">
        <v>60</v>
      </c>
      <c r="D1269" t="s">
        <v>4761</v>
      </c>
      <c r="E1269" t="s">
        <v>777</v>
      </c>
      <c r="F1269" t="s">
        <v>778</v>
      </c>
      <c r="H1269" t="s">
        <v>527</v>
      </c>
      <c r="I1269" t="b">
        <v>0</v>
      </c>
      <c r="K1269" t="s">
        <v>52</v>
      </c>
      <c r="L1269" t="s">
        <v>4648</v>
      </c>
      <c r="O1269" s="1">
        <v>46452</v>
      </c>
      <c r="P1269" t="s">
        <v>4762</v>
      </c>
      <c r="Q1269" t="s">
        <v>4763</v>
      </c>
      <c r="R1269" t="s">
        <v>150</v>
      </c>
      <c r="S1269" t="b">
        <v>0</v>
      </c>
      <c r="T1269" t="b">
        <v>0</v>
      </c>
      <c r="U1269" t="s">
        <v>4764</v>
      </c>
      <c r="V1269" t="s">
        <v>3208</v>
      </c>
      <c r="W1269" t="s">
        <v>95</v>
      </c>
      <c r="X1269" t="s">
        <v>781</v>
      </c>
      <c r="Y1269" t="s">
        <v>782</v>
      </c>
      <c r="Z1269" t="s">
        <v>4648</v>
      </c>
      <c r="AA1269" t="b">
        <f>ISNUMBER(SEARCH(";"&amp;Lessons[[#This Row],[Instrument__c]]&amp;";",";"&amp;_xlfn.XLOOKUP(Lessons[[#This Row],[Instructor_External_Id__c]], Instructors[Id], Instructors[Instruments_Taught__c])&amp;";"))</f>
        <v>1</v>
      </c>
      <c r="AB1269" t="str">
        <f>IF(LEFT(Lessons[[#This Row],[Status__c]],9)="Cancelled","",Lessons[[#This Row],[Instructor_External_Id__c]]&amp;"|"&amp;TEXT(Lessons[[#This Row],[Lesson_Date__c]],"yyyy-mm-dd")&amp;"|"&amp;Lessons[[#This Row],[Start_Time__c]])</f>
        <v>a06ak00000amzByAAI|2027-03-06|12:30:00.000Z</v>
      </c>
      <c r="AC1269">
        <f>IF(Lessons[[#This Row],[Double Booked Key]]="","",COUNTIF(Lessons[Double Booked Key],Lessons[[#This Row],[Double Booked Key]]))</f>
        <v>1</v>
      </c>
      <c r="AD1269" s="6" t="str">
        <f>_xlfn.XLOOKUP(Lessons[[#This Row],[Location_External_Id__c]], Locations[Location Id], Locations[Location Name])</f>
        <v>Toms River</v>
      </c>
      <c r="AE1269" s="6" t="str">
        <f>TEXT(Lessons[[#This Row],[Lesson_Date__c]], "yyyy-mm")</f>
        <v>2027-03</v>
      </c>
      <c r="AF1269" s="6" t="str">
        <f>IF(Lessons[[#This Row],[Lesson_Date__c]]&lt;=Data_Audit!$F$1, "Yes", "No")</f>
        <v>No</v>
      </c>
    </row>
    <row r="1270" spans="1:32">
      <c r="A1270" t="s">
        <v>52</v>
      </c>
      <c r="B1270" t="s">
        <v>4648</v>
      </c>
      <c r="C1270">
        <v>45</v>
      </c>
      <c r="D1270" t="s">
        <v>4765</v>
      </c>
      <c r="E1270" t="s">
        <v>76</v>
      </c>
      <c r="F1270" t="s">
        <v>77</v>
      </c>
      <c r="H1270" t="s">
        <v>78</v>
      </c>
      <c r="I1270" t="b">
        <v>0</v>
      </c>
      <c r="K1270" t="s">
        <v>52</v>
      </c>
      <c r="L1270" t="s">
        <v>4648</v>
      </c>
      <c r="O1270" s="1">
        <v>46454</v>
      </c>
      <c r="P1270" t="s">
        <v>4766</v>
      </c>
      <c r="Q1270" t="s">
        <v>4767</v>
      </c>
      <c r="R1270" t="s">
        <v>83</v>
      </c>
      <c r="S1270" t="b">
        <v>0</v>
      </c>
      <c r="T1270" t="b">
        <v>0</v>
      </c>
      <c r="U1270" t="s">
        <v>4768</v>
      </c>
      <c r="V1270" t="s">
        <v>74</v>
      </c>
      <c r="W1270" t="s">
        <v>95</v>
      </c>
      <c r="X1270" t="s">
        <v>183</v>
      </c>
      <c r="Y1270" t="s">
        <v>184</v>
      </c>
      <c r="Z1270" t="s">
        <v>4648</v>
      </c>
      <c r="AA1270" t="b">
        <f>ISNUMBER(SEARCH(";"&amp;Lessons[[#This Row],[Instrument__c]]&amp;";",";"&amp;_xlfn.XLOOKUP(Lessons[[#This Row],[Instructor_External_Id__c]], Instructors[Id], Instructors[Instruments_Taught__c])&amp;";"))</f>
        <v>1</v>
      </c>
      <c r="AB1270" t="str">
        <f>IF(LEFT(Lessons[[#This Row],[Status__c]],9)="Cancelled","",Lessons[[#This Row],[Instructor_External_Id__c]]&amp;"|"&amp;TEXT(Lessons[[#This Row],[Lesson_Date__c]],"yyyy-mm-dd")&amp;"|"&amp;Lessons[[#This Row],[Start_Time__c]])</f>
        <v>a06ak00000amzBgAAI|2027-03-08|16:30:00.000Z</v>
      </c>
      <c r="AC1270">
        <f>IF(Lessons[[#This Row],[Double Booked Key]]="","",COUNTIF(Lessons[Double Booked Key],Lessons[[#This Row],[Double Booked Key]]))</f>
        <v>1</v>
      </c>
      <c r="AD1270" s="6" t="str">
        <f>_xlfn.XLOOKUP(Lessons[[#This Row],[Location_External_Id__c]], Locations[Location Id], Locations[Location Name])</f>
        <v>Brick</v>
      </c>
      <c r="AE1270" s="6" t="str">
        <f>TEXT(Lessons[[#This Row],[Lesson_Date__c]], "yyyy-mm")</f>
        <v>2027-03</v>
      </c>
      <c r="AF1270" s="6" t="str">
        <f>IF(Lessons[[#This Row],[Lesson_Date__c]]&lt;=Data_Audit!$F$1, "Yes", "No")</f>
        <v>No</v>
      </c>
    </row>
    <row r="1271" spans="1:32">
      <c r="A1271" t="s">
        <v>52</v>
      </c>
      <c r="B1271" t="s">
        <v>4648</v>
      </c>
      <c r="C1271">
        <v>60</v>
      </c>
      <c r="D1271" t="s">
        <v>4769</v>
      </c>
      <c r="E1271" t="s">
        <v>804</v>
      </c>
      <c r="F1271" t="s">
        <v>805</v>
      </c>
      <c r="H1271" t="s">
        <v>527</v>
      </c>
      <c r="I1271" t="b">
        <v>0</v>
      </c>
      <c r="K1271" t="s">
        <v>52</v>
      </c>
      <c r="L1271" t="s">
        <v>4648</v>
      </c>
      <c r="O1271" s="1">
        <v>46454</v>
      </c>
      <c r="P1271" t="s">
        <v>4770</v>
      </c>
      <c r="Q1271" t="s">
        <v>4771</v>
      </c>
      <c r="R1271" t="s">
        <v>63</v>
      </c>
      <c r="S1271" t="b">
        <v>0</v>
      </c>
      <c r="T1271" t="b">
        <v>0</v>
      </c>
      <c r="U1271" t="s">
        <v>4772</v>
      </c>
      <c r="V1271" t="s">
        <v>74</v>
      </c>
      <c r="W1271" t="s">
        <v>95</v>
      </c>
      <c r="X1271" t="s">
        <v>2305</v>
      </c>
      <c r="Y1271" t="s">
        <v>2306</v>
      </c>
      <c r="Z1271" t="s">
        <v>4648</v>
      </c>
      <c r="AA1271" t="b">
        <f>ISNUMBER(SEARCH(";"&amp;Lessons[[#This Row],[Instrument__c]]&amp;";",";"&amp;_xlfn.XLOOKUP(Lessons[[#This Row],[Instructor_External_Id__c]], Instructors[Id], Instructors[Instruments_Taught__c])&amp;";"))</f>
        <v>1</v>
      </c>
      <c r="AB1271" t="str">
        <f>IF(LEFT(Lessons[[#This Row],[Status__c]],9)="Cancelled","",Lessons[[#This Row],[Instructor_External_Id__c]]&amp;"|"&amp;TEXT(Lessons[[#This Row],[Lesson_Date__c]],"yyyy-mm-dd")&amp;"|"&amp;Lessons[[#This Row],[Start_Time__c]])</f>
        <v>a06ak00000amzCBAAY|2027-03-08|16:30:00.000Z</v>
      </c>
      <c r="AC1271">
        <f>IF(Lessons[[#This Row],[Double Booked Key]]="","",COUNTIF(Lessons[Double Booked Key],Lessons[[#This Row],[Double Booked Key]]))</f>
        <v>1</v>
      </c>
      <c r="AD1271" s="6" t="str">
        <f>_xlfn.XLOOKUP(Lessons[[#This Row],[Location_External_Id__c]], Locations[Location Id], Locations[Location Name])</f>
        <v>Red Bank</v>
      </c>
      <c r="AE1271" s="6" t="str">
        <f>TEXT(Lessons[[#This Row],[Lesson_Date__c]], "yyyy-mm")</f>
        <v>2027-03</v>
      </c>
      <c r="AF1271" s="6" t="str">
        <f>IF(Lessons[[#This Row],[Lesson_Date__c]]&lt;=Data_Audit!$F$1, "Yes", "No")</f>
        <v>No</v>
      </c>
    </row>
    <row r="1272" spans="1:32">
      <c r="A1272" t="s">
        <v>52</v>
      </c>
      <c r="B1272" t="s">
        <v>4648</v>
      </c>
      <c r="C1272">
        <v>60</v>
      </c>
      <c r="D1272" t="s">
        <v>4773</v>
      </c>
      <c r="E1272" t="s">
        <v>76</v>
      </c>
      <c r="F1272" t="s">
        <v>77</v>
      </c>
      <c r="H1272" t="s">
        <v>58</v>
      </c>
      <c r="I1272" t="b">
        <v>0</v>
      </c>
      <c r="K1272" t="s">
        <v>52</v>
      </c>
      <c r="L1272" t="s">
        <v>4648</v>
      </c>
      <c r="O1272" s="1">
        <v>46454</v>
      </c>
      <c r="P1272" t="s">
        <v>4774</v>
      </c>
      <c r="Q1272" t="s">
        <v>4775</v>
      </c>
      <c r="R1272" t="s">
        <v>83</v>
      </c>
      <c r="S1272" t="b">
        <v>0</v>
      </c>
      <c r="T1272" t="b">
        <v>0</v>
      </c>
      <c r="U1272" t="s">
        <v>4776</v>
      </c>
      <c r="V1272" t="s">
        <v>128</v>
      </c>
      <c r="W1272" t="s">
        <v>95</v>
      </c>
      <c r="X1272" t="s">
        <v>844</v>
      </c>
      <c r="Y1272" t="s">
        <v>845</v>
      </c>
      <c r="Z1272" t="s">
        <v>4648</v>
      </c>
      <c r="AA1272" t="b">
        <f>ISNUMBER(SEARCH(";"&amp;Lessons[[#This Row],[Instrument__c]]&amp;";",";"&amp;_xlfn.XLOOKUP(Lessons[[#This Row],[Instructor_External_Id__c]], Instructors[Id], Instructors[Instruments_Taught__c])&amp;";"))</f>
        <v>1</v>
      </c>
      <c r="AB1272" t="str">
        <f>IF(LEFT(Lessons[[#This Row],[Status__c]],9)="Cancelled","",Lessons[[#This Row],[Instructor_External_Id__c]]&amp;"|"&amp;TEXT(Lessons[[#This Row],[Lesson_Date__c]],"yyyy-mm-dd")&amp;"|"&amp;Lessons[[#This Row],[Start_Time__c]])</f>
        <v>a06ak00000amzBgAAI|2027-03-08|18:30:00.000Z</v>
      </c>
      <c r="AC1272">
        <f>IF(Lessons[[#This Row],[Double Booked Key]]="","",COUNTIF(Lessons[Double Booked Key],Lessons[[#This Row],[Double Booked Key]]))</f>
        <v>1</v>
      </c>
      <c r="AD1272" s="6" t="str">
        <f>_xlfn.XLOOKUP(Lessons[[#This Row],[Location_External_Id__c]], Locations[Location Id], Locations[Location Name])</f>
        <v>Brick</v>
      </c>
      <c r="AE1272" s="6" t="str">
        <f>TEXT(Lessons[[#This Row],[Lesson_Date__c]], "yyyy-mm")</f>
        <v>2027-03</v>
      </c>
      <c r="AF1272" s="6" t="str">
        <f>IF(Lessons[[#This Row],[Lesson_Date__c]]&lt;=Data_Audit!$F$1, "Yes", "No")</f>
        <v>No</v>
      </c>
    </row>
    <row r="1273" spans="1:32">
      <c r="A1273" t="s">
        <v>52</v>
      </c>
      <c r="B1273" t="s">
        <v>4648</v>
      </c>
      <c r="C1273">
        <v>30</v>
      </c>
      <c r="D1273" t="s">
        <v>4777</v>
      </c>
      <c r="E1273" t="s">
        <v>459</v>
      </c>
      <c r="F1273" t="s">
        <v>460</v>
      </c>
      <c r="H1273" t="s">
        <v>461</v>
      </c>
      <c r="I1273" t="b">
        <v>0</v>
      </c>
      <c r="K1273" t="s">
        <v>52</v>
      </c>
      <c r="L1273" t="s">
        <v>4648</v>
      </c>
      <c r="O1273" s="1">
        <v>46455</v>
      </c>
      <c r="P1273" t="s">
        <v>4778</v>
      </c>
      <c r="Q1273" t="s">
        <v>4779</v>
      </c>
      <c r="R1273" t="s">
        <v>83</v>
      </c>
      <c r="S1273" t="b">
        <v>0</v>
      </c>
      <c r="T1273" t="b">
        <v>0</v>
      </c>
      <c r="U1273" t="s">
        <v>4780</v>
      </c>
      <c r="V1273" t="s">
        <v>74</v>
      </c>
      <c r="W1273" t="s">
        <v>95</v>
      </c>
      <c r="X1273" t="s">
        <v>2592</v>
      </c>
      <c r="Y1273" t="s">
        <v>2593</v>
      </c>
      <c r="Z1273" t="s">
        <v>4648</v>
      </c>
      <c r="AA1273" t="b">
        <f>ISNUMBER(SEARCH(";"&amp;Lessons[[#This Row],[Instrument__c]]&amp;";",";"&amp;_xlfn.XLOOKUP(Lessons[[#This Row],[Instructor_External_Id__c]], Instructors[Id], Instructors[Instruments_Taught__c])&amp;";"))</f>
        <v>1</v>
      </c>
      <c r="AB1273" t="str">
        <f>IF(LEFT(Lessons[[#This Row],[Status__c]],9)="Cancelled","",Lessons[[#This Row],[Instructor_External_Id__c]]&amp;"|"&amp;TEXT(Lessons[[#This Row],[Lesson_Date__c]],"yyyy-mm-dd")&amp;"|"&amp;Lessons[[#This Row],[Start_Time__c]])</f>
        <v>a06ak00000amzC8AAI|2027-03-09|16:30:00.000Z</v>
      </c>
      <c r="AC1273">
        <f>IF(Lessons[[#This Row],[Double Booked Key]]="","",COUNTIF(Lessons[Double Booked Key],Lessons[[#This Row],[Double Booked Key]]))</f>
        <v>1</v>
      </c>
      <c r="AD1273" s="6" t="str">
        <f>_xlfn.XLOOKUP(Lessons[[#This Row],[Location_External_Id__c]], Locations[Location Id], Locations[Location Name])</f>
        <v>Brick</v>
      </c>
      <c r="AE1273" s="6" t="str">
        <f>TEXT(Lessons[[#This Row],[Lesson_Date__c]], "yyyy-mm")</f>
        <v>2027-03</v>
      </c>
      <c r="AF1273" s="6" t="str">
        <f>IF(Lessons[[#This Row],[Lesson_Date__c]]&lt;=Data_Audit!$F$1, "Yes", "No")</f>
        <v>No</v>
      </c>
    </row>
    <row r="1274" spans="1:32">
      <c r="A1274" t="s">
        <v>52</v>
      </c>
      <c r="B1274" t="s">
        <v>4648</v>
      </c>
      <c r="C1274">
        <v>45</v>
      </c>
      <c r="D1274" t="s">
        <v>4781</v>
      </c>
      <c r="E1274" t="s">
        <v>243</v>
      </c>
      <c r="F1274" t="s">
        <v>244</v>
      </c>
      <c r="H1274" t="s">
        <v>237</v>
      </c>
      <c r="I1274" t="b">
        <v>0</v>
      </c>
      <c r="K1274" t="s">
        <v>52</v>
      </c>
      <c r="L1274" t="s">
        <v>4648</v>
      </c>
      <c r="O1274" s="1">
        <v>46455</v>
      </c>
      <c r="P1274" t="s">
        <v>4782</v>
      </c>
      <c r="Q1274" t="s">
        <v>4783</v>
      </c>
      <c r="R1274" t="s">
        <v>83</v>
      </c>
      <c r="S1274" t="b">
        <v>0</v>
      </c>
      <c r="T1274" t="b">
        <v>0</v>
      </c>
      <c r="U1274" t="s">
        <v>4784</v>
      </c>
      <c r="V1274" t="s">
        <v>116</v>
      </c>
      <c r="W1274" t="s">
        <v>95</v>
      </c>
      <c r="X1274" t="s">
        <v>2348</v>
      </c>
      <c r="Y1274" t="s">
        <v>2349</v>
      </c>
      <c r="Z1274" t="s">
        <v>4648</v>
      </c>
      <c r="AA1274" t="b">
        <f>ISNUMBER(SEARCH(";"&amp;Lessons[[#This Row],[Instrument__c]]&amp;";",";"&amp;_xlfn.XLOOKUP(Lessons[[#This Row],[Instructor_External_Id__c]], Instructors[Id], Instructors[Instruments_Taught__c])&amp;";"))</f>
        <v>1</v>
      </c>
      <c r="AB1274" t="str">
        <f>IF(LEFT(Lessons[[#This Row],[Status__c]],9)="Cancelled","",Lessons[[#This Row],[Instructor_External_Id__c]]&amp;"|"&amp;TEXT(Lessons[[#This Row],[Lesson_Date__c]],"yyyy-mm-dd")&amp;"|"&amp;Lessons[[#This Row],[Start_Time__c]])</f>
        <v>a06ak00000amzC1AAI|2027-03-09|17:30:00.000Z</v>
      </c>
      <c r="AC1274">
        <f>IF(Lessons[[#This Row],[Double Booked Key]]="","",COUNTIF(Lessons[Double Booked Key],Lessons[[#This Row],[Double Booked Key]]))</f>
        <v>1</v>
      </c>
      <c r="AD1274" s="6" t="str">
        <f>_xlfn.XLOOKUP(Lessons[[#This Row],[Location_External_Id__c]], Locations[Location Id], Locations[Location Name])</f>
        <v>Brick</v>
      </c>
      <c r="AE1274" s="6" t="str">
        <f>TEXT(Lessons[[#This Row],[Lesson_Date__c]], "yyyy-mm")</f>
        <v>2027-03</v>
      </c>
      <c r="AF1274" s="6" t="str">
        <f>IF(Lessons[[#This Row],[Lesson_Date__c]]&lt;=Data_Audit!$F$1, "Yes", "No")</f>
        <v>No</v>
      </c>
    </row>
    <row r="1275" spans="1:32">
      <c r="A1275" t="s">
        <v>52</v>
      </c>
      <c r="B1275" t="s">
        <v>4648</v>
      </c>
      <c r="C1275">
        <v>45</v>
      </c>
      <c r="D1275" t="s">
        <v>4785</v>
      </c>
      <c r="E1275" t="s">
        <v>944</v>
      </c>
      <c r="F1275" t="s">
        <v>945</v>
      </c>
      <c r="H1275" t="s">
        <v>107</v>
      </c>
      <c r="I1275" t="b">
        <v>0</v>
      </c>
      <c r="K1275" t="s">
        <v>52</v>
      </c>
      <c r="L1275" t="s">
        <v>4648</v>
      </c>
      <c r="O1275" s="1">
        <v>46455</v>
      </c>
      <c r="P1275" t="s">
        <v>4786</v>
      </c>
      <c r="Q1275" t="s">
        <v>4787</v>
      </c>
      <c r="R1275" t="s">
        <v>63</v>
      </c>
      <c r="S1275" t="b">
        <v>0</v>
      </c>
      <c r="T1275" t="b">
        <v>0</v>
      </c>
      <c r="U1275" t="s">
        <v>4788</v>
      </c>
      <c r="V1275" t="s">
        <v>128</v>
      </c>
      <c r="W1275" t="s">
        <v>95</v>
      </c>
      <c r="X1275" t="s">
        <v>1589</v>
      </c>
      <c r="Y1275" t="s">
        <v>1590</v>
      </c>
      <c r="Z1275" t="s">
        <v>4648</v>
      </c>
      <c r="AA1275" t="b">
        <f>ISNUMBER(SEARCH(";"&amp;Lessons[[#This Row],[Instrument__c]]&amp;";",";"&amp;_xlfn.XLOOKUP(Lessons[[#This Row],[Instructor_External_Id__c]], Instructors[Id], Instructors[Instruments_Taught__c])&amp;";"))</f>
        <v>1</v>
      </c>
      <c r="AB1275" t="str">
        <f>IF(LEFT(Lessons[[#This Row],[Status__c]],9)="Cancelled","",Lessons[[#This Row],[Instructor_External_Id__c]]&amp;"|"&amp;TEXT(Lessons[[#This Row],[Lesson_Date__c]],"yyyy-mm-dd")&amp;"|"&amp;Lessons[[#This Row],[Start_Time__c]])</f>
        <v>a06ak00000amzBtAAI|2027-03-09|18:30:00.000Z</v>
      </c>
      <c r="AC1275">
        <f>IF(Lessons[[#This Row],[Double Booked Key]]="","",COUNTIF(Lessons[Double Booked Key],Lessons[[#This Row],[Double Booked Key]]))</f>
        <v>1</v>
      </c>
      <c r="AD1275" s="6" t="str">
        <f>_xlfn.XLOOKUP(Lessons[[#This Row],[Location_External_Id__c]], Locations[Location Id], Locations[Location Name])</f>
        <v>Red Bank</v>
      </c>
      <c r="AE1275" s="6" t="str">
        <f>TEXT(Lessons[[#This Row],[Lesson_Date__c]], "yyyy-mm")</f>
        <v>2027-03</v>
      </c>
      <c r="AF1275" s="6" t="str">
        <f>IF(Lessons[[#This Row],[Lesson_Date__c]]&lt;=Data_Audit!$F$1, "Yes", "No")</f>
        <v>No</v>
      </c>
    </row>
    <row r="1276" spans="1:32">
      <c r="A1276" t="s">
        <v>52</v>
      </c>
      <c r="B1276" t="s">
        <v>4648</v>
      </c>
      <c r="C1276">
        <v>30</v>
      </c>
      <c r="D1276" t="s">
        <v>4789</v>
      </c>
      <c r="E1276" t="s">
        <v>804</v>
      </c>
      <c r="F1276" t="s">
        <v>805</v>
      </c>
      <c r="H1276" t="s">
        <v>147</v>
      </c>
      <c r="I1276" t="b">
        <v>0</v>
      </c>
      <c r="K1276" t="s">
        <v>52</v>
      </c>
      <c r="L1276" t="s">
        <v>4648</v>
      </c>
      <c r="O1276" s="1">
        <v>46456</v>
      </c>
      <c r="P1276" t="s">
        <v>4790</v>
      </c>
      <c r="Q1276" t="s">
        <v>4791</v>
      </c>
      <c r="R1276" t="s">
        <v>63</v>
      </c>
      <c r="S1276" t="b">
        <v>0</v>
      </c>
      <c r="T1276" t="b">
        <v>0</v>
      </c>
      <c r="U1276" t="s">
        <v>4792</v>
      </c>
      <c r="V1276" t="s">
        <v>140</v>
      </c>
      <c r="W1276" t="s">
        <v>95</v>
      </c>
      <c r="X1276" t="s">
        <v>1795</v>
      </c>
      <c r="Y1276" t="s">
        <v>1796</v>
      </c>
      <c r="Z1276" t="s">
        <v>4648</v>
      </c>
      <c r="AA1276" t="b">
        <f>ISNUMBER(SEARCH(";"&amp;Lessons[[#This Row],[Instrument__c]]&amp;";",";"&amp;_xlfn.XLOOKUP(Lessons[[#This Row],[Instructor_External_Id__c]], Instructors[Id], Instructors[Instruments_Taught__c])&amp;";"))</f>
        <v>1</v>
      </c>
      <c r="AB1276" t="str">
        <f>IF(LEFT(Lessons[[#This Row],[Status__c]],9)="Cancelled","",Lessons[[#This Row],[Instructor_External_Id__c]]&amp;"|"&amp;TEXT(Lessons[[#This Row],[Lesson_Date__c]],"yyyy-mm-dd")&amp;"|"&amp;Lessons[[#This Row],[Start_Time__c]])</f>
        <v>a06ak00000amzCBAAY|2027-03-10|15:00:00.000Z</v>
      </c>
      <c r="AC1276">
        <f>IF(Lessons[[#This Row],[Double Booked Key]]="","",COUNTIF(Lessons[Double Booked Key],Lessons[[#This Row],[Double Booked Key]]))</f>
        <v>1</v>
      </c>
      <c r="AD1276" s="6" t="str">
        <f>_xlfn.XLOOKUP(Lessons[[#This Row],[Location_External_Id__c]], Locations[Location Id], Locations[Location Name])</f>
        <v>Red Bank</v>
      </c>
      <c r="AE1276" s="6" t="str">
        <f>TEXT(Lessons[[#This Row],[Lesson_Date__c]], "yyyy-mm")</f>
        <v>2027-03</v>
      </c>
      <c r="AF1276" s="6" t="str">
        <f>IF(Lessons[[#This Row],[Lesson_Date__c]]&lt;=Data_Audit!$F$1, "Yes", "No")</f>
        <v>No</v>
      </c>
    </row>
    <row r="1277" spans="1:32">
      <c r="A1277" t="s">
        <v>52</v>
      </c>
      <c r="B1277" t="s">
        <v>4648</v>
      </c>
      <c r="C1277">
        <v>30</v>
      </c>
      <c r="D1277" t="s">
        <v>4793</v>
      </c>
      <c r="E1277" t="s">
        <v>337</v>
      </c>
      <c r="F1277" t="s">
        <v>338</v>
      </c>
      <c r="H1277" t="s">
        <v>284</v>
      </c>
      <c r="I1277" t="b">
        <v>0</v>
      </c>
      <c r="K1277" t="s">
        <v>52</v>
      </c>
      <c r="L1277" t="s">
        <v>4648</v>
      </c>
      <c r="O1277" s="1">
        <v>46456</v>
      </c>
      <c r="P1277" t="s">
        <v>4794</v>
      </c>
      <c r="Q1277" t="s">
        <v>4795</v>
      </c>
      <c r="R1277" t="s">
        <v>150</v>
      </c>
      <c r="S1277" t="b">
        <v>0</v>
      </c>
      <c r="T1277" t="b">
        <v>0</v>
      </c>
      <c r="U1277" t="s">
        <v>4796</v>
      </c>
      <c r="V1277" t="s">
        <v>84</v>
      </c>
      <c r="W1277" t="s">
        <v>95</v>
      </c>
      <c r="X1277" t="s">
        <v>611</v>
      </c>
      <c r="Y1277" t="s">
        <v>612</v>
      </c>
      <c r="Z1277" t="s">
        <v>4648</v>
      </c>
      <c r="AA1277" t="b">
        <f>ISNUMBER(SEARCH(";"&amp;Lessons[[#This Row],[Instrument__c]]&amp;";",";"&amp;_xlfn.XLOOKUP(Lessons[[#This Row],[Instructor_External_Id__c]], Instructors[Id], Instructors[Instruments_Taught__c])&amp;";"))</f>
        <v>1</v>
      </c>
      <c r="AB1277" t="str">
        <f>IF(LEFT(Lessons[[#This Row],[Status__c]],9)="Cancelled","",Lessons[[#This Row],[Instructor_External_Id__c]]&amp;"|"&amp;TEXT(Lessons[[#This Row],[Lesson_Date__c]],"yyyy-mm-dd")&amp;"|"&amp;Lessons[[#This Row],[Start_Time__c]])</f>
        <v>a06ak00000amzCIAAY|2027-03-10|17:00:00.000Z</v>
      </c>
      <c r="AC1277">
        <f>IF(Lessons[[#This Row],[Double Booked Key]]="","",COUNTIF(Lessons[Double Booked Key],Lessons[[#This Row],[Double Booked Key]]))</f>
        <v>1</v>
      </c>
      <c r="AD1277" s="6" t="str">
        <f>_xlfn.XLOOKUP(Lessons[[#This Row],[Location_External_Id__c]], Locations[Location Id], Locations[Location Name])</f>
        <v>Toms River</v>
      </c>
      <c r="AE1277" s="6" t="str">
        <f>TEXT(Lessons[[#This Row],[Lesson_Date__c]], "yyyy-mm")</f>
        <v>2027-03</v>
      </c>
      <c r="AF1277" s="6" t="str">
        <f>IF(Lessons[[#This Row],[Lesson_Date__c]]&lt;=Data_Audit!$F$1, "Yes", "No")</f>
        <v>No</v>
      </c>
    </row>
    <row r="1278" spans="1:32">
      <c r="A1278" t="s">
        <v>52</v>
      </c>
      <c r="B1278" t="s">
        <v>4648</v>
      </c>
      <c r="C1278">
        <v>45</v>
      </c>
      <c r="D1278" t="s">
        <v>4797</v>
      </c>
      <c r="E1278" t="s">
        <v>436</v>
      </c>
      <c r="F1278" t="s">
        <v>437</v>
      </c>
      <c r="H1278" t="s">
        <v>263</v>
      </c>
      <c r="I1278" t="b">
        <v>0</v>
      </c>
      <c r="K1278" t="s">
        <v>52</v>
      </c>
      <c r="L1278" t="s">
        <v>4648</v>
      </c>
      <c r="O1278" s="1">
        <v>46456</v>
      </c>
      <c r="P1278" t="s">
        <v>4798</v>
      </c>
      <c r="Q1278" t="s">
        <v>4799</v>
      </c>
      <c r="R1278" t="s">
        <v>63</v>
      </c>
      <c r="S1278" t="b">
        <v>0</v>
      </c>
      <c r="T1278" t="b">
        <v>0</v>
      </c>
      <c r="U1278" t="s">
        <v>4800</v>
      </c>
      <c r="V1278" t="s">
        <v>84</v>
      </c>
      <c r="W1278" t="s">
        <v>95</v>
      </c>
      <c r="X1278" t="s">
        <v>1142</v>
      </c>
      <c r="Y1278" t="s">
        <v>1143</v>
      </c>
      <c r="Z1278" t="s">
        <v>4648</v>
      </c>
      <c r="AA1278" t="b">
        <f>ISNUMBER(SEARCH(";"&amp;Lessons[[#This Row],[Instrument__c]]&amp;";",";"&amp;_xlfn.XLOOKUP(Lessons[[#This Row],[Instructor_External_Id__c]], Instructors[Id], Instructors[Instruments_Taught__c])&amp;";"))</f>
        <v>1</v>
      </c>
      <c r="AB1278" t="str">
        <f>IF(LEFT(Lessons[[#This Row],[Status__c]],9)="Cancelled","",Lessons[[#This Row],[Instructor_External_Id__c]]&amp;"|"&amp;TEXT(Lessons[[#This Row],[Lesson_Date__c]],"yyyy-mm-dd")&amp;"|"&amp;Lessons[[#This Row],[Start_Time__c]])</f>
        <v>a06ak00000amzC0AAI|2027-03-10|17:00:00.000Z</v>
      </c>
      <c r="AC1278">
        <f>IF(Lessons[[#This Row],[Double Booked Key]]="","",COUNTIF(Lessons[Double Booked Key],Lessons[[#This Row],[Double Booked Key]]))</f>
        <v>1</v>
      </c>
      <c r="AD1278" s="6" t="str">
        <f>_xlfn.XLOOKUP(Lessons[[#This Row],[Location_External_Id__c]], Locations[Location Id], Locations[Location Name])</f>
        <v>Red Bank</v>
      </c>
      <c r="AE1278" s="6" t="str">
        <f>TEXT(Lessons[[#This Row],[Lesson_Date__c]], "yyyy-mm")</f>
        <v>2027-03</v>
      </c>
      <c r="AF1278" s="6" t="str">
        <f>IF(Lessons[[#This Row],[Lesson_Date__c]]&lt;=Data_Audit!$F$1, "Yes", "No")</f>
        <v>No</v>
      </c>
    </row>
    <row r="1279" spans="1:32">
      <c r="A1279" t="s">
        <v>52</v>
      </c>
      <c r="B1279" t="s">
        <v>4648</v>
      </c>
      <c r="C1279">
        <v>60</v>
      </c>
      <c r="D1279" t="s">
        <v>4801</v>
      </c>
      <c r="E1279" t="s">
        <v>318</v>
      </c>
      <c r="F1279" t="s">
        <v>319</v>
      </c>
      <c r="H1279" t="s">
        <v>237</v>
      </c>
      <c r="I1279" t="b">
        <v>0</v>
      </c>
      <c r="K1279" t="s">
        <v>52</v>
      </c>
      <c r="L1279" t="s">
        <v>4648</v>
      </c>
      <c r="O1279" s="1">
        <v>46457</v>
      </c>
      <c r="P1279" t="s">
        <v>4802</v>
      </c>
      <c r="Q1279" t="s">
        <v>4803</v>
      </c>
      <c r="R1279" t="s">
        <v>63</v>
      </c>
      <c r="S1279" t="b">
        <v>0</v>
      </c>
      <c r="T1279" t="b">
        <v>0</v>
      </c>
      <c r="U1279" t="s">
        <v>4804</v>
      </c>
      <c r="V1279" t="s">
        <v>135</v>
      </c>
      <c r="W1279" t="s">
        <v>95</v>
      </c>
      <c r="X1279" t="s">
        <v>2240</v>
      </c>
      <c r="Y1279" t="s">
        <v>2241</v>
      </c>
      <c r="Z1279" t="s">
        <v>4648</v>
      </c>
      <c r="AA1279" t="b">
        <f>ISNUMBER(SEARCH(";"&amp;Lessons[[#This Row],[Instrument__c]]&amp;";",";"&amp;_xlfn.XLOOKUP(Lessons[[#This Row],[Instructor_External_Id__c]], Instructors[Id], Instructors[Instruments_Taught__c])&amp;";"))</f>
        <v>1</v>
      </c>
      <c r="AB1279" t="str">
        <f>IF(LEFT(Lessons[[#This Row],[Status__c]],9)="Cancelled","",Lessons[[#This Row],[Instructor_External_Id__c]]&amp;"|"&amp;TEXT(Lessons[[#This Row],[Lesson_Date__c]],"yyyy-mm-dd")&amp;"|"&amp;Lessons[[#This Row],[Start_Time__c]])</f>
        <v>a06ak00000amzBzAAI|2027-03-11|15:30:00.000Z</v>
      </c>
      <c r="AC1279">
        <f>IF(Lessons[[#This Row],[Double Booked Key]]="","",COUNTIF(Lessons[Double Booked Key],Lessons[[#This Row],[Double Booked Key]]))</f>
        <v>1</v>
      </c>
      <c r="AD1279" s="6" t="str">
        <f>_xlfn.XLOOKUP(Lessons[[#This Row],[Location_External_Id__c]], Locations[Location Id], Locations[Location Name])</f>
        <v>Red Bank</v>
      </c>
      <c r="AE1279" s="6" t="str">
        <f>TEXT(Lessons[[#This Row],[Lesson_Date__c]], "yyyy-mm")</f>
        <v>2027-03</v>
      </c>
      <c r="AF1279" s="6" t="str">
        <f>IF(Lessons[[#This Row],[Lesson_Date__c]]&lt;=Data_Audit!$F$1, "Yes", "No")</f>
        <v>No</v>
      </c>
    </row>
    <row r="1280" spans="1:32">
      <c r="A1280" t="s">
        <v>52</v>
      </c>
      <c r="B1280" t="s">
        <v>4648</v>
      </c>
      <c r="C1280">
        <v>30</v>
      </c>
      <c r="D1280" t="s">
        <v>4805</v>
      </c>
      <c r="E1280" t="s">
        <v>243</v>
      </c>
      <c r="F1280" t="s">
        <v>244</v>
      </c>
      <c r="H1280" t="s">
        <v>650</v>
      </c>
      <c r="I1280" t="b">
        <v>0</v>
      </c>
      <c r="K1280" t="s">
        <v>52</v>
      </c>
      <c r="L1280" t="s">
        <v>4648</v>
      </c>
      <c r="O1280" s="1">
        <v>46457</v>
      </c>
      <c r="P1280" t="s">
        <v>4806</v>
      </c>
      <c r="Q1280" t="s">
        <v>4807</v>
      </c>
      <c r="R1280" t="s">
        <v>63</v>
      </c>
      <c r="S1280" t="b">
        <v>0</v>
      </c>
      <c r="T1280" t="b">
        <v>0</v>
      </c>
      <c r="U1280" t="s">
        <v>4808</v>
      </c>
      <c r="V1280" t="s">
        <v>128</v>
      </c>
      <c r="W1280" t="s">
        <v>95</v>
      </c>
      <c r="X1280" t="s">
        <v>2385</v>
      </c>
      <c r="Y1280" t="s">
        <v>2386</v>
      </c>
      <c r="Z1280" t="s">
        <v>4648</v>
      </c>
      <c r="AA1280" t="b">
        <f>ISNUMBER(SEARCH(";"&amp;Lessons[[#This Row],[Instrument__c]]&amp;";",";"&amp;_xlfn.XLOOKUP(Lessons[[#This Row],[Instructor_External_Id__c]], Instructors[Id], Instructors[Instruments_Taught__c])&amp;";"))</f>
        <v>1</v>
      </c>
      <c r="AB1280" t="str">
        <f>IF(LEFT(Lessons[[#This Row],[Status__c]],9)="Cancelled","",Lessons[[#This Row],[Instructor_External_Id__c]]&amp;"|"&amp;TEXT(Lessons[[#This Row],[Lesson_Date__c]],"yyyy-mm-dd")&amp;"|"&amp;Lessons[[#This Row],[Start_Time__c]])</f>
        <v>a06ak00000amzC1AAI|2027-03-11|18:30:00.000Z</v>
      </c>
      <c r="AC1280">
        <f>IF(Lessons[[#This Row],[Double Booked Key]]="","",COUNTIF(Lessons[Double Booked Key],Lessons[[#This Row],[Double Booked Key]]))</f>
        <v>1</v>
      </c>
      <c r="AD1280" s="6" t="str">
        <f>_xlfn.XLOOKUP(Lessons[[#This Row],[Location_External_Id__c]], Locations[Location Id], Locations[Location Name])</f>
        <v>Red Bank</v>
      </c>
      <c r="AE1280" s="6" t="str">
        <f>TEXT(Lessons[[#This Row],[Lesson_Date__c]], "yyyy-mm")</f>
        <v>2027-03</v>
      </c>
      <c r="AF1280" s="6" t="str">
        <f>IF(Lessons[[#This Row],[Lesson_Date__c]]&lt;=Data_Audit!$F$1, "Yes", "No")</f>
        <v>No</v>
      </c>
    </row>
    <row r="1281" spans="1:32">
      <c r="A1281" t="s">
        <v>52</v>
      </c>
      <c r="B1281" t="s">
        <v>4648</v>
      </c>
      <c r="C1281">
        <v>45</v>
      </c>
      <c r="D1281" t="s">
        <v>4809</v>
      </c>
      <c r="E1281" t="s">
        <v>777</v>
      </c>
      <c r="F1281" t="s">
        <v>778</v>
      </c>
      <c r="H1281" t="s">
        <v>527</v>
      </c>
      <c r="I1281" t="b">
        <v>0</v>
      </c>
      <c r="K1281" t="s">
        <v>52</v>
      </c>
      <c r="L1281" t="s">
        <v>4648</v>
      </c>
      <c r="O1281" s="1">
        <v>46457</v>
      </c>
      <c r="P1281" t="s">
        <v>4810</v>
      </c>
      <c r="Q1281" t="s">
        <v>4811</v>
      </c>
      <c r="R1281" t="s">
        <v>150</v>
      </c>
      <c r="S1281" t="b">
        <v>0</v>
      </c>
      <c r="T1281" t="b">
        <v>0</v>
      </c>
      <c r="U1281" t="s">
        <v>4812</v>
      </c>
      <c r="V1281" t="s">
        <v>94</v>
      </c>
      <c r="W1281" t="s">
        <v>95</v>
      </c>
      <c r="X1281" t="s">
        <v>2422</v>
      </c>
      <c r="Y1281" t="s">
        <v>2423</v>
      </c>
      <c r="Z1281" t="s">
        <v>4648</v>
      </c>
      <c r="AA1281" t="b">
        <f>ISNUMBER(SEARCH(";"&amp;Lessons[[#This Row],[Instrument__c]]&amp;";",";"&amp;_xlfn.XLOOKUP(Lessons[[#This Row],[Instructor_External_Id__c]], Instructors[Id], Instructors[Instruments_Taught__c])&amp;";"))</f>
        <v>1</v>
      </c>
      <c r="AB1281" t="str">
        <f>IF(LEFT(Lessons[[#This Row],[Status__c]],9)="Cancelled","",Lessons[[#This Row],[Instructor_External_Id__c]]&amp;"|"&amp;TEXT(Lessons[[#This Row],[Lesson_Date__c]],"yyyy-mm-dd")&amp;"|"&amp;Lessons[[#This Row],[Start_Time__c]])</f>
        <v>a06ak00000amzByAAI|2027-03-11|19:00:00.000Z</v>
      </c>
      <c r="AC1281">
        <f>IF(Lessons[[#This Row],[Double Booked Key]]="","",COUNTIF(Lessons[Double Booked Key],Lessons[[#This Row],[Double Booked Key]]))</f>
        <v>1</v>
      </c>
      <c r="AD1281" s="6" t="str">
        <f>_xlfn.XLOOKUP(Lessons[[#This Row],[Location_External_Id__c]], Locations[Location Id], Locations[Location Name])</f>
        <v>Toms River</v>
      </c>
      <c r="AE1281" s="6" t="str">
        <f>TEXT(Lessons[[#This Row],[Lesson_Date__c]], "yyyy-mm")</f>
        <v>2027-03</v>
      </c>
      <c r="AF1281" s="6" t="str">
        <f>IF(Lessons[[#This Row],[Lesson_Date__c]]&lt;=Data_Audit!$F$1, "Yes", "No")</f>
        <v>No</v>
      </c>
    </row>
    <row r="1282" spans="1:32">
      <c r="A1282" t="s">
        <v>52</v>
      </c>
      <c r="B1282" t="s">
        <v>4648</v>
      </c>
      <c r="C1282">
        <v>30</v>
      </c>
      <c r="D1282" t="s">
        <v>4813</v>
      </c>
      <c r="E1282" t="s">
        <v>76</v>
      </c>
      <c r="F1282" t="s">
        <v>77</v>
      </c>
      <c r="H1282" t="s">
        <v>78</v>
      </c>
      <c r="I1282" t="b">
        <v>0</v>
      </c>
      <c r="K1282" t="s">
        <v>52</v>
      </c>
      <c r="L1282" t="s">
        <v>4648</v>
      </c>
      <c r="O1282" s="1">
        <v>46458</v>
      </c>
      <c r="P1282" t="s">
        <v>4814</v>
      </c>
      <c r="Q1282" t="s">
        <v>4815</v>
      </c>
      <c r="R1282" t="s">
        <v>83</v>
      </c>
      <c r="S1282" t="b">
        <v>0</v>
      </c>
      <c r="T1282" t="b">
        <v>0</v>
      </c>
      <c r="U1282" t="s">
        <v>4816</v>
      </c>
      <c r="V1282" t="s">
        <v>128</v>
      </c>
      <c r="W1282" t="s">
        <v>95</v>
      </c>
      <c r="X1282" t="s">
        <v>2906</v>
      </c>
      <c r="Y1282" t="s">
        <v>1034</v>
      </c>
      <c r="Z1282" t="s">
        <v>4648</v>
      </c>
      <c r="AA1282" t="b">
        <f>ISNUMBER(SEARCH(";"&amp;Lessons[[#This Row],[Instrument__c]]&amp;";",";"&amp;_xlfn.XLOOKUP(Lessons[[#This Row],[Instructor_External_Id__c]], Instructors[Id], Instructors[Instruments_Taught__c])&amp;";"))</f>
        <v>1</v>
      </c>
      <c r="AB1282" t="str">
        <f>IF(LEFT(Lessons[[#This Row],[Status__c]],9)="Cancelled","",Lessons[[#This Row],[Instructor_External_Id__c]]&amp;"|"&amp;TEXT(Lessons[[#This Row],[Lesson_Date__c]],"yyyy-mm-dd")&amp;"|"&amp;Lessons[[#This Row],[Start_Time__c]])</f>
        <v>a06ak00000amzBgAAI|2027-03-12|18:30:00.000Z</v>
      </c>
      <c r="AC1282">
        <f>IF(Lessons[[#This Row],[Double Booked Key]]="","",COUNTIF(Lessons[Double Booked Key],Lessons[[#This Row],[Double Booked Key]]))</f>
        <v>1</v>
      </c>
      <c r="AD1282" s="6" t="str">
        <f>_xlfn.XLOOKUP(Lessons[[#This Row],[Location_External_Id__c]], Locations[Location Id], Locations[Location Name])</f>
        <v>Brick</v>
      </c>
      <c r="AE1282" s="6" t="str">
        <f>TEXT(Lessons[[#This Row],[Lesson_Date__c]], "yyyy-mm")</f>
        <v>2027-03</v>
      </c>
      <c r="AF1282" s="6" t="str">
        <f>IF(Lessons[[#This Row],[Lesson_Date__c]]&lt;=Data_Audit!$F$1, "Yes", "No")</f>
        <v>No</v>
      </c>
    </row>
    <row r="1283" spans="1:32">
      <c r="A1283" t="s">
        <v>52</v>
      </c>
      <c r="B1283" t="s">
        <v>4648</v>
      </c>
      <c r="C1283">
        <v>30</v>
      </c>
      <c r="D1283" t="s">
        <v>4817</v>
      </c>
      <c r="E1283" t="s">
        <v>359</v>
      </c>
      <c r="F1283" t="s">
        <v>360</v>
      </c>
      <c r="H1283" t="s">
        <v>78</v>
      </c>
      <c r="I1283" t="b">
        <v>0</v>
      </c>
      <c r="K1283" t="s">
        <v>52</v>
      </c>
      <c r="L1283" t="s">
        <v>4648</v>
      </c>
      <c r="O1283" s="1">
        <v>46459</v>
      </c>
      <c r="P1283" t="s">
        <v>4818</v>
      </c>
      <c r="Q1283" t="s">
        <v>4819</v>
      </c>
      <c r="R1283" t="s">
        <v>63</v>
      </c>
      <c r="S1283" t="b">
        <v>0</v>
      </c>
      <c r="T1283" t="b">
        <v>0</v>
      </c>
      <c r="U1283" t="s">
        <v>4820</v>
      </c>
      <c r="V1283" t="s">
        <v>110</v>
      </c>
      <c r="W1283" t="s">
        <v>95</v>
      </c>
      <c r="X1283" t="s">
        <v>481</v>
      </c>
      <c r="Y1283" t="s">
        <v>482</v>
      </c>
      <c r="Z1283" t="s">
        <v>4648</v>
      </c>
      <c r="AA1283" t="b">
        <f>ISNUMBER(SEARCH(";"&amp;Lessons[[#This Row],[Instrument__c]]&amp;";",";"&amp;_xlfn.XLOOKUP(Lessons[[#This Row],[Instructor_External_Id__c]], Instructors[Id], Instructors[Instruments_Taught__c])&amp;";"))</f>
        <v>1</v>
      </c>
      <c r="AB1283" t="str">
        <f>IF(LEFT(Lessons[[#This Row],[Status__c]],9)="Cancelled","",Lessons[[#This Row],[Instructor_External_Id__c]]&amp;"|"&amp;TEXT(Lessons[[#This Row],[Lesson_Date__c]],"yyyy-mm-dd")&amp;"|"&amp;Lessons[[#This Row],[Start_Time__c]])</f>
        <v>a06ak00000amzBiAAI|2027-03-13|10:00:00.000Z</v>
      </c>
      <c r="AC1283">
        <f>IF(Lessons[[#This Row],[Double Booked Key]]="","",COUNTIF(Lessons[Double Booked Key],Lessons[[#This Row],[Double Booked Key]]))</f>
        <v>1</v>
      </c>
      <c r="AD1283" s="6" t="str">
        <f>_xlfn.XLOOKUP(Lessons[[#This Row],[Location_External_Id__c]], Locations[Location Id], Locations[Location Name])</f>
        <v>Red Bank</v>
      </c>
      <c r="AE1283" s="6" t="str">
        <f>TEXT(Lessons[[#This Row],[Lesson_Date__c]], "yyyy-mm")</f>
        <v>2027-03</v>
      </c>
      <c r="AF1283" s="6" t="str">
        <f>IF(Lessons[[#This Row],[Lesson_Date__c]]&lt;=Data_Audit!$F$1, "Yes", "No")</f>
        <v>No</v>
      </c>
    </row>
    <row r="1284" spans="1:32">
      <c r="A1284" t="s">
        <v>52</v>
      </c>
      <c r="B1284" t="s">
        <v>4648</v>
      </c>
      <c r="C1284">
        <v>60</v>
      </c>
      <c r="D1284" t="s">
        <v>4821</v>
      </c>
      <c r="E1284" t="s">
        <v>804</v>
      </c>
      <c r="F1284" t="s">
        <v>805</v>
      </c>
      <c r="H1284" t="s">
        <v>527</v>
      </c>
      <c r="I1284" t="b">
        <v>0</v>
      </c>
      <c r="K1284" t="s">
        <v>52</v>
      </c>
      <c r="L1284" t="s">
        <v>4648</v>
      </c>
      <c r="O1284" s="1">
        <v>46459</v>
      </c>
      <c r="P1284" t="s">
        <v>4822</v>
      </c>
      <c r="Q1284" t="s">
        <v>4823</v>
      </c>
      <c r="R1284" t="s">
        <v>63</v>
      </c>
      <c r="S1284" t="b">
        <v>0</v>
      </c>
      <c r="T1284" t="b">
        <v>0</v>
      </c>
      <c r="U1284" t="s">
        <v>4824</v>
      </c>
      <c r="V1284" t="s">
        <v>3208</v>
      </c>
      <c r="W1284" t="s">
        <v>95</v>
      </c>
      <c r="X1284" t="s">
        <v>2328</v>
      </c>
      <c r="Y1284" t="s">
        <v>2329</v>
      </c>
      <c r="Z1284" t="s">
        <v>4648</v>
      </c>
      <c r="AA1284" t="b">
        <f>ISNUMBER(SEARCH(";"&amp;Lessons[[#This Row],[Instrument__c]]&amp;";",";"&amp;_xlfn.XLOOKUP(Lessons[[#This Row],[Instructor_External_Id__c]], Instructors[Id], Instructors[Instruments_Taught__c])&amp;";"))</f>
        <v>1</v>
      </c>
      <c r="AB1284" t="str">
        <f>IF(LEFT(Lessons[[#This Row],[Status__c]],9)="Cancelled","",Lessons[[#This Row],[Instructor_External_Id__c]]&amp;"|"&amp;TEXT(Lessons[[#This Row],[Lesson_Date__c]],"yyyy-mm-dd")&amp;"|"&amp;Lessons[[#This Row],[Start_Time__c]])</f>
        <v>a06ak00000amzCBAAY|2027-03-13|12:30:00.000Z</v>
      </c>
      <c r="AC1284">
        <f>IF(Lessons[[#This Row],[Double Booked Key]]="","",COUNTIF(Lessons[Double Booked Key],Lessons[[#This Row],[Double Booked Key]]))</f>
        <v>1</v>
      </c>
      <c r="AD1284" s="6" t="str">
        <f>_xlfn.XLOOKUP(Lessons[[#This Row],[Location_External_Id__c]], Locations[Location Id], Locations[Location Name])</f>
        <v>Red Bank</v>
      </c>
      <c r="AE1284" s="6" t="str">
        <f>TEXT(Lessons[[#This Row],[Lesson_Date__c]], "yyyy-mm")</f>
        <v>2027-03</v>
      </c>
      <c r="AF1284" s="6" t="str">
        <f>IF(Lessons[[#This Row],[Lesson_Date__c]]&lt;=Data_Audit!$F$1, "Yes", "No")</f>
        <v>No</v>
      </c>
    </row>
    <row r="1285" spans="1:32">
      <c r="A1285" t="s">
        <v>52</v>
      </c>
      <c r="B1285" t="s">
        <v>4648</v>
      </c>
      <c r="C1285">
        <v>60</v>
      </c>
      <c r="D1285" t="s">
        <v>4825</v>
      </c>
      <c r="E1285" t="s">
        <v>459</v>
      </c>
      <c r="F1285" t="s">
        <v>460</v>
      </c>
      <c r="H1285" t="s">
        <v>107</v>
      </c>
      <c r="I1285" t="b">
        <v>0</v>
      </c>
      <c r="K1285" t="s">
        <v>52</v>
      </c>
      <c r="L1285" t="s">
        <v>4648</v>
      </c>
      <c r="O1285" s="1">
        <v>46459</v>
      </c>
      <c r="P1285" t="s">
        <v>4826</v>
      </c>
      <c r="Q1285" t="s">
        <v>4827</v>
      </c>
      <c r="R1285" t="s">
        <v>83</v>
      </c>
      <c r="S1285" t="b">
        <v>0</v>
      </c>
      <c r="T1285" t="b">
        <v>0</v>
      </c>
      <c r="U1285" t="s">
        <v>4828</v>
      </c>
      <c r="V1285" t="s">
        <v>3208</v>
      </c>
      <c r="W1285" t="s">
        <v>95</v>
      </c>
      <c r="X1285" t="s">
        <v>2430</v>
      </c>
      <c r="Y1285" t="s">
        <v>2431</v>
      </c>
      <c r="Z1285" t="s">
        <v>4648</v>
      </c>
      <c r="AA1285" t="b">
        <f>ISNUMBER(SEARCH(";"&amp;Lessons[[#This Row],[Instrument__c]]&amp;";",";"&amp;_xlfn.XLOOKUP(Lessons[[#This Row],[Instructor_External_Id__c]], Instructors[Id], Instructors[Instruments_Taught__c])&amp;";"))</f>
        <v>1</v>
      </c>
      <c r="AB1285" t="str">
        <f>IF(LEFT(Lessons[[#This Row],[Status__c]],9)="Cancelled","",Lessons[[#This Row],[Instructor_External_Id__c]]&amp;"|"&amp;TEXT(Lessons[[#This Row],[Lesson_Date__c]],"yyyy-mm-dd")&amp;"|"&amp;Lessons[[#This Row],[Start_Time__c]])</f>
        <v>a06ak00000amzC8AAI|2027-03-13|12:30:00.000Z</v>
      </c>
      <c r="AC1285">
        <f>IF(Lessons[[#This Row],[Double Booked Key]]="","",COUNTIF(Lessons[Double Booked Key],Lessons[[#This Row],[Double Booked Key]]))</f>
        <v>1</v>
      </c>
      <c r="AD1285" s="6" t="str">
        <f>_xlfn.XLOOKUP(Lessons[[#This Row],[Location_External_Id__c]], Locations[Location Id], Locations[Location Name])</f>
        <v>Brick</v>
      </c>
      <c r="AE1285" s="6" t="str">
        <f>TEXT(Lessons[[#This Row],[Lesson_Date__c]], "yyyy-mm")</f>
        <v>2027-03</v>
      </c>
      <c r="AF1285" s="6" t="str">
        <f>IF(Lessons[[#This Row],[Lesson_Date__c]]&lt;=Data_Audit!$F$1, "Yes", "No")</f>
        <v>No</v>
      </c>
    </row>
    <row r="1286" spans="1:32">
      <c r="A1286" t="s">
        <v>52</v>
      </c>
      <c r="B1286" t="s">
        <v>4648</v>
      </c>
      <c r="C1286">
        <v>60</v>
      </c>
      <c r="D1286" t="s">
        <v>4829</v>
      </c>
      <c r="E1286" t="s">
        <v>944</v>
      </c>
      <c r="F1286" t="s">
        <v>945</v>
      </c>
      <c r="H1286" t="s">
        <v>392</v>
      </c>
      <c r="I1286" t="b">
        <v>0</v>
      </c>
      <c r="K1286" t="s">
        <v>52</v>
      </c>
      <c r="L1286" t="s">
        <v>4648</v>
      </c>
      <c r="O1286" s="1">
        <v>46461</v>
      </c>
      <c r="P1286" t="s">
        <v>4830</v>
      </c>
      <c r="Q1286" t="s">
        <v>4831</v>
      </c>
      <c r="R1286" t="s">
        <v>150</v>
      </c>
      <c r="S1286" t="b">
        <v>0</v>
      </c>
      <c r="T1286" t="b">
        <v>0</v>
      </c>
      <c r="U1286" t="s">
        <v>4832</v>
      </c>
      <c r="V1286" t="s">
        <v>140</v>
      </c>
      <c r="W1286" t="s">
        <v>95</v>
      </c>
      <c r="X1286" t="s">
        <v>2215</v>
      </c>
      <c r="Y1286" t="s">
        <v>2216</v>
      </c>
      <c r="Z1286" t="s">
        <v>4648</v>
      </c>
      <c r="AA1286" t="b">
        <f>ISNUMBER(SEARCH(";"&amp;Lessons[[#This Row],[Instrument__c]]&amp;";",";"&amp;_xlfn.XLOOKUP(Lessons[[#This Row],[Instructor_External_Id__c]], Instructors[Id], Instructors[Instruments_Taught__c])&amp;";"))</f>
        <v>1</v>
      </c>
      <c r="AB1286" t="str">
        <f>IF(LEFT(Lessons[[#This Row],[Status__c]],9)="Cancelled","",Lessons[[#This Row],[Instructor_External_Id__c]]&amp;"|"&amp;TEXT(Lessons[[#This Row],[Lesson_Date__c]],"yyyy-mm-dd")&amp;"|"&amp;Lessons[[#This Row],[Start_Time__c]])</f>
        <v>a06ak00000amzBtAAI|2027-03-15|15:00:00.000Z</v>
      </c>
      <c r="AC1286">
        <f>IF(Lessons[[#This Row],[Double Booked Key]]="","",COUNTIF(Lessons[Double Booked Key],Lessons[[#This Row],[Double Booked Key]]))</f>
        <v>1</v>
      </c>
      <c r="AD1286" s="6" t="str">
        <f>_xlfn.XLOOKUP(Lessons[[#This Row],[Location_External_Id__c]], Locations[Location Id], Locations[Location Name])</f>
        <v>Toms River</v>
      </c>
      <c r="AE1286" s="6" t="str">
        <f>TEXT(Lessons[[#This Row],[Lesson_Date__c]], "yyyy-mm")</f>
        <v>2027-03</v>
      </c>
      <c r="AF1286" s="6" t="str">
        <f>IF(Lessons[[#This Row],[Lesson_Date__c]]&lt;=Data_Audit!$F$1, "Yes", "No")</f>
        <v>No</v>
      </c>
    </row>
    <row r="1287" spans="1:32">
      <c r="A1287" t="s">
        <v>52</v>
      </c>
      <c r="B1287" t="s">
        <v>4648</v>
      </c>
      <c r="C1287">
        <v>60</v>
      </c>
      <c r="D1287" t="s">
        <v>4833</v>
      </c>
      <c r="E1287" t="s">
        <v>243</v>
      </c>
      <c r="F1287" t="s">
        <v>244</v>
      </c>
      <c r="H1287" t="s">
        <v>237</v>
      </c>
      <c r="I1287" t="b">
        <v>0</v>
      </c>
      <c r="K1287" t="s">
        <v>52</v>
      </c>
      <c r="L1287" t="s">
        <v>4648</v>
      </c>
      <c r="O1287" s="1">
        <v>46462</v>
      </c>
      <c r="P1287" t="s">
        <v>4834</v>
      </c>
      <c r="Q1287" t="s">
        <v>4835</v>
      </c>
      <c r="R1287" t="s">
        <v>83</v>
      </c>
      <c r="S1287" t="b">
        <v>0</v>
      </c>
      <c r="T1287" t="b">
        <v>0</v>
      </c>
      <c r="U1287" t="s">
        <v>4836</v>
      </c>
      <c r="V1287" t="s">
        <v>135</v>
      </c>
      <c r="W1287" t="s">
        <v>95</v>
      </c>
      <c r="X1287" t="s">
        <v>965</v>
      </c>
      <c r="Y1287" t="s">
        <v>966</v>
      </c>
      <c r="Z1287" t="s">
        <v>4648</v>
      </c>
      <c r="AA1287" t="b">
        <f>ISNUMBER(SEARCH(";"&amp;Lessons[[#This Row],[Instrument__c]]&amp;";",";"&amp;_xlfn.XLOOKUP(Lessons[[#This Row],[Instructor_External_Id__c]], Instructors[Id], Instructors[Instruments_Taught__c])&amp;";"))</f>
        <v>1</v>
      </c>
      <c r="AB1287" t="str">
        <f>IF(LEFT(Lessons[[#This Row],[Status__c]],9)="Cancelled","",Lessons[[#This Row],[Instructor_External_Id__c]]&amp;"|"&amp;TEXT(Lessons[[#This Row],[Lesson_Date__c]],"yyyy-mm-dd")&amp;"|"&amp;Lessons[[#This Row],[Start_Time__c]])</f>
        <v>a06ak00000amzC1AAI|2027-03-16|15:30:00.000Z</v>
      </c>
      <c r="AC1287">
        <f>IF(Lessons[[#This Row],[Double Booked Key]]="","",COUNTIF(Lessons[Double Booked Key],Lessons[[#This Row],[Double Booked Key]]))</f>
        <v>1</v>
      </c>
      <c r="AD1287" s="6" t="str">
        <f>_xlfn.XLOOKUP(Lessons[[#This Row],[Location_External_Id__c]], Locations[Location Id], Locations[Location Name])</f>
        <v>Brick</v>
      </c>
      <c r="AE1287" s="6" t="str">
        <f>TEXT(Lessons[[#This Row],[Lesson_Date__c]], "yyyy-mm")</f>
        <v>2027-03</v>
      </c>
      <c r="AF1287" s="6" t="str">
        <f>IF(Lessons[[#This Row],[Lesson_Date__c]]&lt;=Data_Audit!$F$1, "Yes", "No")</f>
        <v>No</v>
      </c>
    </row>
    <row r="1288" spans="1:32">
      <c r="A1288" t="s">
        <v>52</v>
      </c>
      <c r="B1288" t="s">
        <v>4648</v>
      </c>
      <c r="C1288">
        <v>30</v>
      </c>
      <c r="D1288" t="s">
        <v>4837</v>
      </c>
      <c r="E1288" t="s">
        <v>944</v>
      </c>
      <c r="F1288" t="s">
        <v>945</v>
      </c>
      <c r="H1288" t="s">
        <v>107</v>
      </c>
      <c r="I1288" t="b">
        <v>0</v>
      </c>
      <c r="K1288" t="s">
        <v>52</v>
      </c>
      <c r="L1288" t="s">
        <v>4648</v>
      </c>
      <c r="O1288" s="1">
        <v>46462</v>
      </c>
      <c r="P1288" t="s">
        <v>4838</v>
      </c>
      <c r="Q1288" t="s">
        <v>4839</v>
      </c>
      <c r="R1288" t="s">
        <v>63</v>
      </c>
      <c r="S1288" t="b">
        <v>0</v>
      </c>
      <c r="T1288" t="b">
        <v>0</v>
      </c>
      <c r="U1288" t="s">
        <v>4840</v>
      </c>
      <c r="V1288" t="s">
        <v>120</v>
      </c>
      <c r="W1288" t="s">
        <v>95</v>
      </c>
      <c r="X1288" t="s">
        <v>2717</v>
      </c>
      <c r="Y1288" t="s">
        <v>2718</v>
      </c>
      <c r="Z1288" t="s">
        <v>4648</v>
      </c>
      <c r="AA1288" t="b">
        <f>ISNUMBER(SEARCH(";"&amp;Lessons[[#This Row],[Instrument__c]]&amp;";",";"&amp;_xlfn.XLOOKUP(Lessons[[#This Row],[Instructor_External_Id__c]], Instructors[Id], Instructors[Instruments_Taught__c])&amp;";"))</f>
        <v>1</v>
      </c>
      <c r="AB1288" t="str">
        <f>IF(LEFT(Lessons[[#This Row],[Status__c]],9)="Cancelled","",Lessons[[#This Row],[Instructor_External_Id__c]]&amp;"|"&amp;TEXT(Lessons[[#This Row],[Lesson_Date__c]],"yyyy-mm-dd")&amp;"|"&amp;Lessons[[#This Row],[Start_Time__c]])</f>
        <v>a06ak00000amzBtAAI|2027-03-16|18:00:00.000Z</v>
      </c>
      <c r="AC1288">
        <f>IF(Lessons[[#This Row],[Double Booked Key]]="","",COUNTIF(Lessons[Double Booked Key],Lessons[[#This Row],[Double Booked Key]]))</f>
        <v>1</v>
      </c>
      <c r="AD1288" s="6" t="str">
        <f>_xlfn.XLOOKUP(Lessons[[#This Row],[Location_External_Id__c]], Locations[Location Id], Locations[Location Name])</f>
        <v>Red Bank</v>
      </c>
      <c r="AE1288" s="6" t="str">
        <f>TEXT(Lessons[[#This Row],[Lesson_Date__c]], "yyyy-mm")</f>
        <v>2027-03</v>
      </c>
      <c r="AF1288" s="6" t="str">
        <f>IF(Lessons[[#This Row],[Lesson_Date__c]]&lt;=Data_Audit!$F$1, "Yes", "No")</f>
        <v>No</v>
      </c>
    </row>
    <row r="1289" spans="1:32">
      <c r="A1289" t="s">
        <v>52</v>
      </c>
      <c r="B1289" t="s">
        <v>4648</v>
      </c>
      <c r="C1289">
        <v>30</v>
      </c>
      <c r="D1289" t="s">
        <v>4841</v>
      </c>
      <c r="E1289" t="s">
        <v>804</v>
      </c>
      <c r="F1289" t="s">
        <v>805</v>
      </c>
      <c r="H1289" t="s">
        <v>147</v>
      </c>
      <c r="I1289" t="b">
        <v>0</v>
      </c>
      <c r="K1289" t="s">
        <v>52</v>
      </c>
      <c r="L1289" t="s">
        <v>4648</v>
      </c>
      <c r="O1289" s="1">
        <v>46462</v>
      </c>
      <c r="P1289" t="s">
        <v>4842</v>
      </c>
      <c r="Q1289" t="s">
        <v>4843</v>
      </c>
      <c r="R1289" t="s">
        <v>63</v>
      </c>
      <c r="S1289" t="b">
        <v>0</v>
      </c>
      <c r="T1289" t="b">
        <v>0</v>
      </c>
      <c r="U1289" t="s">
        <v>4844</v>
      </c>
      <c r="V1289" t="s">
        <v>94</v>
      </c>
      <c r="W1289" t="s">
        <v>95</v>
      </c>
      <c r="X1289" t="s">
        <v>808</v>
      </c>
      <c r="Y1289" t="s">
        <v>809</v>
      </c>
      <c r="Z1289" t="s">
        <v>4648</v>
      </c>
      <c r="AA1289" t="b">
        <f>ISNUMBER(SEARCH(";"&amp;Lessons[[#This Row],[Instrument__c]]&amp;";",";"&amp;_xlfn.XLOOKUP(Lessons[[#This Row],[Instructor_External_Id__c]], Instructors[Id], Instructors[Instruments_Taught__c])&amp;";"))</f>
        <v>1</v>
      </c>
      <c r="AB1289" t="str">
        <f>IF(LEFT(Lessons[[#This Row],[Status__c]],9)="Cancelled","",Lessons[[#This Row],[Instructor_External_Id__c]]&amp;"|"&amp;TEXT(Lessons[[#This Row],[Lesson_Date__c]],"yyyy-mm-dd")&amp;"|"&amp;Lessons[[#This Row],[Start_Time__c]])</f>
        <v>a06ak00000amzCBAAY|2027-03-16|19:00:00.000Z</v>
      </c>
      <c r="AC1289">
        <f>IF(Lessons[[#This Row],[Double Booked Key]]="","",COUNTIF(Lessons[Double Booked Key],Lessons[[#This Row],[Double Booked Key]]))</f>
        <v>1</v>
      </c>
      <c r="AD1289" s="6" t="str">
        <f>_xlfn.XLOOKUP(Lessons[[#This Row],[Location_External_Id__c]], Locations[Location Id], Locations[Location Name])</f>
        <v>Red Bank</v>
      </c>
      <c r="AE1289" s="6" t="str">
        <f>TEXT(Lessons[[#This Row],[Lesson_Date__c]], "yyyy-mm")</f>
        <v>2027-03</v>
      </c>
      <c r="AF1289" s="6" t="str">
        <f>IF(Lessons[[#This Row],[Lesson_Date__c]]&lt;=Data_Audit!$F$1, "Yes", "No")</f>
        <v>No</v>
      </c>
    </row>
    <row r="1290" spans="1:32">
      <c r="A1290" t="s">
        <v>52</v>
      </c>
      <c r="B1290" t="s">
        <v>4648</v>
      </c>
      <c r="C1290">
        <v>30</v>
      </c>
      <c r="D1290" t="s">
        <v>4845</v>
      </c>
      <c r="E1290" t="s">
        <v>76</v>
      </c>
      <c r="F1290" t="s">
        <v>77</v>
      </c>
      <c r="H1290" t="s">
        <v>78</v>
      </c>
      <c r="I1290" t="b">
        <v>0</v>
      </c>
      <c r="K1290" t="s">
        <v>52</v>
      </c>
      <c r="L1290" t="s">
        <v>4648</v>
      </c>
      <c r="O1290" s="1">
        <v>46463</v>
      </c>
      <c r="P1290" t="s">
        <v>4846</v>
      </c>
      <c r="Q1290" t="s">
        <v>4847</v>
      </c>
      <c r="R1290" t="s">
        <v>83</v>
      </c>
      <c r="S1290" t="b">
        <v>0</v>
      </c>
      <c r="T1290" t="b">
        <v>0</v>
      </c>
      <c r="U1290" t="s">
        <v>4848</v>
      </c>
      <c r="V1290" t="s">
        <v>135</v>
      </c>
      <c r="W1290" t="s">
        <v>95</v>
      </c>
      <c r="X1290" t="s">
        <v>220</v>
      </c>
      <c r="Y1290" t="s">
        <v>221</v>
      </c>
      <c r="Z1290" t="s">
        <v>4648</v>
      </c>
      <c r="AA1290" t="b">
        <f>ISNUMBER(SEARCH(";"&amp;Lessons[[#This Row],[Instrument__c]]&amp;";",";"&amp;_xlfn.XLOOKUP(Lessons[[#This Row],[Instructor_External_Id__c]], Instructors[Id], Instructors[Instruments_Taught__c])&amp;";"))</f>
        <v>1</v>
      </c>
      <c r="AB1290" t="str">
        <f>IF(LEFT(Lessons[[#This Row],[Status__c]],9)="Cancelled","",Lessons[[#This Row],[Instructor_External_Id__c]]&amp;"|"&amp;TEXT(Lessons[[#This Row],[Lesson_Date__c]],"yyyy-mm-dd")&amp;"|"&amp;Lessons[[#This Row],[Start_Time__c]])</f>
        <v>a06ak00000amzBgAAI|2027-03-17|15:30:00.000Z</v>
      </c>
      <c r="AC1290">
        <f>IF(Lessons[[#This Row],[Double Booked Key]]="","",COUNTIF(Lessons[Double Booked Key],Lessons[[#This Row],[Double Booked Key]]))</f>
        <v>1</v>
      </c>
      <c r="AD1290" s="6" t="str">
        <f>_xlfn.XLOOKUP(Lessons[[#This Row],[Location_External_Id__c]], Locations[Location Id], Locations[Location Name])</f>
        <v>Brick</v>
      </c>
      <c r="AE1290" s="6" t="str">
        <f>TEXT(Lessons[[#This Row],[Lesson_Date__c]], "yyyy-mm")</f>
        <v>2027-03</v>
      </c>
      <c r="AF1290" s="6" t="str">
        <f>IF(Lessons[[#This Row],[Lesson_Date__c]]&lt;=Data_Audit!$F$1, "Yes", "No")</f>
        <v>No</v>
      </c>
    </row>
    <row r="1291" spans="1:32">
      <c r="A1291" t="s">
        <v>52</v>
      </c>
      <c r="B1291" t="s">
        <v>4648</v>
      </c>
      <c r="C1291">
        <v>45</v>
      </c>
      <c r="D1291" t="s">
        <v>4849</v>
      </c>
      <c r="E1291" t="s">
        <v>401</v>
      </c>
      <c r="F1291" t="s">
        <v>402</v>
      </c>
      <c r="H1291" t="s">
        <v>263</v>
      </c>
      <c r="I1291" t="b">
        <v>0</v>
      </c>
      <c r="K1291" t="s">
        <v>52</v>
      </c>
      <c r="L1291" t="s">
        <v>4648</v>
      </c>
      <c r="O1291" s="1">
        <v>46463</v>
      </c>
      <c r="P1291" t="s">
        <v>4850</v>
      </c>
      <c r="Q1291" t="s">
        <v>4851</v>
      </c>
      <c r="R1291" t="s">
        <v>83</v>
      </c>
      <c r="S1291" t="b">
        <v>0</v>
      </c>
      <c r="T1291" t="b">
        <v>0</v>
      </c>
      <c r="U1291" t="s">
        <v>4852</v>
      </c>
      <c r="V1291" t="s">
        <v>74</v>
      </c>
      <c r="W1291" t="s">
        <v>95</v>
      </c>
      <c r="X1291" t="s">
        <v>1561</v>
      </c>
      <c r="Y1291" t="s">
        <v>1562</v>
      </c>
      <c r="Z1291" t="s">
        <v>4648</v>
      </c>
      <c r="AA1291" t="b">
        <f>ISNUMBER(SEARCH(";"&amp;Lessons[[#This Row],[Instrument__c]]&amp;";",";"&amp;_xlfn.XLOOKUP(Lessons[[#This Row],[Instructor_External_Id__c]], Instructors[Id], Instructors[Instruments_Taught__c])&amp;";"))</f>
        <v>1</v>
      </c>
      <c r="AB1291" t="str">
        <f>IF(LEFT(Lessons[[#This Row],[Status__c]],9)="Cancelled","",Lessons[[#This Row],[Instructor_External_Id__c]]&amp;"|"&amp;TEXT(Lessons[[#This Row],[Lesson_Date__c]],"yyyy-mm-dd")&amp;"|"&amp;Lessons[[#This Row],[Start_Time__c]])</f>
        <v>a06ak00000amzBfAAI|2027-03-17|16:30:00.000Z</v>
      </c>
      <c r="AC1291">
        <f>IF(Lessons[[#This Row],[Double Booked Key]]="","",COUNTIF(Lessons[Double Booked Key],Lessons[[#This Row],[Double Booked Key]]))</f>
        <v>1</v>
      </c>
      <c r="AD1291" s="6" t="str">
        <f>_xlfn.XLOOKUP(Lessons[[#This Row],[Location_External_Id__c]], Locations[Location Id], Locations[Location Name])</f>
        <v>Brick</v>
      </c>
      <c r="AE1291" s="6" t="str">
        <f>TEXT(Lessons[[#This Row],[Lesson_Date__c]], "yyyy-mm")</f>
        <v>2027-03</v>
      </c>
      <c r="AF1291" s="6" t="str">
        <f>IF(Lessons[[#This Row],[Lesson_Date__c]]&lt;=Data_Audit!$F$1, "Yes", "No")</f>
        <v>No</v>
      </c>
    </row>
    <row r="1292" spans="1:32">
      <c r="A1292" t="s">
        <v>52</v>
      </c>
      <c r="B1292" t="s">
        <v>4648</v>
      </c>
      <c r="C1292">
        <v>30</v>
      </c>
      <c r="D1292" t="s">
        <v>4853</v>
      </c>
      <c r="E1292" t="s">
        <v>804</v>
      </c>
      <c r="F1292" t="s">
        <v>805</v>
      </c>
      <c r="H1292" t="s">
        <v>147</v>
      </c>
      <c r="I1292" t="b">
        <v>0</v>
      </c>
      <c r="K1292" t="s">
        <v>52</v>
      </c>
      <c r="L1292" t="s">
        <v>4648</v>
      </c>
      <c r="O1292" s="1">
        <v>46463</v>
      </c>
      <c r="P1292" t="s">
        <v>4854</v>
      </c>
      <c r="Q1292" t="s">
        <v>4855</v>
      </c>
      <c r="R1292" t="s">
        <v>63</v>
      </c>
      <c r="S1292" t="b">
        <v>0</v>
      </c>
      <c r="T1292" t="b">
        <v>0</v>
      </c>
      <c r="U1292" t="s">
        <v>4856</v>
      </c>
      <c r="V1292" t="s">
        <v>74</v>
      </c>
      <c r="W1292" t="s">
        <v>95</v>
      </c>
      <c r="X1292" t="s">
        <v>2628</v>
      </c>
      <c r="Y1292" t="s">
        <v>2629</v>
      </c>
      <c r="Z1292" t="s">
        <v>4648</v>
      </c>
      <c r="AA1292" t="b">
        <f>ISNUMBER(SEARCH(";"&amp;Lessons[[#This Row],[Instrument__c]]&amp;";",";"&amp;_xlfn.XLOOKUP(Lessons[[#This Row],[Instructor_External_Id__c]], Instructors[Id], Instructors[Instruments_Taught__c])&amp;";"))</f>
        <v>1</v>
      </c>
      <c r="AB1292" t="str">
        <f>IF(LEFT(Lessons[[#This Row],[Status__c]],9)="Cancelled","",Lessons[[#This Row],[Instructor_External_Id__c]]&amp;"|"&amp;TEXT(Lessons[[#This Row],[Lesson_Date__c]],"yyyy-mm-dd")&amp;"|"&amp;Lessons[[#This Row],[Start_Time__c]])</f>
        <v>a06ak00000amzCBAAY|2027-03-17|16:30:00.000Z</v>
      </c>
      <c r="AC1292">
        <f>IF(Lessons[[#This Row],[Double Booked Key]]="","",COUNTIF(Lessons[Double Booked Key],Lessons[[#This Row],[Double Booked Key]]))</f>
        <v>1</v>
      </c>
      <c r="AD1292" s="6" t="str">
        <f>_xlfn.XLOOKUP(Lessons[[#This Row],[Location_External_Id__c]], Locations[Location Id], Locations[Location Name])</f>
        <v>Red Bank</v>
      </c>
      <c r="AE1292" s="6" t="str">
        <f>TEXT(Lessons[[#This Row],[Lesson_Date__c]], "yyyy-mm")</f>
        <v>2027-03</v>
      </c>
      <c r="AF1292" s="6" t="str">
        <f>IF(Lessons[[#This Row],[Lesson_Date__c]]&lt;=Data_Audit!$F$1, "Yes", "No")</f>
        <v>No</v>
      </c>
    </row>
    <row r="1293" spans="1:32">
      <c r="A1293" t="s">
        <v>52</v>
      </c>
      <c r="B1293" t="s">
        <v>4648</v>
      </c>
      <c r="C1293">
        <v>60</v>
      </c>
      <c r="D1293" t="s">
        <v>4857</v>
      </c>
      <c r="E1293" t="s">
        <v>318</v>
      </c>
      <c r="F1293" t="s">
        <v>319</v>
      </c>
      <c r="H1293" t="s">
        <v>650</v>
      </c>
      <c r="I1293" t="b">
        <v>0</v>
      </c>
      <c r="K1293" t="s">
        <v>52</v>
      </c>
      <c r="L1293" t="s">
        <v>4648</v>
      </c>
      <c r="O1293" s="1">
        <v>46463</v>
      </c>
      <c r="P1293" t="s">
        <v>4858</v>
      </c>
      <c r="Q1293" t="s">
        <v>4859</v>
      </c>
      <c r="R1293" t="s">
        <v>63</v>
      </c>
      <c r="S1293" t="b">
        <v>0</v>
      </c>
      <c r="T1293" t="b">
        <v>0</v>
      </c>
      <c r="U1293" t="s">
        <v>4860</v>
      </c>
      <c r="V1293" t="s">
        <v>116</v>
      </c>
      <c r="W1293" t="s">
        <v>95</v>
      </c>
      <c r="X1293" t="s">
        <v>653</v>
      </c>
      <c r="Y1293" t="s">
        <v>654</v>
      </c>
      <c r="Z1293" t="s">
        <v>4648</v>
      </c>
      <c r="AA1293" t="b">
        <f>ISNUMBER(SEARCH(";"&amp;Lessons[[#This Row],[Instrument__c]]&amp;";",";"&amp;_xlfn.XLOOKUP(Lessons[[#This Row],[Instructor_External_Id__c]], Instructors[Id], Instructors[Instruments_Taught__c])&amp;";"))</f>
        <v>1</v>
      </c>
      <c r="AB1293" t="str">
        <f>IF(LEFT(Lessons[[#This Row],[Status__c]],9)="Cancelled","",Lessons[[#This Row],[Instructor_External_Id__c]]&amp;"|"&amp;TEXT(Lessons[[#This Row],[Lesson_Date__c]],"yyyy-mm-dd")&amp;"|"&amp;Lessons[[#This Row],[Start_Time__c]])</f>
        <v>a06ak00000amzBzAAI|2027-03-17|17:30:00.000Z</v>
      </c>
      <c r="AC1293">
        <f>IF(Lessons[[#This Row],[Double Booked Key]]="","",COUNTIF(Lessons[Double Booked Key],Lessons[[#This Row],[Double Booked Key]]))</f>
        <v>1</v>
      </c>
      <c r="AD1293" s="6" t="str">
        <f>_xlfn.XLOOKUP(Lessons[[#This Row],[Location_External_Id__c]], Locations[Location Id], Locations[Location Name])</f>
        <v>Red Bank</v>
      </c>
      <c r="AE1293" s="6" t="str">
        <f>TEXT(Lessons[[#This Row],[Lesson_Date__c]], "yyyy-mm")</f>
        <v>2027-03</v>
      </c>
      <c r="AF1293" s="6" t="str">
        <f>IF(Lessons[[#This Row],[Lesson_Date__c]]&lt;=Data_Audit!$F$1, "Yes", "No")</f>
        <v>No</v>
      </c>
    </row>
    <row r="1294" spans="1:32">
      <c r="A1294" t="s">
        <v>52</v>
      </c>
      <c r="B1294" t="s">
        <v>4648</v>
      </c>
      <c r="C1294">
        <v>60</v>
      </c>
      <c r="D1294" t="s">
        <v>4861</v>
      </c>
      <c r="E1294" t="s">
        <v>777</v>
      </c>
      <c r="F1294" t="s">
        <v>778</v>
      </c>
      <c r="H1294" t="s">
        <v>392</v>
      </c>
      <c r="I1294" t="b">
        <v>0</v>
      </c>
      <c r="K1294" t="s">
        <v>52</v>
      </c>
      <c r="L1294" t="s">
        <v>4648</v>
      </c>
      <c r="O1294" s="1">
        <v>46464</v>
      </c>
      <c r="P1294" t="s">
        <v>4862</v>
      </c>
      <c r="Q1294" t="s">
        <v>4863</v>
      </c>
      <c r="R1294" t="s">
        <v>83</v>
      </c>
      <c r="S1294" t="b">
        <v>0</v>
      </c>
      <c r="T1294" t="b">
        <v>0</v>
      </c>
      <c r="U1294" t="s">
        <v>4864</v>
      </c>
      <c r="V1294" t="s">
        <v>135</v>
      </c>
      <c r="W1294" t="s">
        <v>95</v>
      </c>
      <c r="X1294" t="s">
        <v>497</v>
      </c>
      <c r="Y1294" t="s">
        <v>498</v>
      </c>
      <c r="Z1294" t="s">
        <v>4648</v>
      </c>
      <c r="AA1294" t="b">
        <f>ISNUMBER(SEARCH(";"&amp;Lessons[[#This Row],[Instrument__c]]&amp;";",";"&amp;_xlfn.XLOOKUP(Lessons[[#This Row],[Instructor_External_Id__c]], Instructors[Id], Instructors[Instruments_Taught__c])&amp;";"))</f>
        <v>1</v>
      </c>
      <c r="AB1294" t="str">
        <f>IF(LEFT(Lessons[[#This Row],[Status__c]],9)="Cancelled","",Lessons[[#This Row],[Instructor_External_Id__c]]&amp;"|"&amp;TEXT(Lessons[[#This Row],[Lesson_Date__c]],"yyyy-mm-dd")&amp;"|"&amp;Lessons[[#This Row],[Start_Time__c]])</f>
        <v>a06ak00000amzByAAI|2027-03-18|15:30:00.000Z</v>
      </c>
      <c r="AC1294">
        <f>IF(Lessons[[#This Row],[Double Booked Key]]="","",COUNTIF(Lessons[Double Booked Key],Lessons[[#This Row],[Double Booked Key]]))</f>
        <v>1</v>
      </c>
      <c r="AD1294" s="6" t="str">
        <f>_xlfn.XLOOKUP(Lessons[[#This Row],[Location_External_Id__c]], Locations[Location Id], Locations[Location Name])</f>
        <v>Brick</v>
      </c>
      <c r="AE1294" s="6" t="str">
        <f>TEXT(Lessons[[#This Row],[Lesson_Date__c]], "yyyy-mm")</f>
        <v>2027-03</v>
      </c>
      <c r="AF1294" s="6" t="str">
        <f>IF(Lessons[[#This Row],[Lesson_Date__c]]&lt;=Data_Audit!$F$1, "Yes", "No")</f>
        <v>No</v>
      </c>
    </row>
    <row r="1295" spans="1:32">
      <c r="A1295" t="s">
        <v>52</v>
      </c>
      <c r="B1295" t="s">
        <v>4648</v>
      </c>
      <c r="C1295">
        <v>60</v>
      </c>
      <c r="D1295" t="s">
        <v>4865</v>
      </c>
      <c r="E1295" t="s">
        <v>318</v>
      </c>
      <c r="F1295" t="s">
        <v>319</v>
      </c>
      <c r="H1295" t="s">
        <v>237</v>
      </c>
      <c r="I1295" t="b">
        <v>0</v>
      </c>
      <c r="K1295" t="s">
        <v>52</v>
      </c>
      <c r="L1295" t="s">
        <v>4648</v>
      </c>
      <c r="O1295" s="1">
        <v>46464</v>
      </c>
      <c r="P1295" t="s">
        <v>4866</v>
      </c>
      <c r="Q1295" t="s">
        <v>4867</v>
      </c>
      <c r="R1295" t="s">
        <v>150</v>
      </c>
      <c r="S1295" t="b">
        <v>0</v>
      </c>
      <c r="T1295" t="b">
        <v>0</v>
      </c>
      <c r="U1295" t="s">
        <v>4868</v>
      </c>
      <c r="V1295" t="s">
        <v>116</v>
      </c>
      <c r="W1295" t="s">
        <v>95</v>
      </c>
      <c r="X1295" t="s">
        <v>1004</v>
      </c>
      <c r="Y1295" t="s">
        <v>1005</v>
      </c>
      <c r="Z1295" t="s">
        <v>4648</v>
      </c>
      <c r="AA1295" t="b">
        <f>ISNUMBER(SEARCH(";"&amp;Lessons[[#This Row],[Instrument__c]]&amp;";",";"&amp;_xlfn.XLOOKUP(Lessons[[#This Row],[Instructor_External_Id__c]], Instructors[Id], Instructors[Instruments_Taught__c])&amp;";"))</f>
        <v>1</v>
      </c>
      <c r="AB1295" t="str">
        <f>IF(LEFT(Lessons[[#This Row],[Status__c]],9)="Cancelled","",Lessons[[#This Row],[Instructor_External_Id__c]]&amp;"|"&amp;TEXT(Lessons[[#This Row],[Lesson_Date__c]],"yyyy-mm-dd")&amp;"|"&amp;Lessons[[#This Row],[Start_Time__c]])</f>
        <v>a06ak00000amzBzAAI|2027-03-18|17:30:00.000Z</v>
      </c>
      <c r="AC1295">
        <f>IF(Lessons[[#This Row],[Double Booked Key]]="","",COUNTIF(Lessons[Double Booked Key],Lessons[[#This Row],[Double Booked Key]]))</f>
        <v>1</v>
      </c>
      <c r="AD1295" s="6" t="str">
        <f>_xlfn.XLOOKUP(Lessons[[#This Row],[Location_External_Id__c]], Locations[Location Id], Locations[Location Name])</f>
        <v>Toms River</v>
      </c>
      <c r="AE1295" s="6" t="str">
        <f>TEXT(Lessons[[#This Row],[Lesson_Date__c]], "yyyy-mm")</f>
        <v>2027-03</v>
      </c>
      <c r="AF1295" s="6" t="str">
        <f>IF(Lessons[[#This Row],[Lesson_Date__c]]&lt;=Data_Audit!$F$1, "Yes", "No")</f>
        <v>No</v>
      </c>
    </row>
    <row r="1296" spans="1:32">
      <c r="A1296" t="s">
        <v>52</v>
      </c>
      <c r="B1296" t="s">
        <v>4648</v>
      </c>
      <c r="C1296">
        <v>30</v>
      </c>
      <c r="D1296" t="s">
        <v>4869</v>
      </c>
      <c r="E1296" t="s">
        <v>804</v>
      </c>
      <c r="F1296" t="s">
        <v>805</v>
      </c>
      <c r="H1296" t="s">
        <v>147</v>
      </c>
      <c r="I1296" t="b">
        <v>0</v>
      </c>
      <c r="K1296" t="s">
        <v>52</v>
      </c>
      <c r="L1296" t="s">
        <v>4648</v>
      </c>
      <c r="O1296" s="1">
        <v>46464</v>
      </c>
      <c r="P1296" t="s">
        <v>4870</v>
      </c>
      <c r="Q1296" t="s">
        <v>4871</v>
      </c>
      <c r="R1296" t="s">
        <v>63</v>
      </c>
      <c r="S1296" t="b">
        <v>0</v>
      </c>
      <c r="T1296" t="b">
        <v>0</v>
      </c>
      <c r="U1296" t="s">
        <v>4872</v>
      </c>
      <c r="V1296" t="s">
        <v>116</v>
      </c>
      <c r="W1296" t="s">
        <v>95</v>
      </c>
      <c r="X1296" t="s">
        <v>1617</v>
      </c>
      <c r="Y1296" t="s">
        <v>1618</v>
      </c>
      <c r="Z1296" t="s">
        <v>4648</v>
      </c>
      <c r="AA1296" t="b">
        <f>ISNUMBER(SEARCH(";"&amp;Lessons[[#This Row],[Instrument__c]]&amp;";",";"&amp;_xlfn.XLOOKUP(Lessons[[#This Row],[Instructor_External_Id__c]], Instructors[Id], Instructors[Instruments_Taught__c])&amp;";"))</f>
        <v>1</v>
      </c>
      <c r="AB1296" t="str">
        <f>IF(LEFT(Lessons[[#This Row],[Status__c]],9)="Cancelled","",Lessons[[#This Row],[Instructor_External_Id__c]]&amp;"|"&amp;TEXT(Lessons[[#This Row],[Lesson_Date__c]],"yyyy-mm-dd")&amp;"|"&amp;Lessons[[#This Row],[Start_Time__c]])</f>
        <v>a06ak00000amzCBAAY|2027-03-18|17:30:00.000Z</v>
      </c>
      <c r="AC1296">
        <f>IF(Lessons[[#This Row],[Double Booked Key]]="","",COUNTIF(Lessons[Double Booked Key],Lessons[[#This Row],[Double Booked Key]]))</f>
        <v>1</v>
      </c>
      <c r="AD1296" s="6" t="str">
        <f>_xlfn.XLOOKUP(Lessons[[#This Row],[Location_External_Id__c]], Locations[Location Id], Locations[Location Name])</f>
        <v>Red Bank</v>
      </c>
      <c r="AE1296" s="6" t="str">
        <f>TEXT(Lessons[[#This Row],[Lesson_Date__c]], "yyyy-mm")</f>
        <v>2027-03</v>
      </c>
      <c r="AF1296" s="6" t="str">
        <f>IF(Lessons[[#This Row],[Lesson_Date__c]]&lt;=Data_Audit!$F$1, "Yes", "No")</f>
        <v>No</v>
      </c>
    </row>
    <row r="1297" spans="1:32">
      <c r="A1297" t="s">
        <v>52</v>
      </c>
      <c r="B1297" t="s">
        <v>4648</v>
      </c>
      <c r="C1297">
        <v>30</v>
      </c>
      <c r="D1297" t="s">
        <v>4873</v>
      </c>
      <c r="E1297" t="s">
        <v>359</v>
      </c>
      <c r="F1297" t="s">
        <v>360</v>
      </c>
      <c r="H1297" t="s">
        <v>392</v>
      </c>
      <c r="I1297" t="b">
        <v>0</v>
      </c>
      <c r="K1297" t="s">
        <v>52</v>
      </c>
      <c r="L1297" t="s">
        <v>4648</v>
      </c>
      <c r="O1297" s="1">
        <v>46464</v>
      </c>
      <c r="P1297" t="s">
        <v>4874</v>
      </c>
      <c r="Q1297" t="s">
        <v>4875</v>
      </c>
      <c r="R1297" t="s">
        <v>63</v>
      </c>
      <c r="S1297" t="b">
        <v>0</v>
      </c>
      <c r="T1297" t="b">
        <v>0</v>
      </c>
      <c r="U1297" t="s">
        <v>4876</v>
      </c>
      <c r="V1297" t="s">
        <v>94</v>
      </c>
      <c r="W1297" t="s">
        <v>95</v>
      </c>
      <c r="X1297" t="s">
        <v>1248</v>
      </c>
      <c r="Y1297" t="s">
        <v>1249</v>
      </c>
      <c r="Z1297" t="s">
        <v>4648</v>
      </c>
      <c r="AA1297" t="b">
        <f>ISNUMBER(SEARCH(";"&amp;Lessons[[#This Row],[Instrument__c]]&amp;";",";"&amp;_xlfn.XLOOKUP(Lessons[[#This Row],[Instructor_External_Id__c]], Instructors[Id], Instructors[Instruments_Taught__c])&amp;";"))</f>
        <v>1</v>
      </c>
      <c r="AB1297" t="str">
        <f>IF(LEFT(Lessons[[#This Row],[Status__c]],9)="Cancelled","",Lessons[[#This Row],[Instructor_External_Id__c]]&amp;"|"&amp;TEXT(Lessons[[#This Row],[Lesson_Date__c]],"yyyy-mm-dd")&amp;"|"&amp;Lessons[[#This Row],[Start_Time__c]])</f>
        <v>a06ak00000amzBiAAI|2027-03-18|19:00:00.000Z</v>
      </c>
      <c r="AC1297">
        <f>IF(Lessons[[#This Row],[Double Booked Key]]="","",COUNTIF(Lessons[Double Booked Key],Lessons[[#This Row],[Double Booked Key]]))</f>
        <v>1</v>
      </c>
      <c r="AD1297" s="6" t="str">
        <f>_xlfn.XLOOKUP(Lessons[[#This Row],[Location_External_Id__c]], Locations[Location Id], Locations[Location Name])</f>
        <v>Red Bank</v>
      </c>
      <c r="AE1297" s="6" t="str">
        <f>TEXT(Lessons[[#This Row],[Lesson_Date__c]], "yyyy-mm")</f>
        <v>2027-03</v>
      </c>
      <c r="AF1297" s="6" t="str">
        <f>IF(Lessons[[#This Row],[Lesson_Date__c]]&lt;=Data_Audit!$F$1, "Yes", "No")</f>
        <v>No</v>
      </c>
    </row>
    <row r="1298" spans="1:32">
      <c r="A1298" t="s">
        <v>52</v>
      </c>
      <c r="B1298" t="s">
        <v>4648</v>
      </c>
      <c r="C1298">
        <v>30</v>
      </c>
      <c r="D1298" t="s">
        <v>4877</v>
      </c>
      <c r="E1298" t="s">
        <v>282</v>
      </c>
      <c r="F1298" t="s">
        <v>283</v>
      </c>
      <c r="H1298" t="s">
        <v>284</v>
      </c>
      <c r="I1298" t="b">
        <v>0</v>
      </c>
      <c r="K1298" t="s">
        <v>52</v>
      </c>
      <c r="L1298" t="s">
        <v>4648</v>
      </c>
      <c r="O1298" s="1">
        <v>46465</v>
      </c>
      <c r="P1298" t="s">
        <v>4878</v>
      </c>
      <c r="Q1298" t="s">
        <v>4879</v>
      </c>
      <c r="R1298" t="s">
        <v>83</v>
      </c>
      <c r="S1298" t="b">
        <v>0</v>
      </c>
      <c r="T1298" t="b">
        <v>0</v>
      </c>
      <c r="U1298" t="s">
        <v>4880</v>
      </c>
      <c r="V1298" t="s">
        <v>74</v>
      </c>
      <c r="W1298" t="s">
        <v>95</v>
      </c>
      <c r="X1298" t="s">
        <v>287</v>
      </c>
      <c r="Y1298" t="s">
        <v>288</v>
      </c>
      <c r="Z1298" t="s">
        <v>4648</v>
      </c>
      <c r="AA1298" t="b">
        <f>ISNUMBER(SEARCH(";"&amp;Lessons[[#This Row],[Instrument__c]]&amp;";",";"&amp;_xlfn.XLOOKUP(Lessons[[#This Row],[Instructor_External_Id__c]], Instructors[Id], Instructors[Instruments_Taught__c])&amp;";"))</f>
        <v>1</v>
      </c>
      <c r="AB1298" t="str">
        <f>IF(LEFT(Lessons[[#This Row],[Status__c]],9)="Cancelled","",Lessons[[#This Row],[Instructor_External_Id__c]]&amp;"|"&amp;TEXT(Lessons[[#This Row],[Lesson_Date__c]],"yyyy-mm-dd")&amp;"|"&amp;Lessons[[#This Row],[Start_Time__c]])</f>
        <v>a06ak00000amzBxAAI|2027-03-19|16:30:00.000Z</v>
      </c>
      <c r="AC1298">
        <f>IF(Lessons[[#This Row],[Double Booked Key]]="","",COUNTIF(Lessons[Double Booked Key],Lessons[[#This Row],[Double Booked Key]]))</f>
        <v>1</v>
      </c>
      <c r="AD1298" s="6" t="str">
        <f>_xlfn.XLOOKUP(Lessons[[#This Row],[Location_External_Id__c]], Locations[Location Id], Locations[Location Name])</f>
        <v>Brick</v>
      </c>
      <c r="AE1298" s="6" t="str">
        <f>TEXT(Lessons[[#This Row],[Lesson_Date__c]], "yyyy-mm")</f>
        <v>2027-03</v>
      </c>
      <c r="AF1298" s="6" t="str">
        <f>IF(Lessons[[#This Row],[Lesson_Date__c]]&lt;=Data_Audit!$F$1, "Yes", "No")</f>
        <v>No</v>
      </c>
    </row>
    <row r="1299" spans="1:32">
      <c r="A1299" t="s">
        <v>52</v>
      </c>
      <c r="B1299" t="s">
        <v>4648</v>
      </c>
      <c r="C1299">
        <v>45</v>
      </c>
      <c r="D1299" t="s">
        <v>4881</v>
      </c>
      <c r="E1299" t="s">
        <v>436</v>
      </c>
      <c r="F1299" t="s">
        <v>437</v>
      </c>
      <c r="H1299" t="s">
        <v>263</v>
      </c>
      <c r="I1299" t="b">
        <v>0</v>
      </c>
      <c r="K1299" t="s">
        <v>52</v>
      </c>
      <c r="L1299" t="s">
        <v>4648</v>
      </c>
      <c r="O1299" s="1">
        <v>46465</v>
      </c>
      <c r="P1299" t="s">
        <v>4882</v>
      </c>
      <c r="Q1299" t="s">
        <v>4883</v>
      </c>
      <c r="R1299" t="s">
        <v>63</v>
      </c>
      <c r="S1299" t="b">
        <v>0</v>
      </c>
      <c r="T1299" t="b">
        <v>0</v>
      </c>
      <c r="U1299" t="s">
        <v>4884</v>
      </c>
      <c r="V1299" t="s">
        <v>116</v>
      </c>
      <c r="W1299" t="s">
        <v>95</v>
      </c>
      <c r="X1299" t="s">
        <v>1818</v>
      </c>
      <c r="Y1299" t="s">
        <v>1819</v>
      </c>
      <c r="Z1299" t="s">
        <v>4648</v>
      </c>
      <c r="AA1299" t="b">
        <f>ISNUMBER(SEARCH(";"&amp;Lessons[[#This Row],[Instrument__c]]&amp;";",";"&amp;_xlfn.XLOOKUP(Lessons[[#This Row],[Instructor_External_Id__c]], Instructors[Id], Instructors[Instruments_Taught__c])&amp;";"))</f>
        <v>1</v>
      </c>
      <c r="AB1299" t="str">
        <f>IF(LEFT(Lessons[[#This Row],[Status__c]],9)="Cancelled","",Lessons[[#This Row],[Instructor_External_Id__c]]&amp;"|"&amp;TEXT(Lessons[[#This Row],[Lesson_Date__c]],"yyyy-mm-dd")&amp;"|"&amp;Lessons[[#This Row],[Start_Time__c]])</f>
        <v>a06ak00000amzC0AAI|2027-03-19|17:30:00.000Z</v>
      </c>
      <c r="AC1299">
        <f>IF(Lessons[[#This Row],[Double Booked Key]]="","",COUNTIF(Lessons[Double Booked Key],Lessons[[#This Row],[Double Booked Key]]))</f>
        <v>1</v>
      </c>
      <c r="AD1299" s="6" t="str">
        <f>_xlfn.XLOOKUP(Lessons[[#This Row],[Location_External_Id__c]], Locations[Location Id], Locations[Location Name])</f>
        <v>Red Bank</v>
      </c>
      <c r="AE1299" s="6" t="str">
        <f>TEXT(Lessons[[#This Row],[Lesson_Date__c]], "yyyy-mm")</f>
        <v>2027-03</v>
      </c>
      <c r="AF1299" s="6" t="str">
        <f>IF(Lessons[[#This Row],[Lesson_Date__c]]&lt;=Data_Audit!$F$1, "Yes", "No")</f>
        <v>No</v>
      </c>
    </row>
    <row r="1300" spans="1:32">
      <c r="A1300" t="s">
        <v>52</v>
      </c>
      <c r="B1300" t="s">
        <v>4648</v>
      </c>
      <c r="C1300">
        <v>30</v>
      </c>
      <c r="D1300" t="s">
        <v>4885</v>
      </c>
      <c r="E1300" t="s">
        <v>359</v>
      </c>
      <c r="F1300" t="s">
        <v>360</v>
      </c>
      <c r="H1300" t="s">
        <v>284</v>
      </c>
      <c r="I1300" t="b">
        <v>0</v>
      </c>
      <c r="K1300" t="s">
        <v>52</v>
      </c>
      <c r="L1300" t="s">
        <v>4648</v>
      </c>
      <c r="O1300" s="1">
        <v>46465</v>
      </c>
      <c r="P1300" t="s">
        <v>4886</v>
      </c>
      <c r="Q1300" t="s">
        <v>4887</v>
      </c>
      <c r="R1300" t="s">
        <v>63</v>
      </c>
      <c r="S1300" t="b">
        <v>0</v>
      </c>
      <c r="T1300" t="b">
        <v>0</v>
      </c>
      <c r="U1300" t="s">
        <v>4888</v>
      </c>
      <c r="V1300" t="s">
        <v>120</v>
      </c>
      <c r="W1300" t="s">
        <v>95</v>
      </c>
      <c r="X1300" t="s">
        <v>2725</v>
      </c>
      <c r="Y1300" t="s">
        <v>2726</v>
      </c>
      <c r="Z1300" t="s">
        <v>4648</v>
      </c>
      <c r="AA1300" t="b">
        <f>ISNUMBER(SEARCH(";"&amp;Lessons[[#This Row],[Instrument__c]]&amp;";",";"&amp;_xlfn.XLOOKUP(Lessons[[#This Row],[Instructor_External_Id__c]], Instructors[Id], Instructors[Instruments_Taught__c])&amp;";"))</f>
        <v>1</v>
      </c>
      <c r="AB1300" t="str">
        <f>IF(LEFT(Lessons[[#This Row],[Status__c]],9)="Cancelled","",Lessons[[#This Row],[Instructor_External_Id__c]]&amp;"|"&amp;TEXT(Lessons[[#This Row],[Lesson_Date__c]],"yyyy-mm-dd")&amp;"|"&amp;Lessons[[#This Row],[Start_Time__c]])</f>
        <v>a06ak00000amzBiAAI|2027-03-19|18:00:00.000Z</v>
      </c>
      <c r="AC1300">
        <f>IF(Lessons[[#This Row],[Double Booked Key]]="","",COUNTIF(Lessons[Double Booked Key],Lessons[[#This Row],[Double Booked Key]]))</f>
        <v>1</v>
      </c>
      <c r="AD1300" s="6" t="str">
        <f>_xlfn.XLOOKUP(Lessons[[#This Row],[Location_External_Id__c]], Locations[Location Id], Locations[Location Name])</f>
        <v>Red Bank</v>
      </c>
      <c r="AE1300" s="6" t="str">
        <f>TEXT(Lessons[[#This Row],[Lesson_Date__c]], "yyyy-mm")</f>
        <v>2027-03</v>
      </c>
      <c r="AF1300" s="6" t="str">
        <f>IF(Lessons[[#This Row],[Lesson_Date__c]]&lt;=Data_Audit!$F$1, "Yes", "No")</f>
        <v>No</v>
      </c>
    </row>
    <row r="1301" spans="1:32">
      <c r="A1301" t="s">
        <v>52</v>
      </c>
      <c r="B1301" t="s">
        <v>4648</v>
      </c>
      <c r="C1301">
        <v>45</v>
      </c>
      <c r="D1301" t="s">
        <v>4889</v>
      </c>
      <c r="E1301" t="s">
        <v>573</v>
      </c>
      <c r="F1301" t="s">
        <v>574</v>
      </c>
      <c r="H1301" t="s">
        <v>284</v>
      </c>
      <c r="I1301" t="b">
        <v>0</v>
      </c>
      <c r="K1301" t="s">
        <v>52</v>
      </c>
      <c r="L1301" t="s">
        <v>4648</v>
      </c>
      <c r="O1301" s="1">
        <v>46466</v>
      </c>
      <c r="P1301" t="s">
        <v>4890</v>
      </c>
      <c r="Q1301" t="s">
        <v>4891</v>
      </c>
      <c r="R1301" t="s">
        <v>83</v>
      </c>
      <c r="S1301" t="b">
        <v>0</v>
      </c>
      <c r="T1301" t="b">
        <v>0</v>
      </c>
      <c r="U1301" t="s">
        <v>4892</v>
      </c>
      <c r="V1301" t="s">
        <v>3373</v>
      </c>
      <c r="W1301" t="s">
        <v>95</v>
      </c>
      <c r="X1301" t="s">
        <v>1330</v>
      </c>
      <c r="Y1301" t="s">
        <v>1331</v>
      </c>
      <c r="Z1301" t="s">
        <v>4648</v>
      </c>
      <c r="AA1301" t="b">
        <f>ISNUMBER(SEARCH(";"&amp;Lessons[[#This Row],[Instrument__c]]&amp;";",";"&amp;_xlfn.XLOOKUP(Lessons[[#This Row],[Instructor_External_Id__c]], Instructors[Id], Instructors[Instruments_Taught__c])&amp;";"))</f>
        <v>1</v>
      </c>
      <c r="AB1301" t="str">
        <f>IF(LEFT(Lessons[[#This Row],[Status__c]],9)="Cancelled","",Lessons[[#This Row],[Instructor_External_Id__c]]&amp;"|"&amp;TEXT(Lessons[[#This Row],[Lesson_Date__c]],"yyyy-mm-dd")&amp;"|"&amp;Lessons[[#This Row],[Start_Time__c]])</f>
        <v>a06ak00000amzCCAAY|2027-03-20|09:00:00.000Z</v>
      </c>
      <c r="AC1301">
        <f>IF(Lessons[[#This Row],[Double Booked Key]]="","",COUNTIF(Lessons[Double Booked Key],Lessons[[#This Row],[Double Booked Key]]))</f>
        <v>1</v>
      </c>
      <c r="AD1301" s="6" t="str">
        <f>_xlfn.XLOOKUP(Lessons[[#This Row],[Location_External_Id__c]], Locations[Location Id], Locations[Location Name])</f>
        <v>Brick</v>
      </c>
      <c r="AE1301" s="6" t="str">
        <f>TEXT(Lessons[[#This Row],[Lesson_Date__c]], "yyyy-mm")</f>
        <v>2027-03</v>
      </c>
      <c r="AF1301" s="6" t="str">
        <f>IF(Lessons[[#This Row],[Lesson_Date__c]]&lt;=Data_Audit!$F$1, "Yes", "No")</f>
        <v>No</v>
      </c>
    </row>
    <row r="1302" spans="1:32">
      <c r="A1302" t="s">
        <v>52</v>
      </c>
      <c r="B1302" t="s">
        <v>4648</v>
      </c>
      <c r="C1302">
        <v>30</v>
      </c>
      <c r="D1302" t="s">
        <v>4893</v>
      </c>
      <c r="E1302" t="s">
        <v>318</v>
      </c>
      <c r="F1302" t="s">
        <v>319</v>
      </c>
      <c r="H1302" t="s">
        <v>237</v>
      </c>
      <c r="I1302" t="b">
        <v>0</v>
      </c>
      <c r="K1302" t="s">
        <v>52</v>
      </c>
      <c r="L1302" t="s">
        <v>4648</v>
      </c>
      <c r="O1302" s="1">
        <v>46466</v>
      </c>
      <c r="P1302" t="s">
        <v>4894</v>
      </c>
      <c r="Q1302" t="s">
        <v>4895</v>
      </c>
      <c r="R1302" t="s">
        <v>63</v>
      </c>
      <c r="S1302" t="b">
        <v>0</v>
      </c>
      <c r="T1302" t="b">
        <v>0</v>
      </c>
      <c r="U1302" t="s">
        <v>4896</v>
      </c>
      <c r="V1302" t="s">
        <v>3373</v>
      </c>
      <c r="W1302" t="s">
        <v>95</v>
      </c>
      <c r="X1302" t="s">
        <v>2842</v>
      </c>
      <c r="Y1302" t="s">
        <v>2843</v>
      </c>
      <c r="Z1302" t="s">
        <v>4648</v>
      </c>
      <c r="AA1302" t="b">
        <f>ISNUMBER(SEARCH(";"&amp;Lessons[[#This Row],[Instrument__c]]&amp;";",";"&amp;_xlfn.XLOOKUP(Lessons[[#This Row],[Instructor_External_Id__c]], Instructors[Id], Instructors[Instruments_Taught__c])&amp;";"))</f>
        <v>1</v>
      </c>
      <c r="AB1302" t="str">
        <f>IF(LEFT(Lessons[[#This Row],[Status__c]],9)="Cancelled","",Lessons[[#This Row],[Instructor_External_Id__c]]&amp;"|"&amp;TEXT(Lessons[[#This Row],[Lesson_Date__c]],"yyyy-mm-dd")&amp;"|"&amp;Lessons[[#This Row],[Start_Time__c]])</f>
        <v>a06ak00000amzBzAAI|2027-03-20|09:00:00.000Z</v>
      </c>
      <c r="AC1302">
        <f>IF(Lessons[[#This Row],[Double Booked Key]]="","",COUNTIF(Lessons[Double Booked Key],Lessons[[#This Row],[Double Booked Key]]))</f>
        <v>1</v>
      </c>
      <c r="AD1302" s="6" t="str">
        <f>_xlfn.XLOOKUP(Lessons[[#This Row],[Location_External_Id__c]], Locations[Location Id], Locations[Location Name])</f>
        <v>Red Bank</v>
      </c>
      <c r="AE1302" s="6" t="str">
        <f>TEXT(Lessons[[#This Row],[Lesson_Date__c]], "yyyy-mm")</f>
        <v>2027-03</v>
      </c>
      <c r="AF1302" s="6" t="str">
        <f>IF(Lessons[[#This Row],[Lesson_Date__c]]&lt;=Data_Audit!$F$1, "Yes", "No")</f>
        <v>No</v>
      </c>
    </row>
    <row r="1303" spans="1:32">
      <c r="A1303" t="s">
        <v>52</v>
      </c>
      <c r="B1303" t="s">
        <v>4648</v>
      </c>
      <c r="C1303">
        <v>45</v>
      </c>
      <c r="D1303" t="s">
        <v>4897</v>
      </c>
      <c r="E1303" t="s">
        <v>573</v>
      </c>
      <c r="F1303" t="s">
        <v>574</v>
      </c>
      <c r="H1303" t="s">
        <v>461</v>
      </c>
      <c r="I1303" t="b">
        <v>0</v>
      </c>
      <c r="K1303" t="s">
        <v>52</v>
      </c>
      <c r="L1303" t="s">
        <v>4648</v>
      </c>
      <c r="O1303" s="1">
        <v>46466</v>
      </c>
      <c r="P1303" t="s">
        <v>4898</v>
      </c>
      <c r="Q1303" t="s">
        <v>4899</v>
      </c>
      <c r="R1303" t="s">
        <v>83</v>
      </c>
      <c r="S1303" t="b">
        <v>0</v>
      </c>
      <c r="T1303" t="b">
        <v>0</v>
      </c>
      <c r="U1303" t="s">
        <v>4900</v>
      </c>
      <c r="V1303" t="s">
        <v>110</v>
      </c>
      <c r="W1303" t="s">
        <v>95</v>
      </c>
      <c r="X1303" t="s">
        <v>681</v>
      </c>
      <c r="Y1303" t="s">
        <v>682</v>
      </c>
      <c r="Z1303" t="s">
        <v>4648</v>
      </c>
      <c r="AA1303" t="b">
        <f>ISNUMBER(SEARCH(";"&amp;Lessons[[#This Row],[Instrument__c]]&amp;";",";"&amp;_xlfn.XLOOKUP(Lessons[[#This Row],[Instructor_External_Id__c]], Instructors[Id], Instructors[Instruments_Taught__c])&amp;";"))</f>
        <v>1</v>
      </c>
      <c r="AB1303" t="str">
        <f>IF(LEFT(Lessons[[#This Row],[Status__c]],9)="Cancelled","",Lessons[[#This Row],[Instructor_External_Id__c]]&amp;"|"&amp;TEXT(Lessons[[#This Row],[Lesson_Date__c]],"yyyy-mm-dd")&amp;"|"&amp;Lessons[[#This Row],[Start_Time__c]])</f>
        <v>a06ak00000amzCCAAY|2027-03-20|10:00:00.000Z</v>
      </c>
      <c r="AC1303">
        <f>IF(Lessons[[#This Row],[Double Booked Key]]="","",COUNTIF(Lessons[Double Booked Key],Lessons[[#This Row],[Double Booked Key]]))</f>
        <v>1</v>
      </c>
      <c r="AD1303" s="6" t="str">
        <f>_xlfn.XLOOKUP(Lessons[[#This Row],[Location_External_Id__c]], Locations[Location Id], Locations[Location Name])</f>
        <v>Brick</v>
      </c>
      <c r="AE1303" s="6" t="str">
        <f>TEXT(Lessons[[#This Row],[Lesson_Date__c]], "yyyy-mm")</f>
        <v>2027-03</v>
      </c>
      <c r="AF1303" s="6" t="str">
        <f>IF(Lessons[[#This Row],[Lesson_Date__c]]&lt;=Data_Audit!$F$1, "Yes", "No")</f>
        <v>No</v>
      </c>
    </row>
    <row r="1304" spans="1:32">
      <c r="A1304" t="s">
        <v>52</v>
      </c>
      <c r="B1304" t="s">
        <v>4648</v>
      </c>
      <c r="C1304">
        <v>30</v>
      </c>
      <c r="D1304" t="s">
        <v>4901</v>
      </c>
      <c r="E1304" t="s">
        <v>548</v>
      </c>
      <c r="F1304" t="s">
        <v>549</v>
      </c>
      <c r="H1304" t="s">
        <v>203</v>
      </c>
      <c r="I1304" t="b">
        <v>0</v>
      </c>
      <c r="K1304" t="s">
        <v>52</v>
      </c>
      <c r="L1304" t="s">
        <v>4648</v>
      </c>
      <c r="O1304" s="1">
        <v>46466</v>
      </c>
      <c r="P1304" t="s">
        <v>4902</v>
      </c>
      <c r="Q1304" t="s">
        <v>4903</v>
      </c>
      <c r="R1304" t="s">
        <v>63</v>
      </c>
      <c r="S1304" t="b">
        <v>0</v>
      </c>
      <c r="T1304" t="b">
        <v>0</v>
      </c>
      <c r="U1304" t="s">
        <v>4904</v>
      </c>
      <c r="V1304" t="s">
        <v>3203</v>
      </c>
      <c r="W1304" t="s">
        <v>95</v>
      </c>
      <c r="X1304" t="s">
        <v>1377</v>
      </c>
      <c r="Y1304" t="s">
        <v>1378</v>
      </c>
      <c r="Z1304" t="s">
        <v>4648</v>
      </c>
      <c r="AA1304" t="b">
        <f>ISNUMBER(SEARCH(";"&amp;Lessons[[#This Row],[Instrument__c]]&amp;";",";"&amp;_xlfn.XLOOKUP(Lessons[[#This Row],[Instructor_External_Id__c]], Instructors[Id], Instructors[Instruments_Taught__c])&amp;";"))</f>
        <v>1</v>
      </c>
      <c r="AB1304" t="str">
        <f>IF(LEFT(Lessons[[#This Row],[Status__c]],9)="Cancelled","",Lessons[[#This Row],[Instructor_External_Id__c]]&amp;"|"&amp;TEXT(Lessons[[#This Row],[Lesson_Date__c]],"yyyy-mm-dd")&amp;"|"&amp;Lessons[[#This Row],[Start_Time__c]])</f>
        <v>a06ak00000amzCHAAY|2027-03-20|11:30:00.000Z</v>
      </c>
      <c r="AC1304">
        <f>IF(Lessons[[#This Row],[Double Booked Key]]="","",COUNTIF(Lessons[Double Booked Key],Lessons[[#This Row],[Double Booked Key]]))</f>
        <v>1</v>
      </c>
      <c r="AD1304" s="6" t="str">
        <f>_xlfn.XLOOKUP(Lessons[[#This Row],[Location_External_Id__c]], Locations[Location Id], Locations[Location Name])</f>
        <v>Red Bank</v>
      </c>
      <c r="AE1304" s="6" t="str">
        <f>TEXT(Lessons[[#This Row],[Lesson_Date__c]], "yyyy-mm")</f>
        <v>2027-03</v>
      </c>
      <c r="AF1304" s="6" t="str">
        <f>IF(Lessons[[#This Row],[Lesson_Date__c]]&lt;=Data_Audit!$F$1, "Yes", "No")</f>
        <v>No</v>
      </c>
    </row>
    <row r="1305" spans="1:32">
      <c r="A1305" t="s">
        <v>52</v>
      </c>
      <c r="B1305" t="s">
        <v>4648</v>
      </c>
      <c r="C1305">
        <v>60</v>
      </c>
      <c r="D1305" t="s">
        <v>4905</v>
      </c>
      <c r="E1305" t="s">
        <v>318</v>
      </c>
      <c r="F1305" t="s">
        <v>319</v>
      </c>
      <c r="H1305" t="s">
        <v>237</v>
      </c>
      <c r="I1305" t="b">
        <v>0</v>
      </c>
      <c r="K1305" t="s">
        <v>52</v>
      </c>
      <c r="L1305" t="s">
        <v>4648</v>
      </c>
      <c r="O1305" s="1">
        <v>46468</v>
      </c>
      <c r="P1305" t="s">
        <v>4906</v>
      </c>
      <c r="Q1305" t="s">
        <v>4907</v>
      </c>
      <c r="R1305" t="s">
        <v>63</v>
      </c>
      <c r="S1305" t="b">
        <v>0</v>
      </c>
      <c r="T1305" t="b">
        <v>0</v>
      </c>
      <c r="U1305" t="s">
        <v>4908</v>
      </c>
      <c r="V1305" t="s">
        <v>135</v>
      </c>
      <c r="W1305" t="s">
        <v>95</v>
      </c>
      <c r="X1305" t="s">
        <v>1223</v>
      </c>
      <c r="Y1305" t="s">
        <v>1224</v>
      </c>
      <c r="Z1305" t="s">
        <v>4648</v>
      </c>
      <c r="AA1305" t="b">
        <f>ISNUMBER(SEARCH(";"&amp;Lessons[[#This Row],[Instrument__c]]&amp;";",";"&amp;_xlfn.XLOOKUP(Lessons[[#This Row],[Instructor_External_Id__c]], Instructors[Id], Instructors[Instruments_Taught__c])&amp;";"))</f>
        <v>1</v>
      </c>
      <c r="AB1305" t="str">
        <f>IF(LEFT(Lessons[[#This Row],[Status__c]],9)="Cancelled","",Lessons[[#This Row],[Instructor_External_Id__c]]&amp;"|"&amp;TEXT(Lessons[[#This Row],[Lesson_Date__c]],"yyyy-mm-dd")&amp;"|"&amp;Lessons[[#This Row],[Start_Time__c]])</f>
        <v>a06ak00000amzBzAAI|2027-03-22|15:30:00.000Z</v>
      </c>
      <c r="AC1305">
        <f>IF(Lessons[[#This Row],[Double Booked Key]]="","",COUNTIF(Lessons[Double Booked Key],Lessons[[#This Row],[Double Booked Key]]))</f>
        <v>1</v>
      </c>
      <c r="AD1305" s="6" t="str">
        <f>_xlfn.XLOOKUP(Lessons[[#This Row],[Location_External_Id__c]], Locations[Location Id], Locations[Location Name])</f>
        <v>Red Bank</v>
      </c>
      <c r="AE1305" s="6" t="str">
        <f>TEXT(Lessons[[#This Row],[Lesson_Date__c]], "yyyy-mm")</f>
        <v>2027-03</v>
      </c>
      <c r="AF1305" s="6" t="str">
        <f>IF(Lessons[[#This Row],[Lesson_Date__c]]&lt;=Data_Audit!$F$1, "Yes", "No")</f>
        <v>No</v>
      </c>
    </row>
    <row r="1306" spans="1:32">
      <c r="A1306" t="s">
        <v>52</v>
      </c>
      <c r="B1306" t="s">
        <v>4648</v>
      </c>
      <c r="C1306">
        <v>45</v>
      </c>
      <c r="D1306" t="s">
        <v>4909</v>
      </c>
      <c r="E1306" t="s">
        <v>243</v>
      </c>
      <c r="F1306" t="s">
        <v>244</v>
      </c>
      <c r="H1306" t="s">
        <v>237</v>
      </c>
      <c r="I1306" t="b">
        <v>0</v>
      </c>
      <c r="K1306" t="s">
        <v>52</v>
      </c>
      <c r="L1306" t="s">
        <v>4648</v>
      </c>
      <c r="O1306" s="1">
        <v>46468</v>
      </c>
      <c r="P1306" t="s">
        <v>4910</v>
      </c>
      <c r="Q1306" t="s">
        <v>4911</v>
      </c>
      <c r="R1306" t="s">
        <v>83</v>
      </c>
      <c r="S1306" t="b">
        <v>0</v>
      </c>
      <c r="T1306" t="b">
        <v>0</v>
      </c>
      <c r="U1306" t="s">
        <v>4912</v>
      </c>
      <c r="V1306" t="s">
        <v>135</v>
      </c>
      <c r="W1306" t="s">
        <v>95</v>
      </c>
      <c r="X1306" t="s">
        <v>2745</v>
      </c>
      <c r="Y1306" t="s">
        <v>2746</v>
      </c>
      <c r="Z1306" t="s">
        <v>4648</v>
      </c>
      <c r="AA1306" t="b">
        <f>ISNUMBER(SEARCH(";"&amp;Lessons[[#This Row],[Instrument__c]]&amp;";",";"&amp;_xlfn.XLOOKUP(Lessons[[#This Row],[Instructor_External_Id__c]], Instructors[Id], Instructors[Instruments_Taught__c])&amp;";"))</f>
        <v>1</v>
      </c>
      <c r="AB1306" t="str">
        <f>IF(LEFT(Lessons[[#This Row],[Status__c]],9)="Cancelled","",Lessons[[#This Row],[Instructor_External_Id__c]]&amp;"|"&amp;TEXT(Lessons[[#This Row],[Lesson_Date__c]],"yyyy-mm-dd")&amp;"|"&amp;Lessons[[#This Row],[Start_Time__c]])</f>
        <v>a06ak00000amzC1AAI|2027-03-22|15:30:00.000Z</v>
      </c>
      <c r="AC1306">
        <f>IF(Lessons[[#This Row],[Double Booked Key]]="","",COUNTIF(Lessons[Double Booked Key],Lessons[[#This Row],[Double Booked Key]]))</f>
        <v>1</v>
      </c>
      <c r="AD1306" s="6" t="str">
        <f>_xlfn.XLOOKUP(Lessons[[#This Row],[Location_External_Id__c]], Locations[Location Id], Locations[Location Name])</f>
        <v>Brick</v>
      </c>
      <c r="AE1306" s="6" t="str">
        <f>TEXT(Lessons[[#This Row],[Lesson_Date__c]], "yyyy-mm")</f>
        <v>2027-03</v>
      </c>
      <c r="AF1306" s="6" t="str">
        <f>IF(Lessons[[#This Row],[Lesson_Date__c]]&lt;=Data_Audit!$F$1, "Yes", "No")</f>
        <v>No</v>
      </c>
    </row>
    <row r="1307" spans="1:32">
      <c r="A1307" t="s">
        <v>52</v>
      </c>
      <c r="B1307" t="s">
        <v>4648</v>
      </c>
      <c r="C1307">
        <v>45</v>
      </c>
      <c r="D1307" t="s">
        <v>4913</v>
      </c>
      <c r="E1307" t="s">
        <v>76</v>
      </c>
      <c r="F1307" t="s">
        <v>77</v>
      </c>
      <c r="H1307" t="s">
        <v>78</v>
      </c>
      <c r="I1307" t="b">
        <v>0</v>
      </c>
      <c r="K1307" t="s">
        <v>52</v>
      </c>
      <c r="L1307" t="s">
        <v>4648</v>
      </c>
      <c r="O1307" s="1">
        <v>46468</v>
      </c>
      <c r="P1307" t="s">
        <v>4914</v>
      </c>
      <c r="Q1307" t="s">
        <v>4915</v>
      </c>
      <c r="R1307" t="s">
        <v>83</v>
      </c>
      <c r="S1307" t="b">
        <v>0</v>
      </c>
      <c r="T1307" t="b">
        <v>0</v>
      </c>
      <c r="U1307" t="s">
        <v>4916</v>
      </c>
      <c r="V1307" t="s">
        <v>74</v>
      </c>
      <c r="W1307" t="s">
        <v>95</v>
      </c>
      <c r="X1307" t="s">
        <v>183</v>
      </c>
      <c r="Y1307" t="s">
        <v>184</v>
      </c>
      <c r="Z1307" t="s">
        <v>4648</v>
      </c>
      <c r="AA1307" t="b">
        <f>ISNUMBER(SEARCH(";"&amp;Lessons[[#This Row],[Instrument__c]]&amp;";",";"&amp;_xlfn.XLOOKUP(Lessons[[#This Row],[Instructor_External_Id__c]], Instructors[Id], Instructors[Instruments_Taught__c])&amp;";"))</f>
        <v>1</v>
      </c>
      <c r="AB1307" t="str">
        <f>IF(LEFT(Lessons[[#This Row],[Status__c]],9)="Cancelled","",Lessons[[#This Row],[Instructor_External_Id__c]]&amp;"|"&amp;TEXT(Lessons[[#This Row],[Lesson_Date__c]],"yyyy-mm-dd")&amp;"|"&amp;Lessons[[#This Row],[Start_Time__c]])</f>
        <v>a06ak00000amzBgAAI|2027-03-22|16:30:00.000Z</v>
      </c>
      <c r="AC1307">
        <f>IF(Lessons[[#This Row],[Double Booked Key]]="","",COUNTIF(Lessons[Double Booked Key],Lessons[[#This Row],[Double Booked Key]]))</f>
        <v>1</v>
      </c>
      <c r="AD1307" s="6" t="str">
        <f>_xlfn.XLOOKUP(Lessons[[#This Row],[Location_External_Id__c]], Locations[Location Id], Locations[Location Name])</f>
        <v>Brick</v>
      </c>
      <c r="AE1307" s="6" t="str">
        <f>TEXT(Lessons[[#This Row],[Lesson_Date__c]], "yyyy-mm")</f>
        <v>2027-03</v>
      </c>
      <c r="AF1307" s="6" t="str">
        <f>IF(Lessons[[#This Row],[Lesson_Date__c]]&lt;=Data_Audit!$F$1, "Yes", "No")</f>
        <v>No</v>
      </c>
    </row>
    <row r="1308" spans="1:32">
      <c r="A1308" t="s">
        <v>52</v>
      </c>
      <c r="B1308" t="s">
        <v>4648</v>
      </c>
      <c r="C1308">
        <v>30</v>
      </c>
      <c r="D1308" t="s">
        <v>4917</v>
      </c>
      <c r="E1308" t="s">
        <v>243</v>
      </c>
      <c r="F1308" t="s">
        <v>244</v>
      </c>
      <c r="H1308" t="s">
        <v>650</v>
      </c>
      <c r="I1308" t="b">
        <v>0</v>
      </c>
      <c r="K1308" t="s">
        <v>52</v>
      </c>
      <c r="L1308" t="s">
        <v>4648</v>
      </c>
      <c r="O1308" s="1">
        <v>46468</v>
      </c>
      <c r="P1308" t="s">
        <v>4918</v>
      </c>
      <c r="Q1308" t="s">
        <v>4919</v>
      </c>
      <c r="R1308" t="s">
        <v>83</v>
      </c>
      <c r="S1308" t="b">
        <v>0</v>
      </c>
      <c r="T1308" t="b">
        <v>0</v>
      </c>
      <c r="U1308" t="s">
        <v>4920</v>
      </c>
      <c r="V1308" t="s">
        <v>74</v>
      </c>
      <c r="W1308" t="s">
        <v>95</v>
      </c>
      <c r="X1308" t="s">
        <v>2521</v>
      </c>
      <c r="Y1308" t="s">
        <v>2522</v>
      </c>
      <c r="Z1308" t="s">
        <v>4648</v>
      </c>
      <c r="AA1308" t="b">
        <f>ISNUMBER(SEARCH(";"&amp;Lessons[[#This Row],[Instrument__c]]&amp;";",";"&amp;_xlfn.XLOOKUP(Lessons[[#This Row],[Instructor_External_Id__c]], Instructors[Id], Instructors[Instruments_Taught__c])&amp;";"))</f>
        <v>1</v>
      </c>
      <c r="AB1308" t="str">
        <f>IF(LEFT(Lessons[[#This Row],[Status__c]],9)="Cancelled","",Lessons[[#This Row],[Instructor_External_Id__c]]&amp;"|"&amp;TEXT(Lessons[[#This Row],[Lesson_Date__c]],"yyyy-mm-dd")&amp;"|"&amp;Lessons[[#This Row],[Start_Time__c]])</f>
        <v>a06ak00000amzC1AAI|2027-03-22|16:30:00.000Z</v>
      </c>
      <c r="AC1308">
        <f>IF(Lessons[[#This Row],[Double Booked Key]]="","",COUNTIF(Lessons[Double Booked Key],Lessons[[#This Row],[Double Booked Key]]))</f>
        <v>1</v>
      </c>
      <c r="AD1308" s="6" t="str">
        <f>_xlfn.XLOOKUP(Lessons[[#This Row],[Location_External_Id__c]], Locations[Location Id], Locations[Location Name])</f>
        <v>Brick</v>
      </c>
      <c r="AE1308" s="6" t="str">
        <f>TEXT(Lessons[[#This Row],[Lesson_Date__c]], "yyyy-mm")</f>
        <v>2027-03</v>
      </c>
      <c r="AF1308" s="6" t="str">
        <f>IF(Lessons[[#This Row],[Lesson_Date__c]]&lt;=Data_Audit!$F$1, "Yes", "No")</f>
        <v>No</v>
      </c>
    </row>
    <row r="1309" spans="1:32">
      <c r="A1309" t="s">
        <v>52</v>
      </c>
      <c r="B1309" t="s">
        <v>4648</v>
      </c>
      <c r="C1309">
        <v>45</v>
      </c>
      <c r="D1309" t="s">
        <v>4921</v>
      </c>
      <c r="E1309" t="s">
        <v>359</v>
      </c>
      <c r="F1309" t="s">
        <v>360</v>
      </c>
      <c r="H1309" t="s">
        <v>78</v>
      </c>
      <c r="I1309" t="b">
        <v>0</v>
      </c>
      <c r="K1309" t="s">
        <v>52</v>
      </c>
      <c r="L1309" t="s">
        <v>4648</v>
      </c>
      <c r="O1309" s="1">
        <v>46468</v>
      </c>
      <c r="P1309" t="s">
        <v>4922</v>
      </c>
      <c r="Q1309" t="s">
        <v>4923</v>
      </c>
      <c r="R1309" t="s">
        <v>63</v>
      </c>
      <c r="S1309" t="b">
        <v>0</v>
      </c>
      <c r="T1309" t="b">
        <v>0</v>
      </c>
      <c r="U1309" t="s">
        <v>4924</v>
      </c>
      <c r="V1309" t="s">
        <v>128</v>
      </c>
      <c r="W1309" t="s">
        <v>95</v>
      </c>
      <c r="X1309" t="s">
        <v>667</v>
      </c>
      <c r="Y1309" t="s">
        <v>668</v>
      </c>
      <c r="Z1309" t="s">
        <v>4648</v>
      </c>
      <c r="AA1309" t="b">
        <f>ISNUMBER(SEARCH(";"&amp;Lessons[[#This Row],[Instrument__c]]&amp;";",";"&amp;_xlfn.XLOOKUP(Lessons[[#This Row],[Instructor_External_Id__c]], Instructors[Id], Instructors[Instruments_Taught__c])&amp;";"))</f>
        <v>1</v>
      </c>
      <c r="AB1309" t="str">
        <f>IF(LEFT(Lessons[[#This Row],[Status__c]],9)="Cancelled","",Lessons[[#This Row],[Instructor_External_Id__c]]&amp;"|"&amp;TEXT(Lessons[[#This Row],[Lesson_Date__c]],"yyyy-mm-dd")&amp;"|"&amp;Lessons[[#This Row],[Start_Time__c]])</f>
        <v>a06ak00000amzBiAAI|2027-03-22|18:30:00.000Z</v>
      </c>
      <c r="AC1309">
        <f>IF(Lessons[[#This Row],[Double Booked Key]]="","",COUNTIF(Lessons[Double Booked Key],Lessons[[#This Row],[Double Booked Key]]))</f>
        <v>1</v>
      </c>
      <c r="AD1309" s="6" t="str">
        <f>_xlfn.XLOOKUP(Lessons[[#This Row],[Location_External_Id__c]], Locations[Location Id], Locations[Location Name])</f>
        <v>Red Bank</v>
      </c>
      <c r="AE1309" s="6" t="str">
        <f>TEXT(Lessons[[#This Row],[Lesson_Date__c]], "yyyy-mm")</f>
        <v>2027-03</v>
      </c>
      <c r="AF1309" s="6" t="str">
        <f>IF(Lessons[[#This Row],[Lesson_Date__c]]&lt;=Data_Audit!$F$1, "Yes", "No")</f>
        <v>No</v>
      </c>
    </row>
    <row r="1310" spans="1:32">
      <c r="A1310" t="s">
        <v>52</v>
      </c>
      <c r="B1310" t="s">
        <v>4648</v>
      </c>
      <c r="C1310">
        <v>30</v>
      </c>
      <c r="D1310" t="s">
        <v>4925</v>
      </c>
      <c r="E1310" t="s">
        <v>243</v>
      </c>
      <c r="F1310" t="s">
        <v>244</v>
      </c>
      <c r="H1310" t="s">
        <v>237</v>
      </c>
      <c r="I1310" t="b">
        <v>0</v>
      </c>
      <c r="K1310" t="s">
        <v>52</v>
      </c>
      <c r="L1310" t="s">
        <v>4648</v>
      </c>
      <c r="O1310" s="1">
        <v>46468</v>
      </c>
      <c r="P1310" t="s">
        <v>4926</v>
      </c>
      <c r="Q1310" t="s">
        <v>4927</v>
      </c>
      <c r="R1310" t="s">
        <v>150</v>
      </c>
      <c r="S1310" t="b">
        <v>0</v>
      </c>
      <c r="T1310" t="b">
        <v>0</v>
      </c>
      <c r="U1310" t="s">
        <v>4928</v>
      </c>
      <c r="V1310" t="s">
        <v>94</v>
      </c>
      <c r="W1310" t="s">
        <v>95</v>
      </c>
      <c r="X1310" t="s">
        <v>325</v>
      </c>
      <c r="Y1310" t="s">
        <v>326</v>
      </c>
      <c r="Z1310" t="s">
        <v>4648</v>
      </c>
      <c r="AA1310" t="b">
        <f>ISNUMBER(SEARCH(";"&amp;Lessons[[#This Row],[Instrument__c]]&amp;";",";"&amp;_xlfn.XLOOKUP(Lessons[[#This Row],[Instructor_External_Id__c]], Instructors[Id], Instructors[Instruments_Taught__c])&amp;";"))</f>
        <v>1</v>
      </c>
      <c r="AB1310" t="str">
        <f>IF(LEFT(Lessons[[#This Row],[Status__c]],9)="Cancelled","",Lessons[[#This Row],[Instructor_External_Id__c]]&amp;"|"&amp;TEXT(Lessons[[#This Row],[Lesson_Date__c]],"yyyy-mm-dd")&amp;"|"&amp;Lessons[[#This Row],[Start_Time__c]])</f>
        <v>a06ak00000amzC1AAI|2027-03-22|19:00:00.000Z</v>
      </c>
      <c r="AC1310">
        <f>IF(Lessons[[#This Row],[Double Booked Key]]="","",COUNTIF(Lessons[Double Booked Key],Lessons[[#This Row],[Double Booked Key]]))</f>
        <v>1</v>
      </c>
      <c r="AD1310" s="6" t="str">
        <f>_xlfn.XLOOKUP(Lessons[[#This Row],[Location_External_Id__c]], Locations[Location Id], Locations[Location Name])</f>
        <v>Toms River</v>
      </c>
      <c r="AE1310" s="6" t="str">
        <f>TEXT(Lessons[[#This Row],[Lesson_Date__c]], "yyyy-mm")</f>
        <v>2027-03</v>
      </c>
      <c r="AF1310" s="6" t="str">
        <f>IF(Lessons[[#This Row],[Lesson_Date__c]]&lt;=Data_Audit!$F$1, "Yes", "No")</f>
        <v>No</v>
      </c>
    </row>
    <row r="1311" spans="1:32">
      <c r="A1311" t="s">
        <v>52</v>
      </c>
      <c r="B1311" t="s">
        <v>4648</v>
      </c>
      <c r="C1311">
        <v>45</v>
      </c>
      <c r="D1311" t="s">
        <v>4929</v>
      </c>
      <c r="E1311" t="s">
        <v>337</v>
      </c>
      <c r="F1311" t="s">
        <v>338</v>
      </c>
      <c r="H1311" t="s">
        <v>284</v>
      </c>
      <c r="I1311" t="b">
        <v>0</v>
      </c>
      <c r="K1311" t="s">
        <v>52</v>
      </c>
      <c r="L1311" t="s">
        <v>4648</v>
      </c>
      <c r="O1311" s="1">
        <v>46468</v>
      </c>
      <c r="P1311" t="s">
        <v>4930</v>
      </c>
      <c r="Q1311" t="s">
        <v>4931</v>
      </c>
      <c r="R1311" t="s">
        <v>150</v>
      </c>
      <c r="S1311" t="b">
        <v>0</v>
      </c>
      <c r="T1311" t="b">
        <v>0</v>
      </c>
      <c r="U1311" t="s">
        <v>4932</v>
      </c>
      <c r="V1311" t="s">
        <v>94</v>
      </c>
      <c r="W1311" t="s">
        <v>95</v>
      </c>
      <c r="X1311" t="s">
        <v>341</v>
      </c>
      <c r="Y1311" t="s">
        <v>342</v>
      </c>
      <c r="Z1311" t="s">
        <v>4648</v>
      </c>
      <c r="AA1311" t="b">
        <f>ISNUMBER(SEARCH(";"&amp;Lessons[[#This Row],[Instrument__c]]&amp;";",";"&amp;_xlfn.XLOOKUP(Lessons[[#This Row],[Instructor_External_Id__c]], Instructors[Id], Instructors[Instruments_Taught__c])&amp;";"))</f>
        <v>1</v>
      </c>
      <c r="AB1311" t="str">
        <f>IF(LEFT(Lessons[[#This Row],[Status__c]],9)="Cancelled","",Lessons[[#This Row],[Instructor_External_Id__c]]&amp;"|"&amp;TEXT(Lessons[[#This Row],[Lesson_Date__c]],"yyyy-mm-dd")&amp;"|"&amp;Lessons[[#This Row],[Start_Time__c]])</f>
        <v>a06ak00000amzCIAAY|2027-03-22|19:00:00.000Z</v>
      </c>
      <c r="AC1311">
        <f>IF(Lessons[[#This Row],[Double Booked Key]]="","",COUNTIF(Lessons[Double Booked Key],Lessons[[#This Row],[Double Booked Key]]))</f>
        <v>1</v>
      </c>
      <c r="AD1311" s="6" t="str">
        <f>_xlfn.XLOOKUP(Lessons[[#This Row],[Location_External_Id__c]], Locations[Location Id], Locations[Location Name])</f>
        <v>Toms River</v>
      </c>
      <c r="AE1311" s="6" t="str">
        <f>TEXT(Lessons[[#This Row],[Lesson_Date__c]], "yyyy-mm")</f>
        <v>2027-03</v>
      </c>
      <c r="AF1311" s="6" t="str">
        <f>IF(Lessons[[#This Row],[Lesson_Date__c]]&lt;=Data_Audit!$F$1, "Yes", "No")</f>
        <v>No</v>
      </c>
    </row>
    <row r="1312" spans="1:32">
      <c r="A1312" t="s">
        <v>52</v>
      </c>
      <c r="B1312" t="s">
        <v>4648</v>
      </c>
      <c r="C1312">
        <v>30</v>
      </c>
      <c r="D1312" t="s">
        <v>4933</v>
      </c>
      <c r="E1312" t="s">
        <v>804</v>
      </c>
      <c r="F1312" t="s">
        <v>805</v>
      </c>
      <c r="H1312" t="s">
        <v>147</v>
      </c>
      <c r="I1312" t="b">
        <v>0</v>
      </c>
      <c r="K1312" t="s">
        <v>52</v>
      </c>
      <c r="L1312" t="s">
        <v>4648</v>
      </c>
      <c r="O1312" s="1">
        <v>46469</v>
      </c>
      <c r="P1312" t="s">
        <v>4934</v>
      </c>
      <c r="Q1312" t="s">
        <v>4935</v>
      </c>
      <c r="R1312" t="s">
        <v>63</v>
      </c>
      <c r="S1312" t="b">
        <v>0</v>
      </c>
      <c r="T1312" t="b">
        <v>0</v>
      </c>
      <c r="U1312" t="s">
        <v>4936</v>
      </c>
      <c r="V1312" t="s">
        <v>135</v>
      </c>
      <c r="W1312" t="s">
        <v>95</v>
      </c>
      <c r="X1312" t="s">
        <v>2688</v>
      </c>
      <c r="Y1312" t="s">
        <v>2689</v>
      </c>
      <c r="Z1312" t="s">
        <v>4648</v>
      </c>
      <c r="AA1312" t="b">
        <f>ISNUMBER(SEARCH(";"&amp;Lessons[[#This Row],[Instrument__c]]&amp;";",";"&amp;_xlfn.XLOOKUP(Lessons[[#This Row],[Instructor_External_Id__c]], Instructors[Id], Instructors[Instruments_Taught__c])&amp;";"))</f>
        <v>1</v>
      </c>
      <c r="AB1312" t="str">
        <f>IF(LEFT(Lessons[[#This Row],[Status__c]],9)="Cancelled","",Lessons[[#This Row],[Instructor_External_Id__c]]&amp;"|"&amp;TEXT(Lessons[[#This Row],[Lesson_Date__c]],"yyyy-mm-dd")&amp;"|"&amp;Lessons[[#This Row],[Start_Time__c]])</f>
        <v>a06ak00000amzCBAAY|2027-03-23|15:30:00.000Z</v>
      </c>
      <c r="AC1312">
        <f>IF(Lessons[[#This Row],[Double Booked Key]]="","",COUNTIF(Lessons[Double Booked Key],Lessons[[#This Row],[Double Booked Key]]))</f>
        <v>1</v>
      </c>
      <c r="AD1312" s="6" t="str">
        <f>_xlfn.XLOOKUP(Lessons[[#This Row],[Location_External_Id__c]], Locations[Location Id], Locations[Location Name])</f>
        <v>Red Bank</v>
      </c>
      <c r="AE1312" s="6" t="str">
        <f>TEXT(Lessons[[#This Row],[Lesson_Date__c]], "yyyy-mm")</f>
        <v>2027-03</v>
      </c>
      <c r="AF1312" s="6" t="str">
        <f>IF(Lessons[[#This Row],[Lesson_Date__c]]&lt;=Data_Audit!$F$1, "Yes", "No")</f>
        <v>No</v>
      </c>
    </row>
    <row r="1313" spans="1:32">
      <c r="A1313" t="s">
        <v>52</v>
      </c>
      <c r="B1313" t="s">
        <v>4648</v>
      </c>
      <c r="C1313">
        <v>45</v>
      </c>
      <c r="D1313" t="s">
        <v>4937</v>
      </c>
      <c r="E1313" t="s">
        <v>804</v>
      </c>
      <c r="F1313" t="s">
        <v>805</v>
      </c>
      <c r="H1313" t="s">
        <v>527</v>
      </c>
      <c r="I1313" t="b">
        <v>0</v>
      </c>
      <c r="K1313" t="s">
        <v>52</v>
      </c>
      <c r="L1313" t="s">
        <v>4648</v>
      </c>
      <c r="O1313" s="1">
        <v>46469</v>
      </c>
      <c r="P1313" t="s">
        <v>4938</v>
      </c>
      <c r="Q1313" t="s">
        <v>4939</v>
      </c>
      <c r="R1313" t="s">
        <v>63</v>
      </c>
      <c r="S1313" t="b">
        <v>0</v>
      </c>
      <c r="T1313" t="b">
        <v>0</v>
      </c>
      <c r="U1313" t="s">
        <v>4940</v>
      </c>
      <c r="V1313" t="s">
        <v>74</v>
      </c>
      <c r="W1313" t="s">
        <v>95</v>
      </c>
      <c r="X1313" t="s">
        <v>1293</v>
      </c>
      <c r="Y1313" t="s">
        <v>1294</v>
      </c>
      <c r="Z1313" t="s">
        <v>4648</v>
      </c>
      <c r="AA1313" t="b">
        <f>ISNUMBER(SEARCH(";"&amp;Lessons[[#This Row],[Instrument__c]]&amp;";",";"&amp;_xlfn.XLOOKUP(Lessons[[#This Row],[Instructor_External_Id__c]], Instructors[Id], Instructors[Instruments_Taught__c])&amp;";"))</f>
        <v>1</v>
      </c>
      <c r="AB1313" t="str">
        <f>IF(LEFT(Lessons[[#This Row],[Status__c]],9)="Cancelled","",Lessons[[#This Row],[Instructor_External_Id__c]]&amp;"|"&amp;TEXT(Lessons[[#This Row],[Lesson_Date__c]],"yyyy-mm-dd")&amp;"|"&amp;Lessons[[#This Row],[Start_Time__c]])</f>
        <v>a06ak00000amzCBAAY|2027-03-23|16:30:00.000Z</v>
      </c>
      <c r="AC1313">
        <f>IF(Lessons[[#This Row],[Double Booked Key]]="","",COUNTIF(Lessons[Double Booked Key],Lessons[[#This Row],[Double Booked Key]]))</f>
        <v>1</v>
      </c>
      <c r="AD1313" s="6" t="str">
        <f>_xlfn.XLOOKUP(Lessons[[#This Row],[Location_External_Id__c]], Locations[Location Id], Locations[Location Name])</f>
        <v>Red Bank</v>
      </c>
      <c r="AE1313" s="6" t="str">
        <f>TEXT(Lessons[[#This Row],[Lesson_Date__c]], "yyyy-mm")</f>
        <v>2027-03</v>
      </c>
      <c r="AF1313" s="6" t="str">
        <f>IF(Lessons[[#This Row],[Lesson_Date__c]]&lt;=Data_Audit!$F$1, "Yes", "No")</f>
        <v>No</v>
      </c>
    </row>
    <row r="1314" spans="1:32">
      <c r="A1314" t="s">
        <v>52</v>
      </c>
      <c r="B1314" t="s">
        <v>4648</v>
      </c>
      <c r="C1314">
        <v>30</v>
      </c>
      <c r="D1314" t="s">
        <v>4941</v>
      </c>
      <c r="E1314" t="s">
        <v>944</v>
      </c>
      <c r="F1314" t="s">
        <v>945</v>
      </c>
      <c r="H1314" t="s">
        <v>107</v>
      </c>
      <c r="I1314" t="b">
        <v>0</v>
      </c>
      <c r="K1314" t="s">
        <v>52</v>
      </c>
      <c r="L1314" t="s">
        <v>4648</v>
      </c>
      <c r="O1314" s="1">
        <v>46469</v>
      </c>
      <c r="P1314" t="s">
        <v>4942</v>
      </c>
      <c r="Q1314" t="s">
        <v>4943</v>
      </c>
      <c r="R1314" t="s">
        <v>63</v>
      </c>
      <c r="S1314" t="b">
        <v>0</v>
      </c>
      <c r="T1314" t="b">
        <v>0</v>
      </c>
      <c r="U1314" t="s">
        <v>4944</v>
      </c>
      <c r="V1314" t="s">
        <v>120</v>
      </c>
      <c r="W1314" t="s">
        <v>95</v>
      </c>
      <c r="X1314" t="s">
        <v>2717</v>
      </c>
      <c r="Y1314" t="s">
        <v>2718</v>
      </c>
      <c r="Z1314" t="s">
        <v>4648</v>
      </c>
      <c r="AA1314" t="b">
        <f>ISNUMBER(SEARCH(";"&amp;Lessons[[#This Row],[Instrument__c]]&amp;";",";"&amp;_xlfn.XLOOKUP(Lessons[[#This Row],[Instructor_External_Id__c]], Instructors[Id], Instructors[Instruments_Taught__c])&amp;";"))</f>
        <v>1</v>
      </c>
      <c r="AB1314" t="str">
        <f>IF(LEFT(Lessons[[#This Row],[Status__c]],9)="Cancelled","",Lessons[[#This Row],[Instructor_External_Id__c]]&amp;"|"&amp;TEXT(Lessons[[#This Row],[Lesson_Date__c]],"yyyy-mm-dd")&amp;"|"&amp;Lessons[[#This Row],[Start_Time__c]])</f>
        <v>a06ak00000amzBtAAI|2027-03-23|18:00:00.000Z</v>
      </c>
      <c r="AC1314">
        <f>IF(Lessons[[#This Row],[Double Booked Key]]="","",COUNTIF(Lessons[Double Booked Key],Lessons[[#This Row],[Double Booked Key]]))</f>
        <v>1</v>
      </c>
      <c r="AD1314" s="6" t="str">
        <f>_xlfn.XLOOKUP(Lessons[[#This Row],[Location_External_Id__c]], Locations[Location Id], Locations[Location Name])</f>
        <v>Red Bank</v>
      </c>
      <c r="AE1314" s="6" t="str">
        <f>TEXT(Lessons[[#This Row],[Lesson_Date__c]], "yyyy-mm")</f>
        <v>2027-03</v>
      </c>
      <c r="AF1314" s="6" t="str">
        <f>IF(Lessons[[#This Row],[Lesson_Date__c]]&lt;=Data_Audit!$F$1, "Yes", "No")</f>
        <v>No</v>
      </c>
    </row>
    <row r="1315" spans="1:32">
      <c r="A1315" t="s">
        <v>52</v>
      </c>
      <c r="B1315" t="s">
        <v>4648</v>
      </c>
      <c r="C1315">
        <v>45</v>
      </c>
      <c r="D1315" t="s">
        <v>4945</v>
      </c>
      <c r="E1315" t="s">
        <v>548</v>
      </c>
      <c r="F1315" t="s">
        <v>549</v>
      </c>
      <c r="H1315" t="s">
        <v>203</v>
      </c>
      <c r="I1315" t="b">
        <v>0</v>
      </c>
      <c r="K1315" t="s">
        <v>52</v>
      </c>
      <c r="L1315" t="s">
        <v>4648</v>
      </c>
      <c r="O1315" s="1">
        <v>46469</v>
      </c>
      <c r="P1315" t="s">
        <v>4946</v>
      </c>
      <c r="Q1315" t="s">
        <v>4947</v>
      </c>
      <c r="R1315" t="s">
        <v>83</v>
      </c>
      <c r="S1315" t="b">
        <v>0</v>
      </c>
      <c r="T1315" t="b">
        <v>0</v>
      </c>
      <c r="U1315" t="s">
        <v>4948</v>
      </c>
      <c r="V1315" t="s">
        <v>128</v>
      </c>
      <c r="W1315" t="s">
        <v>95</v>
      </c>
      <c r="X1315" t="s">
        <v>552</v>
      </c>
      <c r="Y1315" t="s">
        <v>553</v>
      </c>
      <c r="Z1315" t="s">
        <v>4648</v>
      </c>
      <c r="AA1315" t="b">
        <f>ISNUMBER(SEARCH(";"&amp;Lessons[[#This Row],[Instrument__c]]&amp;";",";"&amp;_xlfn.XLOOKUP(Lessons[[#This Row],[Instructor_External_Id__c]], Instructors[Id], Instructors[Instruments_Taught__c])&amp;";"))</f>
        <v>1</v>
      </c>
      <c r="AB1315" t="str">
        <f>IF(LEFT(Lessons[[#This Row],[Status__c]],9)="Cancelled","",Lessons[[#This Row],[Instructor_External_Id__c]]&amp;"|"&amp;TEXT(Lessons[[#This Row],[Lesson_Date__c]],"yyyy-mm-dd")&amp;"|"&amp;Lessons[[#This Row],[Start_Time__c]])</f>
        <v>a06ak00000amzCHAAY|2027-03-23|18:30:00.000Z</v>
      </c>
      <c r="AC1315">
        <f>IF(Lessons[[#This Row],[Double Booked Key]]="","",COUNTIF(Lessons[Double Booked Key],Lessons[[#This Row],[Double Booked Key]]))</f>
        <v>1</v>
      </c>
      <c r="AD1315" s="6" t="str">
        <f>_xlfn.XLOOKUP(Lessons[[#This Row],[Location_External_Id__c]], Locations[Location Id], Locations[Location Name])</f>
        <v>Brick</v>
      </c>
      <c r="AE1315" s="6" t="str">
        <f>TEXT(Lessons[[#This Row],[Lesson_Date__c]], "yyyy-mm")</f>
        <v>2027-03</v>
      </c>
      <c r="AF1315" s="6" t="str">
        <f>IF(Lessons[[#This Row],[Lesson_Date__c]]&lt;=Data_Audit!$F$1, "Yes", "No")</f>
        <v>No</v>
      </c>
    </row>
    <row r="1316" spans="1:32">
      <c r="A1316" t="s">
        <v>52</v>
      </c>
      <c r="B1316" t="s">
        <v>4648</v>
      </c>
      <c r="C1316">
        <v>60</v>
      </c>
      <c r="D1316" t="s">
        <v>4949</v>
      </c>
      <c r="E1316" t="s">
        <v>436</v>
      </c>
      <c r="F1316" t="s">
        <v>437</v>
      </c>
      <c r="H1316" t="s">
        <v>461</v>
      </c>
      <c r="I1316" t="b">
        <v>0</v>
      </c>
      <c r="K1316" t="s">
        <v>52</v>
      </c>
      <c r="L1316" t="s">
        <v>4648</v>
      </c>
      <c r="O1316" s="1">
        <v>46470</v>
      </c>
      <c r="P1316" t="s">
        <v>4950</v>
      </c>
      <c r="Q1316" t="s">
        <v>4951</v>
      </c>
      <c r="R1316" t="s">
        <v>63</v>
      </c>
      <c r="S1316" t="b">
        <v>0</v>
      </c>
      <c r="T1316" t="b">
        <v>0</v>
      </c>
      <c r="U1316" t="s">
        <v>4952</v>
      </c>
      <c r="V1316" t="s">
        <v>102</v>
      </c>
      <c r="W1316" t="s">
        <v>95</v>
      </c>
      <c r="X1316" t="s">
        <v>507</v>
      </c>
      <c r="Y1316" t="s">
        <v>508</v>
      </c>
      <c r="Z1316" t="s">
        <v>4648</v>
      </c>
      <c r="AA1316" t="b">
        <f>ISNUMBER(SEARCH(";"&amp;Lessons[[#This Row],[Instrument__c]]&amp;";",";"&amp;_xlfn.XLOOKUP(Lessons[[#This Row],[Instructor_External_Id__c]], Instructors[Id], Instructors[Instruments_Taught__c])&amp;";"))</f>
        <v>1</v>
      </c>
      <c r="AB1316" t="str">
        <f>IF(LEFT(Lessons[[#This Row],[Status__c]],9)="Cancelled","",Lessons[[#This Row],[Instructor_External_Id__c]]&amp;"|"&amp;TEXT(Lessons[[#This Row],[Lesson_Date__c]],"yyyy-mm-dd")&amp;"|"&amp;Lessons[[#This Row],[Start_Time__c]])</f>
        <v>a06ak00000amzC0AAI|2027-03-24|16:00:00.000Z</v>
      </c>
      <c r="AC1316">
        <f>IF(Lessons[[#This Row],[Double Booked Key]]="","",COUNTIF(Lessons[Double Booked Key],Lessons[[#This Row],[Double Booked Key]]))</f>
        <v>1</v>
      </c>
      <c r="AD1316" s="6" t="str">
        <f>_xlfn.XLOOKUP(Lessons[[#This Row],[Location_External_Id__c]], Locations[Location Id], Locations[Location Name])</f>
        <v>Red Bank</v>
      </c>
      <c r="AE1316" s="6" t="str">
        <f>TEXT(Lessons[[#This Row],[Lesson_Date__c]], "yyyy-mm")</f>
        <v>2027-03</v>
      </c>
      <c r="AF1316" s="6" t="str">
        <f>IF(Lessons[[#This Row],[Lesson_Date__c]]&lt;=Data_Audit!$F$1, "Yes", "No")</f>
        <v>No</v>
      </c>
    </row>
    <row r="1317" spans="1:32">
      <c r="A1317" t="s">
        <v>52</v>
      </c>
      <c r="B1317" t="s">
        <v>4648</v>
      </c>
      <c r="C1317">
        <v>45</v>
      </c>
      <c r="D1317" t="s">
        <v>4953</v>
      </c>
      <c r="E1317" t="s">
        <v>436</v>
      </c>
      <c r="F1317" t="s">
        <v>437</v>
      </c>
      <c r="H1317" t="s">
        <v>263</v>
      </c>
      <c r="I1317" t="b">
        <v>0</v>
      </c>
      <c r="K1317" t="s">
        <v>52</v>
      </c>
      <c r="L1317" t="s">
        <v>4648</v>
      </c>
      <c r="M1317" t="s">
        <v>4954</v>
      </c>
      <c r="N1317" t="s">
        <v>4954</v>
      </c>
      <c r="O1317" s="1">
        <v>46470</v>
      </c>
      <c r="P1317" t="s">
        <v>4955</v>
      </c>
      <c r="Q1317" t="s">
        <v>4956</v>
      </c>
      <c r="R1317" t="s">
        <v>63</v>
      </c>
      <c r="S1317" t="b">
        <v>0</v>
      </c>
      <c r="T1317" t="b">
        <v>0</v>
      </c>
      <c r="U1317" t="s">
        <v>4957</v>
      </c>
      <c r="V1317" t="s">
        <v>84</v>
      </c>
      <c r="W1317" t="s">
        <v>95</v>
      </c>
      <c r="X1317" t="s">
        <v>1142</v>
      </c>
      <c r="Y1317" t="s">
        <v>1143</v>
      </c>
      <c r="Z1317" t="s">
        <v>4648</v>
      </c>
      <c r="AA1317" t="b">
        <f>ISNUMBER(SEARCH(";"&amp;Lessons[[#This Row],[Instrument__c]]&amp;";",";"&amp;_xlfn.XLOOKUP(Lessons[[#This Row],[Instructor_External_Id__c]], Instructors[Id], Instructors[Instruments_Taught__c])&amp;";"))</f>
        <v>1</v>
      </c>
      <c r="AB1317" t="str">
        <f>IF(LEFT(Lessons[[#This Row],[Status__c]],9)="Cancelled","",Lessons[[#This Row],[Instructor_External_Id__c]]&amp;"|"&amp;TEXT(Lessons[[#This Row],[Lesson_Date__c]],"yyyy-mm-dd")&amp;"|"&amp;Lessons[[#This Row],[Start_Time__c]])</f>
        <v>a06ak00000amzC0AAI|2027-03-24|17:00:00.000Z</v>
      </c>
      <c r="AC1317">
        <f>IF(Lessons[[#This Row],[Double Booked Key]]="","",COUNTIF(Lessons[Double Booked Key],Lessons[[#This Row],[Double Booked Key]]))</f>
        <v>1</v>
      </c>
      <c r="AD1317" s="6" t="str">
        <f>_xlfn.XLOOKUP(Lessons[[#This Row],[Location_External_Id__c]], Locations[Location Id], Locations[Location Name])</f>
        <v>Red Bank</v>
      </c>
      <c r="AE1317" s="6" t="str">
        <f>TEXT(Lessons[[#This Row],[Lesson_Date__c]], "yyyy-mm")</f>
        <v>2027-03</v>
      </c>
      <c r="AF1317" s="6" t="str">
        <f>IF(Lessons[[#This Row],[Lesson_Date__c]]&lt;=Data_Audit!$F$1, "Yes", "No")</f>
        <v>No</v>
      </c>
    </row>
    <row r="1318" spans="1:32">
      <c r="A1318" t="s">
        <v>52</v>
      </c>
      <c r="B1318" t="s">
        <v>4648</v>
      </c>
      <c r="C1318">
        <v>30</v>
      </c>
      <c r="D1318" t="s">
        <v>4958</v>
      </c>
      <c r="E1318" t="s">
        <v>359</v>
      </c>
      <c r="F1318" t="s">
        <v>360</v>
      </c>
      <c r="H1318" t="s">
        <v>284</v>
      </c>
      <c r="I1318" t="b">
        <v>0</v>
      </c>
      <c r="K1318" t="s">
        <v>52</v>
      </c>
      <c r="L1318" t="s">
        <v>4648</v>
      </c>
      <c r="O1318" s="1">
        <v>46471</v>
      </c>
      <c r="P1318" t="s">
        <v>4959</v>
      </c>
      <c r="Q1318" t="s">
        <v>4960</v>
      </c>
      <c r="R1318" t="s">
        <v>63</v>
      </c>
      <c r="S1318" t="b">
        <v>0</v>
      </c>
      <c r="T1318" t="b">
        <v>0</v>
      </c>
      <c r="U1318" t="s">
        <v>4961</v>
      </c>
      <c r="V1318" t="s">
        <v>135</v>
      </c>
      <c r="W1318" t="s">
        <v>95</v>
      </c>
      <c r="X1318" t="s">
        <v>866</v>
      </c>
      <c r="Y1318" t="s">
        <v>867</v>
      </c>
      <c r="Z1318" t="s">
        <v>4648</v>
      </c>
      <c r="AA1318" t="b">
        <f>ISNUMBER(SEARCH(";"&amp;Lessons[[#This Row],[Instrument__c]]&amp;";",";"&amp;_xlfn.XLOOKUP(Lessons[[#This Row],[Instructor_External_Id__c]], Instructors[Id], Instructors[Instruments_Taught__c])&amp;";"))</f>
        <v>1</v>
      </c>
      <c r="AB1318" t="str">
        <f>IF(LEFT(Lessons[[#This Row],[Status__c]],9)="Cancelled","",Lessons[[#This Row],[Instructor_External_Id__c]]&amp;"|"&amp;TEXT(Lessons[[#This Row],[Lesson_Date__c]],"yyyy-mm-dd")&amp;"|"&amp;Lessons[[#This Row],[Start_Time__c]])</f>
        <v>a06ak00000amzBiAAI|2027-03-25|15:30:00.000Z</v>
      </c>
      <c r="AC1318">
        <f>IF(Lessons[[#This Row],[Double Booked Key]]="","",COUNTIF(Lessons[Double Booked Key],Lessons[[#This Row],[Double Booked Key]]))</f>
        <v>1</v>
      </c>
      <c r="AD1318" s="6" t="str">
        <f>_xlfn.XLOOKUP(Lessons[[#This Row],[Location_External_Id__c]], Locations[Location Id], Locations[Location Name])</f>
        <v>Red Bank</v>
      </c>
      <c r="AE1318" s="6" t="str">
        <f>TEXT(Lessons[[#This Row],[Lesson_Date__c]], "yyyy-mm")</f>
        <v>2027-03</v>
      </c>
      <c r="AF1318" s="6" t="str">
        <f>IF(Lessons[[#This Row],[Lesson_Date__c]]&lt;=Data_Audit!$F$1, "Yes", "No")</f>
        <v>No</v>
      </c>
    </row>
    <row r="1319" spans="1:32">
      <c r="A1319" t="s">
        <v>52</v>
      </c>
      <c r="B1319" t="s">
        <v>4648</v>
      </c>
      <c r="C1319">
        <v>45</v>
      </c>
      <c r="D1319" t="s">
        <v>4962</v>
      </c>
      <c r="E1319" t="s">
        <v>548</v>
      </c>
      <c r="F1319" t="s">
        <v>549</v>
      </c>
      <c r="H1319" t="s">
        <v>203</v>
      </c>
      <c r="I1319" t="b">
        <v>0</v>
      </c>
      <c r="K1319" t="s">
        <v>52</v>
      </c>
      <c r="L1319" t="s">
        <v>4648</v>
      </c>
      <c r="O1319" s="1">
        <v>46471</v>
      </c>
      <c r="P1319" t="s">
        <v>4963</v>
      </c>
      <c r="Q1319" t="s">
        <v>4964</v>
      </c>
      <c r="R1319" t="s">
        <v>63</v>
      </c>
      <c r="S1319" t="b">
        <v>0</v>
      </c>
      <c r="T1319" t="b">
        <v>0</v>
      </c>
      <c r="U1319" t="s">
        <v>4965</v>
      </c>
      <c r="V1319" t="s">
        <v>135</v>
      </c>
      <c r="W1319" t="s">
        <v>95</v>
      </c>
      <c r="X1319" t="s">
        <v>2165</v>
      </c>
      <c r="Y1319" t="s">
        <v>2166</v>
      </c>
      <c r="Z1319" t="s">
        <v>4648</v>
      </c>
      <c r="AA1319" t="b">
        <f>ISNUMBER(SEARCH(";"&amp;Lessons[[#This Row],[Instrument__c]]&amp;";",";"&amp;_xlfn.XLOOKUP(Lessons[[#This Row],[Instructor_External_Id__c]], Instructors[Id], Instructors[Instruments_Taught__c])&amp;";"))</f>
        <v>1</v>
      </c>
      <c r="AB1319" t="str">
        <f>IF(LEFT(Lessons[[#This Row],[Status__c]],9)="Cancelled","",Lessons[[#This Row],[Instructor_External_Id__c]]&amp;"|"&amp;TEXT(Lessons[[#This Row],[Lesson_Date__c]],"yyyy-mm-dd")&amp;"|"&amp;Lessons[[#This Row],[Start_Time__c]])</f>
        <v>a06ak00000amzCHAAY|2027-03-25|15:30:00.000Z</v>
      </c>
      <c r="AC1319">
        <f>IF(Lessons[[#This Row],[Double Booked Key]]="","",COUNTIF(Lessons[Double Booked Key],Lessons[[#This Row],[Double Booked Key]]))</f>
        <v>1</v>
      </c>
      <c r="AD1319" s="6" t="str">
        <f>_xlfn.XLOOKUP(Lessons[[#This Row],[Location_External_Id__c]], Locations[Location Id], Locations[Location Name])</f>
        <v>Red Bank</v>
      </c>
      <c r="AE1319" s="6" t="str">
        <f>TEXT(Lessons[[#This Row],[Lesson_Date__c]], "yyyy-mm")</f>
        <v>2027-03</v>
      </c>
      <c r="AF1319" s="6" t="str">
        <f>IF(Lessons[[#This Row],[Lesson_Date__c]]&lt;=Data_Audit!$F$1, "Yes", "No")</f>
        <v>No</v>
      </c>
    </row>
    <row r="1320" spans="1:32">
      <c r="A1320" t="s">
        <v>52</v>
      </c>
      <c r="B1320" t="s">
        <v>4648</v>
      </c>
      <c r="C1320">
        <v>30</v>
      </c>
      <c r="D1320" t="s">
        <v>4966</v>
      </c>
      <c r="E1320" t="s">
        <v>804</v>
      </c>
      <c r="F1320" t="s">
        <v>805</v>
      </c>
      <c r="H1320" t="s">
        <v>147</v>
      </c>
      <c r="I1320" t="b">
        <v>0</v>
      </c>
      <c r="K1320" t="s">
        <v>52</v>
      </c>
      <c r="L1320" t="s">
        <v>4648</v>
      </c>
      <c r="O1320" s="1">
        <v>46471</v>
      </c>
      <c r="P1320" t="s">
        <v>4967</v>
      </c>
      <c r="Q1320" t="s">
        <v>4968</v>
      </c>
      <c r="R1320" t="s">
        <v>63</v>
      </c>
      <c r="S1320" t="b">
        <v>0</v>
      </c>
      <c r="T1320" t="b">
        <v>0</v>
      </c>
      <c r="U1320" t="s">
        <v>4969</v>
      </c>
      <c r="V1320" t="s">
        <v>116</v>
      </c>
      <c r="W1320" t="s">
        <v>95</v>
      </c>
      <c r="X1320" t="s">
        <v>1617</v>
      </c>
      <c r="Y1320" t="s">
        <v>1618</v>
      </c>
      <c r="Z1320" t="s">
        <v>4648</v>
      </c>
      <c r="AA1320" t="b">
        <f>ISNUMBER(SEARCH(";"&amp;Lessons[[#This Row],[Instrument__c]]&amp;";",";"&amp;_xlfn.XLOOKUP(Lessons[[#This Row],[Instructor_External_Id__c]], Instructors[Id], Instructors[Instruments_Taught__c])&amp;";"))</f>
        <v>1</v>
      </c>
      <c r="AB1320" t="str">
        <f>IF(LEFT(Lessons[[#This Row],[Status__c]],9)="Cancelled","",Lessons[[#This Row],[Instructor_External_Id__c]]&amp;"|"&amp;TEXT(Lessons[[#This Row],[Lesson_Date__c]],"yyyy-mm-dd")&amp;"|"&amp;Lessons[[#This Row],[Start_Time__c]])</f>
        <v>a06ak00000amzCBAAY|2027-03-25|17:30:00.000Z</v>
      </c>
      <c r="AC1320">
        <f>IF(Lessons[[#This Row],[Double Booked Key]]="","",COUNTIF(Lessons[Double Booked Key],Lessons[[#This Row],[Double Booked Key]]))</f>
        <v>1</v>
      </c>
      <c r="AD1320" s="6" t="str">
        <f>_xlfn.XLOOKUP(Lessons[[#This Row],[Location_External_Id__c]], Locations[Location Id], Locations[Location Name])</f>
        <v>Red Bank</v>
      </c>
      <c r="AE1320" s="6" t="str">
        <f>TEXT(Lessons[[#This Row],[Lesson_Date__c]], "yyyy-mm")</f>
        <v>2027-03</v>
      </c>
      <c r="AF1320" s="6" t="str">
        <f>IF(Lessons[[#This Row],[Lesson_Date__c]]&lt;=Data_Audit!$F$1, "Yes", "No")</f>
        <v>No</v>
      </c>
    </row>
    <row r="1321" spans="1:32">
      <c r="A1321" t="s">
        <v>52</v>
      </c>
      <c r="B1321" t="s">
        <v>4648</v>
      </c>
      <c r="C1321">
        <v>30</v>
      </c>
      <c r="D1321" t="s">
        <v>4970</v>
      </c>
      <c r="E1321" t="s">
        <v>548</v>
      </c>
      <c r="F1321" t="s">
        <v>549</v>
      </c>
      <c r="H1321" t="s">
        <v>203</v>
      </c>
      <c r="I1321" t="b">
        <v>0</v>
      </c>
      <c r="K1321" t="s">
        <v>52</v>
      </c>
      <c r="L1321" t="s">
        <v>4648</v>
      </c>
      <c r="O1321" s="1">
        <v>46471</v>
      </c>
      <c r="P1321" t="s">
        <v>4971</v>
      </c>
      <c r="Q1321" t="s">
        <v>4972</v>
      </c>
      <c r="R1321" t="s">
        <v>150</v>
      </c>
      <c r="S1321" t="b">
        <v>0</v>
      </c>
      <c r="T1321" t="b">
        <v>0</v>
      </c>
      <c r="U1321" t="s">
        <v>4973</v>
      </c>
      <c r="V1321" t="s">
        <v>120</v>
      </c>
      <c r="W1321" t="s">
        <v>95</v>
      </c>
      <c r="X1321" t="s">
        <v>1784</v>
      </c>
      <c r="Y1321" t="s">
        <v>1785</v>
      </c>
      <c r="Z1321" t="s">
        <v>4648</v>
      </c>
      <c r="AA1321" t="b">
        <f>ISNUMBER(SEARCH(";"&amp;Lessons[[#This Row],[Instrument__c]]&amp;";",";"&amp;_xlfn.XLOOKUP(Lessons[[#This Row],[Instructor_External_Id__c]], Instructors[Id], Instructors[Instruments_Taught__c])&amp;";"))</f>
        <v>1</v>
      </c>
      <c r="AB1321" t="str">
        <f>IF(LEFT(Lessons[[#This Row],[Status__c]],9)="Cancelled","",Lessons[[#This Row],[Instructor_External_Id__c]]&amp;"|"&amp;TEXT(Lessons[[#This Row],[Lesson_Date__c]],"yyyy-mm-dd")&amp;"|"&amp;Lessons[[#This Row],[Start_Time__c]])</f>
        <v>a06ak00000amzCHAAY|2027-03-25|18:00:00.000Z</v>
      </c>
      <c r="AC1321">
        <f>IF(Lessons[[#This Row],[Double Booked Key]]="","",COUNTIF(Lessons[Double Booked Key],Lessons[[#This Row],[Double Booked Key]]))</f>
        <v>1</v>
      </c>
      <c r="AD1321" s="6" t="str">
        <f>_xlfn.XLOOKUP(Lessons[[#This Row],[Location_External_Id__c]], Locations[Location Id], Locations[Location Name])</f>
        <v>Toms River</v>
      </c>
      <c r="AE1321" s="6" t="str">
        <f>TEXT(Lessons[[#This Row],[Lesson_Date__c]], "yyyy-mm")</f>
        <v>2027-03</v>
      </c>
      <c r="AF1321" s="6" t="str">
        <f>IF(Lessons[[#This Row],[Lesson_Date__c]]&lt;=Data_Audit!$F$1, "Yes", "No")</f>
        <v>No</v>
      </c>
    </row>
    <row r="1322" spans="1:32">
      <c r="A1322" t="s">
        <v>52</v>
      </c>
      <c r="B1322" t="s">
        <v>4648</v>
      </c>
      <c r="C1322">
        <v>30</v>
      </c>
      <c r="D1322" t="s">
        <v>4974</v>
      </c>
      <c r="E1322" t="s">
        <v>401</v>
      </c>
      <c r="F1322" t="s">
        <v>402</v>
      </c>
      <c r="H1322" t="s">
        <v>263</v>
      </c>
      <c r="I1322" t="b">
        <v>0</v>
      </c>
      <c r="K1322" t="s">
        <v>52</v>
      </c>
      <c r="L1322" t="s">
        <v>4648</v>
      </c>
      <c r="O1322" s="1">
        <v>46471</v>
      </c>
      <c r="P1322" t="s">
        <v>4975</v>
      </c>
      <c r="Q1322" t="s">
        <v>4976</v>
      </c>
      <c r="R1322" t="s">
        <v>83</v>
      </c>
      <c r="S1322" t="b">
        <v>0</v>
      </c>
      <c r="T1322" t="b">
        <v>0</v>
      </c>
      <c r="U1322" t="s">
        <v>4977</v>
      </c>
      <c r="V1322" t="s">
        <v>120</v>
      </c>
      <c r="W1322" t="s">
        <v>95</v>
      </c>
      <c r="X1322" t="s">
        <v>2876</v>
      </c>
      <c r="Y1322" t="s">
        <v>2877</v>
      </c>
      <c r="Z1322" t="s">
        <v>4648</v>
      </c>
      <c r="AA1322" t="b">
        <f>ISNUMBER(SEARCH(";"&amp;Lessons[[#This Row],[Instrument__c]]&amp;";",";"&amp;_xlfn.XLOOKUP(Lessons[[#This Row],[Instructor_External_Id__c]], Instructors[Id], Instructors[Instruments_Taught__c])&amp;";"))</f>
        <v>1</v>
      </c>
      <c r="AB1322" t="str">
        <f>IF(LEFT(Lessons[[#This Row],[Status__c]],9)="Cancelled","",Lessons[[#This Row],[Instructor_External_Id__c]]&amp;"|"&amp;TEXT(Lessons[[#This Row],[Lesson_Date__c]],"yyyy-mm-dd")&amp;"|"&amp;Lessons[[#This Row],[Start_Time__c]])</f>
        <v>a06ak00000amzBfAAI|2027-03-25|18:00:00.000Z</v>
      </c>
      <c r="AC1322">
        <f>IF(Lessons[[#This Row],[Double Booked Key]]="","",COUNTIF(Lessons[Double Booked Key],Lessons[[#This Row],[Double Booked Key]]))</f>
        <v>1</v>
      </c>
      <c r="AD1322" s="6" t="str">
        <f>_xlfn.XLOOKUP(Lessons[[#This Row],[Location_External_Id__c]], Locations[Location Id], Locations[Location Name])</f>
        <v>Brick</v>
      </c>
      <c r="AE1322" s="6" t="str">
        <f>TEXT(Lessons[[#This Row],[Lesson_Date__c]], "yyyy-mm")</f>
        <v>2027-03</v>
      </c>
      <c r="AF1322" s="6" t="str">
        <f>IF(Lessons[[#This Row],[Lesson_Date__c]]&lt;=Data_Audit!$F$1, "Yes", "No")</f>
        <v>No</v>
      </c>
    </row>
    <row r="1323" spans="1:32">
      <c r="A1323" t="s">
        <v>52</v>
      </c>
      <c r="B1323" t="s">
        <v>4648</v>
      </c>
      <c r="C1323">
        <v>30</v>
      </c>
      <c r="D1323" t="s">
        <v>4978</v>
      </c>
      <c r="E1323" t="s">
        <v>359</v>
      </c>
      <c r="F1323" t="s">
        <v>360</v>
      </c>
      <c r="H1323" t="s">
        <v>392</v>
      </c>
      <c r="I1323" t="b">
        <v>0</v>
      </c>
      <c r="K1323" t="s">
        <v>52</v>
      </c>
      <c r="L1323" t="s">
        <v>4648</v>
      </c>
      <c r="O1323" s="1">
        <v>46471</v>
      </c>
      <c r="P1323" t="s">
        <v>4979</v>
      </c>
      <c r="Q1323" t="s">
        <v>4980</v>
      </c>
      <c r="R1323" t="s">
        <v>63</v>
      </c>
      <c r="S1323" t="b">
        <v>0</v>
      </c>
      <c r="T1323" t="b">
        <v>0</v>
      </c>
      <c r="U1323" t="s">
        <v>4981</v>
      </c>
      <c r="V1323" t="s">
        <v>128</v>
      </c>
      <c r="W1323" t="s">
        <v>95</v>
      </c>
      <c r="X1323" t="s">
        <v>1207</v>
      </c>
      <c r="Y1323" t="s">
        <v>1208</v>
      </c>
      <c r="Z1323" t="s">
        <v>4648</v>
      </c>
      <c r="AA1323" t="b">
        <f>ISNUMBER(SEARCH(";"&amp;Lessons[[#This Row],[Instrument__c]]&amp;";",";"&amp;_xlfn.XLOOKUP(Lessons[[#This Row],[Instructor_External_Id__c]], Instructors[Id], Instructors[Instruments_Taught__c])&amp;";"))</f>
        <v>1</v>
      </c>
      <c r="AB1323" t="str">
        <f>IF(LEFT(Lessons[[#This Row],[Status__c]],9)="Cancelled","",Lessons[[#This Row],[Instructor_External_Id__c]]&amp;"|"&amp;TEXT(Lessons[[#This Row],[Lesson_Date__c]],"yyyy-mm-dd")&amp;"|"&amp;Lessons[[#This Row],[Start_Time__c]])</f>
        <v>a06ak00000amzBiAAI|2027-03-25|18:30:00.000Z</v>
      </c>
      <c r="AC1323">
        <f>IF(Lessons[[#This Row],[Double Booked Key]]="","",COUNTIF(Lessons[Double Booked Key],Lessons[[#This Row],[Double Booked Key]]))</f>
        <v>1</v>
      </c>
      <c r="AD1323" s="6" t="str">
        <f>_xlfn.XLOOKUP(Lessons[[#This Row],[Location_External_Id__c]], Locations[Location Id], Locations[Location Name])</f>
        <v>Red Bank</v>
      </c>
      <c r="AE1323" s="6" t="str">
        <f>TEXT(Lessons[[#This Row],[Lesson_Date__c]], "yyyy-mm")</f>
        <v>2027-03</v>
      </c>
      <c r="AF1323" s="6" t="str">
        <f>IF(Lessons[[#This Row],[Lesson_Date__c]]&lt;=Data_Audit!$F$1, "Yes", "No")</f>
        <v>No</v>
      </c>
    </row>
    <row r="1324" spans="1:32">
      <c r="A1324" t="s">
        <v>52</v>
      </c>
      <c r="B1324" t="s">
        <v>4648</v>
      </c>
      <c r="C1324">
        <v>30</v>
      </c>
      <c r="D1324" t="s">
        <v>4982</v>
      </c>
      <c r="E1324" t="s">
        <v>359</v>
      </c>
      <c r="F1324" t="s">
        <v>360</v>
      </c>
      <c r="H1324" t="s">
        <v>392</v>
      </c>
      <c r="I1324" t="b">
        <v>0</v>
      </c>
      <c r="K1324" t="s">
        <v>52</v>
      </c>
      <c r="L1324" t="s">
        <v>4648</v>
      </c>
      <c r="O1324" s="1">
        <v>46471</v>
      </c>
      <c r="P1324" t="s">
        <v>4983</v>
      </c>
      <c r="Q1324" t="s">
        <v>4984</v>
      </c>
      <c r="R1324" t="s">
        <v>63</v>
      </c>
      <c r="S1324" t="b">
        <v>0</v>
      </c>
      <c r="T1324" t="b">
        <v>0</v>
      </c>
      <c r="U1324" t="s">
        <v>4985</v>
      </c>
      <c r="V1324" t="s">
        <v>94</v>
      </c>
      <c r="W1324" t="s">
        <v>95</v>
      </c>
      <c r="X1324" t="s">
        <v>1248</v>
      </c>
      <c r="Y1324" t="s">
        <v>1249</v>
      </c>
      <c r="Z1324" t="s">
        <v>4648</v>
      </c>
      <c r="AA1324" t="b">
        <f>ISNUMBER(SEARCH(";"&amp;Lessons[[#This Row],[Instrument__c]]&amp;";",";"&amp;_xlfn.XLOOKUP(Lessons[[#This Row],[Instructor_External_Id__c]], Instructors[Id], Instructors[Instruments_Taught__c])&amp;";"))</f>
        <v>1</v>
      </c>
      <c r="AB1324" t="str">
        <f>IF(LEFT(Lessons[[#This Row],[Status__c]],9)="Cancelled","",Lessons[[#This Row],[Instructor_External_Id__c]]&amp;"|"&amp;TEXT(Lessons[[#This Row],[Lesson_Date__c]],"yyyy-mm-dd")&amp;"|"&amp;Lessons[[#This Row],[Start_Time__c]])</f>
        <v>a06ak00000amzBiAAI|2027-03-25|19:00:00.000Z</v>
      </c>
      <c r="AC1324">
        <f>IF(Lessons[[#This Row],[Double Booked Key]]="","",COUNTIF(Lessons[Double Booked Key],Lessons[[#This Row],[Double Booked Key]]))</f>
        <v>1</v>
      </c>
      <c r="AD1324" s="6" t="str">
        <f>_xlfn.XLOOKUP(Lessons[[#This Row],[Location_External_Id__c]], Locations[Location Id], Locations[Location Name])</f>
        <v>Red Bank</v>
      </c>
      <c r="AE1324" s="6" t="str">
        <f>TEXT(Lessons[[#This Row],[Lesson_Date__c]], "yyyy-mm")</f>
        <v>2027-03</v>
      </c>
      <c r="AF1324" s="6" t="str">
        <f>IF(Lessons[[#This Row],[Lesson_Date__c]]&lt;=Data_Audit!$F$1, "Yes", "No")</f>
        <v>No</v>
      </c>
    </row>
    <row r="1325" spans="1:32">
      <c r="A1325" t="s">
        <v>52</v>
      </c>
      <c r="B1325" t="s">
        <v>4648</v>
      </c>
      <c r="C1325">
        <v>30</v>
      </c>
      <c r="D1325" t="s">
        <v>4986</v>
      </c>
      <c r="E1325" t="s">
        <v>337</v>
      </c>
      <c r="F1325" t="s">
        <v>338</v>
      </c>
      <c r="H1325" t="s">
        <v>284</v>
      </c>
      <c r="I1325" t="b">
        <v>0</v>
      </c>
      <c r="K1325" t="s">
        <v>52</v>
      </c>
      <c r="L1325" t="s">
        <v>4648</v>
      </c>
      <c r="O1325" s="1">
        <v>46471</v>
      </c>
      <c r="P1325" t="s">
        <v>4987</v>
      </c>
      <c r="Q1325" t="s">
        <v>4988</v>
      </c>
      <c r="R1325" t="s">
        <v>150</v>
      </c>
      <c r="S1325" t="b">
        <v>0</v>
      </c>
      <c r="T1325" t="b">
        <v>0</v>
      </c>
      <c r="U1325" t="s">
        <v>4989</v>
      </c>
      <c r="V1325" t="s">
        <v>94</v>
      </c>
      <c r="W1325" t="s">
        <v>95</v>
      </c>
      <c r="X1325" t="s">
        <v>1832</v>
      </c>
      <c r="Y1325" t="s">
        <v>1833</v>
      </c>
      <c r="Z1325" t="s">
        <v>4648</v>
      </c>
      <c r="AA1325" t="b">
        <f>ISNUMBER(SEARCH(";"&amp;Lessons[[#This Row],[Instrument__c]]&amp;";",";"&amp;_xlfn.XLOOKUP(Lessons[[#This Row],[Instructor_External_Id__c]], Instructors[Id], Instructors[Instruments_Taught__c])&amp;";"))</f>
        <v>1</v>
      </c>
      <c r="AB1325" t="str">
        <f>IF(LEFT(Lessons[[#This Row],[Status__c]],9)="Cancelled","",Lessons[[#This Row],[Instructor_External_Id__c]]&amp;"|"&amp;TEXT(Lessons[[#This Row],[Lesson_Date__c]],"yyyy-mm-dd")&amp;"|"&amp;Lessons[[#This Row],[Start_Time__c]])</f>
        <v>a06ak00000amzCIAAY|2027-03-25|19:00:00.000Z</v>
      </c>
      <c r="AC1325">
        <f>IF(Lessons[[#This Row],[Double Booked Key]]="","",COUNTIF(Lessons[Double Booked Key],Lessons[[#This Row],[Double Booked Key]]))</f>
        <v>1</v>
      </c>
      <c r="AD1325" s="6" t="str">
        <f>_xlfn.XLOOKUP(Lessons[[#This Row],[Location_External_Id__c]], Locations[Location Id], Locations[Location Name])</f>
        <v>Toms River</v>
      </c>
      <c r="AE1325" s="6" t="str">
        <f>TEXT(Lessons[[#This Row],[Lesson_Date__c]], "yyyy-mm")</f>
        <v>2027-03</v>
      </c>
      <c r="AF1325" s="6" t="str">
        <f>IF(Lessons[[#This Row],[Lesson_Date__c]]&lt;=Data_Audit!$F$1, "Yes", "No")</f>
        <v>No</v>
      </c>
    </row>
    <row r="1326" spans="1:32">
      <c r="A1326" t="s">
        <v>52</v>
      </c>
      <c r="B1326" t="s">
        <v>4648</v>
      </c>
      <c r="C1326">
        <v>30</v>
      </c>
      <c r="D1326" t="s">
        <v>4990</v>
      </c>
      <c r="E1326" t="s">
        <v>282</v>
      </c>
      <c r="F1326" t="s">
        <v>283</v>
      </c>
      <c r="H1326" t="s">
        <v>284</v>
      </c>
      <c r="I1326" t="b">
        <v>0</v>
      </c>
      <c r="K1326" t="s">
        <v>52</v>
      </c>
      <c r="L1326" t="s">
        <v>4648</v>
      </c>
      <c r="O1326" s="1">
        <v>46472</v>
      </c>
      <c r="P1326" t="s">
        <v>4991</v>
      </c>
      <c r="Q1326" t="s">
        <v>4992</v>
      </c>
      <c r="R1326" t="s">
        <v>83</v>
      </c>
      <c r="S1326" t="b">
        <v>0</v>
      </c>
      <c r="T1326" t="b">
        <v>0</v>
      </c>
      <c r="U1326" t="s">
        <v>4993</v>
      </c>
      <c r="V1326" t="s">
        <v>74</v>
      </c>
      <c r="W1326" t="s">
        <v>95</v>
      </c>
      <c r="X1326" t="s">
        <v>287</v>
      </c>
      <c r="Y1326" t="s">
        <v>288</v>
      </c>
      <c r="Z1326" t="s">
        <v>4648</v>
      </c>
      <c r="AA1326" t="b">
        <f>ISNUMBER(SEARCH(";"&amp;Lessons[[#This Row],[Instrument__c]]&amp;";",";"&amp;_xlfn.XLOOKUP(Lessons[[#This Row],[Instructor_External_Id__c]], Instructors[Id], Instructors[Instruments_Taught__c])&amp;";"))</f>
        <v>1</v>
      </c>
      <c r="AB1326" t="str">
        <f>IF(LEFT(Lessons[[#This Row],[Status__c]],9)="Cancelled","",Lessons[[#This Row],[Instructor_External_Id__c]]&amp;"|"&amp;TEXT(Lessons[[#This Row],[Lesson_Date__c]],"yyyy-mm-dd")&amp;"|"&amp;Lessons[[#This Row],[Start_Time__c]])</f>
        <v>a06ak00000amzBxAAI|2027-03-26|16:30:00.000Z</v>
      </c>
      <c r="AC1326">
        <f>IF(Lessons[[#This Row],[Double Booked Key]]="","",COUNTIF(Lessons[Double Booked Key],Lessons[[#This Row],[Double Booked Key]]))</f>
        <v>1</v>
      </c>
      <c r="AD1326" s="6" t="str">
        <f>_xlfn.XLOOKUP(Lessons[[#This Row],[Location_External_Id__c]], Locations[Location Id], Locations[Location Name])</f>
        <v>Brick</v>
      </c>
      <c r="AE1326" s="6" t="str">
        <f>TEXT(Lessons[[#This Row],[Lesson_Date__c]], "yyyy-mm")</f>
        <v>2027-03</v>
      </c>
      <c r="AF1326" s="6" t="str">
        <f>IF(Lessons[[#This Row],[Lesson_Date__c]]&lt;=Data_Audit!$F$1, "Yes", "No")</f>
        <v>No</v>
      </c>
    </row>
    <row r="1327" spans="1:32">
      <c r="A1327" t="s">
        <v>52</v>
      </c>
      <c r="B1327" t="s">
        <v>4648</v>
      </c>
      <c r="C1327">
        <v>30</v>
      </c>
      <c r="D1327" t="s">
        <v>4994</v>
      </c>
      <c r="E1327" t="s">
        <v>777</v>
      </c>
      <c r="F1327" t="s">
        <v>778</v>
      </c>
      <c r="H1327" t="s">
        <v>392</v>
      </c>
      <c r="I1327" t="b">
        <v>0</v>
      </c>
      <c r="K1327" t="s">
        <v>52</v>
      </c>
      <c r="L1327" t="s">
        <v>4648</v>
      </c>
      <c r="O1327" s="1">
        <v>46472</v>
      </c>
      <c r="P1327" t="s">
        <v>4995</v>
      </c>
      <c r="Q1327" t="s">
        <v>4996</v>
      </c>
      <c r="R1327" t="s">
        <v>83</v>
      </c>
      <c r="S1327" t="b">
        <v>0</v>
      </c>
      <c r="T1327" t="b">
        <v>0</v>
      </c>
      <c r="U1327" t="s">
        <v>4997</v>
      </c>
      <c r="V1327" t="s">
        <v>84</v>
      </c>
      <c r="W1327" t="s">
        <v>95</v>
      </c>
      <c r="X1327" t="s">
        <v>395</v>
      </c>
      <c r="Y1327" t="s">
        <v>396</v>
      </c>
      <c r="Z1327" t="s">
        <v>4648</v>
      </c>
      <c r="AA1327" t="b">
        <f>ISNUMBER(SEARCH(";"&amp;Lessons[[#This Row],[Instrument__c]]&amp;";",";"&amp;_xlfn.XLOOKUP(Lessons[[#This Row],[Instructor_External_Id__c]], Instructors[Id], Instructors[Instruments_Taught__c])&amp;";"))</f>
        <v>1</v>
      </c>
      <c r="AB1327" t="str">
        <f>IF(LEFT(Lessons[[#This Row],[Status__c]],9)="Cancelled","",Lessons[[#This Row],[Instructor_External_Id__c]]&amp;"|"&amp;TEXT(Lessons[[#This Row],[Lesson_Date__c]],"yyyy-mm-dd")&amp;"|"&amp;Lessons[[#This Row],[Start_Time__c]])</f>
        <v>a06ak00000amzByAAI|2027-03-26|17:00:00.000Z</v>
      </c>
      <c r="AC1327">
        <f>IF(Lessons[[#This Row],[Double Booked Key]]="","",COUNTIF(Lessons[Double Booked Key],Lessons[[#This Row],[Double Booked Key]]))</f>
        <v>1</v>
      </c>
      <c r="AD1327" s="6" t="str">
        <f>_xlfn.XLOOKUP(Lessons[[#This Row],[Location_External_Id__c]], Locations[Location Id], Locations[Location Name])</f>
        <v>Brick</v>
      </c>
      <c r="AE1327" s="6" t="str">
        <f>TEXT(Lessons[[#This Row],[Lesson_Date__c]], "yyyy-mm")</f>
        <v>2027-03</v>
      </c>
      <c r="AF1327" s="6" t="str">
        <f>IF(Lessons[[#This Row],[Lesson_Date__c]]&lt;=Data_Audit!$F$1, "Yes", "No")</f>
        <v>No</v>
      </c>
    </row>
    <row r="1328" spans="1:32">
      <c r="A1328" t="s">
        <v>52</v>
      </c>
      <c r="B1328" t="s">
        <v>4648</v>
      </c>
      <c r="C1328">
        <v>30</v>
      </c>
      <c r="D1328" t="s">
        <v>4998</v>
      </c>
      <c r="E1328" t="s">
        <v>243</v>
      </c>
      <c r="F1328" t="s">
        <v>244</v>
      </c>
      <c r="H1328" t="s">
        <v>650</v>
      </c>
      <c r="I1328" t="b">
        <v>0</v>
      </c>
      <c r="K1328" t="s">
        <v>52</v>
      </c>
      <c r="L1328" t="s">
        <v>4648</v>
      </c>
      <c r="O1328" s="1">
        <v>46473</v>
      </c>
      <c r="P1328" t="s">
        <v>4999</v>
      </c>
      <c r="Q1328" t="s">
        <v>5000</v>
      </c>
      <c r="R1328" t="s">
        <v>150</v>
      </c>
      <c r="S1328" t="b">
        <v>0</v>
      </c>
      <c r="T1328" t="b">
        <v>0</v>
      </c>
      <c r="U1328" t="s">
        <v>5001</v>
      </c>
      <c r="V1328" t="s">
        <v>3203</v>
      </c>
      <c r="W1328" t="s">
        <v>95</v>
      </c>
      <c r="X1328" t="s">
        <v>927</v>
      </c>
      <c r="Y1328" t="s">
        <v>928</v>
      </c>
      <c r="Z1328" t="s">
        <v>4648</v>
      </c>
      <c r="AA1328" t="b">
        <f>ISNUMBER(SEARCH(";"&amp;Lessons[[#This Row],[Instrument__c]]&amp;";",";"&amp;_xlfn.XLOOKUP(Lessons[[#This Row],[Instructor_External_Id__c]], Instructors[Id], Instructors[Instruments_Taught__c])&amp;";"))</f>
        <v>1</v>
      </c>
      <c r="AB1328" t="str">
        <f>IF(LEFT(Lessons[[#This Row],[Status__c]],9)="Cancelled","",Lessons[[#This Row],[Instructor_External_Id__c]]&amp;"|"&amp;TEXT(Lessons[[#This Row],[Lesson_Date__c]],"yyyy-mm-dd")&amp;"|"&amp;Lessons[[#This Row],[Start_Time__c]])</f>
        <v>a06ak00000amzC1AAI|2027-03-27|11:30:00.000Z</v>
      </c>
      <c r="AC1328">
        <f>IF(Lessons[[#This Row],[Double Booked Key]]="","",COUNTIF(Lessons[Double Booked Key],Lessons[[#This Row],[Double Booked Key]]))</f>
        <v>1</v>
      </c>
      <c r="AD1328" s="6" t="str">
        <f>_xlfn.XLOOKUP(Lessons[[#This Row],[Location_External_Id__c]], Locations[Location Id], Locations[Location Name])</f>
        <v>Toms River</v>
      </c>
      <c r="AE1328" s="6" t="str">
        <f>TEXT(Lessons[[#This Row],[Lesson_Date__c]], "yyyy-mm")</f>
        <v>2027-03</v>
      </c>
      <c r="AF1328" s="6" t="str">
        <f>IF(Lessons[[#This Row],[Lesson_Date__c]]&lt;=Data_Audit!$F$1, "Yes", "No")</f>
        <v>No</v>
      </c>
    </row>
    <row r="1329" spans="1:32">
      <c r="A1329" t="s">
        <v>52</v>
      </c>
      <c r="B1329" t="s">
        <v>4648</v>
      </c>
      <c r="C1329">
        <v>45</v>
      </c>
      <c r="D1329" t="s">
        <v>5002</v>
      </c>
      <c r="E1329" t="s">
        <v>573</v>
      </c>
      <c r="F1329" t="s">
        <v>574</v>
      </c>
      <c r="H1329" t="s">
        <v>461</v>
      </c>
      <c r="I1329" t="b">
        <v>0</v>
      </c>
      <c r="K1329" t="s">
        <v>52</v>
      </c>
      <c r="L1329" t="s">
        <v>4648</v>
      </c>
      <c r="O1329" s="1">
        <v>46473</v>
      </c>
      <c r="P1329" t="s">
        <v>5003</v>
      </c>
      <c r="Q1329" t="s">
        <v>5004</v>
      </c>
      <c r="R1329" t="s">
        <v>150</v>
      </c>
      <c r="S1329" t="b">
        <v>0</v>
      </c>
      <c r="T1329" t="b">
        <v>0</v>
      </c>
      <c r="U1329" t="s">
        <v>5005</v>
      </c>
      <c r="V1329" t="s">
        <v>3208</v>
      </c>
      <c r="W1329" t="s">
        <v>95</v>
      </c>
      <c r="X1329" t="s">
        <v>464</v>
      </c>
      <c r="Y1329" t="s">
        <v>465</v>
      </c>
      <c r="Z1329" t="s">
        <v>4648</v>
      </c>
      <c r="AA1329" t="b">
        <f>ISNUMBER(SEARCH(";"&amp;Lessons[[#This Row],[Instrument__c]]&amp;";",";"&amp;_xlfn.XLOOKUP(Lessons[[#This Row],[Instructor_External_Id__c]], Instructors[Id], Instructors[Instruments_Taught__c])&amp;";"))</f>
        <v>1</v>
      </c>
      <c r="AB1329" t="str">
        <f>IF(LEFT(Lessons[[#This Row],[Status__c]],9)="Cancelled","",Lessons[[#This Row],[Instructor_External_Id__c]]&amp;"|"&amp;TEXT(Lessons[[#This Row],[Lesson_Date__c]],"yyyy-mm-dd")&amp;"|"&amp;Lessons[[#This Row],[Start_Time__c]])</f>
        <v>a06ak00000amzCCAAY|2027-03-27|12:30:00.000Z</v>
      </c>
      <c r="AC1329">
        <f>IF(Lessons[[#This Row],[Double Booked Key]]="","",COUNTIF(Lessons[Double Booked Key],Lessons[[#This Row],[Double Booked Key]]))</f>
        <v>1</v>
      </c>
      <c r="AD1329" s="6" t="str">
        <f>_xlfn.XLOOKUP(Lessons[[#This Row],[Location_External_Id__c]], Locations[Location Id], Locations[Location Name])</f>
        <v>Toms River</v>
      </c>
      <c r="AE1329" s="6" t="str">
        <f>TEXT(Lessons[[#This Row],[Lesson_Date__c]], "yyyy-mm")</f>
        <v>2027-03</v>
      </c>
      <c r="AF1329" s="6" t="str">
        <f>IF(Lessons[[#This Row],[Lesson_Date__c]]&lt;=Data_Audit!$F$1, "Yes", "No")</f>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5CA2-50F8-4C88-85AD-98663128DDC8}">
  <dimension ref="A1:N17"/>
  <sheetViews>
    <sheetView topLeftCell="G1" workbookViewId="0"/>
  </sheetViews>
  <sheetFormatPr defaultRowHeight="15"/>
  <cols>
    <col min="1" max="1" width="12.140625" customWidth="1"/>
    <col min="2" max="2" width="27.7109375" customWidth="1"/>
    <col min="3" max="3" width="25" customWidth="1"/>
    <col min="4" max="4" width="17.42578125" bestFit="1" customWidth="1"/>
    <col min="5" max="5" width="12.85546875" bestFit="1" customWidth="1"/>
    <col min="6" max="6" width="9.140625" bestFit="1" customWidth="1"/>
    <col min="7" max="7" width="10.85546875" bestFit="1" customWidth="1"/>
    <col min="8" max="8" width="20.140625" bestFit="1" customWidth="1"/>
    <col min="9" max="9" width="22.140625" bestFit="1" customWidth="1"/>
    <col min="10" max="10" width="11.7109375" bestFit="1" customWidth="1"/>
    <col min="11" max="11" width="29.42578125" customWidth="1"/>
    <col min="12" max="12" width="27.7109375" customWidth="1"/>
    <col min="13" max="13" width="17" bestFit="1" customWidth="1"/>
    <col min="14" max="14" width="13.85546875" bestFit="1" customWidth="1"/>
  </cols>
  <sheetData>
    <row r="1" spans="1:14">
      <c r="D1" s="8" t="s">
        <v>51</v>
      </c>
      <c r="E1" t="s">
        <v>5006</v>
      </c>
      <c r="M1" s="8" t="s">
        <v>51</v>
      </c>
      <c r="N1" t="s">
        <v>5006</v>
      </c>
    </row>
    <row r="2" spans="1:14">
      <c r="M2" s="8" t="s">
        <v>42</v>
      </c>
      <c r="N2" t="s">
        <v>65</v>
      </c>
    </row>
    <row r="3" spans="1:14">
      <c r="D3" s="8" t="s">
        <v>5007</v>
      </c>
      <c r="E3" s="8" t="s">
        <v>42</v>
      </c>
    </row>
    <row r="4" spans="1:14">
      <c r="A4" t="s">
        <v>5008</v>
      </c>
      <c r="B4" t="s">
        <v>5009</v>
      </c>
      <c r="C4" t="s">
        <v>5010</v>
      </c>
      <c r="D4" s="8" t="s">
        <v>27</v>
      </c>
      <c r="E4" t="s">
        <v>95</v>
      </c>
      <c r="F4" t="s">
        <v>121</v>
      </c>
      <c r="G4" t="s">
        <v>65</v>
      </c>
      <c r="H4" t="s">
        <v>85</v>
      </c>
      <c r="I4" t="s">
        <v>136</v>
      </c>
      <c r="J4" t="s">
        <v>5011</v>
      </c>
      <c r="K4" t="s">
        <v>5012</v>
      </c>
      <c r="L4" t="s">
        <v>5013</v>
      </c>
      <c r="M4" s="8" t="s">
        <v>50</v>
      </c>
      <c r="N4" t="s">
        <v>5007</v>
      </c>
    </row>
    <row r="5" spans="1:14">
      <c r="A5" t="s">
        <v>5014</v>
      </c>
      <c r="B5" s="9">
        <f>COUNTIFS(Lessons[Location Name], $A5, Lessons[Is Past], "Yes", Lessons[Status__c], "Cancelled*") / (COUNTIFS(Lessons[Location Name], $A5,Lessons[Is Past], "Yes", Lessons[Status__c], "Cancelled*") + COUNTIFS(Lessons[Location Name], $A5, Lessons[Is Past], "Yes", Lessons[Status__c], "Completed") + COUNTIFS(Lessons[Location Name], $A5, Lessons[Is Past], "Yes", Lessons[Status__c], "No Show"))</f>
        <v>0.13953488372093023</v>
      </c>
      <c r="C5" s="9">
        <f>COUNTIFS(Lessons[Location Name], $A5, Lessons[Is Past], "Yes", Lessons[Status__c], "No Show") / (COUNTIFS(Lessons[Location Name], $A5,Lessons[Is Past], "Yes", Lessons[Status__c], "Cancelled*") + COUNTIFS(Lessons[Location Name], $A5, Lessons[Is Past], "Yes", Lessons[Status__c], "Completed") + COUNTIFS(Lessons[Location Name], $A5, Lessons[Is Past], "Yes", Lessons[Status__c], "No Show"))</f>
        <v>7.7519379844961239E-2</v>
      </c>
      <c r="D5" t="s">
        <v>237</v>
      </c>
      <c r="E5" s="6">
        <v>2</v>
      </c>
      <c r="F5" s="6">
        <v>13</v>
      </c>
      <c r="G5" s="6">
        <v>81</v>
      </c>
      <c r="H5" s="6">
        <v>11</v>
      </c>
      <c r="I5" s="6">
        <v>9</v>
      </c>
      <c r="J5" s="6">
        <v>116</v>
      </c>
      <c r="K5" s="9">
        <f>COUNTIFS(Lessons[Instrument__c], $D5, Lessons[Is Past], "Yes", Lessons[Status__c], "Cancelled*") / (COUNTIFS(Lessons[Instrument__c], $D5,Lessons[Is Past], "Yes", Lessons[Status__c], "Cancelled*") + COUNTIFS(Lessons[Instrument__c], $D5, Lessons[Is Past], "Yes", Lessons[Status__c], "Completed") + COUNTIFS(Lessons[Instrument__c], $D5, Lessons[Is Past], "Yes", Lessons[Status__c], "No Show"))</f>
        <v>0.17543859649122806</v>
      </c>
      <c r="L5" s="9">
        <f>COUNTIFS(Lessons[Instrument__c], $D5, Lessons[Is Past], "Yes", Lessons[Status__c], "No Show") / (COUNTIFS(Lessons[Instrument__c], $D5,Lessons[Is Past], "Yes", Lessons[Status__c], "Cancelled*") + COUNTIFS(Lessons[Instrument__c], $D5, Lessons[Is Past], "Yes", Lessons[Status__c], "Completed") + COUNTIFS(Lessons[Instrument__c], $D5, Lessons[Is Past], "Yes", Lessons[Status__c], "No Show"))</f>
        <v>0.11403508771929824</v>
      </c>
      <c r="M5" t="s">
        <v>5015</v>
      </c>
      <c r="N5" s="6">
        <v>66</v>
      </c>
    </row>
    <row r="6" spans="1:14">
      <c r="A6" t="s">
        <v>5016</v>
      </c>
      <c r="B6" s="9">
        <f>COUNTIFS(Lessons[Location Name], $A6, Lessons[Is Past], "Yes", Lessons[Status__c], "Cancelled*") / (COUNTIFS(Lessons[Location Name], $A6,Lessons[Is Past], "Yes", Lessons[Status__c], "Cancelled*") + COUNTIFS(Lessons[Location Name], $A6, Lessons[Is Past], "Yes", Lessons[Status__c], "Completed") + COUNTIFS(Lessons[Location Name], $A6, Lessons[Is Past], "Yes", Lessons[Status__c], "No Show"))</f>
        <v>0.18213058419243985</v>
      </c>
      <c r="C6" s="9">
        <f>COUNTIFS(Lessons[Location Name], $A6, Lessons[Is Past], "Yes", Lessons[Status__c], "No Show") / (COUNTIFS(Lessons[Location Name], $A6,Lessons[Is Past], "Yes", Lessons[Status__c], "Cancelled*") + COUNTIFS(Lessons[Location Name], $A6, Lessons[Is Past], "Yes", Lessons[Status__c], "Completed") + COUNTIFS(Lessons[Location Name], $A6, Lessons[Is Past], "Yes", Lessons[Status__c], "No Show"))</f>
        <v>9.2783505154639179E-2</v>
      </c>
      <c r="D6" t="s">
        <v>650</v>
      </c>
      <c r="E6" s="6"/>
      <c r="F6" s="6">
        <v>7</v>
      </c>
      <c r="G6" s="6">
        <v>48</v>
      </c>
      <c r="H6" s="6">
        <v>9</v>
      </c>
      <c r="I6" s="6">
        <v>5</v>
      </c>
      <c r="J6" s="6">
        <v>69</v>
      </c>
      <c r="K6" s="9">
        <f>COUNTIFS(Lessons[Instrument__c], $D6, Lessons[Is Past], "Yes", Lessons[Status__c], "Cancelled*") / (COUNTIFS(Lessons[Instrument__c], $D6,Lessons[Is Past], "Yes", Lessons[Status__c], "Cancelled*") + COUNTIFS(Lessons[Instrument__c], $D6, Lessons[Is Past], "Yes", Lessons[Status__c], "Completed") + COUNTIFS(Lessons[Instrument__c], $D6, Lessons[Is Past], "Yes", Lessons[Status__c], "No Show"))</f>
        <v>0.20289855072463769</v>
      </c>
      <c r="L6" s="9">
        <f>COUNTIFS(Lessons[Instrument__c], $D6, Lessons[Is Past], "Yes", Lessons[Status__c], "No Show") / (COUNTIFS(Lessons[Instrument__c], $D6,Lessons[Is Past], "Yes", Lessons[Status__c], "Cancelled*") + COUNTIFS(Lessons[Instrument__c], $D6, Lessons[Is Past], "Yes", Lessons[Status__c], "Completed") + COUNTIFS(Lessons[Instrument__c], $D6, Lessons[Is Past], "Yes", Lessons[Status__c], "No Show"))</f>
        <v>0.10144927536231885</v>
      </c>
      <c r="M6" t="s">
        <v>5017</v>
      </c>
      <c r="N6" s="6">
        <v>60</v>
      </c>
    </row>
    <row r="7" spans="1:14">
      <c r="A7" t="s">
        <v>5018</v>
      </c>
      <c r="B7" s="9">
        <f>COUNTIFS(Lessons[Location Name], $A7, Lessons[Is Past], "Yes", Lessons[Status__c], "Cancelled*") / (COUNTIFS(Lessons[Location Name], $A7,Lessons[Is Past], "Yes", Lessons[Status__c], "Cancelled*") + COUNTIFS(Lessons[Location Name], $A7, Lessons[Is Past], "Yes", Lessons[Status__c], "Completed") + COUNTIFS(Lessons[Location Name], $A7, Lessons[Is Past], "Yes", Lessons[Status__c], "No Show"))</f>
        <v>0.1026252983293556</v>
      </c>
      <c r="C7" s="9">
        <f>COUNTIFS(Lessons[Location Name], $A7, Lessons[Is Past], "Yes", Lessons[Status__c], "No Show") / (COUNTIFS(Lessons[Location Name], $A7,Lessons[Is Past], "Yes", Lessons[Status__c], "Cancelled*") + COUNTIFS(Lessons[Location Name], $A7, Lessons[Is Past], "Yes", Lessons[Status__c], "Completed") + COUNTIFS(Lessons[Location Name], $A7, Lessons[Is Past], "Yes", Lessons[Status__c], "No Show"))</f>
        <v>9.7852028639618144E-2</v>
      </c>
      <c r="D7" t="s">
        <v>461</v>
      </c>
      <c r="E7" s="6"/>
      <c r="F7" s="6">
        <v>10</v>
      </c>
      <c r="G7" s="6">
        <v>69</v>
      </c>
      <c r="H7" s="6">
        <v>7</v>
      </c>
      <c r="I7" s="6">
        <v>5</v>
      </c>
      <c r="J7" s="6">
        <v>91</v>
      </c>
      <c r="K7" s="9">
        <f>COUNTIFS(Lessons[Instrument__c], $D7, Lessons[Is Past], "Yes", Lessons[Status__c], "Cancelled*") / (COUNTIFS(Lessons[Instrument__c], $D7,Lessons[Is Past], "Yes", Lessons[Status__c], "Cancelled*") + COUNTIFS(Lessons[Instrument__c], $D7, Lessons[Is Past], "Yes", Lessons[Status__c], "Completed") + COUNTIFS(Lessons[Instrument__c], $D7, Lessons[Is Past], "Yes", Lessons[Status__c], "No Show"))</f>
        <v>0.13186813186813187</v>
      </c>
      <c r="L7" s="9">
        <f>COUNTIFS(Lessons[Instrument__c], $D7, Lessons[Is Past], "Yes", Lessons[Status__c], "No Show") / (COUNTIFS(Lessons[Instrument__c], $D7,Lessons[Is Past], "Yes", Lessons[Status__c], "Cancelled*") + COUNTIFS(Lessons[Instrument__c], $D7, Lessons[Is Past], "Yes", Lessons[Status__c], "Completed") + COUNTIFS(Lessons[Instrument__c], $D7, Lessons[Is Past], "Yes", Lessons[Status__c], "No Show"))</f>
        <v>0.10989010989010989</v>
      </c>
      <c r="M7" t="s">
        <v>5019</v>
      </c>
      <c r="N7" s="6">
        <v>64</v>
      </c>
    </row>
    <row r="8" spans="1:14">
      <c r="D8" t="s">
        <v>284</v>
      </c>
      <c r="E8" s="6"/>
      <c r="F8" s="6">
        <v>12</v>
      </c>
      <c r="G8" s="6">
        <v>95</v>
      </c>
      <c r="H8" s="6">
        <v>7</v>
      </c>
      <c r="I8" s="6">
        <v>5</v>
      </c>
      <c r="J8" s="6">
        <v>119</v>
      </c>
      <c r="K8" s="9">
        <f>COUNTIFS(Lessons[Instrument__c], $D8, Lessons[Is Past], "Yes", Lessons[Status__c], "Cancelled*") / (COUNTIFS(Lessons[Instrument__c], $D8,Lessons[Is Past], "Yes", Lessons[Status__c], "Cancelled*") + COUNTIFS(Lessons[Instrument__c], $D8, Lessons[Is Past], "Yes", Lessons[Status__c], "Completed") + COUNTIFS(Lessons[Instrument__c], $D8, Lessons[Is Past], "Yes", Lessons[Status__c], "No Show"))</f>
        <v>0.10084033613445378</v>
      </c>
      <c r="L8" s="9">
        <f>COUNTIFS(Lessons[Instrument__c], $D8, Lessons[Is Past], "Yes", Lessons[Status__c], "No Show") / (COUNTIFS(Lessons[Instrument__c], $D8,Lessons[Is Past], "Yes", Lessons[Status__c], "Cancelled*") + COUNTIFS(Lessons[Instrument__c], $D8, Lessons[Is Past], "Yes", Lessons[Status__c], "Completed") + COUNTIFS(Lessons[Instrument__c], $D8, Lessons[Is Past], "Yes", Lessons[Status__c], "No Show"))</f>
        <v>0.10084033613445378</v>
      </c>
      <c r="M8" t="s">
        <v>5020</v>
      </c>
      <c r="N8" s="6">
        <v>64</v>
      </c>
    </row>
    <row r="9" spans="1:14">
      <c r="D9" t="s">
        <v>58</v>
      </c>
      <c r="E9" s="6">
        <v>1</v>
      </c>
      <c r="F9" s="6">
        <v>3</v>
      </c>
      <c r="G9" s="6">
        <v>27</v>
      </c>
      <c r="H9" s="6">
        <v>4</v>
      </c>
      <c r="I9" s="6">
        <v>2</v>
      </c>
      <c r="J9" s="6">
        <v>37</v>
      </c>
      <c r="K9" s="9">
        <f>COUNTIFS(Lessons[Instrument__c], $D9, Lessons[Is Past], "Yes", Lessons[Status__c], "Cancelled*") / (COUNTIFS(Lessons[Instrument__c], $D9,Lessons[Is Past], "Yes", Lessons[Status__c], "Cancelled*") + COUNTIFS(Lessons[Instrument__c], $D9, Lessons[Is Past], "Yes", Lessons[Status__c], "Completed") + COUNTIFS(Lessons[Instrument__c], $D9, Lessons[Is Past], "Yes", Lessons[Status__c], "No Show"))</f>
        <v>0.16666666666666666</v>
      </c>
      <c r="L9" s="9">
        <f>COUNTIFS(Lessons[Instrument__c], $D9, Lessons[Is Past], "Yes", Lessons[Status__c], "No Show") / (COUNTIFS(Lessons[Instrument__c], $D9,Lessons[Is Past], "Yes", Lessons[Status__c], "Cancelled*") + COUNTIFS(Lessons[Instrument__c], $D9, Lessons[Is Past], "Yes", Lessons[Status__c], "Completed") + COUNTIFS(Lessons[Instrument__c], $D9, Lessons[Is Past], "Yes", Lessons[Status__c], "No Show"))</f>
        <v>8.3333333333333329E-2</v>
      </c>
      <c r="M9" t="s">
        <v>5021</v>
      </c>
      <c r="N9" s="6">
        <v>75</v>
      </c>
    </row>
    <row r="10" spans="1:14">
      <c r="D10" t="s">
        <v>78</v>
      </c>
      <c r="E10" s="6">
        <v>1</v>
      </c>
      <c r="F10" s="6">
        <v>2</v>
      </c>
      <c r="G10" s="6">
        <v>51</v>
      </c>
      <c r="H10" s="6">
        <v>4</v>
      </c>
      <c r="I10" s="6">
        <v>4</v>
      </c>
      <c r="J10" s="6">
        <v>62</v>
      </c>
      <c r="K10" s="9">
        <f>COUNTIFS(Lessons[Instrument__c], $D10, Lessons[Is Past], "Yes", Lessons[Status__c], "Cancelled*") / (COUNTIFS(Lessons[Instrument__c], $D10,Lessons[Is Past], "Yes", Lessons[Status__c], "Cancelled*") + COUNTIFS(Lessons[Instrument__c], $D10, Lessons[Is Past], "Yes", Lessons[Status__c], "Completed") + COUNTIFS(Lessons[Instrument__c], $D10, Lessons[Is Past], "Yes", Lessons[Status__c], "No Show"))</f>
        <v>0.13114754098360656</v>
      </c>
      <c r="L10" s="9">
        <f>COUNTIFS(Lessons[Instrument__c], $D10, Lessons[Is Past], "Yes", Lessons[Status__c], "No Show") / (COUNTIFS(Lessons[Instrument__c], $D10,Lessons[Is Past], "Yes", Lessons[Status__c], "Cancelled*") + COUNTIFS(Lessons[Instrument__c], $D10, Lessons[Is Past], "Yes", Lessons[Status__c], "Completed") + COUNTIFS(Lessons[Instrument__c], $D10, Lessons[Is Past], "Yes", Lessons[Status__c], "No Show"))</f>
        <v>3.2786885245901641E-2</v>
      </c>
      <c r="M10" t="s">
        <v>5022</v>
      </c>
      <c r="N10" s="6">
        <v>78</v>
      </c>
    </row>
    <row r="11" spans="1:14">
      <c r="D11" t="s">
        <v>263</v>
      </c>
      <c r="E11" s="6">
        <v>1</v>
      </c>
      <c r="F11" s="6">
        <v>1</v>
      </c>
      <c r="G11" s="6">
        <v>38</v>
      </c>
      <c r="H11" s="6">
        <v>4</v>
      </c>
      <c r="I11" s="6">
        <v>1</v>
      </c>
      <c r="J11" s="6">
        <v>45</v>
      </c>
      <c r="K11" s="9">
        <f>COUNTIFS(Lessons[Instrument__c], $D11, Lessons[Is Past], "Yes", Lessons[Status__c], "Cancelled*") / (COUNTIFS(Lessons[Instrument__c], $D11,Lessons[Is Past], "Yes", Lessons[Status__c], "Cancelled*") + COUNTIFS(Lessons[Instrument__c], $D11, Lessons[Is Past], "Yes", Lessons[Status__c], "Completed") + COUNTIFS(Lessons[Instrument__c], $D11, Lessons[Is Past], "Yes", Lessons[Status__c], "No Show"))</f>
        <v>0.11363636363636363</v>
      </c>
      <c r="L11" s="9">
        <f>COUNTIFS(Lessons[Instrument__c], $D11, Lessons[Is Past], "Yes", Lessons[Status__c], "No Show") / (COUNTIFS(Lessons[Instrument__c], $D11,Lessons[Is Past], "Yes", Lessons[Status__c], "Cancelled*") + COUNTIFS(Lessons[Instrument__c], $D11, Lessons[Is Past], "Yes", Lessons[Status__c], "Completed") + COUNTIFS(Lessons[Instrument__c], $D11, Lessons[Is Past], "Yes", Lessons[Status__c], "No Show"))</f>
        <v>2.2727272727272728E-2</v>
      </c>
      <c r="M11" t="s">
        <v>5023</v>
      </c>
      <c r="N11" s="6">
        <v>90</v>
      </c>
    </row>
    <row r="12" spans="1:14">
      <c r="D12" t="s">
        <v>203</v>
      </c>
      <c r="E12" s="6"/>
      <c r="F12" s="6">
        <v>4</v>
      </c>
      <c r="G12" s="6">
        <v>37</v>
      </c>
      <c r="H12" s="6">
        <v>3</v>
      </c>
      <c r="I12" s="6">
        <v>7</v>
      </c>
      <c r="J12" s="6">
        <v>51</v>
      </c>
      <c r="K12" s="9">
        <f>COUNTIFS(Lessons[Instrument__c], $D12, Lessons[Is Past], "Yes", Lessons[Status__c], "Cancelled*") / (COUNTIFS(Lessons[Instrument__c], $D12,Lessons[Is Past], "Yes", Lessons[Status__c], "Cancelled*") + COUNTIFS(Lessons[Instrument__c], $D12, Lessons[Is Past], "Yes", Lessons[Status__c], "Completed") + COUNTIFS(Lessons[Instrument__c], $D12, Lessons[Is Past], "Yes", Lessons[Status__c], "No Show"))</f>
        <v>0.19607843137254902</v>
      </c>
      <c r="L12" s="9">
        <f>COUNTIFS(Lessons[Instrument__c], $D12, Lessons[Is Past], "Yes", Lessons[Status__c], "No Show") / (COUNTIFS(Lessons[Instrument__c], $D12,Lessons[Is Past], "Yes", Lessons[Status__c], "Cancelled*") + COUNTIFS(Lessons[Instrument__c], $D12, Lessons[Is Past], "Yes", Lessons[Status__c], "Completed") + COUNTIFS(Lessons[Instrument__c], $D12, Lessons[Is Past], "Yes", Lessons[Status__c], "No Show"))</f>
        <v>7.8431372549019607E-2</v>
      </c>
      <c r="M12" t="s">
        <v>5024</v>
      </c>
      <c r="N12" s="6">
        <v>64</v>
      </c>
    </row>
    <row r="13" spans="1:14">
      <c r="D13" t="s">
        <v>147</v>
      </c>
      <c r="E13" s="6"/>
      <c r="F13" s="6">
        <v>5</v>
      </c>
      <c r="G13" s="6">
        <v>57</v>
      </c>
      <c r="H13" s="6">
        <v>3</v>
      </c>
      <c r="I13" s="6">
        <v>5</v>
      </c>
      <c r="J13" s="6">
        <v>70</v>
      </c>
      <c r="K13" s="9">
        <f>COUNTIFS(Lessons[Instrument__c], $D13, Lessons[Is Past], "Yes", Lessons[Status__c], "Cancelled*") / (COUNTIFS(Lessons[Instrument__c], $D13,Lessons[Is Past], "Yes", Lessons[Status__c], "Cancelled*") + COUNTIFS(Lessons[Instrument__c], $D13, Lessons[Is Past], "Yes", Lessons[Status__c], "Completed") + COUNTIFS(Lessons[Instrument__c], $D13, Lessons[Is Past], "Yes", Lessons[Status__c], "No Show"))</f>
        <v>0.11428571428571428</v>
      </c>
      <c r="L13" s="9">
        <f>COUNTIFS(Lessons[Instrument__c], $D13, Lessons[Is Past], "Yes", Lessons[Status__c], "No Show") / (COUNTIFS(Lessons[Instrument__c], $D13,Lessons[Is Past], "Yes", Lessons[Status__c], "Cancelled*") + COUNTIFS(Lessons[Instrument__c], $D13, Lessons[Is Past], "Yes", Lessons[Status__c], "Completed") + COUNTIFS(Lessons[Instrument__c], $D13, Lessons[Is Past], "Yes", Lessons[Status__c], "No Show"))</f>
        <v>7.1428571428571425E-2</v>
      </c>
      <c r="M13" t="s">
        <v>5025</v>
      </c>
      <c r="N13" s="6">
        <v>64</v>
      </c>
    </row>
    <row r="14" spans="1:14">
      <c r="D14" t="s">
        <v>107</v>
      </c>
      <c r="E14" s="6"/>
      <c r="F14" s="6">
        <v>5</v>
      </c>
      <c r="G14" s="6">
        <v>37</v>
      </c>
      <c r="H14" s="6">
        <v>3</v>
      </c>
      <c r="I14" s="6">
        <v>5</v>
      </c>
      <c r="J14" s="6">
        <v>50</v>
      </c>
      <c r="K14" s="9">
        <f>COUNTIFS(Lessons[Instrument__c], $D14, Lessons[Is Past], "Yes", Lessons[Status__c], "Cancelled*") / (COUNTIFS(Lessons[Instrument__c], $D14,Lessons[Is Past], "Yes", Lessons[Status__c], "Cancelled*") + COUNTIFS(Lessons[Instrument__c], $D14, Lessons[Is Past], "Yes", Lessons[Status__c], "Completed") + COUNTIFS(Lessons[Instrument__c], $D14, Lessons[Is Past], "Yes", Lessons[Status__c], "No Show"))</f>
        <v>0.16</v>
      </c>
      <c r="L14" s="9">
        <f>COUNTIFS(Lessons[Instrument__c], $D14, Lessons[Is Past], "Yes", Lessons[Status__c], "No Show") / (COUNTIFS(Lessons[Instrument__c], $D14,Lessons[Is Past], "Yes", Lessons[Status__c], "Cancelled*") + COUNTIFS(Lessons[Instrument__c], $D14, Lessons[Is Past], "Yes", Lessons[Status__c], "Completed") + COUNTIFS(Lessons[Instrument__c], $D14, Lessons[Is Past], "Yes", Lessons[Status__c], "No Show"))</f>
        <v>0.1</v>
      </c>
      <c r="M14" t="s">
        <v>5011</v>
      </c>
      <c r="N14" s="6">
        <v>625</v>
      </c>
    </row>
    <row r="15" spans="1:14">
      <c r="D15" t="s">
        <v>392</v>
      </c>
      <c r="E15" s="6"/>
      <c r="F15" s="6">
        <v>8</v>
      </c>
      <c r="G15" s="6">
        <v>72</v>
      </c>
      <c r="H15" s="6">
        <v>3</v>
      </c>
      <c r="I15" s="6">
        <v>4</v>
      </c>
      <c r="J15" s="6">
        <v>87</v>
      </c>
      <c r="K15" s="9">
        <f>COUNTIFS(Lessons[Instrument__c], $D15, Lessons[Is Past], "Yes", Lessons[Status__c], "Cancelled*") / (COUNTIFS(Lessons[Instrument__c], $D15,Lessons[Is Past], "Yes", Lessons[Status__c], "Cancelled*") + COUNTIFS(Lessons[Instrument__c], $D15, Lessons[Is Past], "Yes", Lessons[Status__c], "Completed") + COUNTIFS(Lessons[Instrument__c], $D15, Lessons[Is Past], "Yes", Lessons[Status__c], "No Show"))</f>
        <v>8.0459770114942528E-2</v>
      </c>
      <c r="L15" s="9">
        <f>COUNTIFS(Lessons[Instrument__c], $D15, Lessons[Is Past], "Yes", Lessons[Status__c], "No Show") / (COUNTIFS(Lessons[Instrument__c], $D15,Lessons[Is Past], "Yes", Lessons[Status__c], "Cancelled*") + COUNTIFS(Lessons[Instrument__c], $D15, Lessons[Is Past], "Yes", Lessons[Status__c], "Completed") + COUNTIFS(Lessons[Instrument__c], $D15, Lessons[Is Past], "Yes", Lessons[Status__c], "No Show"))</f>
        <v>9.1954022988505746E-2</v>
      </c>
    </row>
    <row r="16" spans="1:14">
      <c r="D16" t="s">
        <v>527</v>
      </c>
      <c r="E16" s="6"/>
      <c r="F16" s="6">
        <v>8</v>
      </c>
      <c r="G16" s="6">
        <v>35</v>
      </c>
      <c r="H16" s="6">
        <v>3</v>
      </c>
      <c r="I16" s="6">
        <v>1</v>
      </c>
      <c r="J16" s="6">
        <v>47</v>
      </c>
      <c r="K16" s="9">
        <f>COUNTIFS(Lessons[Instrument__c], $D16, Lessons[Is Past], "Yes", Lessons[Status__c], "Cancelled*") / (COUNTIFS(Lessons[Instrument__c], $D16,Lessons[Is Past], "Yes", Lessons[Status__c], "Cancelled*") + COUNTIFS(Lessons[Instrument__c], $D16, Lessons[Is Past], "Yes", Lessons[Status__c], "Completed") + COUNTIFS(Lessons[Instrument__c], $D16, Lessons[Is Past], "Yes", Lessons[Status__c], "No Show"))</f>
        <v>8.5106382978723402E-2</v>
      </c>
      <c r="L16" s="9">
        <f>COUNTIFS(Lessons[Instrument__c], $D16, Lessons[Is Past], "Yes", Lessons[Status__c], "No Show") / (COUNTIFS(Lessons[Instrument__c], $D16,Lessons[Is Past], "Yes", Lessons[Status__c], "Cancelled*") + COUNTIFS(Lessons[Instrument__c], $D16, Lessons[Is Past], "Yes", Lessons[Status__c], "Completed") + COUNTIFS(Lessons[Instrument__c], $D16, Lessons[Is Past], "Yes", Lessons[Status__c], "No Show"))</f>
        <v>0.1702127659574468</v>
      </c>
    </row>
    <row r="17" spans="4:12">
      <c r="D17" t="s">
        <v>5011</v>
      </c>
      <c r="E17" s="6">
        <v>5</v>
      </c>
      <c r="F17" s="6">
        <v>78</v>
      </c>
      <c r="G17" s="6">
        <v>647</v>
      </c>
      <c r="H17" s="6">
        <v>61</v>
      </c>
      <c r="I17" s="6">
        <v>53</v>
      </c>
      <c r="J17" s="6">
        <v>844</v>
      </c>
      <c r="K17" s="9">
        <f>COUNTIFS(Lessons[Is Past], "Yes", Lessons[Status__c], "Cancelled*") / (COUNTIFS(Lessons[Is Past], "Yes", Lessons[Status__c], "Cancelled*") + COUNTIFS(Lessons[Is Past], "Yes", Lessons[Status__c], "Completed") + COUNTIFS(Lessons[Is Past], "Yes", Lessons[Status__c], "No Show"))</f>
        <v>0.13587604290822408</v>
      </c>
      <c r="L17" s="9">
        <f>COUNTIFS(Lessons[Is Past], "Yes", Lessons[Status__c], "No Show") / (COUNTIFS(Lessons[Is Past], "Yes", Lessons[Status__c], "Cancelled*") + COUNTIFS(Lessons[Is Past], "Yes", Lessons[Status__c], "Completed") + COUNTIFS(Lessons[Is Past], "Yes", Lessons[Status__c], "No Show"))</f>
        <v>9.2967818831942786E-2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7"/>
  <sheetViews>
    <sheetView topLeftCell="N1" workbookViewId="0">
      <selection activeCell="Y7" sqref="Y7"/>
    </sheetView>
  </sheetViews>
  <sheetFormatPr defaultRowHeight="15"/>
  <cols>
    <col min="1" max="1" width="12" bestFit="1" customWidth="1"/>
    <col min="2" max="2" width="29.28515625" style="1" bestFit="1" customWidth="1"/>
    <col min="3" max="3" width="21" hidden="1" customWidth="1"/>
    <col min="4" max="4" width="25.140625" hidden="1" customWidth="1"/>
    <col min="5" max="5" width="32.28515625" bestFit="1" customWidth="1"/>
    <col min="6" max="6" width="16.85546875" bestFit="1" customWidth="1"/>
    <col min="7" max="7" width="19.28515625" bestFit="1" customWidth="1"/>
    <col min="8" max="8" width="15.5703125" bestFit="1" customWidth="1"/>
    <col min="9" max="9" width="17.7109375" style="2" bestFit="1" customWidth="1"/>
    <col min="10" max="10" width="22.28515625" bestFit="1" customWidth="1"/>
    <col min="11" max="11" width="26.85546875" bestFit="1" customWidth="1"/>
    <col min="12" max="12" width="25" bestFit="1" customWidth="1"/>
    <col min="13" max="13" width="11.85546875" bestFit="1" customWidth="1"/>
    <col min="14" max="14" width="18.140625" bestFit="1" customWidth="1"/>
    <col min="15" max="15" width="21" hidden="1" customWidth="1"/>
    <col min="16" max="18" width="25.140625" hidden="1" customWidth="1"/>
    <col min="19" max="19" width="16.5703125" bestFit="1" customWidth="1"/>
    <col min="20" max="20" width="19" bestFit="1" customWidth="1"/>
    <col min="21" max="21" width="27.42578125" bestFit="1" customWidth="1"/>
    <col min="22" max="22" width="19.28515625" bestFit="1" customWidth="1"/>
    <col min="23" max="23" width="21" hidden="1" customWidth="1"/>
    <col min="24" max="24" width="14.5703125" bestFit="1" customWidth="1"/>
    <col min="25" max="25" width="22.42578125" bestFit="1" customWidth="1"/>
    <col min="26" max="26" width="25.140625" hidden="1" customWidth="1"/>
    <col min="27" max="27" width="44.85546875" customWidth="1"/>
    <col min="28" max="28" width="10.42578125" customWidth="1"/>
    <col min="29" max="29" width="20.85546875" customWidth="1"/>
    <col min="30" max="30" width="23.5703125" customWidth="1"/>
  </cols>
  <sheetData>
    <row r="1" spans="1:30">
      <c r="A1" t="s">
        <v>5026</v>
      </c>
      <c r="B1" s="1" t="s">
        <v>5027</v>
      </c>
      <c r="C1" t="s">
        <v>20</v>
      </c>
      <c r="D1" t="s">
        <v>21</v>
      </c>
      <c r="E1" t="s">
        <v>5028</v>
      </c>
      <c r="F1" t="s">
        <v>5029</v>
      </c>
      <c r="G1" t="s">
        <v>5030</v>
      </c>
      <c r="H1" t="s">
        <v>5031</v>
      </c>
      <c r="I1" s="2" t="s">
        <v>5032</v>
      </c>
      <c r="J1" t="s">
        <v>23</v>
      </c>
      <c r="K1" t="s">
        <v>24</v>
      </c>
      <c r="L1" t="s">
        <v>5033</v>
      </c>
      <c r="M1" t="s">
        <v>28</v>
      </c>
      <c r="N1" t="s">
        <v>29</v>
      </c>
      <c r="O1" t="s">
        <v>30</v>
      </c>
      <c r="P1" t="s">
        <v>31</v>
      </c>
      <c r="Q1" t="s">
        <v>32</v>
      </c>
      <c r="R1" t="s">
        <v>33</v>
      </c>
      <c r="S1" t="s">
        <v>5034</v>
      </c>
      <c r="T1" t="s">
        <v>5035</v>
      </c>
      <c r="U1" t="s">
        <v>5036</v>
      </c>
      <c r="V1" t="s">
        <v>40</v>
      </c>
      <c r="W1" t="s">
        <v>5037</v>
      </c>
      <c r="X1" t="s">
        <v>5038</v>
      </c>
      <c r="Y1" t="s">
        <v>5039</v>
      </c>
      <c r="Z1" t="s">
        <v>45</v>
      </c>
      <c r="AA1" t="s">
        <v>5040</v>
      </c>
      <c r="AB1" t="s">
        <v>5041</v>
      </c>
      <c r="AC1" t="s">
        <v>5042</v>
      </c>
      <c r="AD1" t="s">
        <v>5043</v>
      </c>
    </row>
    <row r="2" spans="1:30">
      <c r="A2" t="s">
        <v>5044</v>
      </c>
      <c r="B2" s="1">
        <v>44611</v>
      </c>
      <c r="C2" t="s">
        <v>52</v>
      </c>
      <c r="D2" t="s">
        <v>5045</v>
      </c>
      <c r="E2" t="s">
        <v>5046</v>
      </c>
      <c r="F2" t="s">
        <v>5047</v>
      </c>
      <c r="G2" t="s">
        <v>105</v>
      </c>
      <c r="H2" s="1">
        <v>44610</v>
      </c>
      <c r="I2" s="2">
        <v>48</v>
      </c>
      <c r="J2" t="s">
        <v>104</v>
      </c>
      <c r="K2" t="s">
        <v>5048</v>
      </c>
      <c r="L2" t="s">
        <v>5049</v>
      </c>
      <c r="M2" t="b">
        <v>0</v>
      </c>
      <c r="O2" t="s">
        <v>52</v>
      </c>
      <c r="P2" t="s">
        <v>5050</v>
      </c>
      <c r="Q2" t="s">
        <v>5051</v>
      </c>
      <c r="R2" t="s">
        <v>5051</v>
      </c>
      <c r="S2" t="s">
        <v>5052</v>
      </c>
      <c r="T2">
        <v>31</v>
      </c>
      <c r="U2">
        <v>25</v>
      </c>
      <c r="V2" t="s">
        <v>105</v>
      </c>
      <c r="W2" t="s">
        <v>52</v>
      </c>
      <c r="X2" t="s">
        <v>5053</v>
      </c>
      <c r="Y2" t="s">
        <v>83</v>
      </c>
      <c r="Z2" t="s">
        <v>5050</v>
      </c>
      <c r="AA2" t="str">
        <f>LOWER(TRIM(Instructors[[#This Row],[Email__c]]))</f>
        <v>zoeyrodriguez66@hotmail.com</v>
      </c>
      <c r="AB2">
        <f>COUNTIF(Instructors[Dup Email Key],Instructors[[#This Row],[Dup Email Key]])</f>
        <v>1</v>
      </c>
      <c r="AC2" t="str">
        <f>IF(Instructors[[#This Row],[Active__c]] = "Active", COUNTIFS(Lessons[Instructor_External_Id__c], Instructors[[#This Row],[Id]], Lessons[Status__c], "Completed", Lessons[Is Past], "Yes"), "Not Active")</f>
        <v>Not Active</v>
      </c>
      <c r="AD2" s="6">
        <f>COUNTIFS(Lessons[Instructor_External_Id__c], Instructors[[#This Row],[Id]], Lessons[Lesson_Date__c], "&gt;"&amp;Data_Audit!$F$1, Lessons[Lesson_Date__c], "&lt;="&amp;Data_Audit!$F$1+28, Lessons[Status__c], "Scheduled")</f>
        <v>0</v>
      </c>
    </row>
    <row r="3" spans="1:30">
      <c r="A3" t="s">
        <v>5054</v>
      </c>
      <c r="B3" s="1">
        <v>43608</v>
      </c>
      <c r="C3" t="s">
        <v>52</v>
      </c>
      <c r="D3" t="s">
        <v>5045</v>
      </c>
      <c r="E3" t="s">
        <v>5055</v>
      </c>
      <c r="F3" t="s">
        <v>5056</v>
      </c>
      <c r="G3" t="s">
        <v>402</v>
      </c>
      <c r="H3" s="1">
        <v>43593</v>
      </c>
      <c r="I3" s="2">
        <v>45</v>
      </c>
      <c r="J3" t="s">
        <v>401</v>
      </c>
      <c r="K3" t="s">
        <v>5057</v>
      </c>
      <c r="L3" t="s">
        <v>5058</v>
      </c>
      <c r="M3" t="b">
        <v>0</v>
      </c>
      <c r="O3" t="s">
        <v>52</v>
      </c>
      <c r="P3" t="s">
        <v>4648</v>
      </c>
      <c r="Q3" t="s">
        <v>5059</v>
      </c>
      <c r="R3" t="s">
        <v>5059</v>
      </c>
      <c r="S3" t="s">
        <v>5060</v>
      </c>
      <c r="T3">
        <v>44</v>
      </c>
      <c r="U3">
        <v>20</v>
      </c>
      <c r="V3" t="s">
        <v>402</v>
      </c>
      <c r="W3" t="s">
        <v>52</v>
      </c>
      <c r="X3" t="s">
        <v>5061</v>
      </c>
      <c r="Y3" t="s">
        <v>83</v>
      </c>
      <c r="Z3" t="s">
        <v>4648</v>
      </c>
      <c r="AA3" t="str">
        <f>LOWER(TRIM(Instructors[[#This Row],[Email__c]]))</f>
        <v>miasmith41@yahoo.com</v>
      </c>
      <c r="AB3">
        <f>COUNTIF(Instructors[Dup Email Key],Instructors[[#This Row],[Dup Email Key]])</f>
        <v>1</v>
      </c>
      <c r="AC3">
        <f>IF(Instructors[[#This Row],[Active__c]] = "Active", COUNTIFS(Lessons[Instructor_External_Id__c], Instructors[[#This Row],[Id]], Lessons[Status__c], "Completed", Lessons[Is Past], "Yes"), "Not Active")</f>
        <v>19</v>
      </c>
      <c r="AD3" s="6">
        <f>COUNTIFS(Lessons[Instructor_External_Id__c], Instructors[[#This Row],[Id]], Lessons[Lesson_Date__c], "&gt;"&amp;Data_Audit!$F$1, Lessons[Lesson_Date__c], "&lt;="&amp;Data_Audit!$F$1+28, Lessons[Status__c], "Scheduled")</f>
        <v>5</v>
      </c>
    </row>
    <row r="4" spans="1:30">
      <c r="A4" t="s">
        <v>5054</v>
      </c>
      <c r="B4" s="1">
        <v>44395</v>
      </c>
      <c r="C4" t="s">
        <v>52</v>
      </c>
      <c r="D4" t="s">
        <v>5045</v>
      </c>
      <c r="E4" t="s">
        <v>5062</v>
      </c>
      <c r="F4" t="s">
        <v>5063</v>
      </c>
      <c r="G4" t="s">
        <v>77</v>
      </c>
      <c r="H4" s="1">
        <v>44358</v>
      </c>
      <c r="I4" s="2">
        <v>35</v>
      </c>
      <c r="J4" t="s">
        <v>76</v>
      </c>
      <c r="K4" t="s">
        <v>5064</v>
      </c>
      <c r="L4" t="s">
        <v>5065</v>
      </c>
      <c r="M4" t="b">
        <v>0</v>
      </c>
      <c r="O4" t="s">
        <v>52</v>
      </c>
      <c r="P4" t="s">
        <v>4648</v>
      </c>
      <c r="Q4" t="s">
        <v>5066</v>
      </c>
      <c r="R4" t="s">
        <v>5066</v>
      </c>
      <c r="S4" t="s">
        <v>5067</v>
      </c>
      <c r="T4">
        <v>54</v>
      </c>
      <c r="U4">
        <v>18</v>
      </c>
      <c r="V4" t="s">
        <v>77</v>
      </c>
      <c r="W4" t="s">
        <v>52</v>
      </c>
      <c r="X4" t="s">
        <v>5068</v>
      </c>
      <c r="Y4" t="s">
        <v>83</v>
      </c>
      <c r="Z4" t="s">
        <v>4648</v>
      </c>
      <c r="AA4" t="str">
        <f>LOWER(TRIM(Instructors[[#This Row],[Email__c]]))</f>
        <v>noah.mitchell@yahoo.com</v>
      </c>
      <c r="AB4">
        <f>COUNTIF(Instructors[Dup Email Key],Instructors[[#This Row],[Dup Email Key]])</f>
        <v>1</v>
      </c>
      <c r="AC4">
        <f>IF(Instructors[[#This Row],[Active__c]] = "Active", COUNTIFS(Lessons[Instructor_External_Id__c], Instructors[[#This Row],[Id]], Lessons[Status__c], "Completed", Lessons[Is Past], "Yes"), "Not Active")</f>
        <v>17</v>
      </c>
      <c r="AD4" s="6">
        <f>COUNTIFS(Lessons[Instructor_External_Id__c], Instructors[[#This Row],[Id]], Lessons[Lesson_Date__c], "&gt;"&amp;Data_Audit!$F$1, Lessons[Lesson_Date__c], "&lt;="&amp;Data_Audit!$F$1+28, Lessons[Status__c], "Scheduled")</f>
        <v>8</v>
      </c>
    </row>
    <row r="5" spans="1:30">
      <c r="A5" t="s">
        <v>5044</v>
      </c>
      <c r="B5" s="1">
        <v>44523</v>
      </c>
      <c r="C5" t="s">
        <v>52</v>
      </c>
      <c r="D5" t="s">
        <v>5045</v>
      </c>
      <c r="E5" t="s">
        <v>5069</v>
      </c>
      <c r="F5" t="s">
        <v>5070</v>
      </c>
      <c r="G5" t="s">
        <v>146</v>
      </c>
      <c r="H5" s="1">
        <v>44485</v>
      </c>
      <c r="I5" s="2">
        <v>35</v>
      </c>
      <c r="J5" t="s">
        <v>145</v>
      </c>
      <c r="K5" t="s">
        <v>5071</v>
      </c>
      <c r="L5" t="s">
        <v>147</v>
      </c>
      <c r="M5" t="b">
        <v>0</v>
      </c>
      <c r="O5" t="s">
        <v>52</v>
      </c>
      <c r="P5" t="s">
        <v>5050</v>
      </c>
      <c r="Q5" t="s">
        <v>5066</v>
      </c>
      <c r="R5" t="s">
        <v>5066</v>
      </c>
      <c r="S5" t="s">
        <v>5072</v>
      </c>
      <c r="T5">
        <v>18</v>
      </c>
      <c r="U5">
        <v>20</v>
      </c>
      <c r="V5" t="s">
        <v>146</v>
      </c>
      <c r="W5" t="s">
        <v>52</v>
      </c>
      <c r="X5" t="s">
        <v>5073</v>
      </c>
      <c r="Y5" t="s">
        <v>83</v>
      </c>
      <c r="Z5" t="s">
        <v>5050</v>
      </c>
      <c r="AA5" t="str">
        <f>LOWER(TRIM(Instructors[[#This Row],[Email__c]]))</f>
        <v>lsullivan@yahoo.com</v>
      </c>
      <c r="AB5">
        <f>COUNTIF(Instructors[Dup Email Key],Instructors[[#This Row],[Dup Email Key]])</f>
        <v>2</v>
      </c>
      <c r="AC5" t="str">
        <f>IF(Instructors[[#This Row],[Active__c]] = "Active", COUNTIFS(Lessons[Instructor_External_Id__c], Instructors[[#This Row],[Id]], Lessons[Status__c], "Completed", Lessons[Is Past], "Yes"), "Not Active")</f>
        <v>Not Active</v>
      </c>
      <c r="AD5" s="6">
        <f>COUNTIFS(Lessons[Instructor_External_Id__c], Instructors[[#This Row],[Id]], Lessons[Lesson_Date__c], "&gt;"&amp;Data_Audit!$F$1, Lessons[Lesson_Date__c], "&lt;="&amp;Data_Audit!$F$1+28, Lessons[Status__c], "Scheduled")</f>
        <v>0</v>
      </c>
    </row>
    <row r="6" spans="1:30">
      <c r="A6" t="s">
        <v>5054</v>
      </c>
      <c r="B6" s="1">
        <v>45904</v>
      </c>
      <c r="C6" t="s">
        <v>52</v>
      </c>
      <c r="D6" t="s">
        <v>5045</v>
      </c>
      <c r="F6" t="s">
        <v>5047</v>
      </c>
      <c r="G6" t="s">
        <v>360</v>
      </c>
      <c r="H6" s="1">
        <v>45871</v>
      </c>
      <c r="I6" s="2">
        <v>42</v>
      </c>
      <c r="J6" t="s">
        <v>359</v>
      </c>
      <c r="K6" t="s">
        <v>5074</v>
      </c>
      <c r="L6" t="s">
        <v>5075</v>
      </c>
      <c r="M6" t="b">
        <v>0</v>
      </c>
      <c r="O6" t="s">
        <v>52</v>
      </c>
      <c r="P6" t="s">
        <v>4648</v>
      </c>
      <c r="Q6" t="s">
        <v>5076</v>
      </c>
      <c r="R6" t="s">
        <v>5076</v>
      </c>
      <c r="S6" t="s">
        <v>5077</v>
      </c>
      <c r="T6">
        <v>93</v>
      </c>
      <c r="U6">
        <v>25</v>
      </c>
      <c r="V6" t="s">
        <v>360</v>
      </c>
      <c r="W6" t="s">
        <v>52</v>
      </c>
      <c r="X6" t="s">
        <v>5078</v>
      </c>
      <c r="Y6" t="s">
        <v>63</v>
      </c>
      <c r="Z6" t="s">
        <v>4648</v>
      </c>
      <c r="AA6" t="str">
        <f>LOWER(TRIM(Instructors[[#This Row],[Email__c]]))</f>
        <v/>
      </c>
      <c r="AB6">
        <f>COUNTIF(Instructors[Dup Email Key],Instructors[[#This Row],[Dup Email Key]])</f>
        <v>1</v>
      </c>
      <c r="AC6">
        <f>IF(Instructors[[#This Row],[Active__c]] = "Active", COUNTIFS(Lessons[Instructor_External_Id__c], Instructors[[#This Row],[Id]], Lessons[Status__c], "Completed", Lessons[Is Past], "Yes"), "Not Active")</f>
        <v>29</v>
      </c>
      <c r="AD6" s="6">
        <f>COUNTIFS(Lessons[Instructor_External_Id__c], Instructors[[#This Row],[Id]], Lessons[Lesson_Date__c], "&gt;"&amp;Data_Audit!$F$1, Lessons[Lesson_Date__c], "&lt;="&amp;Data_Audit!$F$1+28, Lessons[Status__c], "Scheduled")</f>
        <v>15</v>
      </c>
    </row>
    <row r="7" spans="1:30">
      <c r="A7" t="s">
        <v>5044</v>
      </c>
      <c r="B7" s="1">
        <v>45584</v>
      </c>
      <c r="C7" t="s">
        <v>52</v>
      </c>
      <c r="D7" t="s">
        <v>5045</v>
      </c>
      <c r="E7" t="s">
        <v>5079</v>
      </c>
      <c r="F7" t="s">
        <v>5080</v>
      </c>
      <c r="G7" t="s">
        <v>504</v>
      </c>
      <c r="H7" s="1">
        <v>45544</v>
      </c>
      <c r="I7" s="2">
        <v>38</v>
      </c>
      <c r="J7" t="s">
        <v>503</v>
      </c>
      <c r="K7" t="s">
        <v>5081</v>
      </c>
      <c r="L7" t="s">
        <v>461</v>
      </c>
      <c r="M7" t="b">
        <v>0</v>
      </c>
      <c r="O7" t="s">
        <v>52</v>
      </c>
      <c r="P7" t="s">
        <v>79</v>
      </c>
      <c r="Q7" t="s">
        <v>5082</v>
      </c>
      <c r="R7" t="s">
        <v>5082</v>
      </c>
      <c r="S7" t="s">
        <v>5083</v>
      </c>
      <c r="T7">
        <v>14</v>
      </c>
      <c r="U7">
        <v>22</v>
      </c>
      <c r="V7" t="s">
        <v>504</v>
      </c>
      <c r="W7" t="s">
        <v>52</v>
      </c>
      <c r="X7" t="s">
        <v>5084</v>
      </c>
      <c r="Y7" t="s">
        <v>63</v>
      </c>
      <c r="Z7" t="s">
        <v>79</v>
      </c>
      <c r="AA7" t="str">
        <f>LOWER(TRIM(Instructors[[#This Row],[Email__c]]))</f>
        <v>fatimalewis@hotmail.com</v>
      </c>
      <c r="AB7">
        <f>COUNTIF(Instructors[Dup Email Key],Instructors[[#This Row],[Dup Email Key]])</f>
        <v>1</v>
      </c>
      <c r="AC7" t="str">
        <f>IF(Instructors[[#This Row],[Active__c]] = "Active", COUNTIFS(Lessons[Instructor_External_Id__c], Instructors[[#This Row],[Id]], Lessons[Status__c], "Completed", Lessons[Is Past], "Yes"), "Not Active")</f>
        <v>Not Active</v>
      </c>
      <c r="AD7" s="6">
        <f>COUNTIFS(Lessons[Instructor_External_Id__c], Instructors[[#This Row],[Id]], Lessons[Lesson_Date__c], "&gt;"&amp;Data_Audit!$F$1, Lessons[Lesson_Date__c], "&lt;="&amp;Data_Audit!$F$1+28, Lessons[Status__c], "Scheduled")</f>
        <v>0</v>
      </c>
    </row>
    <row r="8" spans="1:30">
      <c r="A8" t="s">
        <v>5044</v>
      </c>
      <c r="B8" s="1">
        <v>45833</v>
      </c>
      <c r="C8" t="s">
        <v>52</v>
      </c>
      <c r="D8" t="s">
        <v>5045</v>
      </c>
      <c r="E8" t="s">
        <v>5085</v>
      </c>
      <c r="F8" t="s">
        <v>5080</v>
      </c>
      <c r="G8" t="s">
        <v>5086</v>
      </c>
      <c r="H8" s="1">
        <v>45795</v>
      </c>
      <c r="I8" s="2">
        <v>42</v>
      </c>
      <c r="J8" t="s">
        <v>5087</v>
      </c>
      <c r="K8" t="s">
        <v>5088</v>
      </c>
      <c r="L8" t="s">
        <v>5089</v>
      </c>
      <c r="M8" t="b">
        <v>0</v>
      </c>
      <c r="O8" t="s">
        <v>52</v>
      </c>
      <c r="P8" t="s">
        <v>5050</v>
      </c>
      <c r="Q8" t="s">
        <v>5066</v>
      </c>
      <c r="R8" t="s">
        <v>5066</v>
      </c>
      <c r="S8" t="s">
        <v>5090</v>
      </c>
      <c r="T8">
        <v>0</v>
      </c>
      <c r="U8">
        <v>25</v>
      </c>
      <c r="V8" t="s">
        <v>5086</v>
      </c>
      <c r="W8" t="s">
        <v>52</v>
      </c>
      <c r="X8" t="s">
        <v>5091</v>
      </c>
      <c r="Y8" t="s">
        <v>63</v>
      </c>
      <c r="Z8" t="s">
        <v>5050</v>
      </c>
      <c r="AA8" t="str">
        <f>LOWER(TRIM(Instructors[[#This Row],[Email__c]]))</f>
        <v>fatimahernandez61@outlook.com</v>
      </c>
      <c r="AB8">
        <f>COUNTIF(Instructors[Dup Email Key],Instructors[[#This Row],[Dup Email Key]])</f>
        <v>1</v>
      </c>
      <c r="AC8" t="str">
        <f>IF(Instructors[[#This Row],[Active__c]] = "Active", COUNTIFS(Lessons[Instructor_External_Id__c], Instructors[[#This Row],[Id]], Lessons[Status__c], "Completed", Lessons[Is Past], "Yes"), "Not Active")</f>
        <v>Not Active</v>
      </c>
      <c r="AD8" s="6">
        <f>COUNTIFS(Lessons[Instructor_External_Id__c], Instructors[[#This Row],[Id]], Lessons[Lesson_Date__c], "&gt;"&amp;Data_Audit!$F$1, Lessons[Lesson_Date__c], "&lt;="&amp;Data_Audit!$F$1+28, Lessons[Status__c], "Scheduled")</f>
        <v>0</v>
      </c>
    </row>
    <row r="9" spans="1:30">
      <c r="A9" t="s">
        <v>5044</v>
      </c>
      <c r="B9" s="1">
        <v>44609</v>
      </c>
      <c r="C9" t="s">
        <v>52</v>
      </c>
      <c r="D9" t="s">
        <v>5045</v>
      </c>
      <c r="E9" t="s">
        <v>5092</v>
      </c>
      <c r="F9" t="s">
        <v>5093</v>
      </c>
      <c r="G9" t="s">
        <v>841</v>
      </c>
      <c r="H9" s="1">
        <v>44551</v>
      </c>
      <c r="I9" s="2">
        <v>38</v>
      </c>
      <c r="J9" t="s">
        <v>840</v>
      </c>
      <c r="K9" t="s">
        <v>5094</v>
      </c>
      <c r="L9" t="s">
        <v>58</v>
      </c>
      <c r="M9" t="b">
        <v>0</v>
      </c>
      <c r="O9" t="s">
        <v>52</v>
      </c>
      <c r="P9" t="s">
        <v>79</v>
      </c>
      <c r="Q9" t="s">
        <v>5066</v>
      </c>
      <c r="R9" t="s">
        <v>5066</v>
      </c>
      <c r="S9" t="s">
        <v>5095</v>
      </c>
      <c r="T9">
        <v>4</v>
      </c>
      <c r="U9">
        <v>20</v>
      </c>
      <c r="V9" t="s">
        <v>841</v>
      </c>
      <c r="W9" t="s">
        <v>52</v>
      </c>
      <c r="X9" t="s">
        <v>5096</v>
      </c>
      <c r="Y9" t="s">
        <v>83</v>
      </c>
      <c r="Z9" t="s">
        <v>79</v>
      </c>
      <c r="AA9" t="str">
        <f>LOWER(TRIM(Instructors[[#This Row],[Email__c]]))</f>
        <v>mnovak@hotmail.com</v>
      </c>
      <c r="AB9">
        <f>COUNTIF(Instructors[Dup Email Key],Instructors[[#This Row],[Dup Email Key]])</f>
        <v>1</v>
      </c>
      <c r="AC9" t="str">
        <f>IF(Instructors[[#This Row],[Active__c]] = "Active", COUNTIFS(Lessons[Instructor_External_Id__c], Instructors[[#This Row],[Id]], Lessons[Status__c], "Completed", Lessons[Is Past], "Yes"), "Not Active")</f>
        <v>Not Active</v>
      </c>
      <c r="AD9" s="6">
        <f>COUNTIFS(Lessons[Instructor_External_Id__c], Instructors[[#This Row],[Id]], Lessons[Lesson_Date__c], "&gt;"&amp;Data_Audit!$F$1, Lessons[Lesson_Date__c], "&lt;="&amp;Data_Audit!$F$1+28, Lessons[Status__c], "Scheduled")</f>
        <v>0</v>
      </c>
    </row>
    <row r="10" spans="1:30">
      <c r="A10" t="s">
        <v>5044</v>
      </c>
      <c r="B10" s="1">
        <v>45930</v>
      </c>
      <c r="C10" t="s">
        <v>52</v>
      </c>
      <c r="D10" t="s">
        <v>5045</v>
      </c>
      <c r="E10" t="s">
        <v>5097</v>
      </c>
      <c r="F10" t="s">
        <v>5098</v>
      </c>
      <c r="G10" t="s">
        <v>262</v>
      </c>
      <c r="H10" s="1">
        <v>45889</v>
      </c>
      <c r="I10" s="2">
        <v>50</v>
      </c>
      <c r="J10" t="s">
        <v>261</v>
      </c>
      <c r="K10" t="s">
        <v>5099</v>
      </c>
      <c r="L10" t="s">
        <v>263</v>
      </c>
      <c r="M10" t="b">
        <v>0</v>
      </c>
      <c r="O10" t="s">
        <v>52</v>
      </c>
      <c r="P10" t="s">
        <v>5050</v>
      </c>
      <c r="Q10" t="s">
        <v>5066</v>
      </c>
      <c r="R10" t="s">
        <v>5066</v>
      </c>
      <c r="S10" t="s">
        <v>5100</v>
      </c>
      <c r="T10">
        <v>13</v>
      </c>
      <c r="U10">
        <v>12</v>
      </c>
      <c r="V10" t="s">
        <v>262</v>
      </c>
      <c r="W10" t="s">
        <v>52</v>
      </c>
      <c r="X10" t="s">
        <v>5101</v>
      </c>
      <c r="Y10" t="s">
        <v>63</v>
      </c>
      <c r="Z10" t="s">
        <v>5050</v>
      </c>
      <c r="AA10" t="str">
        <f>LOWER(TRIM(Instructors[[#This Row],[Email__c]]))</f>
        <v>emilytaylor45@gmail.com</v>
      </c>
      <c r="AB10">
        <f>COUNTIF(Instructors[Dup Email Key],Instructors[[#This Row],[Dup Email Key]])</f>
        <v>1</v>
      </c>
      <c r="AC10" t="str">
        <f>IF(Instructors[[#This Row],[Active__c]] = "Active", COUNTIFS(Lessons[Instructor_External_Id__c], Instructors[[#This Row],[Id]], Lessons[Status__c], "Completed", Lessons[Is Past], "Yes"), "Not Active")</f>
        <v>Not Active</v>
      </c>
      <c r="AD10" s="6">
        <f>COUNTIFS(Lessons[Instructor_External_Id__c], Instructors[[#This Row],[Id]], Lessons[Lesson_Date__c], "&gt;"&amp;Data_Audit!$F$1, Lessons[Lesson_Date__c], "&lt;="&amp;Data_Audit!$F$1+28, Lessons[Status__c], "Scheduled")</f>
        <v>0</v>
      </c>
    </row>
    <row r="11" spans="1:30">
      <c r="A11" t="s">
        <v>5044</v>
      </c>
      <c r="B11" s="1">
        <v>43759</v>
      </c>
      <c r="C11" t="s">
        <v>52</v>
      </c>
      <c r="D11" t="s">
        <v>5045</v>
      </c>
      <c r="E11" t="s">
        <v>5102</v>
      </c>
      <c r="F11" t="s">
        <v>5103</v>
      </c>
      <c r="G11" t="s">
        <v>765</v>
      </c>
      <c r="H11" s="1">
        <v>43726</v>
      </c>
      <c r="I11" s="2">
        <v>40</v>
      </c>
      <c r="J11" t="s">
        <v>764</v>
      </c>
      <c r="K11" t="s">
        <v>5104</v>
      </c>
      <c r="L11" t="s">
        <v>5105</v>
      </c>
      <c r="M11" t="b">
        <v>0</v>
      </c>
      <c r="O11" t="s">
        <v>52</v>
      </c>
      <c r="P11" t="s">
        <v>5050</v>
      </c>
      <c r="Q11" t="s">
        <v>5066</v>
      </c>
      <c r="R11" t="s">
        <v>5066</v>
      </c>
      <c r="S11" t="s">
        <v>5106</v>
      </c>
      <c r="T11">
        <v>16</v>
      </c>
      <c r="U11">
        <v>20</v>
      </c>
      <c r="V11" t="s">
        <v>765</v>
      </c>
      <c r="W11" t="s">
        <v>52</v>
      </c>
      <c r="X11" t="s">
        <v>5107</v>
      </c>
      <c r="Y11" t="s">
        <v>63</v>
      </c>
      <c r="Z11" t="s">
        <v>5050</v>
      </c>
      <c r="AA11" t="str">
        <f>LOWER(TRIM(Instructors[[#This Row],[Email__c]]))</f>
        <v>charlottenakamura@icloud.com</v>
      </c>
      <c r="AB11">
        <f>COUNTIF(Instructors[Dup Email Key],Instructors[[#This Row],[Dup Email Key]])</f>
        <v>1</v>
      </c>
      <c r="AC11" t="str">
        <f>IF(Instructors[[#This Row],[Active__c]] = "Active", COUNTIFS(Lessons[Instructor_External_Id__c], Instructors[[#This Row],[Id]], Lessons[Status__c], "Completed", Lessons[Is Past], "Yes"), "Not Active")</f>
        <v>Not Active</v>
      </c>
      <c r="AD11" s="6">
        <f>COUNTIFS(Lessons[Instructor_External_Id__c], Instructors[[#This Row],[Id]], Lessons[Lesson_Date__c], "&gt;"&amp;Data_Audit!$F$1, Lessons[Lesson_Date__c], "&lt;="&amp;Data_Audit!$F$1+28, Lessons[Status__c], "Scheduled")</f>
        <v>0</v>
      </c>
    </row>
    <row r="12" spans="1:30">
      <c r="A12" t="s">
        <v>5044</v>
      </c>
      <c r="B12" s="1">
        <v>45788</v>
      </c>
      <c r="C12" t="s">
        <v>52</v>
      </c>
      <c r="D12" t="s">
        <v>5045</v>
      </c>
      <c r="E12" t="s">
        <v>5108</v>
      </c>
      <c r="F12" t="s">
        <v>5109</v>
      </c>
      <c r="G12" t="s">
        <v>984</v>
      </c>
      <c r="H12" s="1">
        <v>45781</v>
      </c>
      <c r="I12" s="2">
        <v>32</v>
      </c>
      <c r="J12" t="s">
        <v>983</v>
      </c>
      <c r="K12" t="s">
        <v>5110</v>
      </c>
      <c r="L12" t="s">
        <v>237</v>
      </c>
      <c r="M12" t="b">
        <v>0</v>
      </c>
      <c r="O12" t="s">
        <v>52</v>
      </c>
      <c r="P12" t="s">
        <v>5050</v>
      </c>
      <c r="Q12" t="s">
        <v>5066</v>
      </c>
      <c r="R12" t="s">
        <v>5066</v>
      </c>
      <c r="S12" t="s">
        <v>5111</v>
      </c>
      <c r="T12">
        <v>12</v>
      </c>
      <c r="U12">
        <v>20</v>
      </c>
      <c r="V12" t="s">
        <v>984</v>
      </c>
      <c r="W12" t="s">
        <v>52</v>
      </c>
      <c r="X12" t="s">
        <v>5112</v>
      </c>
      <c r="Y12" t="s">
        <v>63</v>
      </c>
      <c r="Z12" t="s">
        <v>5050</v>
      </c>
      <c r="AA12" t="str">
        <f>LOWER(TRIM(Instructors[[#This Row],[Email__c]]))</f>
        <v>elijah.johnson@icloud.com</v>
      </c>
      <c r="AB12">
        <f>COUNTIF(Instructors[Dup Email Key],Instructors[[#This Row],[Dup Email Key]])</f>
        <v>1</v>
      </c>
      <c r="AC12" t="str">
        <f>IF(Instructors[[#This Row],[Active__c]] = "Active", COUNTIFS(Lessons[Instructor_External_Id__c], Instructors[[#This Row],[Id]], Lessons[Status__c], "Completed", Lessons[Is Past], "Yes"), "Not Active")</f>
        <v>Not Active</v>
      </c>
      <c r="AD12" s="6">
        <f>COUNTIFS(Lessons[Instructor_External_Id__c], Instructors[[#This Row],[Id]], Lessons[Lesson_Date__c], "&gt;"&amp;Data_Audit!$F$1, Lessons[Lesson_Date__c], "&lt;="&amp;Data_Audit!$F$1+28, Lessons[Status__c], "Scheduled")</f>
        <v>0</v>
      </c>
    </row>
    <row r="13" spans="1:30">
      <c r="A13" t="s">
        <v>5044</v>
      </c>
      <c r="B13" s="1">
        <v>44847</v>
      </c>
      <c r="C13" t="s">
        <v>52</v>
      </c>
      <c r="D13" t="s">
        <v>5045</v>
      </c>
      <c r="E13" t="s">
        <v>5113</v>
      </c>
      <c r="F13" t="s">
        <v>5114</v>
      </c>
      <c r="G13" t="s">
        <v>391</v>
      </c>
      <c r="H13" s="1">
        <v>44816</v>
      </c>
      <c r="I13" s="2">
        <v>35</v>
      </c>
      <c r="J13" t="s">
        <v>390</v>
      </c>
      <c r="K13" t="s">
        <v>5115</v>
      </c>
      <c r="L13" t="s">
        <v>392</v>
      </c>
      <c r="M13" t="b">
        <v>0</v>
      </c>
      <c r="O13" t="s">
        <v>52</v>
      </c>
      <c r="P13" t="s">
        <v>5050</v>
      </c>
      <c r="Q13" t="s">
        <v>5066</v>
      </c>
      <c r="R13" t="s">
        <v>5066</v>
      </c>
      <c r="S13" t="s">
        <v>5116</v>
      </c>
      <c r="T13">
        <v>16</v>
      </c>
      <c r="U13">
        <v>22</v>
      </c>
      <c r="V13" t="s">
        <v>391</v>
      </c>
      <c r="W13" t="s">
        <v>52</v>
      </c>
      <c r="X13">
        <v>7325550199</v>
      </c>
      <c r="Y13" t="s">
        <v>83</v>
      </c>
      <c r="Z13" t="s">
        <v>5050</v>
      </c>
      <c r="AA13" t="str">
        <f>LOWER(TRIM(Instructors[[#This Row],[Email__c]]))</f>
        <v>liamlopez@icloud.com</v>
      </c>
      <c r="AB13">
        <f>COUNTIF(Instructors[Dup Email Key],Instructors[[#This Row],[Dup Email Key]])</f>
        <v>1</v>
      </c>
      <c r="AC13" t="str">
        <f>IF(Instructors[[#This Row],[Active__c]] = "Active", COUNTIFS(Lessons[Instructor_External_Id__c], Instructors[[#This Row],[Id]], Lessons[Status__c], "Completed", Lessons[Is Past], "Yes"), "Not Active")</f>
        <v>Not Active</v>
      </c>
      <c r="AD13" s="6">
        <f>COUNTIFS(Lessons[Instructor_External_Id__c], Instructors[[#This Row],[Id]], Lessons[Lesson_Date__c], "&gt;"&amp;Data_Audit!$F$1, Lessons[Lesson_Date__c], "&lt;="&amp;Data_Audit!$F$1+28, Lessons[Status__c], "Scheduled")</f>
        <v>0</v>
      </c>
    </row>
    <row r="14" spans="1:30">
      <c r="A14" t="s">
        <v>5044</v>
      </c>
      <c r="B14" s="1">
        <v>44803</v>
      </c>
      <c r="C14" t="s">
        <v>52</v>
      </c>
      <c r="D14" t="s">
        <v>5045</v>
      </c>
      <c r="E14" t="s">
        <v>5117</v>
      </c>
      <c r="F14" t="s">
        <v>5118</v>
      </c>
      <c r="G14" t="s">
        <v>477</v>
      </c>
      <c r="H14" s="1">
        <v>44796</v>
      </c>
      <c r="I14" s="2">
        <v>35</v>
      </c>
      <c r="J14" t="s">
        <v>476</v>
      </c>
      <c r="K14" t="s">
        <v>5119</v>
      </c>
      <c r="L14" t="s">
        <v>5120</v>
      </c>
      <c r="M14" t="b">
        <v>0</v>
      </c>
      <c r="O14" t="s">
        <v>52</v>
      </c>
      <c r="P14" t="s">
        <v>79</v>
      </c>
      <c r="Q14" t="s">
        <v>5121</v>
      </c>
      <c r="R14" t="s">
        <v>5121</v>
      </c>
      <c r="S14" t="s">
        <v>5122</v>
      </c>
      <c r="T14">
        <v>5</v>
      </c>
      <c r="U14">
        <v>22</v>
      </c>
      <c r="V14" t="s">
        <v>477</v>
      </c>
      <c r="W14" t="s">
        <v>52</v>
      </c>
      <c r="X14" t="s">
        <v>5123</v>
      </c>
      <c r="Y14" t="s">
        <v>63</v>
      </c>
      <c r="Z14" t="s">
        <v>79</v>
      </c>
      <c r="AA14" t="str">
        <f>LOWER(TRIM(Instructors[[#This Row],[Email__c]]))</f>
        <v>aubreymiller73@icloud.com</v>
      </c>
      <c r="AB14">
        <f>COUNTIF(Instructors[Dup Email Key],Instructors[[#This Row],[Dup Email Key]])</f>
        <v>1</v>
      </c>
      <c r="AC14" t="str">
        <f>IF(Instructors[[#This Row],[Active__c]] = "Active", COUNTIFS(Lessons[Instructor_External_Id__c], Instructors[[#This Row],[Id]], Lessons[Status__c], "Completed", Lessons[Is Past], "Yes"), "Not Active")</f>
        <v>Not Active</v>
      </c>
      <c r="AD14" s="6">
        <f>COUNTIFS(Lessons[Instructor_External_Id__c], Instructors[[#This Row],[Id]], Lessons[Lesson_Date__c], "&gt;"&amp;Data_Audit!$F$1, Lessons[Lesson_Date__c], "&lt;="&amp;Data_Audit!$F$1+28, Lessons[Status__c], "Scheduled")</f>
        <v>0</v>
      </c>
    </row>
    <row r="15" spans="1:30">
      <c r="A15" t="s">
        <v>5044</v>
      </c>
      <c r="B15" s="1">
        <v>43877</v>
      </c>
      <c r="C15" t="s">
        <v>52</v>
      </c>
      <c r="D15" t="s">
        <v>5045</v>
      </c>
      <c r="E15" t="s">
        <v>5124</v>
      </c>
      <c r="F15" t="s">
        <v>5125</v>
      </c>
      <c r="G15" t="s">
        <v>491</v>
      </c>
      <c r="H15" s="1">
        <v>43827</v>
      </c>
      <c r="I15" s="2">
        <v>40</v>
      </c>
      <c r="J15" t="s">
        <v>490</v>
      </c>
      <c r="K15" t="s">
        <v>5126</v>
      </c>
      <c r="L15" t="s">
        <v>5127</v>
      </c>
      <c r="M15" t="b">
        <v>0</v>
      </c>
      <c r="O15" t="s">
        <v>52</v>
      </c>
      <c r="P15" t="s">
        <v>5050</v>
      </c>
      <c r="Q15" t="s">
        <v>5066</v>
      </c>
      <c r="R15" t="s">
        <v>5066</v>
      </c>
      <c r="S15" t="s">
        <v>5128</v>
      </c>
      <c r="T15">
        <v>21</v>
      </c>
      <c r="U15">
        <v>18</v>
      </c>
      <c r="V15" t="s">
        <v>491</v>
      </c>
      <c r="W15" t="s">
        <v>52</v>
      </c>
      <c r="X15" t="s">
        <v>5129</v>
      </c>
      <c r="Y15" t="s">
        <v>63</v>
      </c>
      <c r="Z15" t="s">
        <v>5050</v>
      </c>
      <c r="AA15" t="str">
        <f>LOWER(TRIM(Instructors[[#This Row],[Email__c]]))</f>
        <v>savannahsilva37@icloud.com</v>
      </c>
      <c r="AB15">
        <f>COUNTIF(Instructors[Dup Email Key],Instructors[[#This Row],[Dup Email Key]])</f>
        <v>1</v>
      </c>
      <c r="AC15" t="str">
        <f>IF(Instructors[[#This Row],[Active__c]] = "Active", COUNTIFS(Lessons[Instructor_External_Id__c], Instructors[[#This Row],[Id]], Lessons[Status__c], "Completed", Lessons[Is Past], "Yes"), "Not Active")</f>
        <v>Not Active</v>
      </c>
      <c r="AD15" s="6">
        <f>COUNTIFS(Lessons[Instructor_External_Id__c], Instructors[[#This Row],[Id]], Lessons[Lesson_Date__c], "&gt;"&amp;Data_Audit!$F$1, Lessons[Lesson_Date__c], "&lt;="&amp;Data_Audit!$F$1+28, Lessons[Status__c], "Scheduled")</f>
        <v>0</v>
      </c>
    </row>
    <row r="16" spans="1:30">
      <c r="A16" t="s">
        <v>5044</v>
      </c>
      <c r="B16" s="1">
        <v>43970</v>
      </c>
      <c r="C16" t="s">
        <v>52</v>
      </c>
      <c r="D16" t="s">
        <v>5045</v>
      </c>
      <c r="E16" t="s">
        <v>5130</v>
      </c>
      <c r="F16" t="s">
        <v>5131</v>
      </c>
      <c r="G16" t="s">
        <v>1077</v>
      </c>
      <c r="H16" s="1">
        <v>43958</v>
      </c>
      <c r="I16" s="2">
        <v>32</v>
      </c>
      <c r="J16" t="s">
        <v>1076</v>
      </c>
      <c r="K16" t="s">
        <v>5132</v>
      </c>
      <c r="L16" t="s">
        <v>58</v>
      </c>
      <c r="M16" t="b">
        <v>0</v>
      </c>
      <c r="O16" t="s">
        <v>52</v>
      </c>
      <c r="P16" t="s">
        <v>5050</v>
      </c>
      <c r="Q16" t="s">
        <v>5066</v>
      </c>
      <c r="R16" t="s">
        <v>5066</v>
      </c>
      <c r="S16" t="s">
        <v>5133</v>
      </c>
      <c r="T16">
        <v>11</v>
      </c>
      <c r="U16">
        <v>22</v>
      </c>
      <c r="V16" t="s">
        <v>1077</v>
      </c>
      <c r="W16" t="s">
        <v>52</v>
      </c>
      <c r="X16" t="s">
        <v>5134</v>
      </c>
      <c r="Y16" t="s">
        <v>83</v>
      </c>
      <c r="Z16" t="s">
        <v>5050</v>
      </c>
      <c r="AA16" t="str">
        <f>LOWER(TRIM(Instructors[[#This Row],[Email__c]]))</f>
        <v>leoperez86@hotmail.com</v>
      </c>
      <c r="AB16">
        <f>COUNTIF(Instructors[Dup Email Key],Instructors[[#This Row],[Dup Email Key]])</f>
        <v>1</v>
      </c>
      <c r="AC16" t="str">
        <f>IF(Instructors[[#This Row],[Active__c]] = "Active", COUNTIFS(Lessons[Instructor_External_Id__c], Instructors[[#This Row],[Id]], Lessons[Status__c], "Completed", Lessons[Is Past], "Yes"), "Not Active")</f>
        <v>Not Active</v>
      </c>
      <c r="AD16" s="6">
        <f>COUNTIFS(Lessons[Instructor_External_Id__c], Instructors[[#This Row],[Id]], Lessons[Lesson_Date__c], "&gt;"&amp;Data_Audit!$F$1, Lessons[Lesson_Date__c], "&lt;="&amp;Data_Audit!$F$1+28, Lessons[Status__c], "Scheduled")</f>
        <v>0</v>
      </c>
    </row>
    <row r="17" spans="1:30">
      <c r="A17" t="s">
        <v>5054</v>
      </c>
      <c r="B17" s="1">
        <v>45146</v>
      </c>
      <c r="C17" t="s">
        <v>52</v>
      </c>
      <c r="D17" t="s">
        <v>5045</v>
      </c>
      <c r="E17" t="s">
        <v>5135</v>
      </c>
      <c r="F17" t="s">
        <v>5136</v>
      </c>
      <c r="G17" t="s">
        <v>945</v>
      </c>
      <c r="H17" s="1">
        <v>44361</v>
      </c>
      <c r="I17" s="2">
        <v>45</v>
      </c>
      <c r="J17" t="s">
        <v>944</v>
      </c>
      <c r="K17" t="s">
        <v>5137</v>
      </c>
      <c r="L17" t="s">
        <v>5138</v>
      </c>
      <c r="M17" t="b">
        <v>0</v>
      </c>
      <c r="O17" t="s">
        <v>52</v>
      </c>
      <c r="P17" t="s">
        <v>4648</v>
      </c>
      <c r="Q17" t="s">
        <v>5066</v>
      </c>
      <c r="R17" t="s">
        <v>5066</v>
      </c>
      <c r="S17" t="s">
        <v>5077</v>
      </c>
      <c r="T17">
        <v>38</v>
      </c>
      <c r="U17">
        <v>22</v>
      </c>
      <c r="V17" t="s">
        <v>945</v>
      </c>
      <c r="W17" t="s">
        <v>52</v>
      </c>
      <c r="X17" t="s">
        <v>5139</v>
      </c>
      <c r="Y17" t="s">
        <v>150</v>
      </c>
      <c r="Z17" t="s">
        <v>4648</v>
      </c>
      <c r="AA17" t="str">
        <f>LOWER(TRIM(Instructors[[#This Row],[Email__c]]))</f>
        <v>jamal.torres@icloud.com</v>
      </c>
      <c r="AB17">
        <f>COUNTIF(Instructors[Dup Email Key],Instructors[[#This Row],[Dup Email Key]])</f>
        <v>1</v>
      </c>
      <c r="AC17">
        <f>IF(Instructors[[#This Row],[Active__c]] = "Active", COUNTIFS(Lessons[Instructor_External_Id__c], Instructors[[#This Row],[Id]], Lessons[Status__c], "Completed", Lessons[Is Past], "Yes"), "Not Active")</f>
        <v>17</v>
      </c>
      <c r="AD17" s="6">
        <f>COUNTIFS(Lessons[Instructor_External_Id__c], Instructors[[#This Row],[Id]], Lessons[Lesson_Date__c], "&gt;"&amp;Data_Audit!$F$1, Lessons[Lesson_Date__c], "&lt;="&amp;Data_Audit!$F$1+28, Lessons[Status__c], "Scheduled")</f>
        <v>2</v>
      </c>
    </row>
    <row r="18" spans="1:30">
      <c r="A18" t="s">
        <v>5044</v>
      </c>
      <c r="B18" s="1">
        <v>44859</v>
      </c>
      <c r="C18" t="s">
        <v>52</v>
      </c>
      <c r="D18" t="s">
        <v>5045</v>
      </c>
      <c r="E18" t="s">
        <v>5140</v>
      </c>
      <c r="F18" t="s">
        <v>5141</v>
      </c>
      <c r="G18" t="s">
        <v>1204</v>
      </c>
      <c r="H18" s="1">
        <v>44805</v>
      </c>
      <c r="I18" s="2">
        <v>35</v>
      </c>
      <c r="J18" t="s">
        <v>1203</v>
      </c>
      <c r="K18" t="s">
        <v>5142</v>
      </c>
      <c r="L18" t="s">
        <v>392</v>
      </c>
      <c r="M18" t="b">
        <v>0</v>
      </c>
      <c r="O18" t="s">
        <v>52</v>
      </c>
      <c r="P18" t="s">
        <v>5050</v>
      </c>
      <c r="Q18" t="s">
        <v>5066</v>
      </c>
      <c r="R18" t="s">
        <v>5066</v>
      </c>
      <c r="S18" t="s">
        <v>5143</v>
      </c>
      <c r="T18">
        <v>18</v>
      </c>
      <c r="U18">
        <v>12</v>
      </c>
      <c r="V18" t="s">
        <v>1204</v>
      </c>
      <c r="W18" t="s">
        <v>52</v>
      </c>
      <c r="X18" t="s">
        <v>5144</v>
      </c>
      <c r="Y18" t="s">
        <v>63</v>
      </c>
      <c r="Z18" t="s">
        <v>5050</v>
      </c>
      <c r="AA18" t="str">
        <f>LOWER(TRIM(Instructors[[#This Row],[Email__c]]))</f>
        <v>rclark@icloud.com</v>
      </c>
      <c r="AB18">
        <f>COUNTIF(Instructors[Dup Email Key],Instructors[[#This Row],[Dup Email Key]])</f>
        <v>1</v>
      </c>
      <c r="AC18" t="str">
        <f>IF(Instructors[[#This Row],[Active__c]] = "Active", COUNTIFS(Lessons[Instructor_External_Id__c], Instructors[[#This Row],[Id]], Lessons[Status__c], "Completed", Lessons[Is Past], "Yes"), "Not Active")</f>
        <v>Not Active</v>
      </c>
      <c r="AD18" s="6">
        <f>COUNTIFS(Lessons[Instructor_External_Id__c], Instructors[[#This Row],[Id]], Lessons[Lesson_Date__c], "&gt;"&amp;Data_Audit!$F$1, Lessons[Lesson_Date__c], "&lt;="&amp;Data_Audit!$F$1+28, Lessons[Status__c], "Scheduled")</f>
        <v>0</v>
      </c>
    </row>
    <row r="19" spans="1:30">
      <c r="A19" t="s">
        <v>5044</v>
      </c>
      <c r="B19" s="1">
        <v>45956</v>
      </c>
      <c r="C19" t="s">
        <v>52</v>
      </c>
      <c r="D19" t="s">
        <v>5045</v>
      </c>
      <c r="E19" t="s">
        <v>5145</v>
      </c>
      <c r="F19" t="s">
        <v>5146</v>
      </c>
      <c r="G19" t="s">
        <v>98</v>
      </c>
      <c r="H19" s="1">
        <v>45943</v>
      </c>
      <c r="I19" s="2">
        <v>40</v>
      </c>
      <c r="J19" t="s">
        <v>97</v>
      </c>
      <c r="K19" t="s">
        <v>5147</v>
      </c>
      <c r="L19" t="s">
        <v>78</v>
      </c>
      <c r="M19" t="b">
        <v>0</v>
      </c>
      <c r="O19" t="s">
        <v>52</v>
      </c>
      <c r="P19" t="s">
        <v>5050</v>
      </c>
      <c r="Q19" t="s">
        <v>5066</v>
      </c>
      <c r="R19" t="s">
        <v>5066</v>
      </c>
      <c r="S19" t="s">
        <v>5148</v>
      </c>
      <c r="T19">
        <v>11</v>
      </c>
      <c r="U19">
        <v>18</v>
      </c>
      <c r="V19" t="s">
        <v>98</v>
      </c>
      <c r="W19" t="s">
        <v>52</v>
      </c>
      <c r="X19" t="s">
        <v>5149</v>
      </c>
      <c r="Y19" t="s">
        <v>83</v>
      </c>
      <c r="Z19" t="s">
        <v>5050</v>
      </c>
      <c r="AA19" t="str">
        <f>LOWER(TRIM(Instructors[[#This Row],[Email__c]]))</f>
        <v>carolineokafor8@outlook.com</v>
      </c>
      <c r="AB19">
        <f>COUNTIF(Instructors[Dup Email Key],Instructors[[#This Row],[Dup Email Key]])</f>
        <v>1</v>
      </c>
      <c r="AC19" t="str">
        <f>IF(Instructors[[#This Row],[Active__c]] = "Active", COUNTIFS(Lessons[Instructor_External_Id__c], Instructors[[#This Row],[Id]], Lessons[Status__c], "Completed", Lessons[Is Past], "Yes"), "Not Active")</f>
        <v>Not Active</v>
      </c>
      <c r="AD19" s="6">
        <f>COUNTIFS(Lessons[Instructor_External_Id__c], Instructors[[#This Row],[Id]], Lessons[Lesson_Date__c], "&gt;"&amp;Data_Audit!$F$1, Lessons[Lesson_Date__c], "&lt;="&amp;Data_Audit!$F$1+28, Lessons[Status__c], "Scheduled")</f>
        <v>0</v>
      </c>
    </row>
    <row r="20" spans="1:30">
      <c r="A20" t="s">
        <v>5044</v>
      </c>
      <c r="B20" s="1">
        <v>43813</v>
      </c>
      <c r="C20" t="s">
        <v>52</v>
      </c>
      <c r="D20" t="s">
        <v>5045</v>
      </c>
      <c r="E20" t="s">
        <v>5150</v>
      </c>
      <c r="F20" t="s">
        <v>5125</v>
      </c>
      <c r="G20" t="s">
        <v>5151</v>
      </c>
      <c r="H20" s="1">
        <v>43780</v>
      </c>
      <c r="I20" s="2">
        <v>48</v>
      </c>
      <c r="J20" t="s">
        <v>5152</v>
      </c>
      <c r="K20" t="s">
        <v>5153</v>
      </c>
      <c r="L20" t="s">
        <v>5154</v>
      </c>
      <c r="M20" t="b">
        <v>0</v>
      </c>
      <c r="O20" t="s">
        <v>52</v>
      </c>
      <c r="P20" t="s">
        <v>79</v>
      </c>
      <c r="Q20" t="s">
        <v>5066</v>
      </c>
      <c r="R20" t="s">
        <v>5066</v>
      </c>
      <c r="S20" t="s">
        <v>5155</v>
      </c>
      <c r="T20">
        <v>0</v>
      </c>
      <c r="U20">
        <v>20</v>
      </c>
      <c r="V20" t="s">
        <v>5151</v>
      </c>
      <c r="W20" t="s">
        <v>52</v>
      </c>
      <c r="X20" t="s">
        <v>5156</v>
      </c>
      <c r="Y20" t="s">
        <v>83</v>
      </c>
      <c r="Z20" t="s">
        <v>79</v>
      </c>
      <c r="AA20" t="str">
        <f>LOWER(TRIM(Instructors[[#This Row],[Email__c]]))</f>
        <v>savannahhill20@gmail.com</v>
      </c>
      <c r="AB20">
        <f>COUNTIF(Instructors[Dup Email Key],Instructors[[#This Row],[Dup Email Key]])</f>
        <v>1</v>
      </c>
      <c r="AC20" t="str">
        <f>IF(Instructors[[#This Row],[Active__c]] = "Active", COUNTIFS(Lessons[Instructor_External_Id__c], Instructors[[#This Row],[Id]], Lessons[Status__c], "Completed", Lessons[Is Past], "Yes"), "Not Active")</f>
        <v>Not Active</v>
      </c>
      <c r="AD20" s="6">
        <f>COUNTIFS(Lessons[Instructor_External_Id__c], Instructors[[#This Row],[Id]], Lessons[Lesson_Date__c], "&gt;"&amp;Data_Audit!$F$1, Lessons[Lesson_Date__c], "&lt;="&amp;Data_Audit!$F$1+28, Lessons[Status__c], "Scheduled")</f>
        <v>0</v>
      </c>
    </row>
    <row r="21" spans="1:30">
      <c r="A21" t="s">
        <v>5054</v>
      </c>
      <c r="B21" s="1">
        <v>44095</v>
      </c>
      <c r="C21" t="s">
        <v>52</v>
      </c>
      <c r="D21" t="s">
        <v>5045</v>
      </c>
      <c r="E21" t="s">
        <v>5157</v>
      </c>
      <c r="F21" t="s">
        <v>5158</v>
      </c>
      <c r="G21" t="s">
        <v>283</v>
      </c>
      <c r="H21" s="1">
        <v>44063</v>
      </c>
      <c r="I21" s="2">
        <v>48</v>
      </c>
      <c r="J21" t="s">
        <v>282</v>
      </c>
      <c r="K21" t="s">
        <v>5159</v>
      </c>
      <c r="L21" t="s">
        <v>284</v>
      </c>
      <c r="M21" t="b">
        <v>0</v>
      </c>
      <c r="O21" t="s">
        <v>52</v>
      </c>
      <c r="P21" t="s">
        <v>4648</v>
      </c>
      <c r="Q21" t="s">
        <v>5160</v>
      </c>
      <c r="R21" t="s">
        <v>5160</v>
      </c>
      <c r="S21" t="s">
        <v>5161</v>
      </c>
      <c r="T21">
        <v>53</v>
      </c>
      <c r="U21">
        <v>15</v>
      </c>
      <c r="V21" t="s">
        <v>283</v>
      </c>
      <c r="W21" t="s">
        <v>52</v>
      </c>
      <c r="X21" t="s">
        <v>5162</v>
      </c>
      <c r="Y21" t="s">
        <v>83</v>
      </c>
      <c r="Z21" t="s">
        <v>4648</v>
      </c>
      <c r="AA21" t="str">
        <f>LOWER(TRIM(Instructors[[#This Row],[Email__c]]))</f>
        <v>milesallen22@outlook.com</v>
      </c>
      <c r="AB21">
        <f>COUNTIF(Instructors[Dup Email Key],Instructors[[#This Row],[Dup Email Key]])</f>
        <v>1</v>
      </c>
      <c r="AC21">
        <f>IF(Instructors[[#This Row],[Active__c]] = "Active", COUNTIFS(Lessons[Instructor_External_Id__c], Instructors[[#This Row],[Id]], Lessons[Status__c], "Completed", Lessons[Is Past], "Yes"), "Not Active")</f>
        <v>23</v>
      </c>
      <c r="AD21" s="6">
        <f>COUNTIFS(Lessons[Instructor_External_Id__c], Instructors[[#This Row],[Id]], Lessons[Lesson_Date__c], "&gt;"&amp;Data_Audit!$F$1, Lessons[Lesson_Date__c], "&lt;="&amp;Data_Audit!$F$1+28, Lessons[Status__c], "Scheduled")</f>
        <v>6</v>
      </c>
    </row>
    <row r="22" spans="1:30">
      <c r="A22" t="s">
        <v>5054</v>
      </c>
      <c r="B22" s="1">
        <v>46094</v>
      </c>
      <c r="C22" t="s">
        <v>52</v>
      </c>
      <c r="D22" t="s">
        <v>5045</v>
      </c>
      <c r="E22" t="s">
        <v>5163</v>
      </c>
      <c r="F22" t="s">
        <v>5164</v>
      </c>
      <c r="G22" t="s">
        <v>778</v>
      </c>
      <c r="H22" s="1">
        <v>46050</v>
      </c>
      <c r="I22" s="2">
        <v>38</v>
      </c>
      <c r="J22" t="s">
        <v>777</v>
      </c>
      <c r="K22" t="s">
        <v>5165</v>
      </c>
      <c r="L22" t="s">
        <v>5166</v>
      </c>
      <c r="M22" t="b">
        <v>0</v>
      </c>
      <c r="O22" t="s">
        <v>52</v>
      </c>
      <c r="P22" t="s">
        <v>4648</v>
      </c>
      <c r="Q22" t="s">
        <v>5066</v>
      </c>
      <c r="R22" t="s">
        <v>5066</v>
      </c>
      <c r="S22" t="s">
        <v>5072</v>
      </c>
      <c r="T22">
        <v>41</v>
      </c>
      <c r="U22">
        <v>25</v>
      </c>
      <c r="V22" t="s">
        <v>778</v>
      </c>
      <c r="W22" t="s">
        <v>52</v>
      </c>
      <c r="X22" t="s">
        <v>5167</v>
      </c>
      <c r="Y22" t="s">
        <v>83</v>
      </c>
      <c r="Z22" t="s">
        <v>4648</v>
      </c>
      <c r="AA22" t="str">
        <f>LOWER(TRIM(Instructors[[#This Row],[Email__c]]))</f>
        <v>vincentsullivan87@icloud.com</v>
      </c>
      <c r="AB22">
        <f>COUNTIF(Instructors[Dup Email Key],Instructors[[#This Row],[Dup Email Key]])</f>
        <v>1</v>
      </c>
      <c r="AC22">
        <f>IF(Instructors[[#This Row],[Active__c]] = "Active", COUNTIFS(Lessons[Instructor_External_Id__c], Instructors[[#This Row],[Id]], Lessons[Status__c], "Completed", Lessons[Is Past], "Yes"), "Not Active")</f>
        <v>12</v>
      </c>
      <c r="AD22" s="6">
        <f>COUNTIFS(Lessons[Instructor_External_Id__c], Instructors[[#This Row],[Id]], Lessons[Lesson_Date__c], "&gt;"&amp;Data_Audit!$F$1, Lessons[Lesson_Date__c], "&lt;="&amp;Data_Audit!$F$1+28, Lessons[Status__c], "Scheduled")</f>
        <v>6</v>
      </c>
    </row>
    <row r="23" spans="1:30">
      <c r="A23" t="s">
        <v>5054</v>
      </c>
      <c r="B23" s="1">
        <v>45567</v>
      </c>
      <c r="C23" t="s">
        <v>52</v>
      </c>
      <c r="D23" t="s">
        <v>5045</v>
      </c>
      <c r="E23" t="s">
        <v>5168</v>
      </c>
      <c r="F23" t="s">
        <v>5169</v>
      </c>
      <c r="G23" t="s">
        <v>319</v>
      </c>
      <c r="H23" s="1">
        <v>45542</v>
      </c>
      <c r="I23" s="2">
        <v>38</v>
      </c>
      <c r="J23" t="s">
        <v>318</v>
      </c>
      <c r="K23" t="s">
        <v>5170</v>
      </c>
      <c r="L23" t="s">
        <v>5171</v>
      </c>
      <c r="M23" t="b">
        <v>0</v>
      </c>
      <c r="O23" t="s">
        <v>52</v>
      </c>
      <c r="P23" t="s">
        <v>4648</v>
      </c>
      <c r="Q23" t="s">
        <v>5066</v>
      </c>
      <c r="R23" t="s">
        <v>5066</v>
      </c>
      <c r="S23" t="s">
        <v>5172</v>
      </c>
      <c r="T23">
        <v>94</v>
      </c>
      <c r="U23">
        <v>22</v>
      </c>
      <c r="V23" t="s">
        <v>319</v>
      </c>
      <c r="W23" t="s">
        <v>52</v>
      </c>
      <c r="X23" t="s">
        <v>5173</v>
      </c>
      <c r="Y23" t="s">
        <v>63</v>
      </c>
      <c r="Z23" t="s">
        <v>4648</v>
      </c>
      <c r="AA23" t="str">
        <f>LOWER(TRIM(Instructors[[#This Row],[Email__c]]))</f>
        <v>ezra.garcia@yahoo.com</v>
      </c>
      <c r="AB23">
        <f>COUNTIF(Instructors[Dup Email Key],Instructors[[#This Row],[Dup Email Key]])</f>
        <v>1</v>
      </c>
      <c r="AC23">
        <f>IF(Instructors[[#This Row],[Active__c]] = "Active", COUNTIFS(Lessons[Instructor_External_Id__c], Instructors[[#This Row],[Id]], Lessons[Status__c], "Completed", Lessons[Is Past], "Yes"), "Not Active")</f>
        <v>22</v>
      </c>
      <c r="AD23" s="6">
        <f>COUNTIFS(Lessons[Instructor_External_Id__c], Instructors[[#This Row],[Id]], Lessons[Lesson_Date__c], "&gt;"&amp;Data_Audit!$F$1, Lessons[Lesson_Date__c], "&lt;="&amp;Data_Audit!$F$1+28, Lessons[Status__c], "Scheduled")</f>
        <v>14</v>
      </c>
    </row>
    <row r="24" spans="1:30">
      <c r="A24" t="s">
        <v>5054</v>
      </c>
      <c r="B24" s="1">
        <v>46280</v>
      </c>
      <c r="C24" t="s">
        <v>52</v>
      </c>
      <c r="D24" t="s">
        <v>5045</v>
      </c>
      <c r="E24" t="s">
        <v>5174</v>
      </c>
      <c r="F24" t="s">
        <v>5175</v>
      </c>
      <c r="G24" t="s">
        <v>437</v>
      </c>
      <c r="H24" s="1">
        <v>45601</v>
      </c>
      <c r="I24" s="2">
        <v>48</v>
      </c>
      <c r="J24" t="s">
        <v>436</v>
      </c>
      <c r="K24" t="s">
        <v>5176</v>
      </c>
      <c r="L24" t="s">
        <v>5177</v>
      </c>
      <c r="M24" t="b">
        <v>0</v>
      </c>
      <c r="O24" t="s">
        <v>52</v>
      </c>
      <c r="P24" t="s">
        <v>4648</v>
      </c>
      <c r="Q24" t="s">
        <v>5178</v>
      </c>
      <c r="R24" t="s">
        <v>5178</v>
      </c>
      <c r="S24" t="s">
        <v>5179</v>
      </c>
      <c r="T24">
        <v>55</v>
      </c>
      <c r="U24">
        <v>12</v>
      </c>
      <c r="V24" t="s">
        <v>437</v>
      </c>
      <c r="W24" t="s">
        <v>52</v>
      </c>
      <c r="X24" t="s">
        <v>5180</v>
      </c>
      <c r="Y24" t="s">
        <v>63</v>
      </c>
      <c r="Z24" t="s">
        <v>4648</v>
      </c>
      <c r="AA24" t="str">
        <f>LOWER(TRIM(Instructors[[#This Row],[Email__c]]))</f>
        <v>jamesmoore95@outlook.com</v>
      </c>
      <c r="AB24">
        <f>COUNTIF(Instructors[Dup Email Key],Instructors[[#This Row],[Dup Email Key]])</f>
        <v>1</v>
      </c>
      <c r="AC24">
        <f>IF(Instructors[[#This Row],[Active__c]] = "Active", COUNTIFS(Lessons[Instructor_External_Id__c], Instructors[[#This Row],[Id]], Lessons[Status__c], "Completed", Lessons[Is Past], "Yes"), "Not Active")</f>
        <v>15</v>
      </c>
      <c r="AD24" s="6">
        <f>COUNTIFS(Lessons[Instructor_External_Id__c], Instructors[[#This Row],[Id]], Lessons[Lesson_Date__c], "&gt;"&amp;Data_Audit!$F$1, Lessons[Lesson_Date__c], "&lt;="&amp;Data_Audit!$F$1+28, Lessons[Status__c], "Scheduled")</f>
        <v>6</v>
      </c>
    </row>
    <row r="25" spans="1:30">
      <c r="A25" t="s">
        <v>5054</v>
      </c>
      <c r="B25" s="1">
        <v>45630</v>
      </c>
      <c r="C25" t="s">
        <v>52</v>
      </c>
      <c r="D25" t="s">
        <v>5045</v>
      </c>
      <c r="E25" t="s">
        <v>5181</v>
      </c>
      <c r="F25" t="s">
        <v>5182</v>
      </c>
      <c r="G25" t="s">
        <v>244</v>
      </c>
      <c r="H25" s="1">
        <v>45598</v>
      </c>
      <c r="I25" s="2">
        <v>48</v>
      </c>
      <c r="J25" t="s">
        <v>243</v>
      </c>
      <c r="K25" t="s">
        <v>5183</v>
      </c>
      <c r="L25" t="s">
        <v>5184</v>
      </c>
      <c r="M25" t="b">
        <v>0</v>
      </c>
      <c r="O25" t="s">
        <v>52</v>
      </c>
      <c r="P25" t="s">
        <v>4648</v>
      </c>
      <c r="Q25" t="s">
        <v>5066</v>
      </c>
      <c r="R25" t="s">
        <v>5066</v>
      </c>
      <c r="S25" t="s">
        <v>5106</v>
      </c>
      <c r="T25">
        <v>73</v>
      </c>
      <c r="U25">
        <v>22</v>
      </c>
      <c r="V25" t="s">
        <v>244</v>
      </c>
      <c r="W25" t="s">
        <v>52</v>
      </c>
      <c r="X25" t="s">
        <v>5185</v>
      </c>
      <c r="Y25" t="s">
        <v>83</v>
      </c>
      <c r="Z25" t="s">
        <v>4648</v>
      </c>
      <c r="AA25" t="str">
        <f>LOWER(TRIM(Instructors[[#This Row],[Email__c]]))</f>
        <v>valentinanakamura61@icloud.com</v>
      </c>
      <c r="AB25">
        <f>COUNTIF(Instructors[Dup Email Key],Instructors[[#This Row],[Dup Email Key]])</f>
        <v>1</v>
      </c>
      <c r="AC25">
        <f>IF(Instructors[[#This Row],[Active__c]] = "Active", COUNTIFS(Lessons[Instructor_External_Id__c], Instructors[[#This Row],[Id]], Lessons[Status__c], "Completed", Lessons[Is Past], "Yes"), "Not Active")</f>
        <v>22</v>
      </c>
      <c r="AD25" s="6">
        <f>COUNTIFS(Lessons[Instructor_External_Id__c], Instructors[[#This Row],[Id]], Lessons[Lesson_Date__c], "&gt;"&amp;Data_Audit!$F$1, Lessons[Lesson_Date__c], "&lt;="&amp;Data_Audit!$F$1+28, Lessons[Status__c], "Scheduled")</f>
        <v>8</v>
      </c>
    </row>
    <row r="26" spans="1:30">
      <c r="A26" t="s">
        <v>5044</v>
      </c>
      <c r="B26" s="1">
        <v>44148</v>
      </c>
      <c r="C26" t="s">
        <v>52</v>
      </c>
      <c r="D26" t="s">
        <v>5045</v>
      </c>
      <c r="E26" t="s">
        <v>5186</v>
      </c>
      <c r="F26" t="s">
        <v>5187</v>
      </c>
      <c r="G26" t="s">
        <v>618</v>
      </c>
      <c r="H26" s="1">
        <v>44098</v>
      </c>
      <c r="I26" s="2">
        <v>42</v>
      </c>
      <c r="J26" t="s">
        <v>617</v>
      </c>
      <c r="K26" t="s">
        <v>5188</v>
      </c>
      <c r="L26" t="s">
        <v>5189</v>
      </c>
      <c r="M26" t="b">
        <v>0</v>
      </c>
      <c r="O26" t="s">
        <v>52</v>
      </c>
      <c r="P26" t="s">
        <v>79</v>
      </c>
      <c r="Q26" t="s">
        <v>5066</v>
      </c>
      <c r="R26" t="s">
        <v>5066</v>
      </c>
      <c r="S26" t="s">
        <v>5190</v>
      </c>
      <c r="T26">
        <v>14</v>
      </c>
      <c r="U26">
        <v>20</v>
      </c>
      <c r="V26" t="s">
        <v>618</v>
      </c>
      <c r="W26" t="s">
        <v>52</v>
      </c>
      <c r="X26" t="s">
        <v>5191</v>
      </c>
      <c r="Y26" t="s">
        <v>63</v>
      </c>
      <c r="Z26" t="s">
        <v>79</v>
      </c>
      <c r="AA26" t="str">
        <f>LOWER(TRIM(Instructors[[#This Row],[Email__c]]))</f>
        <v>lilyrossi92@outlook.com</v>
      </c>
      <c r="AB26">
        <f>COUNTIF(Instructors[Dup Email Key],Instructors[[#This Row],[Dup Email Key]])</f>
        <v>1</v>
      </c>
      <c r="AC26" t="str">
        <f>IF(Instructors[[#This Row],[Active__c]] = "Active", COUNTIFS(Lessons[Instructor_External_Id__c], Instructors[[#This Row],[Id]], Lessons[Status__c], "Completed", Lessons[Is Past], "Yes"), "Not Active")</f>
        <v>Not Active</v>
      </c>
      <c r="AD26" s="6">
        <f>COUNTIFS(Lessons[Instructor_External_Id__c], Instructors[[#This Row],[Id]], Lessons[Lesson_Date__c], "&gt;"&amp;Data_Audit!$F$1, Lessons[Lesson_Date__c], "&lt;="&amp;Data_Audit!$F$1+28, Lessons[Status__c], "Scheduled")</f>
        <v>0</v>
      </c>
    </row>
    <row r="27" spans="1:30">
      <c r="A27" t="s">
        <v>5044</v>
      </c>
      <c r="B27" s="1">
        <v>46057</v>
      </c>
      <c r="C27" t="s">
        <v>52</v>
      </c>
      <c r="D27" t="s">
        <v>5045</v>
      </c>
      <c r="E27" t="s">
        <v>5192</v>
      </c>
      <c r="F27" t="s">
        <v>5193</v>
      </c>
      <c r="G27" t="s">
        <v>303</v>
      </c>
      <c r="H27" s="1">
        <v>46019</v>
      </c>
      <c r="I27" s="2">
        <v>42</v>
      </c>
      <c r="J27" t="s">
        <v>302</v>
      </c>
      <c r="K27" t="s">
        <v>5194</v>
      </c>
      <c r="L27" t="s">
        <v>5195</v>
      </c>
      <c r="M27" t="b">
        <v>0</v>
      </c>
      <c r="O27" t="s">
        <v>52</v>
      </c>
      <c r="P27" t="s">
        <v>79</v>
      </c>
      <c r="Q27" t="s">
        <v>5066</v>
      </c>
      <c r="R27" t="s">
        <v>5066</v>
      </c>
      <c r="S27" t="s">
        <v>5196</v>
      </c>
      <c r="T27">
        <v>13</v>
      </c>
      <c r="U27">
        <v>22</v>
      </c>
      <c r="V27" t="s">
        <v>303</v>
      </c>
      <c r="W27" t="s">
        <v>52</v>
      </c>
      <c r="X27" t="s">
        <v>5197</v>
      </c>
      <c r="Y27" t="s">
        <v>63</v>
      </c>
      <c r="Z27" t="s">
        <v>79</v>
      </c>
      <c r="AA27" t="str">
        <f>LOWER(TRIM(Instructors[[#This Row],[Email__c]]))</f>
        <v>isabellarivera@icloud.com</v>
      </c>
      <c r="AB27">
        <f>COUNTIF(Instructors[Dup Email Key],Instructors[[#This Row],[Dup Email Key]])</f>
        <v>1</v>
      </c>
      <c r="AC27" t="str">
        <f>IF(Instructors[[#This Row],[Active__c]] = "Active", COUNTIFS(Lessons[Instructor_External_Id__c], Instructors[[#This Row],[Id]], Lessons[Status__c], "Completed", Lessons[Is Past], "Yes"), "Not Active")</f>
        <v>Not Active</v>
      </c>
      <c r="AD27" s="6">
        <f>COUNTIFS(Lessons[Instructor_External_Id__c], Instructors[[#This Row],[Id]], Lessons[Lesson_Date__c], "&gt;"&amp;Data_Audit!$F$1, Lessons[Lesson_Date__c], "&lt;="&amp;Data_Audit!$F$1+28, Lessons[Status__c], "Scheduled")</f>
        <v>0</v>
      </c>
    </row>
    <row r="28" spans="1:30">
      <c r="A28" t="s">
        <v>5044</v>
      </c>
      <c r="B28" s="1">
        <v>44579</v>
      </c>
      <c r="C28" t="s">
        <v>52</v>
      </c>
      <c r="D28" t="s">
        <v>5045</v>
      </c>
      <c r="E28" t="s">
        <v>5198</v>
      </c>
      <c r="F28" t="s">
        <v>5199</v>
      </c>
      <c r="G28" t="s">
        <v>714</v>
      </c>
      <c r="H28" s="1">
        <v>44544</v>
      </c>
      <c r="I28" s="2">
        <v>40</v>
      </c>
      <c r="J28" t="s">
        <v>713</v>
      </c>
      <c r="K28" t="s">
        <v>5200</v>
      </c>
      <c r="L28" t="s">
        <v>107</v>
      </c>
      <c r="M28" t="b">
        <v>0</v>
      </c>
      <c r="O28" t="s">
        <v>52</v>
      </c>
      <c r="P28" t="s">
        <v>79</v>
      </c>
      <c r="Q28" t="s">
        <v>5066</v>
      </c>
      <c r="R28" t="s">
        <v>5066</v>
      </c>
      <c r="S28" t="s">
        <v>5201</v>
      </c>
      <c r="T28">
        <v>15</v>
      </c>
      <c r="U28">
        <v>25</v>
      </c>
      <c r="V28" t="s">
        <v>714</v>
      </c>
      <c r="W28" t="s">
        <v>52</v>
      </c>
      <c r="X28" t="s">
        <v>5202</v>
      </c>
      <c r="Y28" t="s">
        <v>83</v>
      </c>
      <c r="Z28" t="s">
        <v>79</v>
      </c>
      <c r="AA28" t="str">
        <f>LOWER(TRIM(Instructors[[#This Row],[Email__c]]))</f>
        <v>logandavis52@gmail.com</v>
      </c>
      <c r="AB28">
        <f>COUNTIF(Instructors[Dup Email Key],Instructors[[#This Row],[Dup Email Key]])</f>
        <v>1</v>
      </c>
      <c r="AC28" t="str">
        <f>IF(Instructors[[#This Row],[Active__c]] = "Active", COUNTIFS(Lessons[Instructor_External_Id__c], Instructors[[#This Row],[Id]], Lessons[Status__c], "Completed", Lessons[Is Past], "Yes"), "Not Active")</f>
        <v>Not Active</v>
      </c>
      <c r="AD28" s="6">
        <f>COUNTIFS(Lessons[Instructor_External_Id__c], Instructors[[#This Row],[Id]], Lessons[Lesson_Date__c], "&gt;"&amp;Data_Audit!$F$1, Lessons[Lesson_Date__c], "&lt;="&amp;Data_Audit!$F$1+28, Lessons[Status__c], "Scheduled")</f>
        <v>0</v>
      </c>
    </row>
    <row r="29" spans="1:30">
      <c r="A29" t="s">
        <v>5044</v>
      </c>
      <c r="B29" s="1">
        <v>45982</v>
      </c>
      <c r="C29" t="s">
        <v>52</v>
      </c>
      <c r="D29" t="s">
        <v>5045</v>
      </c>
      <c r="E29" t="s">
        <v>5203</v>
      </c>
      <c r="F29" t="s">
        <v>5204</v>
      </c>
      <c r="G29" t="s">
        <v>236</v>
      </c>
      <c r="H29" s="1">
        <v>45972</v>
      </c>
      <c r="I29" s="2">
        <v>38</v>
      </c>
      <c r="J29" t="s">
        <v>235</v>
      </c>
      <c r="K29" t="s">
        <v>5205</v>
      </c>
      <c r="L29" t="s">
        <v>237</v>
      </c>
      <c r="M29" t="b">
        <v>0</v>
      </c>
      <c r="O29" t="s">
        <v>52</v>
      </c>
      <c r="P29" t="s">
        <v>79</v>
      </c>
      <c r="Q29" t="s">
        <v>5066</v>
      </c>
      <c r="R29" t="s">
        <v>5066</v>
      </c>
      <c r="S29" t="s">
        <v>5206</v>
      </c>
      <c r="T29">
        <v>26</v>
      </c>
      <c r="U29">
        <v>22</v>
      </c>
      <c r="V29" t="s">
        <v>236</v>
      </c>
      <c r="W29" t="s">
        <v>52</v>
      </c>
      <c r="X29" t="s">
        <v>5207</v>
      </c>
      <c r="Y29" t="s">
        <v>83</v>
      </c>
      <c r="Z29" t="s">
        <v>79</v>
      </c>
      <c r="AA29" t="str">
        <f>LOWER(TRIM(Instructors[[#This Row],[Email__c]]))</f>
        <v>penelopewilson@yahoo.com</v>
      </c>
      <c r="AB29">
        <f>COUNTIF(Instructors[Dup Email Key],Instructors[[#This Row],[Dup Email Key]])</f>
        <v>1</v>
      </c>
      <c r="AC29" t="str">
        <f>IF(Instructors[[#This Row],[Active__c]] = "Active", COUNTIFS(Lessons[Instructor_External_Id__c], Instructors[[#This Row],[Id]], Lessons[Status__c], "Completed", Lessons[Is Past], "Yes"), "Not Active")</f>
        <v>Not Active</v>
      </c>
      <c r="AD29" s="6">
        <f>COUNTIFS(Lessons[Instructor_External_Id__c], Instructors[[#This Row],[Id]], Lessons[Lesson_Date__c], "&gt;"&amp;Data_Audit!$F$1, Lessons[Lesson_Date__c], "&lt;="&amp;Data_Audit!$F$1+28, Lessons[Status__c], "Scheduled")</f>
        <v>0</v>
      </c>
    </row>
    <row r="30" spans="1:30">
      <c r="A30" t="s">
        <v>5044</v>
      </c>
      <c r="B30" s="1">
        <v>46008</v>
      </c>
      <c r="C30" t="s">
        <v>52</v>
      </c>
      <c r="D30" t="s">
        <v>5045</v>
      </c>
      <c r="E30" t="s">
        <v>5208</v>
      </c>
      <c r="F30" t="s">
        <v>5209</v>
      </c>
      <c r="G30" t="s">
        <v>1387</v>
      </c>
      <c r="H30" s="1">
        <v>45968</v>
      </c>
      <c r="J30" t="s">
        <v>1386</v>
      </c>
      <c r="K30" t="s">
        <v>5210</v>
      </c>
      <c r="L30" t="s">
        <v>237</v>
      </c>
      <c r="M30" t="b">
        <v>0</v>
      </c>
      <c r="O30" t="s">
        <v>52</v>
      </c>
      <c r="P30" t="s">
        <v>79</v>
      </c>
      <c r="Q30" t="s">
        <v>5066</v>
      </c>
      <c r="R30" t="s">
        <v>5066</v>
      </c>
      <c r="S30" t="s">
        <v>5133</v>
      </c>
      <c r="T30">
        <v>22</v>
      </c>
      <c r="U30">
        <v>22</v>
      </c>
      <c r="V30" t="s">
        <v>1387</v>
      </c>
      <c r="W30" t="s">
        <v>52</v>
      </c>
      <c r="X30" t="s">
        <v>5211</v>
      </c>
      <c r="Y30" t="s">
        <v>63</v>
      </c>
      <c r="Z30" t="s">
        <v>79</v>
      </c>
      <c r="AA30" t="str">
        <f>LOWER(TRIM(Instructors[[#This Row],[Email__c]]))</f>
        <v>operez@gmail.com</v>
      </c>
      <c r="AB30">
        <f>COUNTIF(Instructors[Dup Email Key],Instructors[[#This Row],[Dup Email Key]])</f>
        <v>1</v>
      </c>
      <c r="AC30" t="str">
        <f>IF(Instructors[[#This Row],[Active__c]] = "Active", COUNTIFS(Lessons[Instructor_External_Id__c], Instructors[[#This Row],[Id]], Lessons[Status__c], "Completed", Lessons[Is Past], "Yes"), "Not Active")</f>
        <v>Not Active</v>
      </c>
      <c r="AD30" s="6">
        <f>COUNTIFS(Lessons[Instructor_External_Id__c], Instructors[[#This Row],[Id]], Lessons[Lesson_Date__c], "&gt;"&amp;Data_Audit!$F$1, Lessons[Lesson_Date__c], "&lt;="&amp;Data_Audit!$F$1+28, Lessons[Status__c], "Scheduled")</f>
        <v>0</v>
      </c>
    </row>
    <row r="31" spans="1:30">
      <c r="A31" t="s">
        <v>5044</v>
      </c>
      <c r="B31" s="1">
        <v>44424</v>
      </c>
      <c r="C31" t="s">
        <v>52</v>
      </c>
      <c r="D31" t="s">
        <v>5045</v>
      </c>
      <c r="E31" t="s">
        <v>5212</v>
      </c>
      <c r="F31" t="s">
        <v>5213</v>
      </c>
      <c r="G31" t="s">
        <v>526</v>
      </c>
      <c r="H31" s="1">
        <v>44382</v>
      </c>
      <c r="I31" s="2">
        <v>45</v>
      </c>
      <c r="J31" t="s">
        <v>525</v>
      </c>
      <c r="K31" t="s">
        <v>5214</v>
      </c>
      <c r="L31" t="s">
        <v>5215</v>
      </c>
      <c r="M31" t="b">
        <v>0</v>
      </c>
      <c r="O31" t="s">
        <v>52</v>
      </c>
      <c r="P31" t="s">
        <v>79</v>
      </c>
      <c r="Q31" t="s">
        <v>5066</v>
      </c>
      <c r="R31" t="s">
        <v>5066</v>
      </c>
      <c r="S31" t="s">
        <v>5216</v>
      </c>
      <c r="T31">
        <v>28</v>
      </c>
      <c r="U31">
        <v>25</v>
      </c>
      <c r="V31" t="s">
        <v>526</v>
      </c>
      <c r="W31" t="s">
        <v>52</v>
      </c>
      <c r="X31" t="s">
        <v>5217</v>
      </c>
      <c r="Y31" t="s">
        <v>63</v>
      </c>
      <c r="Z31" t="s">
        <v>79</v>
      </c>
      <c r="AA31" t="str">
        <f>LOWER(TRIM(Instructors[[#This Row],[Email__c]]))</f>
        <v>wyatthall@outlook.com</v>
      </c>
      <c r="AB31">
        <f>COUNTIF(Instructors[Dup Email Key],Instructors[[#This Row],[Dup Email Key]])</f>
        <v>1</v>
      </c>
      <c r="AC31" t="str">
        <f>IF(Instructors[[#This Row],[Active__c]] = "Active", COUNTIFS(Lessons[Instructor_External_Id__c], Instructors[[#This Row],[Id]], Lessons[Status__c], "Completed", Lessons[Is Past], "Yes"), "Not Active")</f>
        <v>Not Active</v>
      </c>
      <c r="AD31" s="6">
        <f>COUNTIFS(Lessons[Instructor_External_Id__c], Instructors[[#This Row],[Id]], Lessons[Lesson_Date__c], "&gt;"&amp;Data_Audit!$F$1, Lessons[Lesson_Date__c], "&lt;="&amp;Data_Audit!$F$1+28, Lessons[Status__c], "Scheduled")</f>
        <v>0</v>
      </c>
    </row>
    <row r="32" spans="1:30">
      <c r="A32" t="s">
        <v>5054</v>
      </c>
      <c r="B32" s="1">
        <v>45345</v>
      </c>
      <c r="C32" t="s">
        <v>52</v>
      </c>
      <c r="D32" t="s">
        <v>5045</v>
      </c>
      <c r="E32" t="s">
        <v>5218</v>
      </c>
      <c r="F32" t="s">
        <v>5219</v>
      </c>
      <c r="G32" t="s">
        <v>460</v>
      </c>
      <c r="H32" s="1">
        <v>45342</v>
      </c>
      <c r="I32" s="2">
        <v>40</v>
      </c>
      <c r="J32" t="s">
        <v>459</v>
      </c>
      <c r="K32" t="s">
        <v>5220</v>
      </c>
      <c r="L32" t="s">
        <v>5221</v>
      </c>
      <c r="M32" t="b">
        <v>0</v>
      </c>
      <c r="O32" t="s">
        <v>52</v>
      </c>
      <c r="P32" t="s">
        <v>4648</v>
      </c>
      <c r="Q32" t="s">
        <v>5066</v>
      </c>
      <c r="R32" t="s">
        <v>5066</v>
      </c>
      <c r="S32" t="s">
        <v>5222</v>
      </c>
      <c r="T32">
        <v>71</v>
      </c>
      <c r="U32">
        <v>18</v>
      </c>
      <c r="V32" t="s">
        <v>460</v>
      </c>
      <c r="W32" t="s">
        <v>52</v>
      </c>
      <c r="X32" t="s">
        <v>5223</v>
      </c>
      <c r="Y32" t="s">
        <v>83</v>
      </c>
      <c r="Z32" t="s">
        <v>4648</v>
      </c>
      <c r="AA32" t="str">
        <f>LOWER(TRIM(Instructors[[#This Row],[Email__c]]))</f>
        <v>adrianbyrne87@hotmail.com</v>
      </c>
      <c r="AB32">
        <f>COUNTIF(Instructors[Dup Email Key],Instructors[[#This Row],[Dup Email Key]])</f>
        <v>1</v>
      </c>
      <c r="AC32">
        <f>IF(Instructors[[#This Row],[Active__c]] = "Active", COUNTIFS(Lessons[Instructor_External_Id__c], Instructors[[#This Row],[Id]], Lessons[Status__c], "Completed", Lessons[Is Past], "Yes"), "Not Active")</f>
        <v>33</v>
      </c>
      <c r="AD32" s="6">
        <f>COUNTIFS(Lessons[Instructor_External_Id__c], Instructors[[#This Row],[Id]], Lessons[Lesson_Date__c], "&gt;"&amp;Data_Audit!$F$1, Lessons[Lesson_Date__c], "&lt;="&amp;Data_Audit!$F$1+28, Lessons[Status__c], "Scheduled")</f>
        <v>5</v>
      </c>
    </row>
    <row r="33" spans="1:30">
      <c r="A33" t="s">
        <v>5044</v>
      </c>
      <c r="B33" s="1">
        <v>43976</v>
      </c>
      <c r="C33" t="s">
        <v>52</v>
      </c>
      <c r="D33" t="s">
        <v>5045</v>
      </c>
      <c r="E33" t="s">
        <v>5224</v>
      </c>
      <c r="F33" t="s">
        <v>5225</v>
      </c>
      <c r="G33" t="s">
        <v>56</v>
      </c>
      <c r="H33" s="1">
        <v>43950</v>
      </c>
      <c r="I33" s="2">
        <v>38</v>
      </c>
      <c r="J33" t="s">
        <v>55</v>
      </c>
      <c r="K33" t="s">
        <v>5226</v>
      </c>
      <c r="L33" t="s">
        <v>5195</v>
      </c>
      <c r="M33" t="b">
        <v>0</v>
      </c>
      <c r="O33" t="s">
        <v>52</v>
      </c>
      <c r="P33" t="s">
        <v>79</v>
      </c>
      <c r="Q33" t="s">
        <v>59</v>
      </c>
      <c r="R33" t="s">
        <v>59</v>
      </c>
      <c r="S33" t="s">
        <v>5148</v>
      </c>
      <c r="T33">
        <v>18</v>
      </c>
      <c r="U33">
        <v>25</v>
      </c>
      <c r="V33" t="s">
        <v>56</v>
      </c>
      <c r="W33" t="s">
        <v>52</v>
      </c>
      <c r="X33" t="s">
        <v>5227</v>
      </c>
      <c r="Y33" t="s">
        <v>63</v>
      </c>
      <c r="Z33" t="s">
        <v>79</v>
      </c>
      <c r="AA33" t="str">
        <f>LOWER(TRIM(Instructors[[#This Row],[Email__c]]))</f>
        <v>kaiokafor43@gmail.com</v>
      </c>
      <c r="AB33">
        <f>COUNTIF(Instructors[Dup Email Key],Instructors[[#This Row],[Dup Email Key]])</f>
        <v>1</v>
      </c>
      <c r="AC33" t="str">
        <f>IF(Instructors[[#This Row],[Active__c]] = "Active", COUNTIFS(Lessons[Instructor_External_Id__c], Instructors[[#This Row],[Id]], Lessons[Status__c], "Completed", Lessons[Is Past], "Yes"), "Not Active")</f>
        <v>Not Active</v>
      </c>
      <c r="AD33" s="6">
        <f>COUNTIFS(Lessons[Instructor_External_Id__c], Instructors[[#This Row],[Id]], Lessons[Lesson_Date__c], "&gt;"&amp;Data_Audit!$F$1, Lessons[Lesson_Date__c], "&lt;="&amp;Data_Audit!$F$1+28, Lessons[Status__c], "Scheduled")</f>
        <v>0</v>
      </c>
    </row>
    <row r="34" spans="1:30">
      <c r="A34" t="s">
        <v>5044</v>
      </c>
      <c r="B34" s="1">
        <v>46129</v>
      </c>
      <c r="C34" t="s">
        <v>52</v>
      </c>
      <c r="D34" t="s">
        <v>5045</v>
      </c>
      <c r="E34" t="s">
        <v>5228</v>
      </c>
      <c r="F34" t="s">
        <v>5229</v>
      </c>
      <c r="G34" t="s">
        <v>5230</v>
      </c>
      <c r="H34" s="1">
        <v>46125</v>
      </c>
      <c r="I34" s="2">
        <v>38</v>
      </c>
      <c r="J34" t="s">
        <v>5231</v>
      </c>
      <c r="K34" t="s">
        <v>5232</v>
      </c>
      <c r="L34" t="s">
        <v>203</v>
      </c>
      <c r="M34" t="b">
        <v>0</v>
      </c>
      <c r="O34" t="s">
        <v>52</v>
      </c>
      <c r="P34" t="s">
        <v>5050</v>
      </c>
      <c r="Q34" t="s">
        <v>5066</v>
      </c>
      <c r="R34" t="s">
        <v>5066</v>
      </c>
      <c r="S34" t="s">
        <v>5095</v>
      </c>
      <c r="T34">
        <v>0</v>
      </c>
      <c r="U34">
        <v>18</v>
      </c>
      <c r="V34" t="s">
        <v>5230</v>
      </c>
      <c r="W34" t="s">
        <v>52</v>
      </c>
      <c r="X34" t="s">
        <v>5233</v>
      </c>
      <c r="Y34" t="s">
        <v>63</v>
      </c>
      <c r="Z34" t="s">
        <v>5050</v>
      </c>
      <c r="AA34" t="str">
        <f>LOWER(TRIM(Instructors[[#This Row],[Email__c]]))</f>
        <v>calebnovak4@outlook.com</v>
      </c>
      <c r="AB34">
        <f>COUNTIF(Instructors[Dup Email Key],Instructors[[#This Row],[Dup Email Key]])</f>
        <v>1</v>
      </c>
      <c r="AC34" t="str">
        <f>IF(Instructors[[#This Row],[Active__c]] = "Active", COUNTIFS(Lessons[Instructor_External_Id__c], Instructors[[#This Row],[Id]], Lessons[Status__c], "Completed", Lessons[Is Past], "Yes"), "Not Active")</f>
        <v>Not Active</v>
      </c>
      <c r="AD34" s="6">
        <f>COUNTIFS(Lessons[Instructor_External_Id__c], Instructors[[#This Row],[Id]], Lessons[Lesson_Date__c], "&gt;"&amp;Data_Audit!$F$1, Lessons[Lesson_Date__c], "&lt;="&amp;Data_Audit!$F$1+28, Lessons[Status__c], "Scheduled")</f>
        <v>0</v>
      </c>
    </row>
    <row r="35" spans="1:30">
      <c r="A35" t="s">
        <v>5054</v>
      </c>
      <c r="B35" s="1">
        <v>44995</v>
      </c>
      <c r="C35" t="s">
        <v>52</v>
      </c>
      <c r="D35" t="s">
        <v>5045</v>
      </c>
      <c r="E35" t="s">
        <v>5234</v>
      </c>
      <c r="F35" t="s">
        <v>5235</v>
      </c>
      <c r="G35" t="s">
        <v>805</v>
      </c>
      <c r="H35" s="1">
        <v>44967</v>
      </c>
      <c r="I35" s="2">
        <v>38</v>
      </c>
      <c r="J35" t="s">
        <v>804</v>
      </c>
      <c r="K35" t="s">
        <v>5236</v>
      </c>
      <c r="L35" t="s">
        <v>5237</v>
      </c>
      <c r="M35" t="b">
        <v>0</v>
      </c>
      <c r="O35" t="s">
        <v>52</v>
      </c>
      <c r="P35" t="s">
        <v>4648</v>
      </c>
      <c r="Q35" t="s">
        <v>5066</v>
      </c>
      <c r="R35" t="s">
        <v>5066</v>
      </c>
      <c r="S35" t="s">
        <v>5155</v>
      </c>
      <c r="T35">
        <v>100</v>
      </c>
      <c r="U35">
        <v>15</v>
      </c>
      <c r="V35" t="s">
        <v>805</v>
      </c>
      <c r="W35" t="s">
        <v>52</v>
      </c>
      <c r="X35" t="s">
        <v>5238</v>
      </c>
      <c r="Y35" t="s">
        <v>63</v>
      </c>
      <c r="Z35" t="s">
        <v>4648</v>
      </c>
      <c r="AA35" t="str">
        <f>LOWER(TRIM(Instructors[[#This Row],[Email__c]]))</f>
        <v>aidenhill@outlook.com</v>
      </c>
      <c r="AB35">
        <f>COUNTIF(Instructors[Dup Email Key],Instructors[[#This Row],[Dup Email Key]])</f>
        <v>1</v>
      </c>
      <c r="AC35">
        <f>IF(Instructors[[#This Row],[Active__c]] = "Active", COUNTIFS(Lessons[Instructor_External_Id__c], Instructors[[#This Row],[Id]], Lessons[Status__c], "Completed", Lessons[Is Past], "Yes"), "Not Active")</f>
        <v>42</v>
      </c>
      <c r="AD35" s="6">
        <f>COUNTIFS(Lessons[Instructor_External_Id__c], Instructors[[#This Row],[Id]], Lessons[Lesson_Date__c], "&gt;"&amp;Data_Audit!$F$1, Lessons[Lesson_Date__c], "&lt;="&amp;Data_Audit!$F$1+28, Lessons[Status__c], "Scheduled")</f>
        <v>7</v>
      </c>
    </row>
    <row r="36" spans="1:30">
      <c r="A36" t="s">
        <v>5054</v>
      </c>
      <c r="B36" s="1">
        <v>44055</v>
      </c>
      <c r="C36" t="s">
        <v>52</v>
      </c>
      <c r="D36" t="s">
        <v>5045</v>
      </c>
      <c r="E36" t="s">
        <v>5239</v>
      </c>
      <c r="F36" t="s">
        <v>5240</v>
      </c>
      <c r="G36" t="s">
        <v>574</v>
      </c>
      <c r="H36" s="1">
        <v>44009</v>
      </c>
      <c r="I36" s="2">
        <v>42</v>
      </c>
      <c r="J36" t="s">
        <v>573</v>
      </c>
      <c r="K36" t="s">
        <v>5241</v>
      </c>
      <c r="L36" t="s">
        <v>5242</v>
      </c>
      <c r="M36" t="b">
        <v>0</v>
      </c>
      <c r="O36" t="s">
        <v>52</v>
      </c>
      <c r="P36" t="s">
        <v>4648</v>
      </c>
      <c r="Q36" t="s">
        <v>5066</v>
      </c>
      <c r="R36" t="s">
        <v>5066</v>
      </c>
      <c r="S36" t="s">
        <v>5243</v>
      </c>
      <c r="T36">
        <v>57</v>
      </c>
      <c r="U36">
        <v>12</v>
      </c>
      <c r="V36" t="s">
        <v>574</v>
      </c>
      <c r="W36" t="s">
        <v>52</v>
      </c>
      <c r="X36" t="s">
        <v>5244</v>
      </c>
      <c r="Y36" t="s">
        <v>83</v>
      </c>
      <c r="Z36" t="s">
        <v>4648</v>
      </c>
      <c r="AA36" t="str">
        <f>LOWER(TRIM(Instructors[[#This Row],[Email__c]]))</f>
        <v>rowanjones55@outlook.com</v>
      </c>
      <c r="AB36">
        <f>COUNTIF(Instructors[Dup Email Key],Instructors[[#This Row],[Dup Email Key]])</f>
        <v>1</v>
      </c>
      <c r="AC36">
        <f>IF(Instructors[[#This Row],[Active__c]] = "Active", COUNTIFS(Lessons[Instructor_External_Id__c], Instructors[[#This Row],[Id]], Lessons[Status__c], "Completed", Lessons[Is Past], "Yes"), "Not Active")</f>
        <v>20</v>
      </c>
      <c r="AD36" s="6">
        <f>COUNTIFS(Lessons[Instructor_External_Id__c], Instructors[[#This Row],[Id]], Lessons[Lesson_Date__c], "&gt;"&amp;Data_Audit!$F$1, Lessons[Lesson_Date__c], "&lt;="&amp;Data_Audit!$F$1+28, Lessons[Status__c], "Scheduled")</f>
        <v>4</v>
      </c>
    </row>
    <row r="37" spans="1:30">
      <c r="A37" t="s">
        <v>5044</v>
      </c>
      <c r="B37" s="1">
        <v>43700</v>
      </c>
      <c r="C37" t="s">
        <v>52</v>
      </c>
      <c r="D37" t="s">
        <v>5045</v>
      </c>
      <c r="E37" t="s">
        <v>5069</v>
      </c>
      <c r="F37" t="s">
        <v>5164</v>
      </c>
      <c r="G37" t="s">
        <v>432</v>
      </c>
      <c r="H37" s="1">
        <v>43654</v>
      </c>
      <c r="I37" s="2">
        <v>35</v>
      </c>
      <c r="J37" t="s">
        <v>431</v>
      </c>
      <c r="K37" t="s">
        <v>5245</v>
      </c>
      <c r="L37" t="s">
        <v>5246</v>
      </c>
      <c r="M37" t="b">
        <v>0</v>
      </c>
      <c r="O37" t="s">
        <v>52</v>
      </c>
      <c r="P37" t="s">
        <v>79</v>
      </c>
      <c r="Q37" t="s">
        <v>5066</v>
      </c>
      <c r="R37" t="s">
        <v>5066</v>
      </c>
      <c r="S37" t="s">
        <v>5247</v>
      </c>
      <c r="T37">
        <v>16</v>
      </c>
      <c r="U37">
        <v>18</v>
      </c>
      <c r="V37" t="s">
        <v>432</v>
      </c>
      <c r="W37" t="s">
        <v>52</v>
      </c>
      <c r="X37" t="s">
        <v>5248</v>
      </c>
      <c r="Y37" t="s">
        <v>63</v>
      </c>
      <c r="Z37" t="s">
        <v>79</v>
      </c>
      <c r="AA37" t="str">
        <f>LOWER(TRIM(Instructors[[#This Row],[Email__c]]))</f>
        <v>lsullivan@yahoo.com</v>
      </c>
      <c r="AB37">
        <f>COUNTIF(Instructors[Dup Email Key],Instructors[[#This Row],[Dup Email Key]])</f>
        <v>2</v>
      </c>
      <c r="AC37" t="str">
        <f>IF(Instructors[[#This Row],[Active__c]] = "Active", COUNTIFS(Lessons[Instructor_External_Id__c], Instructors[[#This Row],[Id]], Lessons[Status__c], "Completed", Lessons[Is Past], "Yes"), "Not Active")</f>
        <v>Not Active</v>
      </c>
      <c r="AD37" s="6">
        <f>COUNTIFS(Lessons[Instructor_External_Id__c], Instructors[[#This Row],[Id]], Lessons[Lesson_Date__c], "&gt;"&amp;Data_Audit!$F$1, Lessons[Lesson_Date__c], "&lt;="&amp;Data_Audit!$F$1+28, Lessons[Status__c], "Scheduled")</f>
        <v>0</v>
      </c>
    </row>
    <row r="38" spans="1:30">
      <c r="A38" t="s">
        <v>5044</v>
      </c>
      <c r="B38" s="1">
        <v>45524</v>
      </c>
      <c r="C38" t="s">
        <v>52</v>
      </c>
      <c r="D38" t="s">
        <v>5045</v>
      </c>
      <c r="E38" t="s">
        <v>5249</v>
      </c>
      <c r="F38" t="s">
        <v>5146</v>
      </c>
      <c r="G38" t="s">
        <v>924</v>
      </c>
      <c r="H38" s="1">
        <v>45494</v>
      </c>
      <c r="I38" s="2">
        <v>40</v>
      </c>
      <c r="J38" t="s">
        <v>923</v>
      </c>
      <c r="K38" t="s">
        <v>5250</v>
      </c>
      <c r="L38" t="s">
        <v>650</v>
      </c>
      <c r="M38" t="b">
        <v>0</v>
      </c>
      <c r="O38" t="s">
        <v>52</v>
      </c>
      <c r="P38" t="s">
        <v>5251</v>
      </c>
      <c r="Q38" t="s">
        <v>5251</v>
      </c>
      <c r="R38" t="s">
        <v>5251</v>
      </c>
      <c r="S38" t="s">
        <v>5252</v>
      </c>
      <c r="T38">
        <v>10</v>
      </c>
      <c r="U38">
        <v>20</v>
      </c>
      <c r="V38" t="s">
        <v>924</v>
      </c>
      <c r="W38" t="s">
        <v>52</v>
      </c>
      <c r="X38" t="s">
        <v>5253</v>
      </c>
      <c r="Y38" t="s">
        <v>83</v>
      </c>
      <c r="Z38" t="s">
        <v>5251</v>
      </c>
      <c r="AA38" t="str">
        <f>LOWER(TRIM(Instructors[[#This Row],[Email__c]]))</f>
        <v>caroline.baker@yahoo.com</v>
      </c>
      <c r="AB38">
        <f>COUNTIF(Instructors[Dup Email Key],Instructors[[#This Row],[Dup Email Key]])</f>
        <v>1</v>
      </c>
      <c r="AC38" t="str">
        <f>IF(Instructors[[#This Row],[Active__c]] = "Active", COUNTIFS(Lessons[Instructor_External_Id__c], Instructors[[#This Row],[Id]], Lessons[Status__c], "Completed", Lessons[Is Past], "Yes"), "Not Active")</f>
        <v>Not Active</v>
      </c>
      <c r="AD38" s="6">
        <f>COUNTIFS(Lessons[Instructor_External_Id__c], Instructors[[#This Row],[Id]], Lessons[Lesson_Date__c], "&gt;"&amp;Data_Audit!$F$1, Lessons[Lesson_Date__c], "&lt;="&amp;Data_Audit!$F$1+28, Lessons[Status__c], "Scheduled")</f>
        <v>0</v>
      </c>
    </row>
    <row r="39" spans="1:30">
      <c r="A39" t="s">
        <v>5044</v>
      </c>
      <c r="B39" s="1">
        <v>46055</v>
      </c>
      <c r="C39" t="s">
        <v>52</v>
      </c>
      <c r="D39" t="s">
        <v>5045</v>
      </c>
      <c r="E39" t="s">
        <v>5254</v>
      </c>
      <c r="F39" t="s">
        <v>5182</v>
      </c>
      <c r="G39" t="s">
        <v>90</v>
      </c>
      <c r="H39" s="1">
        <v>46032</v>
      </c>
      <c r="I39" s="2">
        <v>40</v>
      </c>
      <c r="J39" t="s">
        <v>89</v>
      </c>
      <c r="K39" t="s">
        <v>5255</v>
      </c>
      <c r="L39" t="s">
        <v>650</v>
      </c>
      <c r="M39" t="b">
        <v>0</v>
      </c>
      <c r="O39" t="s">
        <v>52</v>
      </c>
      <c r="P39" t="s">
        <v>79</v>
      </c>
      <c r="Q39" t="s">
        <v>5066</v>
      </c>
      <c r="R39" t="s">
        <v>5066</v>
      </c>
      <c r="S39" t="s">
        <v>5256</v>
      </c>
      <c r="T39">
        <v>26</v>
      </c>
      <c r="U39">
        <v>22</v>
      </c>
      <c r="V39" t="s">
        <v>90</v>
      </c>
      <c r="W39" t="s">
        <v>52</v>
      </c>
      <c r="X39" t="s">
        <v>5257</v>
      </c>
      <c r="Y39" t="s">
        <v>83</v>
      </c>
      <c r="Z39" t="s">
        <v>79</v>
      </c>
      <c r="AA39" t="str">
        <f>LOWER(TRIM(Instructors[[#This Row],[Email__c]]))</f>
        <v>valentina.sanchez@outlook.com</v>
      </c>
      <c r="AB39">
        <f>COUNTIF(Instructors[Dup Email Key],Instructors[[#This Row],[Dup Email Key]])</f>
        <v>1</v>
      </c>
      <c r="AC39" t="str">
        <f>IF(Instructors[[#This Row],[Active__c]] = "Active", COUNTIFS(Lessons[Instructor_External_Id__c], Instructors[[#This Row],[Id]], Lessons[Status__c], "Completed", Lessons[Is Past], "Yes"), "Not Active")</f>
        <v>Not Active</v>
      </c>
      <c r="AD39" s="6">
        <f>COUNTIFS(Lessons[Instructor_External_Id__c], Instructors[[#This Row],[Id]], Lessons[Lesson_Date__c], "&gt;"&amp;Data_Audit!$F$1, Lessons[Lesson_Date__c], "&lt;="&amp;Data_Audit!$F$1+28, Lessons[Status__c], "Scheduled")</f>
        <v>0</v>
      </c>
    </row>
    <row r="40" spans="1:30">
      <c r="A40" t="s">
        <v>5044</v>
      </c>
      <c r="B40" s="1">
        <v>46209</v>
      </c>
      <c r="C40" t="s">
        <v>52</v>
      </c>
      <c r="D40" t="s">
        <v>5045</v>
      </c>
      <c r="E40" t="s">
        <v>5258</v>
      </c>
      <c r="F40" t="s">
        <v>5229</v>
      </c>
      <c r="G40" t="s">
        <v>5259</v>
      </c>
      <c r="H40" s="1">
        <v>46203</v>
      </c>
      <c r="I40" s="2">
        <v>45</v>
      </c>
      <c r="J40" t="s">
        <v>5260</v>
      </c>
      <c r="K40" t="s">
        <v>5261</v>
      </c>
      <c r="L40" t="s">
        <v>5262</v>
      </c>
      <c r="M40" t="b">
        <v>0</v>
      </c>
      <c r="O40" t="s">
        <v>52</v>
      </c>
      <c r="P40" t="s">
        <v>5050</v>
      </c>
      <c r="Q40" t="s">
        <v>5066</v>
      </c>
      <c r="R40" t="s">
        <v>5066</v>
      </c>
      <c r="S40" t="s">
        <v>5263</v>
      </c>
      <c r="T40">
        <v>0</v>
      </c>
      <c r="U40">
        <v>12</v>
      </c>
      <c r="V40" t="s">
        <v>5259</v>
      </c>
      <c r="W40" t="s">
        <v>52</v>
      </c>
      <c r="X40" t="s">
        <v>5264</v>
      </c>
      <c r="Y40" t="s">
        <v>83</v>
      </c>
      <c r="Z40" t="s">
        <v>5050</v>
      </c>
      <c r="AA40" t="str">
        <f>LOWER(TRIM(Instructors[[#This Row],[Email__c]]))</f>
        <v>calebramirez76@outlook.com</v>
      </c>
      <c r="AB40">
        <f>COUNTIF(Instructors[Dup Email Key],Instructors[[#This Row],[Dup Email Key]])</f>
        <v>1</v>
      </c>
      <c r="AC40" t="str">
        <f>IF(Instructors[[#This Row],[Active__c]] = "Active", COUNTIFS(Lessons[Instructor_External_Id__c], Instructors[[#This Row],[Id]], Lessons[Status__c], "Completed", Lessons[Is Past], "Yes"), "Not Active")</f>
        <v>Not Active</v>
      </c>
      <c r="AD40" s="6">
        <f>COUNTIFS(Lessons[Instructor_External_Id__c], Instructors[[#This Row],[Id]], Lessons[Lesson_Date__c], "&gt;"&amp;Data_Audit!$F$1, Lessons[Lesson_Date__c], "&lt;="&amp;Data_Audit!$F$1+28, Lessons[Status__c], "Scheduled")</f>
        <v>0</v>
      </c>
    </row>
    <row r="41" spans="1:30">
      <c r="A41" t="s">
        <v>5054</v>
      </c>
      <c r="B41" s="1">
        <v>43586</v>
      </c>
      <c r="C41" t="s">
        <v>52</v>
      </c>
      <c r="D41" t="s">
        <v>5045</v>
      </c>
      <c r="E41" t="s">
        <v>5265</v>
      </c>
      <c r="F41" t="s">
        <v>5114</v>
      </c>
      <c r="G41" t="s">
        <v>549</v>
      </c>
      <c r="H41" s="1">
        <v>43569</v>
      </c>
      <c r="I41" s="2">
        <v>40</v>
      </c>
      <c r="J41" t="s">
        <v>548</v>
      </c>
      <c r="K41" t="s">
        <v>5266</v>
      </c>
      <c r="L41" t="s">
        <v>5267</v>
      </c>
      <c r="M41" t="b">
        <v>0</v>
      </c>
      <c r="O41" t="s">
        <v>52</v>
      </c>
      <c r="P41" t="s">
        <v>4648</v>
      </c>
      <c r="Q41" t="s">
        <v>5066</v>
      </c>
      <c r="R41" t="s">
        <v>5066</v>
      </c>
      <c r="S41" t="s">
        <v>5268</v>
      </c>
      <c r="T41">
        <v>66</v>
      </c>
      <c r="U41">
        <v>12</v>
      </c>
      <c r="V41" t="s">
        <v>549</v>
      </c>
      <c r="W41" t="s">
        <v>52</v>
      </c>
      <c r="X41" t="s">
        <v>5269</v>
      </c>
      <c r="Y41" t="s">
        <v>63</v>
      </c>
      <c r="Z41" t="s">
        <v>4648</v>
      </c>
      <c r="AA41" t="str">
        <f>LOWER(TRIM(Instructors[[#This Row],[Email__c]]))</f>
        <v>liam.flores@hotmail.com</v>
      </c>
      <c r="AB41">
        <f>COUNTIF(Instructors[Dup Email Key],Instructors[[#This Row],[Dup Email Key]])</f>
        <v>1</v>
      </c>
      <c r="AC41">
        <f>IF(Instructors[[#This Row],[Active__c]] = "Active", COUNTIFS(Lessons[Instructor_External_Id__c], Instructors[[#This Row],[Id]], Lessons[Status__c], "Completed", Lessons[Is Past], "Yes"), "Not Active")</f>
        <v>22</v>
      </c>
      <c r="AD41" s="6">
        <f>COUNTIFS(Lessons[Instructor_External_Id__c], Instructors[[#This Row],[Id]], Lessons[Lesson_Date__c], "&gt;"&amp;Data_Audit!$F$1, Lessons[Lesson_Date__c], "&lt;="&amp;Data_Audit!$F$1+28, Lessons[Status__c], "Scheduled")</f>
        <v>9</v>
      </c>
    </row>
    <row r="42" spans="1:30">
      <c r="A42" t="s">
        <v>5054</v>
      </c>
      <c r="B42" s="1">
        <v>45279</v>
      </c>
      <c r="C42" t="s">
        <v>52</v>
      </c>
      <c r="D42" t="s">
        <v>5045</v>
      </c>
      <c r="E42" t="s">
        <v>5270</v>
      </c>
      <c r="F42" t="s">
        <v>5209</v>
      </c>
      <c r="G42" t="s">
        <v>338</v>
      </c>
      <c r="H42" s="1">
        <v>45278</v>
      </c>
      <c r="I42" s="2">
        <v>38</v>
      </c>
      <c r="J42" t="s">
        <v>337</v>
      </c>
      <c r="K42" t="s">
        <v>5271</v>
      </c>
      <c r="L42" t="s">
        <v>284</v>
      </c>
      <c r="M42" t="b">
        <v>0</v>
      </c>
      <c r="O42" t="s">
        <v>52</v>
      </c>
      <c r="P42" t="s">
        <v>4648</v>
      </c>
      <c r="Q42" t="s">
        <v>5066</v>
      </c>
      <c r="R42" t="s">
        <v>5066</v>
      </c>
      <c r="S42" t="s">
        <v>5272</v>
      </c>
      <c r="T42">
        <v>51</v>
      </c>
      <c r="U42">
        <v>18</v>
      </c>
      <c r="V42" t="s">
        <v>338</v>
      </c>
      <c r="W42" t="s">
        <v>52</v>
      </c>
      <c r="X42" t="s">
        <v>5273</v>
      </c>
      <c r="Y42" t="s">
        <v>150</v>
      </c>
      <c r="Z42" t="s">
        <v>4648</v>
      </c>
      <c r="AA42" t="str">
        <f>LOWER(TRIM(Instructors[[#This Row],[Email__c]]))</f>
        <v>omar.nelson@hotmail.com</v>
      </c>
      <c r="AB42">
        <f>COUNTIF(Instructors[Dup Email Key],Instructors[[#This Row],[Dup Email Key]])</f>
        <v>1</v>
      </c>
      <c r="AC42">
        <f>IF(Instructors[[#This Row],[Active__c]] = "Active", COUNTIFS(Lessons[Instructor_External_Id__c], Instructors[[#This Row],[Id]], Lessons[Status__c], "Completed", Lessons[Is Past], "Yes"), "Not Active")</f>
        <v>28</v>
      </c>
      <c r="AD42" s="6">
        <f>COUNTIFS(Lessons[Instructor_External_Id__c], Instructors[[#This Row],[Id]], Lessons[Lesson_Date__c], "&gt;"&amp;Data_Audit!$F$1, Lessons[Lesson_Date__c], "&lt;="&amp;Data_Audit!$F$1+28, Lessons[Status__c], "Scheduled")</f>
        <v>2</v>
      </c>
    </row>
    <row r="43" spans="1:30">
      <c r="A43" t="s">
        <v>5044</v>
      </c>
      <c r="B43" s="1">
        <v>45335</v>
      </c>
      <c r="C43" t="s">
        <v>52</v>
      </c>
      <c r="D43" t="s">
        <v>5045</v>
      </c>
      <c r="E43" t="s">
        <v>5274</v>
      </c>
      <c r="F43" t="s">
        <v>5275</v>
      </c>
      <c r="G43" t="s">
        <v>202</v>
      </c>
      <c r="H43" s="1">
        <v>45288</v>
      </c>
      <c r="I43" s="2">
        <v>38</v>
      </c>
      <c r="J43" t="s">
        <v>201</v>
      </c>
      <c r="K43" t="s">
        <v>5276</v>
      </c>
      <c r="L43" t="s">
        <v>5277</v>
      </c>
      <c r="M43" t="b">
        <v>0</v>
      </c>
      <c r="O43" t="s">
        <v>52</v>
      </c>
      <c r="P43" t="s">
        <v>79</v>
      </c>
      <c r="Q43" t="s">
        <v>5066</v>
      </c>
      <c r="R43" t="s">
        <v>5066</v>
      </c>
      <c r="S43" t="s">
        <v>5278</v>
      </c>
      <c r="T43">
        <v>21</v>
      </c>
      <c r="U43">
        <v>25</v>
      </c>
      <c r="V43" t="s">
        <v>202</v>
      </c>
      <c r="W43" t="s">
        <v>52</v>
      </c>
      <c r="X43" t="s">
        <v>5279</v>
      </c>
      <c r="Y43" t="s">
        <v>63</v>
      </c>
      <c r="Z43" t="s">
        <v>79</v>
      </c>
      <c r="AA43" t="str">
        <f>LOWER(TRIM(Instructors[[#This Row],[Email__c]]))</f>
        <v>sofiaharris55@hotmail.com</v>
      </c>
      <c r="AB43">
        <f>COUNTIF(Instructors[Dup Email Key],Instructors[[#This Row],[Dup Email Key]])</f>
        <v>1</v>
      </c>
      <c r="AC43" t="str">
        <f>IF(Instructors[[#This Row],[Active__c]] = "Active", COUNTIFS(Lessons[Instructor_External_Id__c], Instructors[[#This Row],[Id]], Lessons[Status__c], "Completed", Lessons[Is Past], "Yes"), "Not Active")</f>
        <v>Not Active</v>
      </c>
      <c r="AD43" s="6">
        <f>COUNTIFS(Lessons[Instructor_External_Id__c], Instructors[[#This Row],[Id]], Lessons[Lesson_Date__c], "&gt;"&amp;Data_Audit!$F$1, Lessons[Lesson_Date__c], "&lt;="&amp;Data_Audit!$F$1+28, Lessons[Status__c], "Scheduled")</f>
        <v>0</v>
      </c>
    </row>
    <row r="44" spans="1:30">
      <c r="A44" t="s">
        <v>5054</v>
      </c>
      <c r="B44" s="1">
        <v>46241</v>
      </c>
      <c r="C44" t="s">
        <v>52</v>
      </c>
      <c r="D44" t="s">
        <v>5045</v>
      </c>
      <c r="E44" t="s">
        <v>5280</v>
      </c>
      <c r="F44" t="s">
        <v>5281</v>
      </c>
      <c r="G44" t="s">
        <v>1217</v>
      </c>
      <c r="H44" s="1">
        <v>46183</v>
      </c>
      <c r="I44" s="2">
        <v>38</v>
      </c>
      <c r="J44" t="s">
        <v>1216</v>
      </c>
      <c r="K44" t="s">
        <v>5282</v>
      </c>
      <c r="L44" t="s">
        <v>5283</v>
      </c>
      <c r="M44" t="b">
        <v>0</v>
      </c>
      <c r="O44" t="s">
        <v>52</v>
      </c>
      <c r="P44" t="s">
        <v>2997</v>
      </c>
      <c r="Q44" t="s">
        <v>5284</v>
      </c>
      <c r="R44" t="s">
        <v>5284</v>
      </c>
      <c r="S44" t="s">
        <v>5285</v>
      </c>
      <c r="T44">
        <v>3</v>
      </c>
      <c r="U44">
        <v>12</v>
      </c>
      <c r="V44" t="s">
        <v>1217</v>
      </c>
      <c r="W44" t="s">
        <v>52</v>
      </c>
      <c r="X44" t="s">
        <v>5286</v>
      </c>
      <c r="Y44" t="s">
        <v>150</v>
      </c>
      <c r="Z44" t="s">
        <v>2997</v>
      </c>
      <c r="AA44" t="str">
        <f>LOWER(TRIM(Instructors[[#This Row],[Email__c]]))</f>
        <v>priya.carter@gmail.com</v>
      </c>
      <c r="AB44">
        <f>COUNTIF(Instructors[Dup Email Key],Instructors[[#This Row],[Dup Email Key]])</f>
        <v>1</v>
      </c>
      <c r="AC44">
        <f>IF(Instructors[[#This Row],[Active__c]] = "Active", COUNTIFS(Lessons[Instructor_External_Id__c], Instructors[[#This Row],[Id]], Lessons[Status__c], "Completed", Lessons[Is Past], "Yes"), "Not Active")</f>
        <v>1</v>
      </c>
      <c r="AD44" s="6">
        <f>COUNTIFS(Lessons[Instructor_External_Id__c], Instructors[[#This Row],[Id]], Lessons[Lesson_Date__c], "&gt;"&amp;Data_Audit!$F$1, Lessons[Lesson_Date__c], "&lt;="&amp;Data_Audit!$F$1+28, Lessons[Status__c], "Scheduled")</f>
        <v>0</v>
      </c>
    </row>
    <row r="45" spans="1:30">
      <c r="A45" t="s">
        <v>5044</v>
      </c>
      <c r="B45" s="1">
        <v>45940</v>
      </c>
      <c r="C45" t="s">
        <v>52</v>
      </c>
      <c r="D45" t="s">
        <v>5045</v>
      </c>
      <c r="E45" t="s">
        <v>5287</v>
      </c>
      <c r="F45" t="s">
        <v>5114</v>
      </c>
      <c r="G45" t="s">
        <v>863</v>
      </c>
      <c r="H45" s="1">
        <v>45890</v>
      </c>
      <c r="I45" s="2">
        <v>32</v>
      </c>
      <c r="J45" t="s">
        <v>862</v>
      </c>
      <c r="K45" t="s">
        <v>5288</v>
      </c>
      <c r="L45" t="s">
        <v>5289</v>
      </c>
      <c r="M45" t="b">
        <v>0</v>
      </c>
      <c r="O45" t="s">
        <v>52</v>
      </c>
      <c r="P45" t="s">
        <v>5050</v>
      </c>
      <c r="Q45" t="s">
        <v>5066</v>
      </c>
      <c r="R45" t="s">
        <v>5066</v>
      </c>
      <c r="S45" t="s">
        <v>5179</v>
      </c>
      <c r="T45">
        <v>23</v>
      </c>
      <c r="U45">
        <v>15</v>
      </c>
      <c r="V45" t="s">
        <v>863</v>
      </c>
      <c r="W45" t="s">
        <v>52</v>
      </c>
      <c r="X45" t="s">
        <v>5290</v>
      </c>
      <c r="Y45" t="s">
        <v>63</v>
      </c>
      <c r="Z45" t="s">
        <v>5050</v>
      </c>
      <c r="AA45" t="str">
        <f>LOWER(TRIM(Instructors[[#This Row],[Email__c]]))</f>
        <v>liammoore78@icloud.com</v>
      </c>
      <c r="AB45">
        <f>COUNTIF(Instructors[Dup Email Key],Instructors[[#This Row],[Dup Email Key]])</f>
        <v>1</v>
      </c>
      <c r="AC45" t="str">
        <f>IF(Instructors[[#This Row],[Active__c]] = "Active", COUNTIFS(Lessons[Instructor_External_Id__c], Instructors[[#This Row],[Id]], Lessons[Status__c], "Completed", Lessons[Is Past], "Yes"), "Not Active")</f>
        <v>Not Active</v>
      </c>
      <c r="AD45" s="6">
        <f>COUNTIFS(Lessons[Instructor_External_Id__c], Instructors[[#This Row],[Id]], Lessons[Lesson_Date__c], "&gt;"&amp;Data_Audit!$F$1, Lessons[Lesson_Date__c], "&lt;="&amp;Data_Audit!$F$1+28, Lessons[Status__c], "Scheduled")</f>
        <v>0</v>
      </c>
    </row>
    <row r="46" spans="1:30">
      <c r="A46" t="s">
        <v>5044</v>
      </c>
      <c r="B46" s="1">
        <v>44771</v>
      </c>
      <c r="C46" t="s">
        <v>52</v>
      </c>
      <c r="D46" t="s">
        <v>5045</v>
      </c>
      <c r="E46" t="s">
        <v>5291</v>
      </c>
      <c r="F46" t="s">
        <v>5292</v>
      </c>
      <c r="G46" t="s">
        <v>902</v>
      </c>
      <c r="H46" s="1">
        <v>44723</v>
      </c>
      <c r="I46" s="2">
        <v>42</v>
      </c>
      <c r="J46" t="s">
        <v>901</v>
      </c>
      <c r="K46" t="s">
        <v>5293</v>
      </c>
      <c r="L46" t="s">
        <v>237</v>
      </c>
      <c r="M46" t="b">
        <v>0</v>
      </c>
      <c r="O46" t="s">
        <v>52</v>
      </c>
      <c r="P46" t="s">
        <v>79</v>
      </c>
      <c r="Q46" t="s">
        <v>5066</v>
      </c>
      <c r="R46" t="s">
        <v>5066</v>
      </c>
      <c r="S46" t="s">
        <v>5294</v>
      </c>
      <c r="T46">
        <v>13</v>
      </c>
      <c r="U46">
        <v>20</v>
      </c>
      <c r="V46" t="s">
        <v>902</v>
      </c>
      <c r="W46" t="s">
        <v>52</v>
      </c>
      <c r="X46" t="s">
        <v>5295</v>
      </c>
      <c r="Y46" t="s">
        <v>63</v>
      </c>
      <c r="Z46" t="s">
        <v>79</v>
      </c>
      <c r="AA46" t="str">
        <f>LOWER(TRIM(Instructors[[#This Row],[Email__c]]))</f>
        <v>yusufjackson79@hotmail.com</v>
      </c>
      <c r="AB46">
        <f>COUNTIF(Instructors[Dup Email Key],Instructors[[#This Row],[Dup Email Key]])</f>
        <v>1</v>
      </c>
      <c r="AC46" t="str">
        <f>IF(Instructors[[#This Row],[Active__c]] = "Active", COUNTIFS(Lessons[Instructor_External_Id__c], Instructors[[#This Row],[Id]], Lessons[Status__c], "Completed", Lessons[Is Past], "Yes"), "Not Active")</f>
        <v>Not Active</v>
      </c>
      <c r="AD46" s="6">
        <f>COUNTIFS(Lessons[Instructor_External_Id__c], Instructors[[#This Row],[Id]], Lessons[Lesson_Date__c], "&gt;"&amp;Data_Audit!$F$1, Lessons[Lesson_Date__c], "&lt;="&amp;Data_Audit!$F$1+28, Lessons[Status__c], "Scheduled")</f>
        <v>0</v>
      </c>
    </row>
    <row r="47" spans="1:30">
      <c r="A47" t="s">
        <v>5044</v>
      </c>
      <c r="B47" s="1">
        <v>44847</v>
      </c>
      <c r="C47" t="s">
        <v>52</v>
      </c>
      <c r="D47" t="s">
        <v>5296</v>
      </c>
      <c r="E47" t="s">
        <v>5297</v>
      </c>
      <c r="F47" t="s">
        <v>5298</v>
      </c>
      <c r="G47" t="s">
        <v>5299</v>
      </c>
      <c r="H47" s="1">
        <v>44801</v>
      </c>
      <c r="I47" s="2">
        <v>50</v>
      </c>
      <c r="J47" t="s">
        <v>5300</v>
      </c>
      <c r="K47" t="s">
        <v>5301</v>
      </c>
      <c r="M47" t="b">
        <v>0</v>
      </c>
      <c r="O47" t="s">
        <v>52</v>
      </c>
      <c r="P47" t="s">
        <v>5050</v>
      </c>
      <c r="S47" t="s">
        <v>5302</v>
      </c>
      <c r="T47">
        <v>0</v>
      </c>
      <c r="U47">
        <v>20</v>
      </c>
      <c r="V47" t="s">
        <v>5299</v>
      </c>
      <c r="W47" t="s">
        <v>52</v>
      </c>
      <c r="X47" t="s">
        <v>5303</v>
      </c>
      <c r="Y47" t="s">
        <v>150</v>
      </c>
      <c r="Z47" t="s">
        <v>5050</v>
      </c>
      <c r="AA47" t="str">
        <f>LOWER(TRIM(Instructors[[#This Row],[Email__c]]))</f>
        <v>jpatel@gmail.com</v>
      </c>
      <c r="AB47">
        <f>COUNTIF(Instructors[Dup Email Key],Instructors[[#This Row],[Dup Email Key]])</f>
        <v>1</v>
      </c>
      <c r="AC47" t="str">
        <f>IF(Instructors[[#This Row],[Active__c]] = "Active", COUNTIFS(Lessons[Instructor_External_Id__c], Instructors[[#This Row],[Id]], Lessons[Status__c], "Completed", Lessons[Is Past], "Yes"), "Not Active")</f>
        <v>Not Active</v>
      </c>
      <c r="AD47" s="6">
        <f>COUNTIFS(Lessons[Instructor_External_Id__c], Instructors[[#This Row],[Id]], Lessons[Lesson_Date__c], "&gt;"&amp;Data_Audit!$F$1, Lessons[Lesson_Date__c], "&lt;="&amp;Data_Audit!$F$1+28, Lessons[Status__c], "Scheduled")</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46956-A293-42B3-A95A-E0D11C88D92A}">
  <dimension ref="A1:C19"/>
  <sheetViews>
    <sheetView topLeftCell="C1" workbookViewId="0"/>
  </sheetViews>
  <sheetFormatPr defaultRowHeight="15"/>
  <cols>
    <col min="1" max="1" width="19.28515625" bestFit="1" customWidth="1"/>
    <col min="2" max="2" width="25.42578125" bestFit="1" customWidth="1"/>
    <col min="3" max="3" width="24.7109375" bestFit="1" customWidth="1"/>
    <col min="4" max="14" width="3.28515625" bestFit="1" customWidth="1"/>
    <col min="15" max="15" width="10.42578125" bestFit="1" customWidth="1"/>
    <col min="16" max="16" width="11.7109375" bestFit="1" customWidth="1"/>
  </cols>
  <sheetData>
    <row r="1" spans="1:3">
      <c r="A1" s="8" t="s">
        <v>5026</v>
      </c>
      <c r="B1" t="s">
        <v>5054</v>
      </c>
    </row>
    <row r="3" spans="1:3">
      <c r="A3" s="8" t="s">
        <v>5030</v>
      </c>
      <c r="B3" t="s">
        <v>5304</v>
      </c>
      <c r="C3" t="s">
        <v>5305</v>
      </c>
    </row>
    <row r="4" spans="1:3">
      <c r="A4" t="s">
        <v>805</v>
      </c>
      <c r="B4" s="6">
        <v>42</v>
      </c>
      <c r="C4" s="6">
        <v>7</v>
      </c>
    </row>
    <row r="5" spans="1:3">
      <c r="A5" t="s">
        <v>460</v>
      </c>
      <c r="B5" s="6">
        <v>33</v>
      </c>
      <c r="C5" s="6">
        <v>5</v>
      </c>
    </row>
    <row r="6" spans="1:3">
      <c r="A6" t="s">
        <v>360</v>
      </c>
      <c r="B6" s="6">
        <v>29</v>
      </c>
      <c r="C6" s="6">
        <v>15</v>
      </c>
    </row>
    <row r="7" spans="1:3">
      <c r="A7" t="s">
        <v>338</v>
      </c>
      <c r="B7" s="6">
        <v>28</v>
      </c>
      <c r="C7" s="6">
        <v>2</v>
      </c>
    </row>
    <row r="8" spans="1:3">
      <c r="A8" t="s">
        <v>283</v>
      </c>
      <c r="B8" s="6">
        <v>23</v>
      </c>
      <c r="C8" s="6">
        <v>6</v>
      </c>
    </row>
    <row r="9" spans="1:3">
      <c r="A9" t="s">
        <v>244</v>
      </c>
      <c r="B9" s="6">
        <v>22</v>
      </c>
      <c r="C9" s="6">
        <v>8</v>
      </c>
    </row>
    <row r="10" spans="1:3">
      <c r="A10" t="s">
        <v>549</v>
      </c>
      <c r="B10" s="6">
        <v>22</v>
      </c>
      <c r="C10" s="6">
        <v>9</v>
      </c>
    </row>
    <row r="11" spans="1:3">
      <c r="A11" t="s">
        <v>319</v>
      </c>
      <c r="B11" s="6">
        <v>22</v>
      </c>
      <c r="C11" s="6">
        <v>14</v>
      </c>
    </row>
    <row r="12" spans="1:3">
      <c r="A12" t="s">
        <v>574</v>
      </c>
      <c r="B12" s="6">
        <v>20</v>
      </c>
      <c r="C12" s="6">
        <v>4</v>
      </c>
    </row>
    <row r="13" spans="1:3">
      <c r="A13" t="s">
        <v>402</v>
      </c>
      <c r="B13" s="6">
        <v>19</v>
      </c>
      <c r="C13" s="6">
        <v>5</v>
      </c>
    </row>
    <row r="14" spans="1:3">
      <c r="A14" t="s">
        <v>77</v>
      </c>
      <c r="B14" s="6">
        <v>17</v>
      </c>
      <c r="C14" s="6">
        <v>8</v>
      </c>
    </row>
    <row r="15" spans="1:3">
      <c r="A15" t="s">
        <v>945</v>
      </c>
      <c r="B15" s="6">
        <v>17</v>
      </c>
      <c r="C15" s="6">
        <v>2</v>
      </c>
    </row>
    <row r="16" spans="1:3">
      <c r="A16" t="s">
        <v>437</v>
      </c>
      <c r="B16" s="6">
        <v>15</v>
      </c>
      <c r="C16" s="6">
        <v>6</v>
      </c>
    </row>
    <row r="17" spans="1:3">
      <c r="A17" t="s">
        <v>778</v>
      </c>
      <c r="B17" s="6">
        <v>12</v>
      </c>
      <c r="C17" s="6">
        <v>6</v>
      </c>
    </row>
    <row r="18" spans="1:3">
      <c r="A18" t="s">
        <v>1217</v>
      </c>
      <c r="B18" s="6">
        <v>1</v>
      </c>
      <c r="C18" s="6">
        <v>0</v>
      </c>
    </row>
    <row r="19" spans="1:3">
      <c r="A19" t="s">
        <v>5011</v>
      </c>
      <c r="B19" s="6">
        <v>322</v>
      </c>
      <c r="C19" s="6">
        <v>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141"/>
  <sheetViews>
    <sheetView topLeftCell="Y1" workbookViewId="0">
      <selection activeCell="AA1" sqref="AA1"/>
    </sheetView>
  </sheetViews>
  <sheetFormatPr defaultRowHeight="15"/>
  <cols>
    <col min="1" max="1" width="24.85546875" bestFit="1" customWidth="1"/>
    <col min="2" max="2" width="21" hidden="1" customWidth="1"/>
    <col min="3" max="3" width="25.140625" hidden="1" customWidth="1"/>
    <col min="4" max="4" width="31.85546875" bestFit="1" customWidth="1"/>
    <col min="5" max="5" width="16.85546875" bestFit="1" customWidth="1"/>
    <col min="6" max="6" width="25.7109375" style="1" bestFit="1" customWidth="1"/>
    <col min="7" max="7" width="18.7109375" bestFit="1" customWidth="1"/>
    <col min="8" max="8" width="22.85546875" bestFit="1" customWidth="1"/>
    <col min="9" max="9" width="18.28515625" style="1" bestFit="1" customWidth="1"/>
    <col min="10" max="10" width="24.42578125" bestFit="1" customWidth="1"/>
    <col min="11" max="11" width="27.140625" bestFit="1" customWidth="1"/>
    <col min="12" max="12" width="11.85546875" bestFit="1" customWidth="1"/>
    <col min="13" max="13" width="18.140625" bestFit="1" customWidth="1"/>
    <col min="14" max="14" width="21" hidden="1" customWidth="1"/>
    <col min="15" max="17" width="25.140625" hidden="1" customWidth="1"/>
    <col min="18" max="18" width="16.5703125" bestFit="1" customWidth="1"/>
    <col min="19" max="19" width="17.85546875" bestFit="1" customWidth="1"/>
    <col min="20" max="20" width="18.7109375" bestFit="1" customWidth="1"/>
    <col min="21" max="21" width="31.28515625" bestFit="1" customWidth="1"/>
    <col min="22" max="22" width="21.28515625" bestFit="1" customWidth="1"/>
    <col min="23" max="23" width="14.5703125" bestFit="1" customWidth="1"/>
    <col min="24" max="24" width="25" bestFit="1" customWidth="1"/>
    <col min="25" max="25" width="14.5703125" bestFit="1" customWidth="1"/>
    <col min="26" max="26" width="18.140625" bestFit="1" customWidth="1"/>
    <col min="27" max="27" width="25.140625" hidden="1" customWidth="1"/>
    <col min="28" max="28" width="22.28515625" bestFit="1" customWidth="1"/>
    <col min="29" max="29" width="44" customWidth="1"/>
    <col min="30" max="30" width="18.140625" customWidth="1"/>
    <col min="31" max="31" width="24.5703125" customWidth="1"/>
    <col min="32" max="32" width="19.140625" customWidth="1"/>
    <col min="33" max="33" width="29" customWidth="1"/>
  </cols>
  <sheetData>
    <row r="1" spans="1:33">
      <c r="A1" t="s">
        <v>5306</v>
      </c>
      <c r="B1" t="s">
        <v>20</v>
      </c>
      <c r="C1" t="s">
        <v>21</v>
      </c>
      <c r="D1" t="s">
        <v>5028</v>
      </c>
      <c r="E1" t="s">
        <v>5029</v>
      </c>
      <c r="F1" s="1" t="s">
        <v>5307</v>
      </c>
      <c r="G1" t="s">
        <v>5030</v>
      </c>
      <c r="H1" t="s">
        <v>23</v>
      </c>
      <c r="I1" s="1" t="s">
        <v>5308</v>
      </c>
      <c r="J1" t="s">
        <v>5309</v>
      </c>
      <c r="K1" t="s">
        <v>5310</v>
      </c>
      <c r="L1" t="s">
        <v>28</v>
      </c>
      <c r="M1" t="s">
        <v>29</v>
      </c>
      <c r="N1" t="s">
        <v>30</v>
      </c>
      <c r="O1" t="s">
        <v>31</v>
      </c>
      <c r="P1" t="s">
        <v>32</v>
      </c>
      <c r="Q1" t="s">
        <v>33</v>
      </c>
      <c r="R1" t="s">
        <v>5034</v>
      </c>
      <c r="S1" t="s">
        <v>5311</v>
      </c>
      <c r="T1" t="s">
        <v>40</v>
      </c>
      <c r="U1" t="s">
        <v>5312</v>
      </c>
      <c r="V1" t="s">
        <v>5037</v>
      </c>
      <c r="W1" t="s">
        <v>5038</v>
      </c>
      <c r="X1" t="s">
        <v>5313</v>
      </c>
      <c r="Y1" t="s">
        <v>42</v>
      </c>
      <c r="Z1" t="s">
        <v>5314</v>
      </c>
      <c r="AA1" t="s">
        <v>45</v>
      </c>
      <c r="AB1" t="s">
        <v>5315</v>
      </c>
      <c r="AC1" t="s">
        <v>5316</v>
      </c>
      <c r="AD1" t="s">
        <v>5317</v>
      </c>
      <c r="AE1" t="s">
        <v>5318</v>
      </c>
      <c r="AF1" t="s">
        <v>5319</v>
      </c>
      <c r="AG1" t="s">
        <v>5320</v>
      </c>
    </row>
    <row r="2" spans="1:33">
      <c r="B2" t="s">
        <v>52</v>
      </c>
      <c r="C2" t="s">
        <v>5321</v>
      </c>
      <c r="D2" t="s">
        <v>5322</v>
      </c>
      <c r="E2" t="s">
        <v>5323</v>
      </c>
      <c r="F2" s="1">
        <v>46072</v>
      </c>
      <c r="G2" t="s">
        <v>5324</v>
      </c>
      <c r="H2" t="s">
        <v>5325</v>
      </c>
      <c r="I2" s="1">
        <v>46072</v>
      </c>
      <c r="J2" t="s">
        <v>5326</v>
      </c>
      <c r="K2" t="s">
        <v>284</v>
      </c>
      <c r="L2" t="b">
        <v>0</v>
      </c>
      <c r="N2" t="s">
        <v>52</v>
      </c>
      <c r="O2" t="s">
        <v>5327</v>
      </c>
      <c r="P2" t="s">
        <v>5328</v>
      </c>
      <c r="Q2" t="s">
        <v>5328</v>
      </c>
      <c r="R2" t="s">
        <v>5285</v>
      </c>
      <c r="S2" t="s">
        <v>5329</v>
      </c>
      <c r="T2" t="s">
        <v>5324</v>
      </c>
      <c r="U2" t="s">
        <v>5330</v>
      </c>
      <c r="V2" t="s">
        <v>52</v>
      </c>
      <c r="W2" t="s">
        <v>5331</v>
      </c>
      <c r="X2" t="s">
        <v>83</v>
      </c>
      <c r="Y2" t="s">
        <v>5332</v>
      </c>
      <c r="Z2">
        <v>10</v>
      </c>
      <c r="AA2" t="s">
        <v>5327</v>
      </c>
      <c r="AB2" t="s">
        <v>401</v>
      </c>
      <c r="AC2" t="str">
        <f>Inquiries[[#This Row],[Name]]&amp;"|"&amp;LOWER(TRIM(Inquiries[[#This Row],[Email__c]]))</f>
        <v>Malachi Carter|mcarter@yahoo.com</v>
      </c>
      <c r="AD2">
        <f>COUNTIF(Inquiries[Dup Key],Inquiries[[#This Row],[Dup Key]])</f>
        <v>1</v>
      </c>
      <c r="AE2">
        <f>IF(Inquiries[[#This Row],[First_Response_Date__c]]="","",Inquiries[[#This Row],[First_Response_Date__c]]-Inquiries[[#This Row],[Inquiry_Date__c]])</f>
        <v>0</v>
      </c>
      <c r="AF2" s="6" t="str">
        <f>TEXT(Inquiries[[#This Row],[Inquiry_Date__c]], "yyyy-mm")</f>
        <v>2026-02</v>
      </c>
      <c r="AG2" s="6" t="str">
        <f>_xlfn.XLOOKUP(Inquiries[[#This Row],[Requested_Location__c]], Locations[Location Id], Locations[Location Name])</f>
        <v>Brick</v>
      </c>
    </row>
    <row r="3" spans="1:33">
      <c r="B3" t="s">
        <v>52</v>
      </c>
      <c r="C3" t="s">
        <v>5321</v>
      </c>
      <c r="D3" t="s">
        <v>5333</v>
      </c>
      <c r="E3" t="s">
        <v>5334</v>
      </c>
      <c r="F3" s="1">
        <v>46095</v>
      </c>
      <c r="G3" t="s">
        <v>5335</v>
      </c>
      <c r="H3" t="s">
        <v>5336</v>
      </c>
      <c r="I3" s="1">
        <v>46095</v>
      </c>
      <c r="J3" t="s">
        <v>5337</v>
      </c>
      <c r="K3" t="s">
        <v>527</v>
      </c>
      <c r="L3" t="b">
        <v>0</v>
      </c>
      <c r="N3" t="s">
        <v>52</v>
      </c>
      <c r="O3" t="s">
        <v>5327</v>
      </c>
      <c r="P3" t="s">
        <v>5338</v>
      </c>
      <c r="Q3" t="s">
        <v>5338</v>
      </c>
      <c r="R3" t="s">
        <v>5339</v>
      </c>
      <c r="S3" t="s">
        <v>5340</v>
      </c>
      <c r="T3" t="s">
        <v>5335</v>
      </c>
      <c r="U3" t="s">
        <v>5341</v>
      </c>
      <c r="V3" t="s">
        <v>52</v>
      </c>
      <c r="W3" t="s">
        <v>5342</v>
      </c>
      <c r="X3" t="s">
        <v>150</v>
      </c>
      <c r="Y3" t="s">
        <v>5343</v>
      </c>
      <c r="Z3">
        <v>44</v>
      </c>
      <c r="AA3" t="s">
        <v>5327</v>
      </c>
      <c r="AB3" t="s">
        <v>713</v>
      </c>
      <c r="AC3" t="str">
        <f>Inquiries[[#This Row],[Name]]&amp;"|"&amp;LOWER(TRIM(Inquiries[[#This Row],[Email__c]]))</f>
        <v>Ava Scott|avascott@gmail.com</v>
      </c>
      <c r="AD3">
        <f>COUNTIF(Inquiries[Dup Key],Inquiries[[#This Row],[Dup Key]])</f>
        <v>1</v>
      </c>
      <c r="AE3">
        <f>IF(Inquiries[[#This Row],[First_Response_Date__c]]="","",Inquiries[[#This Row],[First_Response_Date__c]]-Inquiries[[#This Row],[Inquiry_Date__c]])</f>
        <v>0</v>
      </c>
      <c r="AF3" s="6" t="str">
        <f>TEXT(Inquiries[[#This Row],[Inquiry_Date__c]], "yyyy-mm")</f>
        <v>2026-03</v>
      </c>
      <c r="AG3" s="6" t="str">
        <f>_xlfn.XLOOKUP(Inquiries[[#This Row],[Requested_Location__c]], Locations[Location Id], Locations[Location Name])</f>
        <v>Toms River</v>
      </c>
    </row>
    <row r="4" spans="1:33">
      <c r="B4" t="s">
        <v>52</v>
      </c>
      <c r="C4" t="s">
        <v>5321</v>
      </c>
      <c r="D4" t="s">
        <v>5344</v>
      </c>
      <c r="E4" t="s">
        <v>5345</v>
      </c>
      <c r="F4" s="1">
        <v>46107</v>
      </c>
      <c r="G4" t="s">
        <v>5346</v>
      </c>
      <c r="H4" t="s">
        <v>5347</v>
      </c>
      <c r="I4" s="1">
        <v>46102</v>
      </c>
      <c r="J4" t="s">
        <v>5348</v>
      </c>
      <c r="K4" t="s">
        <v>392</v>
      </c>
      <c r="L4" t="b">
        <v>0</v>
      </c>
      <c r="N4" t="s">
        <v>52</v>
      </c>
      <c r="O4" t="s">
        <v>5327</v>
      </c>
      <c r="R4" t="s">
        <v>5349</v>
      </c>
      <c r="S4" t="s">
        <v>5350</v>
      </c>
      <c r="T4" t="s">
        <v>5346</v>
      </c>
      <c r="U4" t="s">
        <v>5351</v>
      </c>
      <c r="V4" t="s">
        <v>52</v>
      </c>
      <c r="W4" t="s">
        <v>5352</v>
      </c>
      <c r="X4" t="s">
        <v>83</v>
      </c>
      <c r="Y4" t="s">
        <v>5332</v>
      </c>
      <c r="Z4">
        <v>10</v>
      </c>
      <c r="AA4" t="s">
        <v>5327</v>
      </c>
      <c r="AB4" t="s">
        <v>261</v>
      </c>
      <c r="AC4" t="str">
        <f>Inquiries[[#This Row],[Name]]&amp;"|"&amp;LOWER(TRIM(Inquiries[[#This Row],[Email__c]]))</f>
        <v>Owen Adams|owenadams@gmail.com</v>
      </c>
      <c r="AD4">
        <f>COUNTIF(Inquiries[Dup Key],Inquiries[[#This Row],[Dup Key]])</f>
        <v>1</v>
      </c>
      <c r="AE4">
        <f>IF(Inquiries[[#This Row],[First_Response_Date__c]]="","",Inquiries[[#This Row],[First_Response_Date__c]]-Inquiries[[#This Row],[Inquiry_Date__c]])</f>
        <v>5</v>
      </c>
      <c r="AF4" s="6" t="str">
        <f>TEXT(Inquiries[[#This Row],[Inquiry_Date__c]], "yyyy-mm")</f>
        <v>2026-03</v>
      </c>
      <c r="AG4" s="6" t="str">
        <f>_xlfn.XLOOKUP(Inquiries[[#This Row],[Requested_Location__c]], Locations[Location Id], Locations[Location Name])</f>
        <v>Brick</v>
      </c>
    </row>
    <row r="5" spans="1:33">
      <c r="B5" t="s">
        <v>52</v>
      </c>
      <c r="C5" t="s">
        <v>5321</v>
      </c>
      <c r="D5" t="s">
        <v>5353</v>
      </c>
      <c r="E5" t="s">
        <v>5354</v>
      </c>
      <c r="F5" s="1">
        <v>46260</v>
      </c>
      <c r="G5" t="s">
        <v>5355</v>
      </c>
      <c r="H5" t="s">
        <v>5356</v>
      </c>
      <c r="I5" s="1">
        <v>46260</v>
      </c>
      <c r="J5" t="s">
        <v>5357</v>
      </c>
      <c r="K5" t="s">
        <v>107</v>
      </c>
      <c r="L5" t="b">
        <v>0</v>
      </c>
      <c r="N5" t="s">
        <v>52</v>
      </c>
      <c r="O5" t="s">
        <v>5327</v>
      </c>
      <c r="R5" t="s">
        <v>5128</v>
      </c>
      <c r="S5" t="s">
        <v>5358</v>
      </c>
      <c r="T5" t="s">
        <v>5355</v>
      </c>
      <c r="U5" t="s">
        <v>5341</v>
      </c>
      <c r="V5" t="s">
        <v>52</v>
      </c>
      <c r="W5" t="s">
        <v>5359</v>
      </c>
      <c r="X5" t="s">
        <v>83</v>
      </c>
      <c r="Y5" t="s">
        <v>5360</v>
      </c>
      <c r="Z5">
        <v>55</v>
      </c>
      <c r="AA5" t="s">
        <v>5327</v>
      </c>
      <c r="AB5" t="s">
        <v>436</v>
      </c>
      <c r="AC5" t="str">
        <f>Inquiries[[#This Row],[Name]]&amp;"|"&amp;LOWER(TRIM(Inquiries[[#This Row],[Email__c]]))</f>
        <v>Isaac Silva|isaacsilva88@gmail.com</v>
      </c>
      <c r="AD5">
        <f>COUNTIF(Inquiries[Dup Key],Inquiries[[#This Row],[Dup Key]])</f>
        <v>1</v>
      </c>
      <c r="AE5">
        <f>IF(Inquiries[[#This Row],[First_Response_Date__c]]="","",Inquiries[[#This Row],[First_Response_Date__c]]-Inquiries[[#This Row],[Inquiry_Date__c]])</f>
        <v>0</v>
      </c>
      <c r="AF5" s="6" t="str">
        <f>TEXT(Inquiries[[#This Row],[Inquiry_Date__c]], "yyyy-mm")</f>
        <v>2026-08</v>
      </c>
      <c r="AG5" s="6" t="str">
        <f>_xlfn.XLOOKUP(Inquiries[[#This Row],[Requested_Location__c]], Locations[Location Id], Locations[Location Name])</f>
        <v>Brick</v>
      </c>
    </row>
    <row r="6" spans="1:33">
      <c r="B6" t="s">
        <v>52</v>
      </c>
      <c r="C6" t="s">
        <v>5321</v>
      </c>
      <c r="D6" t="s">
        <v>5361</v>
      </c>
      <c r="E6" t="s">
        <v>5275</v>
      </c>
      <c r="G6" t="s">
        <v>5362</v>
      </c>
      <c r="H6" t="s">
        <v>5363</v>
      </c>
      <c r="I6" s="1">
        <v>46090</v>
      </c>
      <c r="J6" t="s">
        <v>5364</v>
      </c>
      <c r="K6" t="s">
        <v>392</v>
      </c>
      <c r="L6" t="b">
        <v>0</v>
      </c>
      <c r="N6" t="s">
        <v>52</v>
      </c>
      <c r="O6" t="s">
        <v>5327</v>
      </c>
      <c r="P6" t="s">
        <v>5365</v>
      </c>
      <c r="Q6" t="s">
        <v>5365</v>
      </c>
      <c r="R6" t="s">
        <v>5366</v>
      </c>
      <c r="S6" t="s">
        <v>5329</v>
      </c>
      <c r="T6" t="s">
        <v>5362</v>
      </c>
      <c r="U6" t="s">
        <v>5351</v>
      </c>
      <c r="V6" t="s">
        <v>52</v>
      </c>
      <c r="W6" t="s">
        <v>5367</v>
      </c>
      <c r="X6" t="s">
        <v>63</v>
      </c>
      <c r="Y6" t="s">
        <v>5368</v>
      </c>
      <c r="Z6">
        <v>8</v>
      </c>
      <c r="AA6" t="s">
        <v>5327</v>
      </c>
      <c r="AC6" t="str">
        <f>Inquiries[[#This Row],[Name]]&amp;"|"&amp;LOWER(TRIM(Inquiries[[#This Row],[Email__c]]))</f>
        <v>Sofia Thompson|sofia.thompson@icloud.com</v>
      </c>
      <c r="AD6">
        <f>COUNTIF(Inquiries[Dup Key],Inquiries[[#This Row],[Dup Key]])</f>
        <v>1</v>
      </c>
      <c r="AE6" t="str">
        <f>IF(Inquiries[[#This Row],[First_Response_Date__c]]="","",Inquiries[[#This Row],[First_Response_Date__c]]-Inquiries[[#This Row],[Inquiry_Date__c]])</f>
        <v/>
      </c>
      <c r="AF6" s="6" t="str">
        <f>TEXT(Inquiries[[#This Row],[Inquiry_Date__c]], "yyyy-mm")</f>
        <v>2026-03</v>
      </c>
      <c r="AG6" s="6" t="str">
        <f>_xlfn.XLOOKUP(Inquiries[[#This Row],[Requested_Location__c]], Locations[Location Id], Locations[Location Name])</f>
        <v>Red Bank</v>
      </c>
    </row>
    <row r="7" spans="1:33">
      <c r="B7" t="s">
        <v>52</v>
      </c>
      <c r="C7" t="s">
        <v>5321</v>
      </c>
      <c r="D7" t="s">
        <v>5369</v>
      </c>
      <c r="E7" t="s">
        <v>5370</v>
      </c>
      <c r="F7" s="1">
        <v>46066</v>
      </c>
      <c r="G7" t="s">
        <v>5371</v>
      </c>
      <c r="H7" t="s">
        <v>5372</v>
      </c>
      <c r="I7" s="1">
        <v>46066</v>
      </c>
      <c r="J7" t="s">
        <v>5373</v>
      </c>
      <c r="K7" t="s">
        <v>58</v>
      </c>
      <c r="L7" t="b">
        <v>0</v>
      </c>
      <c r="N7" t="s">
        <v>52</v>
      </c>
      <c r="O7" t="s">
        <v>5327</v>
      </c>
      <c r="R7" t="s">
        <v>5077</v>
      </c>
      <c r="S7" t="s">
        <v>5350</v>
      </c>
      <c r="T7" t="s">
        <v>5371</v>
      </c>
      <c r="U7" t="s">
        <v>5351</v>
      </c>
      <c r="V7" t="s">
        <v>52</v>
      </c>
      <c r="W7" t="s">
        <v>5374</v>
      </c>
      <c r="X7" t="s">
        <v>83</v>
      </c>
      <c r="Y7" t="s">
        <v>5343</v>
      </c>
      <c r="Z7">
        <v>10</v>
      </c>
      <c r="AA7" t="s">
        <v>5327</v>
      </c>
      <c r="AB7" t="s">
        <v>503</v>
      </c>
      <c r="AC7" t="str">
        <f>Inquiries[[#This Row],[Name]]&amp;"|"&amp;LOWER(TRIM(Inquiries[[#This Row],[Email__c]]))</f>
        <v>Julian Torres|jtorres@icloud.com</v>
      </c>
      <c r="AD7">
        <f>COUNTIF(Inquiries[Dup Key],Inquiries[[#This Row],[Dup Key]])</f>
        <v>1</v>
      </c>
      <c r="AE7">
        <f>IF(Inquiries[[#This Row],[First_Response_Date__c]]="","",Inquiries[[#This Row],[First_Response_Date__c]]-Inquiries[[#This Row],[Inquiry_Date__c]])</f>
        <v>0</v>
      </c>
      <c r="AF7" s="6" t="str">
        <f>TEXT(Inquiries[[#This Row],[Inquiry_Date__c]], "yyyy-mm")</f>
        <v>2026-02</v>
      </c>
      <c r="AG7" s="6" t="str">
        <f>_xlfn.XLOOKUP(Inquiries[[#This Row],[Requested_Location__c]], Locations[Location Id], Locations[Location Name])</f>
        <v>Brick</v>
      </c>
    </row>
    <row r="8" spans="1:33">
      <c r="B8" t="s">
        <v>52</v>
      </c>
      <c r="C8" t="s">
        <v>5321</v>
      </c>
      <c r="E8" t="s">
        <v>5146</v>
      </c>
      <c r="F8" s="1">
        <v>46193</v>
      </c>
      <c r="G8" t="s">
        <v>5375</v>
      </c>
      <c r="H8" t="s">
        <v>5376</v>
      </c>
      <c r="I8" s="1">
        <v>46193</v>
      </c>
      <c r="J8" t="s">
        <v>5377</v>
      </c>
      <c r="K8" t="s">
        <v>203</v>
      </c>
      <c r="L8" t="b">
        <v>0</v>
      </c>
      <c r="N8" t="s">
        <v>52</v>
      </c>
      <c r="O8" t="s">
        <v>5327</v>
      </c>
      <c r="R8" t="s">
        <v>5378</v>
      </c>
      <c r="S8" t="s">
        <v>5329</v>
      </c>
      <c r="T8" t="s">
        <v>5375</v>
      </c>
      <c r="V8" t="s">
        <v>52</v>
      </c>
      <c r="X8" t="s">
        <v>83</v>
      </c>
      <c r="Y8" t="s">
        <v>5343</v>
      </c>
      <c r="Z8">
        <v>8</v>
      </c>
      <c r="AA8" t="s">
        <v>5327</v>
      </c>
      <c r="AB8" t="s">
        <v>282</v>
      </c>
      <c r="AC8" t="str">
        <f>Inquiries[[#This Row],[Name]]&amp;"|"&amp;LOWER(TRIM(Inquiries[[#This Row],[Email__c]]))</f>
        <v>Caroline Martin|</v>
      </c>
      <c r="AD8">
        <f>COUNTIF(Inquiries[Dup Key],Inquiries[[#This Row],[Dup Key]])</f>
        <v>1</v>
      </c>
      <c r="AE8">
        <f>IF(Inquiries[[#This Row],[First_Response_Date__c]]="","",Inquiries[[#This Row],[First_Response_Date__c]]-Inquiries[[#This Row],[Inquiry_Date__c]])</f>
        <v>0</v>
      </c>
      <c r="AF8" s="6" t="str">
        <f>TEXT(Inquiries[[#This Row],[Inquiry_Date__c]], "yyyy-mm")</f>
        <v>2026-06</v>
      </c>
      <c r="AG8" s="6" t="str">
        <f>_xlfn.XLOOKUP(Inquiries[[#This Row],[Requested_Location__c]], Locations[Location Id], Locations[Location Name])</f>
        <v>Brick</v>
      </c>
    </row>
    <row r="9" spans="1:33">
      <c r="B9" t="s">
        <v>52</v>
      </c>
      <c r="C9" t="s">
        <v>5321</v>
      </c>
      <c r="D9" t="s">
        <v>5379</v>
      </c>
      <c r="E9" t="s">
        <v>5380</v>
      </c>
      <c r="F9" s="1">
        <v>46162</v>
      </c>
      <c r="G9" t="s">
        <v>5381</v>
      </c>
      <c r="H9" t="s">
        <v>5382</v>
      </c>
      <c r="I9" s="1">
        <v>46162</v>
      </c>
      <c r="J9" t="s">
        <v>5383</v>
      </c>
      <c r="K9" t="s">
        <v>527</v>
      </c>
      <c r="L9" t="b">
        <v>0</v>
      </c>
      <c r="N9" t="s">
        <v>52</v>
      </c>
      <c r="O9" t="s">
        <v>5327</v>
      </c>
      <c r="R9" t="s">
        <v>5384</v>
      </c>
      <c r="S9" t="s">
        <v>5358</v>
      </c>
      <c r="T9" t="s">
        <v>5381</v>
      </c>
      <c r="U9" t="s">
        <v>5385</v>
      </c>
      <c r="V9" t="s">
        <v>52</v>
      </c>
      <c r="W9" t="s">
        <v>5386</v>
      </c>
      <c r="X9" t="s">
        <v>83</v>
      </c>
      <c r="Y9" t="s">
        <v>5332</v>
      </c>
      <c r="Z9">
        <v>12</v>
      </c>
      <c r="AA9" t="s">
        <v>5327</v>
      </c>
      <c r="AB9" t="s">
        <v>318</v>
      </c>
      <c r="AC9" t="str">
        <f>Inquiries[[#This Row],[Name]]&amp;"|"&amp;LOWER(TRIM(Inquiries[[#This Row],[Email__c]]))</f>
        <v>Paisley Walker|paisleywalker37@gmail.com</v>
      </c>
      <c r="AD9">
        <f>COUNTIF(Inquiries[Dup Key],Inquiries[[#This Row],[Dup Key]])</f>
        <v>1</v>
      </c>
      <c r="AE9">
        <f>IF(Inquiries[[#This Row],[First_Response_Date__c]]="","",Inquiries[[#This Row],[First_Response_Date__c]]-Inquiries[[#This Row],[Inquiry_Date__c]])</f>
        <v>0</v>
      </c>
      <c r="AF9" s="6" t="str">
        <f>TEXT(Inquiries[[#This Row],[Inquiry_Date__c]], "yyyy-mm")</f>
        <v>2026-05</v>
      </c>
      <c r="AG9" s="6" t="str">
        <f>_xlfn.XLOOKUP(Inquiries[[#This Row],[Requested_Location__c]], Locations[Location Id], Locations[Location Name])</f>
        <v>Brick</v>
      </c>
    </row>
    <row r="10" spans="1:33">
      <c r="B10" t="s">
        <v>52</v>
      </c>
      <c r="C10" t="s">
        <v>5321</v>
      </c>
      <c r="D10" t="s">
        <v>5387</v>
      </c>
      <c r="E10" t="s">
        <v>5388</v>
      </c>
      <c r="F10" s="1">
        <v>46221</v>
      </c>
      <c r="G10" t="s">
        <v>5389</v>
      </c>
      <c r="H10" t="s">
        <v>5390</v>
      </c>
      <c r="I10" s="1">
        <v>46221</v>
      </c>
      <c r="J10" t="s">
        <v>5391</v>
      </c>
      <c r="K10" t="s">
        <v>147</v>
      </c>
      <c r="L10" t="b">
        <v>0</v>
      </c>
      <c r="N10" t="s">
        <v>52</v>
      </c>
      <c r="O10" t="s">
        <v>5327</v>
      </c>
      <c r="R10" t="s">
        <v>5392</v>
      </c>
      <c r="S10" t="s">
        <v>5393</v>
      </c>
      <c r="T10" t="s">
        <v>5389</v>
      </c>
      <c r="U10" t="s">
        <v>5351</v>
      </c>
      <c r="V10" t="s">
        <v>52</v>
      </c>
      <c r="W10" t="s">
        <v>5394</v>
      </c>
      <c r="X10" t="s">
        <v>83</v>
      </c>
      <c r="Y10" t="s">
        <v>5343</v>
      </c>
      <c r="Z10">
        <v>12</v>
      </c>
      <c r="AA10" t="s">
        <v>5327</v>
      </c>
      <c r="AB10" t="s">
        <v>1203</v>
      </c>
      <c r="AC10" t="str">
        <f>Inquiries[[#This Row],[Name]]&amp;"|"&amp;LOWER(TRIM(Inquiries[[#This Row],[Email__c]]))</f>
        <v>Ruby Anderson|rubyanderson69@hotmail.com</v>
      </c>
      <c r="AD10">
        <f>COUNTIF(Inquiries[Dup Key],Inquiries[[#This Row],[Dup Key]])</f>
        <v>1</v>
      </c>
      <c r="AE10">
        <f>IF(Inquiries[[#This Row],[First_Response_Date__c]]="","",Inquiries[[#This Row],[First_Response_Date__c]]-Inquiries[[#This Row],[Inquiry_Date__c]])</f>
        <v>0</v>
      </c>
      <c r="AF10" s="6" t="str">
        <f>TEXT(Inquiries[[#This Row],[Inquiry_Date__c]], "yyyy-mm")</f>
        <v>2026-07</v>
      </c>
      <c r="AG10" s="6" t="str">
        <f>_xlfn.XLOOKUP(Inquiries[[#This Row],[Requested_Location__c]], Locations[Location Id], Locations[Location Name])</f>
        <v>Brick</v>
      </c>
    </row>
    <row r="11" spans="1:33">
      <c r="B11" t="s">
        <v>52</v>
      </c>
      <c r="C11" t="s">
        <v>5321</v>
      </c>
      <c r="D11" t="s">
        <v>5395</v>
      </c>
      <c r="E11" t="s">
        <v>5396</v>
      </c>
      <c r="F11" s="1">
        <v>46102</v>
      </c>
      <c r="G11" t="s">
        <v>5397</v>
      </c>
      <c r="H11" t="s">
        <v>5398</v>
      </c>
      <c r="I11" s="1">
        <v>46101</v>
      </c>
      <c r="J11" t="s">
        <v>5399</v>
      </c>
      <c r="K11" t="s">
        <v>650</v>
      </c>
      <c r="L11" t="b">
        <v>0</v>
      </c>
      <c r="N11" t="s">
        <v>52</v>
      </c>
      <c r="O11" t="s">
        <v>5327</v>
      </c>
      <c r="R11" t="s">
        <v>5179</v>
      </c>
      <c r="S11" t="s">
        <v>5400</v>
      </c>
      <c r="T11" t="s">
        <v>5397</v>
      </c>
      <c r="V11" t="s">
        <v>52</v>
      </c>
      <c r="W11" t="s">
        <v>5401</v>
      </c>
      <c r="X11" t="s">
        <v>63</v>
      </c>
      <c r="Y11" t="s">
        <v>5332</v>
      </c>
      <c r="Z11">
        <v>16</v>
      </c>
      <c r="AA11" t="s">
        <v>5327</v>
      </c>
      <c r="AB11" t="s">
        <v>923</v>
      </c>
      <c r="AC11" t="str">
        <f>Inquiries[[#This Row],[Name]]&amp;"|"&amp;LOWER(TRIM(Inquiries[[#This Row],[Email__c]]))</f>
        <v>Santiago Moore|smoore@icloud.com</v>
      </c>
      <c r="AD11">
        <f>COUNTIF(Inquiries[Dup Key],Inquiries[[#This Row],[Dup Key]])</f>
        <v>1</v>
      </c>
      <c r="AE11">
        <f>IF(Inquiries[[#This Row],[First_Response_Date__c]]="","",Inquiries[[#This Row],[First_Response_Date__c]]-Inquiries[[#This Row],[Inquiry_Date__c]])</f>
        <v>1</v>
      </c>
      <c r="AF11" s="6" t="str">
        <f>TEXT(Inquiries[[#This Row],[Inquiry_Date__c]], "yyyy-mm")</f>
        <v>2026-03</v>
      </c>
      <c r="AG11" s="6" t="str">
        <f>_xlfn.XLOOKUP(Inquiries[[#This Row],[Requested_Location__c]], Locations[Location Id], Locations[Location Name])</f>
        <v>Red Bank</v>
      </c>
    </row>
    <row r="12" spans="1:33">
      <c r="B12" t="s">
        <v>52</v>
      </c>
      <c r="C12" t="s">
        <v>5321</v>
      </c>
      <c r="D12" t="s">
        <v>5402</v>
      </c>
      <c r="E12" t="s">
        <v>5275</v>
      </c>
      <c r="G12" t="s">
        <v>5403</v>
      </c>
      <c r="H12" t="s">
        <v>5404</v>
      </c>
      <c r="I12" s="1">
        <v>46199</v>
      </c>
      <c r="J12" t="s">
        <v>5405</v>
      </c>
      <c r="K12" t="s">
        <v>650</v>
      </c>
      <c r="L12" t="b">
        <v>0</v>
      </c>
      <c r="N12" t="s">
        <v>52</v>
      </c>
      <c r="O12" t="s">
        <v>5327</v>
      </c>
      <c r="R12" t="s">
        <v>5243</v>
      </c>
      <c r="S12" t="s">
        <v>5393</v>
      </c>
      <c r="T12" t="s">
        <v>5403</v>
      </c>
      <c r="V12" t="s">
        <v>52</v>
      </c>
      <c r="W12" t="s">
        <v>5406</v>
      </c>
      <c r="X12" t="s">
        <v>150</v>
      </c>
      <c r="Y12" t="s">
        <v>5368</v>
      </c>
      <c r="Z12">
        <v>8</v>
      </c>
      <c r="AA12" t="s">
        <v>5327</v>
      </c>
      <c r="AC12" t="str">
        <f>Inquiries[[#This Row],[Name]]&amp;"|"&amp;LOWER(TRIM(Inquiries[[#This Row],[Email__c]]))</f>
        <v>Sofia Jones|sofiajones56@gmail.com</v>
      </c>
      <c r="AD12">
        <f>COUNTIF(Inquiries[Dup Key],Inquiries[[#This Row],[Dup Key]])</f>
        <v>1</v>
      </c>
      <c r="AE12" t="str">
        <f>IF(Inquiries[[#This Row],[First_Response_Date__c]]="","",Inquiries[[#This Row],[First_Response_Date__c]]-Inquiries[[#This Row],[Inquiry_Date__c]])</f>
        <v/>
      </c>
      <c r="AF12" s="6" t="str">
        <f>TEXT(Inquiries[[#This Row],[Inquiry_Date__c]], "yyyy-mm")</f>
        <v>2026-06</v>
      </c>
      <c r="AG12" s="6" t="str">
        <f>_xlfn.XLOOKUP(Inquiries[[#This Row],[Requested_Location__c]], Locations[Location Id], Locations[Location Name])</f>
        <v>Toms River</v>
      </c>
    </row>
    <row r="13" spans="1:33">
      <c r="B13" t="s">
        <v>52</v>
      </c>
      <c r="C13" t="s">
        <v>5321</v>
      </c>
      <c r="D13" t="s">
        <v>5407</v>
      </c>
      <c r="E13" t="s">
        <v>5408</v>
      </c>
      <c r="F13" s="1">
        <v>46130</v>
      </c>
      <c r="G13" t="s">
        <v>5409</v>
      </c>
      <c r="H13" t="s">
        <v>5410</v>
      </c>
      <c r="I13" s="1">
        <v>46129</v>
      </c>
      <c r="J13" t="s">
        <v>5411</v>
      </c>
      <c r="K13" t="s">
        <v>263</v>
      </c>
      <c r="L13" t="b">
        <v>0</v>
      </c>
      <c r="N13" t="s">
        <v>52</v>
      </c>
      <c r="O13" t="s">
        <v>5327</v>
      </c>
      <c r="R13" t="s">
        <v>5378</v>
      </c>
      <c r="S13" t="s">
        <v>5358</v>
      </c>
      <c r="T13" t="s">
        <v>5409</v>
      </c>
      <c r="U13" t="s">
        <v>5341</v>
      </c>
      <c r="V13" t="s">
        <v>52</v>
      </c>
      <c r="W13" t="s">
        <v>5412</v>
      </c>
      <c r="X13" t="s">
        <v>83</v>
      </c>
      <c r="Y13" t="s">
        <v>5332</v>
      </c>
      <c r="Z13">
        <v>12</v>
      </c>
      <c r="AA13" t="s">
        <v>5327</v>
      </c>
      <c r="AB13" t="s">
        <v>862</v>
      </c>
      <c r="AC13" t="str">
        <f>Inquiries[[#This Row],[Name]]&amp;"|"&amp;LOWER(TRIM(Inquiries[[#This Row],[Email__c]]))</f>
        <v>Hazel Martin|hazel.martin@hotmail.com</v>
      </c>
      <c r="AD13">
        <f>COUNTIF(Inquiries[Dup Key],Inquiries[[#This Row],[Dup Key]])</f>
        <v>1</v>
      </c>
      <c r="AE13">
        <f>IF(Inquiries[[#This Row],[First_Response_Date__c]]="","",Inquiries[[#This Row],[First_Response_Date__c]]-Inquiries[[#This Row],[Inquiry_Date__c]])</f>
        <v>1</v>
      </c>
      <c r="AF13" s="6" t="str">
        <f>TEXT(Inquiries[[#This Row],[Inquiry_Date__c]], "yyyy-mm")</f>
        <v>2026-04</v>
      </c>
      <c r="AG13" s="6" t="str">
        <f>_xlfn.XLOOKUP(Inquiries[[#This Row],[Requested_Location__c]], Locations[Location Id], Locations[Location Name])</f>
        <v>Brick</v>
      </c>
    </row>
    <row r="14" spans="1:33">
      <c r="B14" t="s">
        <v>52</v>
      </c>
      <c r="C14" t="s">
        <v>5321</v>
      </c>
      <c r="D14" t="s">
        <v>5413</v>
      </c>
      <c r="E14" t="s">
        <v>5414</v>
      </c>
      <c r="G14" t="s">
        <v>5415</v>
      </c>
      <c r="H14" t="s">
        <v>5416</v>
      </c>
      <c r="I14" s="1">
        <v>46214</v>
      </c>
      <c r="J14" t="s">
        <v>5417</v>
      </c>
      <c r="K14" t="s">
        <v>263</v>
      </c>
      <c r="L14" t="b">
        <v>0</v>
      </c>
      <c r="N14" t="s">
        <v>52</v>
      </c>
      <c r="O14" t="s">
        <v>5327</v>
      </c>
      <c r="R14" t="s">
        <v>5106</v>
      </c>
      <c r="S14" t="s">
        <v>5340</v>
      </c>
      <c r="T14" t="s">
        <v>5415</v>
      </c>
      <c r="U14" t="s">
        <v>5351</v>
      </c>
      <c r="V14" t="s">
        <v>52</v>
      </c>
      <c r="W14" t="s">
        <v>5418</v>
      </c>
      <c r="X14" t="s">
        <v>83</v>
      </c>
      <c r="Y14" t="s">
        <v>5368</v>
      </c>
      <c r="Z14">
        <v>8</v>
      </c>
      <c r="AA14" t="s">
        <v>5327</v>
      </c>
      <c r="AC14" t="str">
        <f>Inquiries[[#This Row],[Name]]&amp;"|"&amp;LOWER(TRIM(Inquiries[[#This Row],[Email__c]]))</f>
        <v>Rohan Nakamura|rohannakamura@yahoo.com</v>
      </c>
      <c r="AD14">
        <f>COUNTIF(Inquiries[Dup Key],Inquiries[[#This Row],[Dup Key]])</f>
        <v>1</v>
      </c>
      <c r="AE14" t="str">
        <f>IF(Inquiries[[#This Row],[First_Response_Date__c]]="","",Inquiries[[#This Row],[First_Response_Date__c]]-Inquiries[[#This Row],[Inquiry_Date__c]])</f>
        <v/>
      </c>
      <c r="AF14" s="6" t="str">
        <f>TEXT(Inquiries[[#This Row],[Inquiry_Date__c]], "yyyy-mm")</f>
        <v>2026-07</v>
      </c>
      <c r="AG14" s="6" t="str">
        <f>_xlfn.XLOOKUP(Inquiries[[#This Row],[Requested_Location__c]], Locations[Location Id], Locations[Location Name])</f>
        <v>Brick</v>
      </c>
    </row>
    <row r="15" spans="1:33">
      <c r="B15" t="s">
        <v>52</v>
      </c>
      <c r="C15" t="s">
        <v>5321</v>
      </c>
      <c r="D15" t="s">
        <v>5419</v>
      </c>
      <c r="E15" t="s">
        <v>5420</v>
      </c>
      <c r="F15" s="1">
        <v>46154</v>
      </c>
      <c r="G15" t="s">
        <v>5421</v>
      </c>
      <c r="H15" t="s">
        <v>5422</v>
      </c>
      <c r="I15" s="1">
        <v>46154</v>
      </c>
      <c r="J15" t="s">
        <v>5423</v>
      </c>
      <c r="K15" t="s">
        <v>461</v>
      </c>
      <c r="L15" t="b">
        <v>0</v>
      </c>
      <c r="N15" t="s">
        <v>52</v>
      </c>
      <c r="O15" t="s">
        <v>5327</v>
      </c>
      <c r="R15" t="s">
        <v>5392</v>
      </c>
      <c r="S15" t="s">
        <v>5340</v>
      </c>
      <c r="T15" t="s">
        <v>5421</v>
      </c>
      <c r="V15" t="s">
        <v>52</v>
      </c>
      <c r="W15" t="s">
        <v>5424</v>
      </c>
      <c r="X15" t="s">
        <v>150</v>
      </c>
      <c r="Y15" t="s">
        <v>5343</v>
      </c>
      <c r="Z15">
        <v>8</v>
      </c>
      <c r="AA15" t="s">
        <v>5327</v>
      </c>
      <c r="AB15" t="s">
        <v>617</v>
      </c>
      <c r="AC15" t="str">
        <f>Inquiries[[#This Row],[Name]]&amp;"|"&amp;LOWER(TRIM(Inquiries[[#This Row],[Email__c]]))</f>
        <v>Jonah Anderson|janderson@outlook.com</v>
      </c>
      <c r="AD15">
        <f>COUNTIF(Inquiries[Dup Key],Inquiries[[#This Row],[Dup Key]])</f>
        <v>1</v>
      </c>
      <c r="AE15">
        <f>IF(Inquiries[[#This Row],[First_Response_Date__c]]="","",Inquiries[[#This Row],[First_Response_Date__c]]-Inquiries[[#This Row],[Inquiry_Date__c]])</f>
        <v>0</v>
      </c>
      <c r="AF15" s="6" t="str">
        <f>TEXT(Inquiries[[#This Row],[Inquiry_Date__c]], "yyyy-mm")</f>
        <v>2026-05</v>
      </c>
      <c r="AG15" s="6" t="str">
        <f>_xlfn.XLOOKUP(Inquiries[[#This Row],[Requested_Location__c]], Locations[Location Id], Locations[Location Name])</f>
        <v>Toms River</v>
      </c>
    </row>
    <row r="16" spans="1:33">
      <c r="B16" t="s">
        <v>52</v>
      </c>
      <c r="C16" t="s">
        <v>5321</v>
      </c>
      <c r="D16" t="s">
        <v>5425</v>
      </c>
      <c r="E16" t="s">
        <v>5047</v>
      </c>
      <c r="F16" s="1">
        <v>46126</v>
      </c>
      <c r="G16" t="s">
        <v>5426</v>
      </c>
      <c r="H16" t="s">
        <v>5427</v>
      </c>
      <c r="I16" s="1">
        <v>46126</v>
      </c>
      <c r="J16" t="s">
        <v>5428</v>
      </c>
      <c r="K16" t="s">
        <v>237</v>
      </c>
      <c r="L16" t="b">
        <v>0</v>
      </c>
      <c r="N16" t="s">
        <v>52</v>
      </c>
      <c r="O16" t="s">
        <v>5327</v>
      </c>
      <c r="R16" t="s">
        <v>5155</v>
      </c>
      <c r="S16" t="s">
        <v>5329</v>
      </c>
      <c r="T16" t="s">
        <v>5426</v>
      </c>
      <c r="U16" t="s">
        <v>5351</v>
      </c>
      <c r="V16" t="s">
        <v>52</v>
      </c>
      <c r="W16" t="s">
        <v>5429</v>
      </c>
      <c r="X16" t="s">
        <v>63</v>
      </c>
      <c r="Y16" t="s">
        <v>5332</v>
      </c>
      <c r="Z16">
        <v>28</v>
      </c>
      <c r="AA16" t="s">
        <v>5327</v>
      </c>
      <c r="AB16" t="s">
        <v>89</v>
      </c>
      <c r="AC16" t="str">
        <f>Inquiries[[#This Row],[Name]]&amp;"|"&amp;LOWER(TRIM(Inquiries[[#This Row],[Email__c]]))</f>
        <v>Zoey Hill|zoeyhill79@icloud.com</v>
      </c>
      <c r="AD16">
        <f>COUNTIF(Inquiries[Dup Key],Inquiries[[#This Row],[Dup Key]])</f>
        <v>1</v>
      </c>
      <c r="AE16">
        <f>IF(Inquiries[[#This Row],[First_Response_Date__c]]="","",Inquiries[[#This Row],[First_Response_Date__c]]-Inquiries[[#This Row],[Inquiry_Date__c]])</f>
        <v>0</v>
      </c>
      <c r="AF16" s="6" t="str">
        <f>TEXT(Inquiries[[#This Row],[Inquiry_Date__c]], "yyyy-mm")</f>
        <v>2026-04</v>
      </c>
      <c r="AG16" s="6" t="str">
        <f>_xlfn.XLOOKUP(Inquiries[[#This Row],[Requested_Location__c]], Locations[Location Id], Locations[Location Name])</f>
        <v>Red Bank</v>
      </c>
    </row>
    <row r="17" spans="2:33">
      <c r="B17" t="s">
        <v>52</v>
      </c>
      <c r="C17" t="s">
        <v>5321</v>
      </c>
      <c r="D17" t="s">
        <v>5430</v>
      </c>
      <c r="E17" t="s">
        <v>5431</v>
      </c>
      <c r="F17" s="1">
        <v>46102</v>
      </c>
      <c r="G17" t="s">
        <v>5432</v>
      </c>
      <c r="H17" t="s">
        <v>5433</v>
      </c>
      <c r="I17" s="1">
        <v>46097</v>
      </c>
      <c r="J17" t="s">
        <v>5434</v>
      </c>
      <c r="K17" t="s">
        <v>147</v>
      </c>
      <c r="L17" t="b">
        <v>0</v>
      </c>
      <c r="N17" t="s">
        <v>52</v>
      </c>
      <c r="O17" t="s">
        <v>5327</v>
      </c>
      <c r="R17" t="s">
        <v>5349</v>
      </c>
      <c r="S17" t="s">
        <v>5435</v>
      </c>
      <c r="T17" t="s">
        <v>5432</v>
      </c>
      <c r="U17" t="s">
        <v>5341</v>
      </c>
      <c r="V17" t="s">
        <v>52</v>
      </c>
      <c r="W17" t="s">
        <v>5436</v>
      </c>
      <c r="X17" t="s">
        <v>150</v>
      </c>
      <c r="Y17" t="s">
        <v>5360</v>
      </c>
      <c r="Z17">
        <v>12</v>
      </c>
      <c r="AA17" t="s">
        <v>5327</v>
      </c>
      <c r="AB17" t="s">
        <v>431</v>
      </c>
      <c r="AC17" t="str">
        <f>Inquiries[[#This Row],[Name]]&amp;"|"&amp;LOWER(TRIM(Inquiries[[#This Row],[Email__c]]))</f>
        <v>Naomi Adams|naomiadams@gmail.com</v>
      </c>
      <c r="AD17">
        <f>COUNTIF(Inquiries[Dup Key],Inquiries[[#This Row],[Dup Key]])</f>
        <v>1</v>
      </c>
      <c r="AE17">
        <f>IF(Inquiries[[#This Row],[First_Response_Date__c]]="","",Inquiries[[#This Row],[First_Response_Date__c]]-Inquiries[[#This Row],[Inquiry_Date__c]])</f>
        <v>5</v>
      </c>
      <c r="AF17" s="6" t="str">
        <f>TEXT(Inquiries[[#This Row],[Inquiry_Date__c]], "yyyy-mm")</f>
        <v>2026-03</v>
      </c>
      <c r="AG17" s="6" t="str">
        <f>_xlfn.XLOOKUP(Inquiries[[#This Row],[Requested_Location__c]], Locations[Location Id], Locations[Location Name])</f>
        <v>Toms River</v>
      </c>
    </row>
    <row r="18" spans="2:33">
      <c r="B18" t="s">
        <v>52</v>
      </c>
      <c r="C18" t="s">
        <v>5321</v>
      </c>
      <c r="D18" t="s">
        <v>5437</v>
      </c>
      <c r="E18" t="s">
        <v>5345</v>
      </c>
      <c r="F18" s="1">
        <v>46070</v>
      </c>
      <c r="G18" t="s">
        <v>5438</v>
      </c>
      <c r="H18" t="s">
        <v>5439</v>
      </c>
      <c r="I18" s="1">
        <v>46067</v>
      </c>
      <c r="J18" t="s">
        <v>5440</v>
      </c>
      <c r="K18" t="s">
        <v>284</v>
      </c>
      <c r="L18" t="b">
        <v>0</v>
      </c>
      <c r="N18" t="s">
        <v>52</v>
      </c>
      <c r="O18" t="s">
        <v>5327</v>
      </c>
      <c r="R18" t="s">
        <v>5441</v>
      </c>
      <c r="S18" t="s">
        <v>5350</v>
      </c>
      <c r="T18" t="s">
        <v>5438</v>
      </c>
      <c r="U18" t="s">
        <v>5341</v>
      </c>
      <c r="V18" t="s">
        <v>52</v>
      </c>
      <c r="W18" t="s">
        <v>5442</v>
      </c>
      <c r="X18" t="s">
        <v>150</v>
      </c>
      <c r="Y18" t="s">
        <v>5360</v>
      </c>
      <c r="Z18">
        <v>12</v>
      </c>
      <c r="AA18" t="s">
        <v>5327</v>
      </c>
      <c r="AB18" t="s">
        <v>436</v>
      </c>
      <c r="AC18" t="str">
        <f>Inquiries[[#This Row],[Name]]&amp;"|"&amp;LOWER(TRIM(Inquiries[[#This Row],[Email__c]]))</f>
        <v>Owen Brown|owen.brown@icloud.com</v>
      </c>
      <c r="AD18">
        <f>COUNTIF(Inquiries[Dup Key],Inquiries[[#This Row],[Dup Key]])</f>
        <v>1</v>
      </c>
      <c r="AE18">
        <f>IF(Inquiries[[#This Row],[First_Response_Date__c]]="","",Inquiries[[#This Row],[First_Response_Date__c]]-Inquiries[[#This Row],[Inquiry_Date__c]])</f>
        <v>3</v>
      </c>
      <c r="AF18" s="6" t="str">
        <f>TEXT(Inquiries[[#This Row],[Inquiry_Date__c]], "yyyy-mm")</f>
        <v>2026-02</v>
      </c>
      <c r="AG18" s="6" t="str">
        <f>_xlfn.XLOOKUP(Inquiries[[#This Row],[Requested_Location__c]], Locations[Location Id], Locations[Location Name])</f>
        <v>Toms River</v>
      </c>
    </row>
    <row r="19" spans="2:33">
      <c r="B19" t="s">
        <v>52</v>
      </c>
      <c r="C19" t="s">
        <v>5321</v>
      </c>
      <c r="D19" t="s">
        <v>5443</v>
      </c>
      <c r="E19" t="s">
        <v>5444</v>
      </c>
      <c r="F19" s="1">
        <v>46266</v>
      </c>
      <c r="G19" t="s">
        <v>5445</v>
      </c>
      <c r="H19" t="s">
        <v>5446</v>
      </c>
      <c r="I19" s="1">
        <v>46263</v>
      </c>
      <c r="J19" t="s">
        <v>5447</v>
      </c>
      <c r="K19" t="s">
        <v>78</v>
      </c>
      <c r="L19" t="b">
        <v>0</v>
      </c>
      <c r="N19" t="s">
        <v>52</v>
      </c>
      <c r="O19" t="s">
        <v>5327</v>
      </c>
      <c r="R19" t="s">
        <v>5448</v>
      </c>
      <c r="S19" t="s">
        <v>5350</v>
      </c>
      <c r="T19" t="s">
        <v>5445</v>
      </c>
      <c r="U19" t="s">
        <v>5449</v>
      </c>
      <c r="V19" t="s">
        <v>52</v>
      </c>
      <c r="W19" t="s">
        <v>5450</v>
      </c>
      <c r="X19" t="s">
        <v>63</v>
      </c>
      <c r="Y19" t="s">
        <v>5343</v>
      </c>
      <c r="Z19">
        <v>6</v>
      </c>
      <c r="AA19" t="s">
        <v>5327</v>
      </c>
      <c r="AB19" t="s">
        <v>261</v>
      </c>
      <c r="AC19" t="str">
        <f>Inquiries[[#This Row],[Name]]&amp;"|"&amp;LOWER(TRIM(Inquiries[[#This Row],[Email__c]]))</f>
        <v>Ivy King|ivyking@yahoo.com</v>
      </c>
      <c r="AD19">
        <f>COUNTIF(Inquiries[Dup Key],Inquiries[[#This Row],[Dup Key]])</f>
        <v>1</v>
      </c>
      <c r="AE19">
        <f>IF(Inquiries[[#This Row],[First_Response_Date__c]]="","",Inquiries[[#This Row],[First_Response_Date__c]]-Inquiries[[#This Row],[Inquiry_Date__c]])</f>
        <v>3</v>
      </c>
      <c r="AF19" s="6" t="str">
        <f>TEXT(Inquiries[[#This Row],[Inquiry_Date__c]], "yyyy-mm")</f>
        <v>2026-08</v>
      </c>
      <c r="AG19" s="6" t="str">
        <f>_xlfn.XLOOKUP(Inquiries[[#This Row],[Requested_Location__c]], Locations[Location Id], Locations[Location Name])</f>
        <v>Red Bank</v>
      </c>
    </row>
    <row r="20" spans="2:33">
      <c r="B20" t="s">
        <v>52</v>
      </c>
      <c r="C20" t="s">
        <v>5321</v>
      </c>
      <c r="D20" t="s">
        <v>5451</v>
      </c>
      <c r="E20" t="s">
        <v>5452</v>
      </c>
      <c r="F20" s="1">
        <v>46113</v>
      </c>
      <c r="G20" t="s">
        <v>5453</v>
      </c>
      <c r="H20" t="s">
        <v>5454</v>
      </c>
      <c r="I20" s="1">
        <v>46112</v>
      </c>
      <c r="J20" t="s">
        <v>5455</v>
      </c>
      <c r="K20" t="s">
        <v>203</v>
      </c>
      <c r="L20" t="b">
        <v>0</v>
      </c>
      <c r="N20" t="s">
        <v>52</v>
      </c>
      <c r="O20" t="s">
        <v>5327</v>
      </c>
      <c r="R20" t="s">
        <v>5106</v>
      </c>
      <c r="S20" t="s">
        <v>5400</v>
      </c>
      <c r="T20" t="s">
        <v>5453</v>
      </c>
      <c r="U20" t="s">
        <v>5351</v>
      </c>
      <c r="V20" t="s">
        <v>52</v>
      </c>
      <c r="W20" t="s">
        <v>5456</v>
      </c>
      <c r="X20" t="s">
        <v>63</v>
      </c>
      <c r="Y20" t="s">
        <v>5360</v>
      </c>
      <c r="Z20">
        <v>55</v>
      </c>
      <c r="AA20" t="s">
        <v>5327</v>
      </c>
      <c r="AB20" t="s">
        <v>282</v>
      </c>
      <c r="AC20" t="str">
        <f>Inquiries[[#This Row],[Name]]&amp;"|"&amp;LOWER(TRIM(Inquiries[[#This Row],[Email__c]]))</f>
        <v>Nathan Nakamura|nnakamura@icloud.com</v>
      </c>
      <c r="AD20">
        <f>COUNTIF(Inquiries[Dup Key],Inquiries[[#This Row],[Dup Key]])</f>
        <v>1</v>
      </c>
      <c r="AE20">
        <f>IF(Inquiries[[#This Row],[First_Response_Date__c]]="","",Inquiries[[#This Row],[First_Response_Date__c]]-Inquiries[[#This Row],[Inquiry_Date__c]])</f>
        <v>1</v>
      </c>
      <c r="AF20" s="6" t="str">
        <f>TEXT(Inquiries[[#This Row],[Inquiry_Date__c]], "yyyy-mm")</f>
        <v>2026-03</v>
      </c>
      <c r="AG20" s="6" t="str">
        <f>_xlfn.XLOOKUP(Inquiries[[#This Row],[Requested_Location__c]], Locations[Location Id], Locations[Location Name])</f>
        <v>Red Bank</v>
      </c>
    </row>
    <row r="21" spans="2:33">
      <c r="B21" t="s">
        <v>52</v>
      </c>
      <c r="C21" t="s">
        <v>5321</v>
      </c>
      <c r="D21" t="s">
        <v>5457</v>
      </c>
      <c r="E21" t="s">
        <v>5098</v>
      </c>
      <c r="F21" s="1">
        <v>46233</v>
      </c>
      <c r="G21" t="s">
        <v>5458</v>
      </c>
      <c r="H21" t="s">
        <v>5459</v>
      </c>
      <c r="I21" s="1">
        <v>46232</v>
      </c>
      <c r="J21" t="s">
        <v>5460</v>
      </c>
      <c r="K21" t="s">
        <v>58</v>
      </c>
      <c r="L21" t="b">
        <v>0</v>
      </c>
      <c r="N21" t="s">
        <v>52</v>
      </c>
      <c r="O21" t="s">
        <v>5327</v>
      </c>
      <c r="R21" t="s">
        <v>5461</v>
      </c>
      <c r="S21" t="s">
        <v>5340</v>
      </c>
      <c r="T21" t="s">
        <v>5458</v>
      </c>
      <c r="U21" t="s">
        <v>5330</v>
      </c>
      <c r="V21" t="s">
        <v>52</v>
      </c>
      <c r="W21" t="s">
        <v>5462</v>
      </c>
      <c r="X21" t="s">
        <v>83</v>
      </c>
      <c r="Y21" t="s">
        <v>5343</v>
      </c>
      <c r="Z21">
        <v>12</v>
      </c>
      <c r="AA21" t="s">
        <v>5327</v>
      </c>
      <c r="AB21" t="s">
        <v>318</v>
      </c>
      <c r="AC21" t="str">
        <f>Inquiries[[#This Row],[Name]]&amp;"|"&amp;LOWER(TRIM(Inquiries[[#This Row],[Email__c]]))</f>
        <v>Emily Thomas|emily.thomas@hotmail.com</v>
      </c>
      <c r="AD21">
        <f>COUNTIF(Inquiries[Dup Key],Inquiries[[#This Row],[Dup Key]])</f>
        <v>1</v>
      </c>
      <c r="AE21">
        <f>IF(Inquiries[[#This Row],[First_Response_Date__c]]="","",Inquiries[[#This Row],[First_Response_Date__c]]-Inquiries[[#This Row],[Inquiry_Date__c]])</f>
        <v>1</v>
      </c>
      <c r="AF21" s="6" t="str">
        <f>TEXT(Inquiries[[#This Row],[Inquiry_Date__c]], "yyyy-mm")</f>
        <v>2026-07</v>
      </c>
      <c r="AG21" s="6" t="str">
        <f>_xlfn.XLOOKUP(Inquiries[[#This Row],[Requested_Location__c]], Locations[Location Id], Locations[Location Name])</f>
        <v>Brick</v>
      </c>
    </row>
    <row r="22" spans="2:33">
      <c r="B22" t="s">
        <v>52</v>
      </c>
      <c r="C22" t="s">
        <v>5321</v>
      </c>
      <c r="D22" t="s">
        <v>5463</v>
      </c>
      <c r="E22" t="s">
        <v>5219</v>
      </c>
      <c r="F22" s="1">
        <v>46094</v>
      </c>
      <c r="G22" t="s">
        <v>5464</v>
      </c>
      <c r="H22" t="s">
        <v>5465</v>
      </c>
      <c r="I22" s="1">
        <v>46092</v>
      </c>
      <c r="J22" t="s">
        <v>5466</v>
      </c>
      <c r="K22" t="s">
        <v>527</v>
      </c>
      <c r="L22" t="b">
        <v>0</v>
      </c>
      <c r="N22" t="s">
        <v>52</v>
      </c>
      <c r="O22" t="s">
        <v>5327</v>
      </c>
      <c r="P22" t="s">
        <v>5467</v>
      </c>
      <c r="Q22" t="s">
        <v>5467</v>
      </c>
      <c r="R22" t="s">
        <v>5106</v>
      </c>
      <c r="S22" t="s">
        <v>5358</v>
      </c>
      <c r="T22" t="s">
        <v>5464</v>
      </c>
      <c r="V22" t="s">
        <v>52</v>
      </c>
      <c r="W22" t="s">
        <v>5468</v>
      </c>
      <c r="X22" t="s">
        <v>83</v>
      </c>
      <c r="Y22" t="s">
        <v>5343</v>
      </c>
      <c r="Z22">
        <v>35</v>
      </c>
      <c r="AA22" t="s">
        <v>5327</v>
      </c>
      <c r="AB22" t="s">
        <v>55</v>
      </c>
      <c r="AC22" t="str">
        <f>Inquiries[[#This Row],[Name]]&amp;"|"&amp;LOWER(TRIM(Inquiries[[#This Row],[Email__c]]))</f>
        <v>Adrian Nakamura|adriannakamura@icloud.com</v>
      </c>
      <c r="AD22">
        <f>COUNTIF(Inquiries[Dup Key],Inquiries[[#This Row],[Dup Key]])</f>
        <v>1</v>
      </c>
      <c r="AE22">
        <f>IF(Inquiries[[#This Row],[First_Response_Date__c]]="","",Inquiries[[#This Row],[First_Response_Date__c]]-Inquiries[[#This Row],[Inquiry_Date__c]])</f>
        <v>2</v>
      </c>
      <c r="AF22" s="6" t="str">
        <f>TEXT(Inquiries[[#This Row],[Inquiry_Date__c]], "yyyy-mm")</f>
        <v>2026-03</v>
      </c>
      <c r="AG22" s="6" t="str">
        <f>_xlfn.XLOOKUP(Inquiries[[#This Row],[Requested_Location__c]], Locations[Location Id], Locations[Location Name])</f>
        <v>Brick</v>
      </c>
    </row>
    <row r="23" spans="2:33">
      <c r="B23" t="s">
        <v>52</v>
      </c>
      <c r="C23" t="s">
        <v>5321</v>
      </c>
      <c r="D23" t="s">
        <v>5469</v>
      </c>
      <c r="E23" t="s">
        <v>5470</v>
      </c>
      <c r="F23" s="1">
        <v>46137</v>
      </c>
      <c r="G23" t="s">
        <v>5471</v>
      </c>
      <c r="H23" t="s">
        <v>5472</v>
      </c>
      <c r="I23" s="1">
        <v>46134</v>
      </c>
      <c r="J23" t="s">
        <v>5473</v>
      </c>
      <c r="K23" t="s">
        <v>527</v>
      </c>
      <c r="L23" t="b">
        <v>0</v>
      </c>
      <c r="N23" t="s">
        <v>52</v>
      </c>
      <c r="O23" t="s">
        <v>5327</v>
      </c>
      <c r="R23" t="s">
        <v>5161</v>
      </c>
      <c r="S23" t="s">
        <v>5435</v>
      </c>
      <c r="T23" t="s">
        <v>5471</v>
      </c>
      <c r="U23" t="s">
        <v>5449</v>
      </c>
      <c r="V23" t="s">
        <v>52</v>
      </c>
      <c r="W23" t="s">
        <v>5474</v>
      </c>
      <c r="X23" t="s">
        <v>83</v>
      </c>
      <c r="Y23" t="s">
        <v>5360</v>
      </c>
      <c r="Z23">
        <v>12</v>
      </c>
      <c r="AA23" t="s">
        <v>5327</v>
      </c>
      <c r="AB23" t="s">
        <v>804</v>
      </c>
      <c r="AC23" t="str">
        <f>Inquiries[[#This Row],[Name]]&amp;"|"&amp;LOWER(TRIM(Inquiries[[#This Row],[Email__c]]))</f>
        <v>Nina Allen|ninaallen@gmail.com</v>
      </c>
      <c r="AD23">
        <f>COUNTIF(Inquiries[Dup Key],Inquiries[[#This Row],[Dup Key]])</f>
        <v>1</v>
      </c>
      <c r="AE23">
        <f>IF(Inquiries[[#This Row],[First_Response_Date__c]]="","",Inquiries[[#This Row],[First_Response_Date__c]]-Inquiries[[#This Row],[Inquiry_Date__c]])</f>
        <v>3</v>
      </c>
      <c r="AF23" s="6" t="str">
        <f>TEXT(Inquiries[[#This Row],[Inquiry_Date__c]], "yyyy-mm")</f>
        <v>2026-04</v>
      </c>
      <c r="AG23" s="6" t="str">
        <f>_xlfn.XLOOKUP(Inquiries[[#This Row],[Requested_Location__c]], Locations[Location Id], Locations[Location Name])</f>
        <v>Brick</v>
      </c>
    </row>
    <row r="24" spans="2:33">
      <c r="B24" t="s">
        <v>52</v>
      </c>
      <c r="C24" t="s">
        <v>5321</v>
      </c>
      <c r="D24" t="s">
        <v>5475</v>
      </c>
      <c r="E24" t="s">
        <v>5146</v>
      </c>
      <c r="F24" s="1">
        <v>46249</v>
      </c>
      <c r="G24" t="s">
        <v>5476</v>
      </c>
      <c r="H24" t="s">
        <v>5477</v>
      </c>
      <c r="I24" s="1">
        <v>46246</v>
      </c>
      <c r="J24" t="s">
        <v>5478</v>
      </c>
      <c r="K24" t="s">
        <v>527</v>
      </c>
      <c r="L24" t="b">
        <v>0</v>
      </c>
      <c r="N24" t="s">
        <v>52</v>
      </c>
      <c r="O24" t="s">
        <v>5327</v>
      </c>
      <c r="P24" t="s">
        <v>5479</v>
      </c>
      <c r="Q24" t="s">
        <v>5479</v>
      </c>
      <c r="R24" t="s">
        <v>5122</v>
      </c>
      <c r="S24" t="s">
        <v>5400</v>
      </c>
      <c r="T24" t="s">
        <v>5476</v>
      </c>
      <c r="U24" t="s">
        <v>5385</v>
      </c>
      <c r="V24" t="s">
        <v>52</v>
      </c>
      <c r="W24" t="s">
        <v>5480</v>
      </c>
      <c r="X24" t="s">
        <v>83</v>
      </c>
      <c r="Y24" t="s">
        <v>5332</v>
      </c>
      <c r="Z24">
        <v>12</v>
      </c>
      <c r="AA24" t="s">
        <v>5327</v>
      </c>
      <c r="AB24" t="s">
        <v>923</v>
      </c>
      <c r="AC24" t="str">
        <f>Inquiries[[#This Row],[Name]]&amp;"|"&amp;LOWER(TRIM(Inquiries[[#This Row],[Email__c]]))</f>
        <v>Caroline Miller|carolinemiller54@icloud.com</v>
      </c>
      <c r="AD24">
        <f>COUNTIF(Inquiries[Dup Key],Inquiries[[#This Row],[Dup Key]])</f>
        <v>1</v>
      </c>
      <c r="AE24">
        <f>IF(Inquiries[[#This Row],[First_Response_Date__c]]="","",Inquiries[[#This Row],[First_Response_Date__c]]-Inquiries[[#This Row],[Inquiry_Date__c]])</f>
        <v>3</v>
      </c>
      <c r="AF24" s="6" t="str">
        <f>TEXT(Inquiries[[#This Row],[Inquiry_Date__c]], "yyyy-mm")</f>
        <v>2026-08</v>
      </c>
      <c r="AG24" s="6" t="str">
        <f>_xlfn.XLOOKUP(Inquiries[[#This Row],[Requested_Location__c]], Locations[Location Id], Locations[Location Name])</f>
        <v>Brick</v>
      </c>
    </row>
    <row r="25" spans="2:33">
      <c r="B25" t="s">
        <v>52</v>
      </c>
      <c r="C25" t="s">
        <v>5321</v>
      </c>
      <c r="D25" t="s">
        <v>5481</v>
      </c>
      <c r="E25" t="s">
        <v>5114</v>
      </c>
      <c r="F25" s="1">
        <v>46024</v>
      </c>
      <c r="G25" t="s">
        <v>5482</v>
      </c>
      <c r="H25" t="s">
        <v>5483</v>
      </c>
      <c r="I25" s="1">
        <v>46129</v>
      </c>
      <c r="J25" t="s">
        <v>5484</v>
      </c>
      <c r="K25" t="s">
        <v>461</v>
      </c>
      <c r="L25" t="b">
        <v>0</v>
      </c>
      <c r="N25" t="s">
        <v>52</v>
      </c>
      <c r="O25" t="s">
        <v>5327</v>
      </c>
      <c r="R25" t="s">
        <v>5201</v>
      </c>
      <c r="S25" t="s">
        <v>5485</v>
      </c>
      <c r="T25" t="s">
        <v>5482</v>
      </c>
      <c r="U25" t="s">
        <v>5330</v>
      </c>
      <c r="V25" t="s">
        <v>52</v>
      </c>
      <c r="W25" t="s">
        <v>5486</v>
      </c>
      <c r="X25" t="s">
        <v>150</v>
      </c>
      <c r="Y25" t="s">
        <v>5343</v>
      </c>
      <c r="Z25">
        <v>6</v>
      </c>
      <c r="AA25" t="s">
        <v>5327</v>
      </c>
      <c r="AB25" t="s">
        <v>302</v>
      </c>
      <c r="AC25" t="str">
        <f>Inquiries[[#This Row],[Name]]&amp;"|"&amp;LOWER(TRIM(Inquiries[[#This Row],[Email__c]]))</f>
        <v>Liam Davis|liamdavis@gmail.com</v>
      </c>
      <c r="AD25">
        <f>COUNTIF(Inquiries[Dup Key],Inquiries[[#This Row],[Dup Key]])</f>
        <v>1</v>
      </c>
      <c r="AE25">
        <f>IF(Inquiries[[#This Row],[First_Response_Date__c]]="","",Inquiries[[#This Row],[First_Response_Date__c]]-Inquiries[[#This Row],[Inquiry_Date__c]])</f>
        <v>-105</v>
      </c>
      <c r="AF25" s="6" t="str">
        <f>TEXT(Inquiries[[#This Row],[Inquiry_Date__c]], "yyyy-mm")</f>
        <v>2026-04</v>
      </c>
      <c r="AG25" s="6" t="str">
        <f>_xlfn.XLOOKUP(Inquiries[[#This Row],[Requested_Location__c]], Locations[Location Id], Locations[Location Name])</f>
        <v>Toms River</v>
      </c>
    </row>
    <row r="26" spans="2:33">
      <c r="B26" t="s">
        <v>52</v>
      </c>
      <c r="C26" t="s">
        <v>5321</v>
      </c>
      <c r="D26" t="s">
        <v>5487</v>
      </c>
      <c r="E26" t="s">
        <v>5292</v>
      </c>
      <c r="F26" s="1">
        <v>46273</v>
      </c>
      <c r="G26" t="s">
        <v>5488</v>
      </c>
      <c r="H26" t="s">
        <v>5489</v>
      </c>
      <c r="I26" s="1">
        <v>46273</v>
      </c>
      <c r="J26" t="s">
        <v>5490</v>
      </c>
      <c r="K26" t="s">
        <v>527</v>
      </c>
      <c r="L26" t="b">
        <v>0</v>
      </c>
      <c r="N26" t="s">
        <v>52</v>
      </c>
      <c r="O26" t="s">
        <v>5327</v>
      </c>
      <c r="R26" t="s">
        <v>5190</v>
      </c>
      <c r="S26" t="s">
        <v>5485</v>
      </c>
      <c r="T26" t="s">
        <v>5488</v>
      </c>
      <c r="U26" t="s">
        <v>5341</v>
      </c>
      <c r="V26" t="s">
        <v>52</v>
      </c>
      <c r="W26" t="s">
        <v>5491</v>
      </c>
      <c r="X26" t="s">
        <v>63</v>
      </c>
      <c r="Y26" t="s">
        <v>5360</v>
      </c>
      <c r="Z26">
        <v>10</v>
      </c>
      <c r="AA26" t="s">
        <v>5327</v>
      </c>
      <c r="AB26" t="s">
        <v>431</v>
      </c>
      <c r="AC26" t="str">
        <f>Inquiries[[#This Row],[Name]]&amp;"|"&amp;LOWER(TRIM(Inquiries[[#This Row],[Email__c]]))</f>
        <v>Yusuf Rossi|yusuf.rossi@hotmail.com</v>
      </c>
      <c r="AD26">
        <f>COUNTIF(Inquiries[Dup Key],Inquiries[[#This Row],[Dup Key]])</f>
        <v>1</v>
      </c>
      <c r="AE26">
        <f>IF(Inquiries[[#This Row],[First_Response_Date__c]]="","",Inquiries[[#This Row],[First_Response_Date__c]]-Inquiries[[#This Row],[Inquiry_Date__c]])</f>
        <v>0</v>
      </c>
      <c r="AF26" s="6" t="str">
        <f>TEXT(Inquiries[[#This Row],[Inquiry_Date__c]], "yyyy-mm")</f>
        <v>2026-09</v>
      </c>
      <c r="AG26" s="6" t="str">
        <f>_xlfn.XLOOKUP(Inquiries[[#This Row],[Requested_Location__c]], Locations[Location Id], Locations[Location Name])</f>
        <v>Red Bank</v>
      </c>
    </row>
    <row r="27" spans="2:33">
      <c r="B27" t="s">
        <v>52</v>
      </c>
      <c r="C27" t="s">
        <v>5321</v>
      </c>
      <c r="D27" t="s">
        <v>5492</v>
      </c>
      <c r="E27" t="s">
        <v>5493</v>
      </c>
      <c r="F27" s="1">
        <v>46190</v>
      </c>
      <c r="G27" t="s">
        <v>5494</v>
      </c>
      <c r="H27" t="s">
        <v>5495</v>
      </c>
      <c r="I27" s="1">
        <v>46185</v>
      </c>
      <c r="J27" t="s">
        <v>5496</v>
      </c>
      <c r="K27" t="s">
        <v>203</v>
      </c>
      <c r="L27" t="b">
        <v>0</v>
      </c>
      <c r="N27" t="s">
        <v>52</v>
      </c>
      <c r="O27" t="s">
        <v>5327</v>
      </c>
      <c r="R27" t="s">
        <v>5302</v>
      </c>
      <c r="S27" t="s">
        <v>5400</v>
      </c>
      <c r="T27" t="s">
        <v>5494</v>
      </c>
      <c r="U27" t="s">
        <v>5330</v>
      </c>
      <c r="V27" t="s">
        <v>52</v>
      </c>
      <c r="W27" t="s">
        <v>5497</v>
      </c>
      <c r="X27" t="s">
        <v>83</v>
      </c>
      <c r="Y27" t="s">
        <v>5332</v>
      </c>
      <c r="Z27">
        <v>14</v>
      </c>
      <c r="AA27" t="s">
        <v>5327</v>
      </c>
      <c r="AB27" t="s">
        <v>97</v>
      </c>
      <c r="AC27" t="str">
        <f>Inquiries[[#This Row],[Name]]&amp;"|"&amp;LOWER(TRIM(Inquiries[[#This Row],[Email__c]]))</f>
        <v>Levi Patel|lpatel@gmail.com</v>
      </c>
      <c r="AD27">
        <f>COUNTIF(Inquiries[Dup Key],Inquiries[[#This Row],[Dup Key]])</f>
        <v>1</v>
      </c>
      <c r="AE27">
        <f>IF(Inquiries[[#This Row],[First_Response_Date__c]]="","",Inquiries[[#This Row],[First_Response_Date__c]]-Inquiries[[#This Row],[Inquiry_Date__c]])</f>
        <v>5</v>
      </c>
      <c r="AF27" s="6" t="str">
        <f>TEXT(Inquiries[[#This Row],[Inquiry_Date__c]], "yyyy-mm")</f>
        <v>2026-06</v>
      </c>
      <c r="AG27" s="6" t="str">
        <f>_xlfn.XLOOKUP(Inquiries[[#This Row],[Requested_Location__c]], Locations[Location Id], Locations[Location Name])</f>
        <v>Brick</v>
      </c>
    </row>
    <row r="28" spans="2:33">
      <c r="B28" t="s">
        <v>52</v>
      </c>
      <c r="C28" t="s">
        <v>5321</v>
      </c>
      <c r="D28" t="s">
        <v>5498</v>
      </c>
      <c r="E28" t="s">
        <v>5499</v>
      </c>
      <c r="F28" s="1">
        <v>46161</v>
      </c>
      <c r="G28" t="s">
        <v>5500</v>
      </c>
      <c r="H28" t="s">
        <v>5501</v>
      </c>
      <c r="I28" s="1">
        <v>46160</v>
      </c>
      <c r="J28" t="s">
        <v>5502</v>
      </c>
      <c r="K28" t="s">
        <v>527</v>
      </c>
      <c r="L28" t="b">
        <v>0</v>
      </c>
      <c r="N28" t="s">
        <v>52</v>
      </c>
      <c r="O28" t="s">
        <v>5327</v>
      </c>
      <c r="R28" t="s">
        <v>5172</v>
      </c>
      <c r="S28" t="s">
        <v>5340</v>
      </c>
      <c r="T28" t="s">
        <v>5500</v>
      </c>
      <c r="U28" t="s">
        <v>5449</v>
      </c>
      <c r="V28" t="s">
        <v>52</v>
      </c>
      <c r="W28" t="s">
        <v>5503</v>
      </c>
      <c r="X28" t="s">
        <v>63</v>
      </c>
      <c r="Y28" t="s">
        <v>5343</v>
      </c>
      <c r="Z28">
        <v>16</v>
      </c>
      <c r="AA28" t="s">
        <v>5327</v>
      </c>
      <c r="AB28" t="s">
        <v>1203</v>
      </c>
      <c r="AC28" t="str">
        <f>Inquiries[[#This Row],[Name]]&amp;"|"&amp;LOWER(TRIM(Inquiries[[#This Row],[Email__c]]))</f>
        <v>Gabriel Garcia|gabrielgarcia@outlook.com</v>
      </c>
      <c r="AD28">
        <f>COUNTIF(Inquiries[Dup Key],Inquiries[[#This Row],[Dup Key]])</f>
        <v>1</v>
      </c>
      <c r="AE28">
        <f>IF(Inquiries[[#This Row],[First_Response_Date__c]]="","",Inquiries[[#This Row],[First_Response_Date__c]]-Inquiries[[#This Row],[Inquiry_Date__c]])</f>
        <v>1</v>
      </c>
      <c r="AF28" s="6" t="str">
        <f>TEXT(Inquiries[[#This Row],[Inquiry_Date__c]], "yyyy-mm")</f>
        <v>2026-05</v>
      </c>
      <c r="AG28" s="6" t="str">
        <f>_xlfn.XLOOKUP(Inquiries[[#This Row],[Requested_Location__c]], Locations[Location Id], Locations[Location Name])</f>
        <v>Red Bank</v>
      </c>
    </row>
    <row r="29" spans="2:33">
      <c r="B29" t="s">
        <v>52</v>
      </c>
      <c r="C29" t="s">
        <v>5321</v>
      </c>
      <c r="D29" t="s">
        <v>5504</v>
      </c>
      <c r="E29" t="s">
        <v>5505</v>
      </c>
      <c r="F29" s="1">
        <v>46156</v>
      </c>
      <c r="G29" t="s">
        <v>5506</v>
      </c>
      <c r="H29" t="s">
        <v>5507</v>
      </c>
      <c r="I29" s="1">
        <v>46154</v>
      </c>
      <c r="J29" t="s">
        <v>5508</v>
      </c>
      <c r="K29" t="s">
        <v>203</v>
      </c>
      <c r="L29" t="b">
        <v>0</v>
      </c>
      <c r="N29" t="s">
        <v>52</v>
      </c>
      <c r="O29" t="s">
        <v>5327</v>
      </c>
      <c r="R29" t="s">
        <v>5090</v>
      </c>
      <c r="S29" t="s">
        <v>5340</v>
      </c>
      <c r="T29" t="s">
        <v>5506</v>
      </c>
      <c r="U29" t="s">
        <v>5449</v>
      </c>
      <c r="V29" t="s">
        <v>52</v>
      </c>
      <c r="W29" t="s">
        <v>5509</v>
      </c>
      <c r="X29" t="s">
        <v>83</v>
      </c>
      <c r="Y29" t="s">
        <v>5360</v>
      </c>
      <c r="Z29">
        <v>8</v>
      </c>
      <c r="AA29" t="s">
        <v>5327</v>
      </c>
      <c r="AB29" t="s">
        <v>764</v>
      </c>
      <c r="AC29" t="str">
        <f>Inquiries[[#This Row],[Name]]&amp;"|"&amp;LOWER(TRIM(Inquiries[[#This Row],[Email__c]]))</f>
        <v>Evelyn Hernandez|evelynhernandez43@hotmail.com</v>
      </c>
      <c r="AD29">
        <f>COUNTIF(Inquiries[Dup Key],Inquiries[[#This Row],[Dup Key]])</f>
        <v>1</v>
      </c>
      <c r="AE29">
        <f>IF(Inquiries[[#This Row],[First_Response_Date__c]]="","",Inquiries[[#This Row],[First_Response_Date__c]]-Inquiries[[#This Row],[Inquiry_Date__c]])</f>
        <v>2</v>
      </c>
      <c r="AF29" s="6" t="str">
        <f>TEXT(Inquiries[[#This Row],[Inquiry_Date__c]], "yyyy-mm")</f>
        <v>2026-05</v>
      </c>
      <c r="AG29" s="6" t="str">
        <f>_xlfn.XLOOKUP(Inquiries[[#This Row],[Requested_Location__c]], Locations[Location Id], Locations[Location Name])</f>
        <v>Brick</v>
      </c>
    </row>
    <row r="30" spans="2:33">
      <c r="B30" t="s">
        <v>52</v>
      </c>
      <c r="C30" t="s">
        <v>5321</v>
      </c>
      <c r="D30" t="s">
        <v>5510</v>
      </c>
      <c r="E30" t="s">
        <v>5420</v>
      </c>
      <c r="F30" s="1">
        <v>46128</v>
      </c>
      <c r="G30" t="s">
        <v>5511</v>
      </c>
      <c r="H30" t="s">
        <v>5512</v>
      </c>
      <c r="I30" s="1">
        <v>46128</v>
      </c>
      <c r="J30" t="s">
        <v>5513</v>
      </c>
      <c r="K30" t="s">
        <v>650</v>
      </c>
      <c r="L30" t="b">
        <v>0</v>
      </c>
      <c r="N30" t="s">
        <v>52</v>
      </c>
      <c r="O30" t="s">
        <v>5327</v>
      </c>
      <c r="R30" t="s">
        <v>5111</v>
      </c>
      <c r="S30" t="s">
        <v>5485</v>
      </c>
      <c r="T30" t="s">
        <v>5511</v>
      </c>
      <c r="U30" t="s">
        <v>5351</v>
      </c>
      <c r="V30" t="s">
        <v>52</v>
      </c>
      <c r="W30" t="s">
        <v>5514</v>
      </c>
      <c r="X30" t="s">
        <v>63</v>
      </c>
      <c r="Y30" t="s">
        <v>5343</v>
      </c>
      <c r="Z30">
        <v>16</v>
      </c>
      <c r="AA30" t="s">
        <v>5327</v>
      </c>
      <c r="AB30" t="s">
        <v>235</v>
      </c>
      <c r="AC30" t="str">
        <f>Inquiries[[#This Row],[Name]]&amp;"|"&amp;LOWER(TRIM(Inquiries[[#This Row],[Email__c]]))</f>
        <v>Jonah Johnson|jonahjohnson68@yahoo.com</v>
      </c>
      <c r="AD30">
        <f>COUNTIF(Inquiries[Dup Key],Inquiries[[#This Row],[Dup Key]])</f>
        <v>1</v>
      </c>
      <c r="AE30">
        <f>IF(Inquiries[[#This Row],[First_Response_Date__c]]="","",Inquiries[[#This Row],[First_Response_Date__c]]-Inquiries[[#This Row],[Inquiry_Date__c]])</f>
        <v>0</v>
      </c>
      <c r="AF30" s="6" t="str">
        <f>TEXT(Inquiries[[#This Row],[Inquiry_Date__c]], "yyyy-mm")</f>
        <v>2026-04</v>
      </c>
      <c r="AG30" s="6" t="str">
        <f>_xlfn.XLOOKUP(Inquiries[[#This Row],[Requested_Location__c]], Locations[Location Id], Locations[Location Name])</f>
        <v>Red Bank</v>
      </c>
    </row>
    <row r="31" spans="2:33">
      <c r="B31" t="s">
        <v>52</v>
      </c>
      <c r="C31" t="s">
        <v>5321</v>
      </c>
      <c r="D31" t="s">
        <v>5515</v>
      </c>
      <c r="E31" t="s">
        <v>5516</v>
      </c>
      <c r="F31" s="1">
        <v>46195</v>
      </c>
      <c r="G31" t="s">
        <v>5517</v>
      </c>
      <c r="H31" t="s">
        <v>5518</v>
      </c>
      <c r="I31" s="1">
        <v>46190</v>
      </c>
      <c r="J31" t="s">
        <v>5519</v>
      </c>
      <c r="K31" t="s">
        <v>237</v>
      </c>
      <c r="L31" t="b">
        <v>0</v>
      </c>
      <c r="N31" t="s">
        <v>52</v>
      </c>
      <c r="O31" t="s">
        <v>5327</v>
      </c>
      <c r="R31" t="s">
        <v>5122</v>
      </c>
      <c r="S31" t="s">
        <v>5435</v>
      </c>
      <c r="T31" t="s">
        <v>5517</v>
      </c>
      <c r="U31" t="s">
        <v>5449</v>
      </c>
      <c r="V31" t="s">
        <v>52</v>
      </c>
      <c r="W31" t="s">
        <v>5520</v>
      </c>
      <c r="X31" t="s">
        <v>63</v>
      </c>
      <c r="Y31" t="s">
        <v>5360</v>
      </c>
      <c r="Z31">
        <v>35</v>
      </c>
      <c r="AA31" t="s">
        <v>5327</v>
      </c>
      <c r="AB31" t="s">
        <v>459</v>
      </c>
      <c r="AC31" t="str">
        <f>Inquiries[[#This Row],[Name]]&amp;"|"&amp;LOWER(TRIM(Inquiries[[#This Row],[Email__c]]))</f>
        <v>Ethan Miller|ethanmiller12@hotmail.com</v>
      </c>
      <c r="AD31">
        <f>COUNTIF(Inquiries[Dup Key],Inquiries[[#This Row],[Dup Key]])</f>
        <v>1</v>
      </c>
      <c r="AE31">
        <f>IF(Inquiries[[#This Row],[First_Response_Date__c]]="","",Inquiries[[#This Row],[First_Response_Date__c]]-Inquiries[[#This Row],[Inquiry_Date__c]])</f>
        <v>5</v>
      </c>
      <c r="AF31" s="6" t="str">
        <f>TEXT(Inquiries[[#This Row],[Inquiry_Date__c]], "yyyy-mm")</f>
        <v>2026-06</v>
      </c>
      <c r="AG31" s="6" t="str">
        <f>_xlfn.XLOOKUP(Inquiries[[#This Row],[Requested_Location__c]], Locations[Location Id], Locations[Location Name])</f>
        <v>Red Bank</v>
      </c>
    </row>
    <row r="32" spans="2:33">
      <c r="B32" t="s">
        <v>52</v>
      </c>
      <c r="C32" t="s">
        <v>5321</v>
      </c>
      <c r="D32" t="s">
        <v>5521</v>
      </c>
      <c r="E32" t="s">
        <v>5141</v>
      </c>
      <c r="F32" s="1">
        <v>46185</v>
      </c>
      <c r="G32" t="s">
        <v>2216</v>
      </c>
      <c r="H32" t="s">
        <v>5522</v>
      </c>
      <c r="I32" s="1">
        <v>46185</v>
      </c>
      <c r="J32" t="s">
        <v>5523</v>
      </c>
      <c r="K32" t="s">
        <v>650</v>
      </c>
      <c r="L32" t="b">
        <v>0</v>
      </c>
      <c r="N32" t="s">
        <v>52</v>
      </c>
      <c r="O32" t="s">
        <v>5327</v>
      </c>
      <c r="R32" t="s">
        <v>5247</v>
      </c>
      <c r="S32" t="s">
        <v>5340</v>
      </c>
      <c r="T32" t="s">
        <v>2216</v>
      </c>
      <c r="U32" t="s">
        <v>5330</v>
      </c>
      <c r="V32" t="s">
        <v>52</v>
      </c>
      <c r="W32" t="s">
        <v>5524</v>
      </c>
      <c r="X32" t="s">
        <v>150</v>
      </c>
      <c r="Y32" t="s">
        <v>5360</v>
      </c>
      <c r="Z32">
        <v>44</v>
      </c>
      <c r="AA32" t="s">
        <v>5327</v>
      </c>
      <c r="AB32" t="s">
        <v>145</v>
      </c>
      <c r="AC32" t="str">
        <f>Inquiries[[#This Row],[Name]]&amp;"|"&amp;LOWER(TRIM(Inquiries[[#This Row],[Email__c]]))</f>
        <v>Ryan Kelly|ryankelly30@yahoo.com</v>
      </c>
      <c r="AD32">
        <f>COUNTIF(Inquiries[Dup Key],Inquiries[[#This Row],[Dup Key]])</f>
        <v>1</v>
      </c>
      <c r="AE32">
        <f>IF(Inquiries[[#This Row],[First_Response_Date__c]]="","",Inquiries[[#This Row],[First_Response_Date__c]]-Inquiries[[#This Row],[Inquiry_Date__c]])</f>
        <v>0</v>
      </c>
      <c r="AF32" s="6" t="str">
        <f>TEXT(Inquiries[[#This Row],[Inquiry_Date__c]], "yyyy-mm")</f>
        <v>2026-06</v>
      </c>
      <c r="AG32" s="6" t="str">
        <f>_xlfn.XLOOKUP(Inquiries[[#This Row],[Requested_Location__c]], Locations[Location Id], Locations[Location Name])</f>
        <v>Toms River</v>
      </c>
    </row>
    <row r="33" spans="2:33">
      <c r="B33" t="s">
        <v>52</v>
      </c>
      <c r="C33" t="s">
        <v>5321</v>
      </c>
      <c r="D33" t="s">
        <v>5525</v>
      </c>
      <c r="E33" t="s">
        <v>5526</v>
      </c>
      <c r="F33" s="1">
        <v>46220</v>
      </c>
      <c r="G33" t="s">
        <v>5527</v>
      </c>
      <c r="H33" t="s">
        <v>5528</v>
      </c>
      <c r="I33" s="1">
        <v>46220</v>
      </c>
      <c r="J33" t="s">
        <v>5529</v>
      </c>
      <c r="K33" t="s">
        <v>263</v>
      </c>
      <c r="L33" t="b">
        <v>0</v>
      </c>
      <c r="N33" t="s">
        <v>52</v>
      </c>
      <c r="O33" t="s">
        <v>5327</v>
      </c>
      <c r="R33" t="s">
        <v>5216</v>
      </c>
      <c r="S33" t="s">
        <v>5358</v>
      </c>
      <c r="T33" t="s">
        <v>5527</v>
      </c>
      <c r="U33" t="s">
        <v>5341</v>
      </c>
      <c r="V33" t="s">
        <v>52</v>
      </c>
      <c r="W33" t="s">
        <v>5530</v>
      </c>
      <c r="X33" t="s">
        <v>150</v>
      </c>
      <c r="Y33" t="s">
        <v>5360</v>
      </c>
      <c r="Z33">
        <v>8</v>
      </c>
      <c r="AA33" t="s">
        <v>5327</v>
      </c>
      <c r="AB33" t="s">
        <v>359</v>
      </c>
      <c r="AC33" t="str">
        <f>Inquiries[[#This Row],[Name]]&amp;"|"&amp;LOWER(TRIM(Inquiries[[#This Row],[Email__c]]))</f>
        <v>Olivia Hall|oliviahall66@gmail.com</v>
      </c>
      <c r="AD33">
        <f>COUNTIF(Inquiries[Dup Key],Inquiries[[#This Row],[Dup Key]])</f>
        <v>1</v>
      </c>
      <c r="AE33">
        <f>IF(Inquiries[[#This Row],[First_Response_Date__c]]="","",Inquiries[[#This Row],[First_Response_Date__c]]-Inquiries[[#This Row],[Inquiry_Date__c]])</f>
        <v>0</v>
      </c>
      <c r="AF33" s="6" t="str">
        <f>TEXT(Inquiries[[#This Row],[Inquiry_Date__c]], "yyyy-mm")</f>
        <v>2026-07</v>
      </c>
      <c r="AG33" s="6" t="str">
        <f>_xlfn.XLOOKUP(Inquiries[[#This Row],[Requested_Location__c]], Locations[Location Id], Locations[Location Name])</f>
        <v>Toms River</v>
      </c>
    </row>
    <row r="34" spans="2:33">
      <c r="B34" t="s">
        <v>52</v>
      </c>
      <c r="C34" t="s">
        <v>5321</v>
      </c>
      <c r="D34" t="s">
        <v>5531</v>
      </c>
      <c r="E34" t="s">
        <v>5063</v>
      </c>
      <c r="F34" s="1">
        <v>46263</v>
      </c>
      <c r="G34" t="s">
        <v>5532</v>
      </c>
      <c r="H34" t="s">
        <v>5533</v>
      </c>
      <c r="I34" s="1">
        <v>46263</v>
      </c>
      <c r="J34" t="s">
        <v>5534</v>
      </c>
      <c r="K34" t="s">
        <v>263</v>
      </c>
      <c r="L34" t="b">
        <v>0</v>
      </c>
      <c r="N34" t="s">
        <v>52</v>
      </c>
      <c r="O34" t="s">
        <v>5327</v>
      </c>
      <c r="R34" t="s">
        <v>5535</v>
      </c>
      <c r="S34" t="s">
        <v>5400</v>
      </c>
      <c r="T34" t="s">
        <v>5532</v>
      </c>
      <c r="U34" t="s">
        <v>5385</v>
      </c>
      <c r="V34" t="s">
        <v>52</v>
      </c>
      <c r="W34" t="s">
        <v>5536</v>
      </c>
      <c r="X34" t="s">
        <v>150</v>
      </c>
      <c r="Y34" t="s">
        <v>5332</v>
      </c>
      <c r="Z34">
        <v>10</v>
      </c>
      <c r="AA34" t="s">
        <v>5327</v>
      </c>
      <c r="AB34" t="s">
        <v>145</v>
      </c>
      <c r="AC34" t="str">
        <f>Inquiries[[#This Row],[Name]]&amp;"|"&amp;LOWER(TRIM(Inquiries[[#This Row],[Email__c]]))</f>
        <v>Noah Campbell|noahcampbell12@hotmail.com</v>
      </c>
      <c r="AD34">
        <f>COUNTIF(Inquiries[Dup Key],Inquiries[[#This Row],[Dup Key]])</f>
        <v>1</v>
      </c>
      <c r="AE34">
        <f>IF(Inquiries[[#This Row],[First_Response_Date__c]]="","",Inquiries[[#This Row],[First_Response_Date__c]]-Inquiries[[#This Row],[Inquiry_Date__c]])</f>
        <v>0</v>
      </c>
      <c r="AF34" s="6" t="str">
        <f>TEXT(Inquiries[[#This Row],[Inquiry_Date__c]], "yyyy-mm")</f>
        <v>2026-08</v>
      </c>
      <c r="AG34" s="6" t="str">
        <f>_xlfn.XLOOKUP(Inquiries[[#This Row],[Requested_Location__c]], Locations[Location Id], Locations[Location Name])</f>
        <v>Toms River</v>
      </c>
    </row>
    <row r="35" spans="2:33">
      <c r="B35" t="s">
        <v>52</v>
      </c>
      <c r="C35" t="s">
        <v>5321</v>
      </c>
      <c r="D35" t="s">
        <v>5537</v>
      </c>
      <c r="E35" t="s">
        <v>5538</v>
      </c>
      <c r="F35" s="1">
        <v>46173</v>
      </c>
      <c r="G35" t="s">
        <v>5539</v>
      </c>
      <c r="H35" t="s">
        <v>5540</v>
      </c>
      <c r="I35" s="1">
        <v>46173</v>
      </c>
      <c r="J35" t="s">
        <v>5541</v>
      </c>
      <c r="K35" t="s">
        <v>107</v>
      </c>
      <c r="L35" t="b">
        <v>0</v>
      </c>
      <c r="N35" t="s">
        <v>52</v>
      </c>
      <c r="O35" t="s">
        <v>5327</v>
      </c>
      <c r="R35" t="s">
        <v>5542</v>
      </c>
      <c r="S35" t="s">
        <v>5435</v>
      </c>
      <c r="T35" t="s">
        <v>5539</v>
      </c>
      <c r="V35" t="s">
        <v>52</v>
      </c>
      <c r="W35" t="s">
        <v>5543</v>
      </c>
      <c r="X35" t="s">
        <v>83</v>
      </c>
      <c r="Y35" t="s">
        <v>5343</v>
      </c>
      <c r="Z35">
        <v>44</v>
      </c>
      <c r="AA35" t="s">
        <v>5327</v>
      </c>
      <c r="AB35" t="s">
        <v>525</v>
      </c>
      <c r="AC35" t="str">
        <f>Inquiries[[#This Row],[Name]]&amp;"|"&amp;LOWER(TRIM(Inquiries[[#This Row],[Email__c]]))</f>
        <v>Sebastian Ahmed|sebastianahmed67@outlook.com</v>
      </c>
      <c r="AD35">
        <f>COUNTIF(Inquiries[Dup Key],Inquiries[[#This Row],[Dup Key]])</f>
        <v>1</v>
      </c>
      <c r="AE35">
        <f>IF(Inquiries[[#This Row],[First_Response_Date__c]]="","",Inquiries[[#This Row],[First_Response_Date__c]]-Inquiries[[#This Row],[Inquiry_Date__c]])</f>
        <v>0</v>
      </c>
      <c r="AF35" s="6" t="str">
        <f>TEXT(Inquiries[[#This Row],[Inquiry_Date__c]], "yyyy-mm")</f>
        <v>2026-05</v>
      </c>
      <c r="AG35" s="6" t="str">
        <f>_xlfn.XLOOKUP(Inquiries[[#This Row],[Requested_Location__c]], Locations[Location Id], Locations[Location Name])</f>
        <v>Brick</v>
      </c>
    </row>
    <row r="36" spans="2:33">
      <c r="B36" t="s">
        <v>52</v>
      </c>
      <c r="C36" t="s">
        <v>5321</v>
      </c>
      <c r="D36" t="s">
        <v>5544</v>
      </c>
      <c r="E36" t="s">
        <v>5136</v>
      </c>
      <c r="F36" s="1">
        <v>46209</v>
      </c>
      <c r="G36" t="s">
        <v>5545</v>
      </c>
      <c r="H36" t="s">
        <v>5546</v>
      </c>
      <c r="I36" s="1">
        <v>46200</v>
      </c>
      <c r="J36" t="s">
        <v>5547</v>
      </c>
      <c r="K36" t="s">
        <v>461</v>
      </c>
      <c r="L36" t="b">
        <v>0</v>
      </c>
      <c r="N36" t="s">
        <v>52</v>
      </c>
      <c r="O36" t="s">
        <v>5327</v>
      </c>
      <c r="R36" t="s">
        <v>5201</v>
      </c>
      <c r="S36" t="s">
        <v>5350</v>
      </c>
      <c r="T36" t="s">
        <v>5545</v>
      </c>
      <c r="V36" t="s">
        <v>52</v>
      </c>
      <c r="W36" t="s">
        <v>5548</v>
      </c>
      <c r="X36" t="s">
        <v>63</v>
      </c>
      <c r="Y36" t="s">
        <v>5332</v>
      </c>
      <c r="Z36">
        <v>10</v>
      </c>
      <c r="AA36" t="s">
        <v>5327</v>
      </c>
      <c r="AB36" t="s">
        <v>1203</v>
      </c>
      <c r="AC36" t="str">
        <f>Inquiries[[#This Row],[Name]]&amp;"|"&amp;LOWER(TRIM(Inquiries[[#This Row],[Email__c]]))</f>
        <v>Jamal Davis|jdavis@yahoo.com</v>
      </c>
      <c r="AD36">
        <f>COUNTIF(Inquiries[Dup Key],Inquiries[[#This Row],[Dup Key]])</f>
        <v>1</v>
      </c>
      <c r="AE36">
        <f>IF(Inquiries[[#This Row],[First_Response_Date__c]]="","",Inquiries[[#This Row],[First_Response_Date__c]]-Inquiries[[#This Row],[Inquiry_Date__c]])</f>
        <v>9</v>
      </c>
      <c r="AF36" s="6" t="str">
        <f>TEXT(Inquiries[[#This Row],[Inquiry_Date__c]], "yyyy-mm")</f>
        <v>2026-06</v>
      </c>
      <c r="AG36" s="6" t="str">
        <f>_xlfn.XLOOKUP(Inquiries[[#This Row],[Requested_Location__c]], Locations[Location Id], Locations[Location Name])</f>
        <v>Red Bank</v>
      </c>
    </row>
    <row r="37" spans="2:33">
      <c r="B37" t="s">
        <v>52</v>
      </c>
      <c r="C37" t="s">
        <v>5321</v>
      </c>
      <c r="D37" t="s">
        <v>5549</v>
      </c>
      <c r="E37" t="s">
        <v>5470</v>
      </c>
      <c r="F37" s="1">
        <v>46080</v>
      </c>
      <c r="G37" t="s">
        <v>5550</v>
      </c>
      <c r="H37" t="s">
        <v>5551</v>
      </c>
      <c r="I37" s="1">
        <v>46080</v>
      </c>
      <c r="J37" t="s">
        <v>5552</v>
      </c>
      <c r="K37" t="s">
        <v>147</v>
      </c>
      <c r="L37" t="b">
        <v>0</v>
      </c>
      <c r="N37" t="s">
        <v>52</v>
      </c>
      <c r="O37" t="s">
        <v>5327</v>
      </c>
      <c r="R37" t="s">
        <v>5339</v>
      </c>
      <c r="S37" t="s">
        <v>5393</v>
      </c>
      <c r="T37" t="s">
        <v>5550</v>
      </c>
      <c r="V37" t="s">
        <v>52</v>
      </c>
      <c r="W37" t="s">
        <v>5553</v>
      </c>
      <c r="X37" t="s">
        <v>150</v>
      </c>
      <c r="Y37" t="s">
        <v>5332</v>
      </c>
      <c r="Z37">
        <v>6</v>
      </c>
      <c r="AA37" t="s">
        <v>5327</v>
      </c>
      <c r="AB37" t="s">
        <v>944</v>
      </c>
      <c r="AC37" t="str">
        <f>Inquiries[[#This Row],[Name]]&amp;"|"&amp;LOWER(TRIM(Inquiries[[#This Row],[Email__c]]))</f>
        <v>Nina Scott|ninascott@icloud.com</v>
      </c>
      <c r="AD37">
        <f>COUNTIF(Inquiries[Dup Key],Inquiries[[#This Row],[Dup Key]])</f>
        <v>1</v>
      </c>
      <c r="AE37">
        <f>IF(Inquiries[[#This Row],[First_Response_Date__c]]="","",Inquiries[[#This Row],[First_Response_Date__c]]-Inquiries[[#This Row],[Inquiry_Date__c]])</f>
        <v>0</v>
      </c>
      <c r="AF37" s="6" t="str">
        <f>TEXT(Inquiries[[#This Row],[Inquiry_Date__c]], "yyyy-mm")</f>
        <v>2026-02</v>
      </c>
      <c r="AG37" s="6" t="str">
        <f>_xlfn.XLOOKUP(Inquiries[[#This Row],[Requested_Location__c]], Locations[Location Id], Locations[Location Name])</f>
        <v>Toms River</v>
      </c>
    </row>
    <row r="38" spans="2:33">
      <c r="B38" t="s">
        <v>52</v>
      </c>
      <c r="C38" t="s">
        <v>5321</v>
      </c>
      <c r="D38" t="s">
        <v>5554</v>
      </c>
      <c r="E38" t="s">
        <v>5146</v>
      </c>
      <c r="F38" s="1">
        <v>46170</v>
      </c>
      <c r="G38" t="s">
        <v>5555</v>
      </c>
      <c r="H38" t="s">
        <v>5556</v>
      </c>
      <c r="I38" s="1">
        <v>46161</v>
      </c>
      <c r="J38" t="s">
        <v>5557</v>
      </c>
      <c r="K38" t="s">
        <v>203</v>
      </c>
      <c r="L38" t="b">
        <v>0</v>
      </c>
      <c r="N38" t="s">
        <v>52</v>
      </c>
      <c r="O38" t="s">
        <v>5327</v>
      </c>
      <c r="R38" t="s">
        <v>5143</v>
      </c>
      <c r="S38" t="s">
        <v>5329</v>
      </c>
      <c r="T38" t="s">
        <v>5555</v>
      </c>
      <c r="U38" t="s">
        <v>5341</v>
      </c>
      <c r="V38" t="s">
        <v>52</v>
      </c>
      <c r="W38" t="s">
        <v>5558</v>
      </c>
      <c r="X38" t="s">
        <v>150</v>
      </c>
      <c r="Y38" t="s">
        <v>5360</v>
      </c>
      <c r="Z38">
        <v>12</v>
      </c>
      <c r="AA38" t="s">
        <v>5327</v>
      </c>
      <c r="AB38" t="s">
        <v>390</v>
      </c>
      <c r="AC38" t="str">
        <f>Inquiries[[#This Row],[Name]]&amp;"|"&amp;LOWER(TRIM(Inquiries[[#This Row],[Email__c]]))</f>
        <v>Caroline Clark|carolineclark75@yahoo.com</v>
      </c>
      <c r="AD38">
        <f>COUNTIF(Inquiries[Dup Key],Inquiries[[#This Row],[Dup Key]])</f>
        <v>1</v>
      </c>
      <c r="AE38">
        <f>IF(Inquiries[[#This Row],[First_Response_Date__c]]="","",Inquiries[[#This Row],[First_Response_Date__c]]-Inquiries[[#This Row],[Inquiry_Date__c]])</f>
        <v>9</v>
      </c>
      <c r="AF38" s="6" t="str">
        <f>TEXT(Inquiries[[#This Row],[Inquiry_Date__c]], "yyyy-mm")</f>
        <v>2026-05</v>
      </c>
      <c r="AG38" s="6" t="str">
        <f>_xlfn.XLOOKUP(Inquiries[[#This Row],[Requested_Location__c]], Locations[Location Id], Locations[Location Name])</f>
        <v>Toms River</v>
      </c>
    </row>
    <row r="39" spans="2:33">
      <c r="B39" t="s">
        <v>52</v>
      </c>
      <c r="C39" t="s">
        <v>5321</v>
      </c>
      <c r="D39" t="s">
        <v>5559</v>
      </c>
      <c r="E39" t="s">
        <v>5560</v>
      </c>
      <c r="G39" t="s">
        <v>5561</v>
      </c>
      <c r="H39" t="s">
        <v>5562</v>
      </c>
      <c r="I39" s="1">
        <v>46058</v>
      </c>
      <c r="J39" t="s">
        <v>5563</v>
      </c>
      <c r="K39" t="s">
        <v>392</v>
      </c>
      <c r="L39" t="b">
        <v>0</v>
      </c>
      <c r="N39" t="s">
        <v>52</v>
      </c>
      <c r="O39" t="s">
        <v>5327</v>
      </c>
      <c r="R39" t="s">
        <v>5060</v>
      </c>
      <c r="S39" t="s">
        <v>5485</v>
      </c>
      <c r="T39" t="s">
        <v>5561</v>
      </c>
      <c r="U39" t="s">
        <v>5330</v>
      </c>
      <c r="V39" t="s">
        <v>52</v>
      </c>
      <c r="W39" t="s">
        <v>5564</v>
      </c>
      <c r="X39" t="s">
        <v>63</v>
      </c>
      <c r="Y39" t="s">
        <v>5368</v>
      </c>
      <c r="Z39">
        <v>28</v>
      </c>
      <c r="AA39" t="s">
        <v>5327</v>
      </c>
      <c r="AC39" t="str">
        <f>Inquiries[[#This Row],[Name]]&amp;"|"&amp;LOWER(TRIM(Inquiries[[#This Row],[Email__c]]))</f>
        <v>Lucas Smith|lucassmith39@yahoo.com</v>
      </c>
      <c r="AD39">
        <f>COUNTIF(Inquiries[Dup Key],Inquiries[[#This Row],[Dup Key]])</f>
        <v>1</v>
      </c>
      <c r="AE39" t="str">
        <f>IF(Inquiries[[#This Row],[First_Response_Date__c]]="","",Inquiries[[#This Row],[First_Response_Date__c]]-Inquiries[[#This Row],[Inquiry_Date__c]])</f>
        <v/>
      </c>
      <c r="AF39" s="6" t="str">
        <f>TEXT(Inquiries[[#This Row],[Inquiry_Date__c]], "yyyy-mm")</f>
        <v>2026-02</v>
      </c>
      <c r="AG39" s="6" t="str">
        <f>_xlfn.XLOOKUP(Inquiries[[#This Row],[Requested_Location__c]], Locations[Location Id], Locations[Location Name])</f>
        <v>Red Bank</v>
      </c>
    </row>
    <row r="40" spans="2:33">
      <c r="B40" t="s">
        <v>52</v>
      </c>
      <c r="C40" t="s">
        <v>5321</v>
      </c>
      <c r="D40" t="s">
        <v>5565</v>
      </c>
      <c r="E40" t="s">
        <v>5566</v>
      </c>
      <c r="F40" s="1">
        <v>46255</v>
      </c>
      <c r="G40" t="s">
        <v>2610</v>
      </c>
      <c r="H40" t="s">
        <v>5567</v>
      </c>
      <c r="I40" s="1">
        <v>46255</v>
      </c>
      <c r="J40" t="s">
        <v>5568</v>
      </c>
      <c r="K40" t="s">
        <v>78</v>
      </c>
      <c r="L40" t="b">
        <v>0</v>
      </c>
      <c r="N40" t="s">
        <v>52</v>
      </c>
      <c r="O40" t="s">
        <v>5327</v>
      </c>
      <c r="R40" t="s">
        <v>5569</v>
      </c>
      <c r="S40" t="s">
        <v>5400</v>
      </c>
      <c r="T40" t="s">
        <v>2610</v>
      </c>
      <c r="U40" t="s">
        <v>5341</v>
      </c>
      <c r="V40" t="s">
        <v>52</v>
      </c>
      <c r="W40" t="s">
        <v>5570</v>
      </c>
      <c r="X40" t="s">
        <v>63</v>
      </c>
      <c r="Y40" t="s">
        <v>5332</v>
      </c>
      <c r="Z40">
        <v>14</v>
      </c>
      <c r="AA40" t="s">
        <v>5327</v>
      </c>
      <c r="AB40" t="s">
        <v>862</v>
      </c>
      <c r="AC40" t="str">
        <f>Inquiries[[#This Row],[Name]]&amp;"|"&amp;LOWER(TRIM(Inquiries[[#This Row],[Email__c]]))</f>
        <v>Lucy Kowalski|lkowalski@hotmail.com</v>
      </c>
      <c r="AD40">
        <f>COUNTIF(Inquiries[Dup Key],Inquiries[[#This Row],[Dup Key]])</f>
        <v>1</v>
      </c>
      <c r="AE40">
        <f>IF(Inquiries[[#This Row],[First_Response_Date__c]]="","",Inquiries[[#This Row],[First_Response_Date__c]]-Inquiries[[#This Row],[Inquiry_Date__c]])</f>
        <v>0</v>
      </c>
      <c r="AF40" s="6" t="str">
        <f>TEXT(Inquiries[[#This Row],[Inquiry_Date__c]], "yyyy-mm")</f>
        <v>2026-08</v>
      </c>
      <c r="AG40" s="6" t="str">
        <f>_xlfn.XLOOKUP(Inquiries[[#This Row],[Requested_Location__c]], Locations[Location Id], Locations[Location Name])</f>
        <v>Red Bank</v>
      </c>
    </row>
    <row r="41" spans="2:33">
      <c r="B41" t="s">
        <v>52</v>
      </c>
      <c r="C41" t="s">
        <v>5321</v>
      </c>
      <c r="D41" t="s">
        <v>5571</v>
      </c>
      <c r="E41" t="s">
        <v>5572</v>
      </c>
      <c r="F41" s="1">
        <v>46283</v>
      </c>
      <c r="G41" t="s">
        <v>5573</v>
      </c>
      <c r="H41" t="s">
        <v>5574</v>
      </c>
      <c r="I41" s="1">
        <v>46274</v>
      </c>
      <c r="J41" t="s">
        <v>5575</v>
      </c>
      <c r="K41" t="s">
        <v>650</v>
      </c>
      <c r="L41" t="b">
        <v>0</v>
      </c>
      <c r="N41" t="s">
        <v>52</v>
      </c>
      <c r="O41" t="s">
        <v>5327</v>
      </c>
      <c r="R41" t="s">
        <v>5155</v>
      </c>
      <c r="S41" t="s">
        <v>5358</v>
      </c>
      <c r="T41" t="s">
        <v>5573</v>
      </c>
      <c r="U41" t="s">
        <v>5385</v>
      </c>
      <c r="V41" t="s">
        <v>52</v>
      </c>
      <c r="W41" t="s">
        <v>5576</v>
      </c>
      <c r="X41" t="s">
        <v>150</v>
      </c>
      <c r="Y41" t="s">
        <v>5360</v>
      </c>
      <c r="Z41">
        <v>44</v>
      </c>
      <c r="AA41" t="s">
        <v>5327</v>
      </c>
      <c r="AB41" t="s">
        <v>490</v>
      </c>
      <c r="AC41" t="str">
        <f>Inquiries[[#This Row],[Name]]&amp;"|"&amp;LOWER(TRIM(Inquiries[[#This Row],[Email__c]]))</f>
        <v>Matthew Hill|matthewhill32@icloud.com</v>
      </c>
      <c r="AD41">
        <f>COUNTIF(Inquiries[Dup Key],Inquiries[[#This Row],[Dup Key]])</f>
        <v>2</v>
      </c>
      <c r="AE41">
        <f>IF(Inquiries[[#This Row],[First_Response_Date__c]]="","",Inquiries[[#This Row],[First_Response_Date__c]]-Inquiries[[#This Row],[Inquiry_Date__c]])</f>
        <v>9</v>
      </c>
      <c r="AF41" s="6" t="str">
        <f>TEXT(Inquiries[[#This Row],[Inquiry_Date__c]], "yyyy-mm")</f>
        <v>2026-09</v>
      </c>
      <c r="AG41" s="6" t="str">
        <f>_xlfn.XLOOKUP(Inquiries[[#This Row],[Requested_Location__c]], Locations[Location Id], Locations[Location Name])</f>
        <v>Toms River</v>
      </c>
    </row>
    <row r="42" spans="2:33">
      <c r="B42" t="s">
        <v>52</v>
      </c>
      <c r="C42" t="s">
        <v>5321</v>
      </c>
      <c r="D42" t="s">
        <v>5577</v>
      </c>
      <c r="E42" t="s">
        <v>5345</v>
      </c>
      <c r="F42" s="1">
        <v>46201</v>
      </c>
      <c r="G42" t="s">
        <v>5578</v>
      </c>
      <c r="H42" t="s">
        <v>5579</v>
      </c>
      <c r="I42" s="1">
        <v>46198</v>
      </c>
      <c r="J42" t="s">
        <v>5580</v>
      </c>
      <c r="K42" t="s">
        <v>147</v>
      </c>
      <c r="L42" t="b">
        <v>0</v>
      </c>
      <c r="N42" t="s">
        <v>52</v>
      </c>
      <c r="O42" t="s">
        <v>5327</v>
      </c>
      <c r="R42" t="s">
        <v>5268</v>
      </c>
      <c r="S42" t="s">
        <v>5358</v>
      </c>
      <c r="T42" t="s">
        <v>5578</v>
      </c>
      <c r="V42" t="s">
        <v>52</v>
      </c>
      <c r="W42" t="s">
        <v>5581</v>
      </c>
      <c r="X42" t="s">
        <v>83</v>
      </c>
      <c r="Y42" t="s">
        <v>5343</v>
      </c>
      <c r="Z42">
        <v>6</v>
      </c>
      <c r="AA42" t="s">
        <v>5327</v>
      </c>
      <c r="AB42" t="s">
        <v>944</v>
      </c>
      <c r="AC42" t="str">
        <f>Inquiries[[#This Row],[Name]]&amp;"|"&amp;LOWER(TRIM(Inquiries[[#This Row],[Email__c]]))</f>
        <v>Owen Flores|owenflores@hotmail.com</v>
      </c>
      <c r="AD42">
        <f>COUNTIF(Inquiries[Dup Key],Inquiries[[#This Row],[Dup Key]])</f>
        <v>1</v>
      </c>
      <c r="AE42">
        <f>IF(Inquiries[[#This Row],[First_Response_Date__c]]="","",Inquiries[[#This Row],[First_Response_Date__c]]-Inquiries[[#This Row],[Inquiry_Date__c]])</f>
        <v>3</v>
      </c>
      <c r="AF42" s="6" t="str">
        <f>TEXT(Inquiries[[#This Row],[Inquiry_Date__c]], "yyyy-mm")</f>
        <v>2026-06</v>
      </c>
      <c r="AG42" s="6" t="str">
        <f>_xlfn.XLOOKUP(Inquiries[[#This Row],[Requested_Location__c]], Locations[Location Id], Locations[Location Name])</f>
        <v>Brick</v>
      </c>
    </row>
    <row r="43" spans="2:33">
      <c r="B43" t="s">
        <v>52</v>
      </c>
      <c r="C43" t="s">
        <v>5321</v>
      </c>
      <c r="D43" t="s">
        <v>5582</v>
      </c>
      <c r="E43" t="s">
        <v>5118</v>
      </c>
      <c r="F43" s="1">
        <v>46115</v>
      </c>
      <c r="G43" t="s">
        <v>406</v>
      </c>
      <c r="H43" t="s">
        <v>5583</v>
      </c>
      <c r="I43" s="1">
        <v>46106</v>
      </c>
      <c r="J43" t="s">
        <v>5584</v>
      </c>
      <c r="K43" t="s">
        <v>284</v>
      </c>
      <c r="L43" t="b">
        <v>0</v>
      </c>
      <c r="N43" t="s">
        <v>52</v>
      </c>
      <c r="O43" t="s">
        <v>5327</v>
      </c>
      <c r="R43" t="s">
        <v>5392</v>
      </c>
      <c r="S43" t="s">
        <v>5340</v>
      </c>
      <c r="T43" t="s">
        <v>406</v>
      </c>
      <c r="U43" t="s">
        <v>5385</v>
      </c>
      <c r="V43" t="s">
        <v>52</v>
      </c>
      <c r="W43" t="s">
        <v>5585</v>
      </c>
      <c r="X43" t="s">
        <v>150</v>
      </c>
      <c r="Y43" t="s">
        <v>5360</v>
      </c>
      <c r="Z43">
        <v>8</v>
      </c>
      <c r="AA43" t="s">
        <v>5327</v>
      </c>
      <c r="AB43" t="s">
        <v>243</v>
      </c>
      <c r="AC43" t="str">
        <f>Inquiries[[#This Row],[Name]]&amp;"|"&amp;LOWER(TRIM(Inquiries[[#This Row],[Email__c]]))</f>
        <v>Aubrey Anderson|aubrey.anderson@outlook.com</v>
      </c>
      <c r="AD43">
        <f>COUNTIF(Inquiries[Dup Key],Inquiries[[#This Row],[Dup Key]])</f>
        <v>1</v>
      </c>
      <c r="AE43">
        <f>IF(Inquiries[[#This Row],[First_Response_Date__c]]="","",Inquiries[[#This Row],[First_Response_Date__c]]-Inquiries[[#This Row],[Inquiry_Date__c]])</f>
        <v>9</v>
      </c>
      <c r="AF43" s="6" t="str">
        <f>TEXT(Inquiries[[#This Row],[Inquiry_Date__c]], "yyyy-mm")</f>
        <v>2026-03</v>
      </c>
      <c r="AG43" s="6" t="str">
        <f>_xlfn.XLOOKUP(Inquiries[[#This Row],[Requested_Location__c]], Locations[Location Id], Locations[Location Name])</f>
        <v>Toms River</v>
      </c>
    </row>
    <row r="44" spans="2:33">
      <c r="B44" t="s">
        <v>52</v>
      </c>
      <c r="C44" t="s">
        <v>5321</v>
      </c>
      <c r="D44" t="s">
        <v>5586</v>
      </c>
      <c r="E44" t="s">
        <v>5125</v>
      </c>
      <c r="F44" s="1">
        <v>46112</v>
      </c>
      <c r="G44" t="s">
        <v>5587</v>
      </c>
      <c r="H44" t="s">
        <v>5588</v>
      </c>
      <c r="I44" s="1">
        <v>46111</v>
      </c>
      <c r="J44" t="s">
        <v>5589</v>
      </c>
      <c r="K44" t="s">
        <v>203</v>
      </c>
      <c r="L44" t="b">
        <v>0</v>
      </c>
      <c r="N44" t="s">
        <v>52</v>
      </c>
      <c r="O44" t="s">
        <v>5327</v>
      </c>
      <c r="R44" t="s">
        <v>5141</v>
      </c>
      <c r="S44" t="s">
        <v>5329</v>
      </c>
      <c r="T44" t="s">
        <v>5587</v>
      </c>
      <c r="U44" t="s">
        <v>5341</v>
      </c>
      <c r="V44" t="s">
        <v>52</v>
      </c>
      <c r="W44" t="s">
        <v>5590</v>
      </c>
      <c r="X44" t="s">
        <v>63</v>
      </c>
      <c r="Y44" t="s">
        <v>5332</v>
      </c>
      <c r="Z44">
        <v>44</v>
      </c>
      <c r="AA44" t="s">
        <v>5327</v>
      </c>
      <c r="AB44" t="s">
        <v>5260</v>
      </c>
      <c r="AC44" t="str">
        <f>Inquiries[[#This Row],[Name]]&amp;"|"&amp;LOWER(TRIM(Inquiries[[#This Row],[Email__c]]))</f>
        <v>Savannah Ryan|savannahryan@hotmail.com</v>
      </c>
      <c r="AD44">
        <f>COUNTIF(Inquiries[Dup Key],Inquiries[[#This Row],[Dup Key]])</f>
        <v>1</v>
      </c>
      <c r="AE44">
        <f>IF(Inquiries[[#This Row],[First_Response_Date__c]]="","",Inquiries[[#This Row],[First_Response_Date__c]]-Inquiries[[#This Row],[Inquiry_Date__c]])</f>
        <v>1</v>
      </c>
      <c r="AF44" s="6" t="str">
        <f>TEXT(Inquiries[[#This Row],[Inquiry_Date__c]], "yyyy-mm")</f>
        <v>2026-03</v>
      </c>
      <c r="AG44" s="6" t="str">
        <f>_xlfn.XLOOKUP(Inquiries[[#This Row],[Requested_Location__c]], Locations[Location Id], Locations[Location Name])</f>
        <v>Red Bank</v>
      </c>
    </row>
    <row r="45" spans="2:33">
      <c r="B45" t="s">
        <v>52</v>
      </c>
      <c r="C45" t="s">
        <v>5321</v>
      </c>
      <c r="D45" t="s">
        <v>5591</v>
      </c>
      <c r="E45" t="s">
        <v>5592</v>
      </c>
      <c r="F45" s="1">
        <v>46237</v>
      </c>
      <c r="G45" t="s">
        <v>5593</v>
      </c>
      <c r="H45" t="s">
        <v>5594</v>
      </c>
      <c r="I45" s="1">
        <v>46237</v>
      </c>
      <c r="J45" t="s">
        <v>5595</v>
      </c>
      <c r="K45" t="s">
        <v>78</v>
      </c>
      <c r="L45" t="b">
        <v>0</v>
      </c>
      <c r="N45" t="s">
        <v>52</v>
      </c>
      <c r="O45" t="s">
        <v>5327</v>
      </c>
      <c r="R45" t="s">
        <v>5148</v>
      </c>
      <c r="S45" t="s">
        <v>5435</v>
      </c>
      <c r="T45" t="s">
        <v>5593</v>
      </c>
      <c r="U45" t="s">
        <v>5449</v>
      </c>
      <c r="V45" t="s">
        <v>52</v>
      </c>
      <c r="W45" t="s">
        <v>5596</v>
      </c>
      <c r="X45" t="s">
        <v>63</v>
      </c>
      <c r="Y45" t="s">
        <v>5360</v>
      </c>
      <c r="Z45">
        <v>14</v>
      </c>
      <c r="AA45" t="s">
        <v>5327</v>
      </c>
      <c r="AB45" t="s">
        <v>145</v>
      </c>
      <c r="AC45" t="str">
        <f>Inquiries[[#This Row],[Name]]&amp;"|"&amp;LOWER(TRIM(Inquiries[[#This Row],[Email__c]]))</f>
        <v>Harper Okafor|harperokafor87@hotmail.com</v>
      </c>
      <c r="AD45">
        <f>COUNTIF(Inquiries[Dup Key],Inquiries[[#This Row],[Dup Key]])</f>
        <v>1</v>
      </c>
      <c r="AE45">
        <f>IF(Inquiries[[#This Row],[First_Response_Date__c]]="","",Inquiries[[#This Row],[First_Response_Date__c]]-Inquiries[[#This Row],[Inquiry_Date__c]])</f>
        <v>0</v>
      </c>
      <c r="AF45" s="6" t="str">
        <f>TEXT(Inquiries[[#This Row],[Inquiry_Date__c]], "yyyy-mm")</f>
        <v>2026-08</v>
      </c>
      <c r="AG45" s="6" t="str">
        <f>_xlfn.XLOOKUP(Inquiries[[#This Row],[Requested_Location__c]], Locations[Location Id], Locations[Location Name])</f>
        <v>Red Bank</v>
      </c>
    </row>
    <row r="46" spans="2:33">
      <c r="B46" t="s">
        <v>52</v>
      </c>
      <c r="C46" t="s">
        <v>5321</v>
      </c>
      <c r="D46" t="s">
        <v>5597</v>
      </c>
      <c r="E46" t="s">
        <v>5080</v>
      </c>
      <c r="F46" s="1">
        <v>46152</v>
      </c>
      <c r="G46" t="s">
        <v>5598</v>
      </c>
      <c r="H46" t="s">
        <v>5599</v>
      </c>
      <c r="I46" s="1">
        <v>46147</v>
      </c>
      <c r="J46" t="s">
        <v>5600</v>
      </c>
      <c r="K46" t="s">
        <v>237</v>
      </c>
      <c r="L46" t="b">
        <v>0</v>
      </c>
      <c r="N46" t="s">
        <v>52</v>
      </c>
      <c r="O46" t="s">
        <v>5327</v>
      </c>
      <c r="R46" t="s">
        <v>5601</v>
      </c>
      <c r="S46" t="s">
        <v>5350</v>
      </c>
      <c r="T46" t="s">
        <v>5598</v>
      </c>
      <c r="U46" t="s">
        <v>5385</v>
      </c>
      <c r="V46" t="s">
        <v>52</v>
      </c>
      <c r="W46" t="s">
        <v>5602</v>
      </c>
      <c r="X46" t="s">
        <v>150</v>
      </c>
      <c r="Y46" t="s">
        <v>5332</v>
      </c>
      <c r="Z46">
        <v>6</v>
      </c>
      <c r="AA46" t="s">
        <v>5327</v>
      </c>
      <c r="AB46" t="s">
        <v>777</v>
      </c>
      <c r="AC46" t="str">
        <f>Inquiries[[#This Row],[Name]]&amp;"|"&amp;LOWER(TRIM(Inquiries[[#This Row],[Email__c]]))</f>
        <v>Fatima Kim|fatima.kim@gmail.com</v>
      </c>
      <c r="AD46">
        <f>COUNTIF(Inquiries[Dup Key],Inquiries[[#This Row],[Dup Key]])</f>
        <v>1</v>
      </c>
      <c r="AE46">
        <f>IF(Inquiries[[#This Row],[First_Response_Date__c]]="","",Inquiries[[#This Row],[First_Response_Date__c]]-Inquiries[[#This Row],[Inquiry_Date__c]])</f>
        <v>5</v>
      </c>
      <c r="AF46" s="6" t="str">
        <f>TEXT(Inquiries[[#This Row],[Inquiry_Date__c]], "yyyy-mm")</f>
        <v>2026-05</v>
      </c>
      <c r="AG46" s="6" t="str">
        <f>_xlfn.XLOOKUP(Inquiries[[#This Row],[Requested_Location__c]], Locations[Location Id], Locations[Location Name])</f>
        <v>Toms River</v>
      </c>
    </row>
    <row r="47" spans="2:33">
      <c r="B47" t="s">
        <v>52</v>
      </c>
      <c r="C47" t="s">
        <v>5321</v>
      </c>
      <c r="D47" t="s">
        <v>5603</v>
      </c>
      <c r="E47" t="s">
        <v>5604</v>
      </c>
      <c r="F47" s="1">
        <v>46078</v>
      </c>
      <c r="G47" t="s">
        <v>5605</v>
      </c>
      <c r="H47" t="s">
        <v>5606</v>
      </c>
      <c r="I47" s="1">
        <v>46069</v>
      </c>
      <c r="J47" t="s">
        <v>5607</v>
      </c>
      <c r="K47" t="s">
        <v>392</v>
      </c>
      <c r="L47" t="b">
        <v>0</v>
      </c>
      <c r="N47" t="s">
        <v>52</v>
      </c>
      <c r="O47" t="s">
        <v>5327</v>
      </c>
      <c r="R47" t="s">
        <v>5111</v>
      </c>
      <c r="S47" t="s">
        <v>5329</v>
      </c>
      <c r="T47" t="s">
        <v>5605</v>
      </c>
      <c r="U47" t="s">
        <v>5449</v>
      </c>
      <c r="V47" t="s">
        <v>52</v>
      </c>
      <c r="W47" t="s">
        <v>5608</v>
      </c>
      <c r="X47" t="s">
        <v>150</v>
      </c>
      <c r="Y47" t="s">
        <v>5332</v>
      </c>
      <c r="Z47">
        <v>8</v>
      </c>
      <c r="AA47" t="s">
        <v>5327</v>
      </c>
      <c r="AB47" t="s">
        <v>503</v>
      </c>
      <c r="AC47" t="str">
        <f>Inquiries[[#This Row],[Name]]&amp;"|"&amp;LOWER(TRIM(Inquiries[[#This Row],[Email__c]]))</f>
        <v>Nora Johnson|norajohnson@hotmail.com</v>
      </c>
      <c r="AD47">
        <f>COUNTIF(Inquiries[Dup Key],Inquiries[[#This Row],[Dup Key]])</f>
        <v>1</v>
      </c>
      <c r="AE47">
        <f>IF(Inquiries[[#This Row],[First_Response_Date__c]]="","",Inquiries[[#This Row],[First_Response_Date__c]]-Inquiries[[#This Row],[Inquiry_Date__c]])</f>
        <v>9</v>
      </c>
      <c r="AF47" s="6" t="str">
        <f>TEXT(Inquiries[[#This Row],[Inquiry_Date__c]], "yyyy-mm")</f>
        <v>2026-02</v>
      </c>
      <c r="AG47" s="6" t="str">
        <f>_xlfn.XLOOKUP(Inquiries[[#This Row],[Requested_Location__c]], Locations[Location Id], Locations[Location Name])</f>
        <v>Toms River</v>
      </c>
    </row>
    <row r="48" spans="2:33">
      <c r="B48" t="s">
        <v>52</v>
      </c>
      <c r="C48" t="s">
        <v>5321</v>
      </c>
      <c r="D48" t="s">
        <v>5609</v>
      </c>
      <c r="E48" t="s">
        <v>5610</v>
      </c>
      <c r="F48" s="1">
        <v>46194</v>
      </c>
      <c r="G48" t="s">
        <v>5611</v>
      </c>
      <c r="H48" t="s">
        <v>5612</v>
      </c>
      <c r="I48" s="1">
        <v>46194</v>
      </c>
      <c r="J48" t="s">
        <v>5613</v>
      </c>
      <c r="K48" t="s">
        <v>237</v>
      </c>
      <c r="L48" t="b">
        <v>0</v>
      </c>
      <c r="N48" t="s">
        <v>52</v>
      </c>
      <c r="O48" t="s">
        <v>5327</v>
      </c>
      <c r="R48" t="s">
        <v>5161</v>
      </c>
      <c r="S48" t="s">
        <v>5400</v>
      </c>
      <c r="T48" t="s">
        <v>5611</v>
      </c>
      <c r="U48" t="s">
        <v>5341</v>
      </c>
      <c r="V48" t="s">
        <v>52</v>
      </c>
      <c r="W48" t="s">
        <v>5614</v>
      </c>
      <c r="X48" t="s">
        <v>63</v>
      </c>
      <c r="Y48" t="s">
        <v>5360</v>
      </c>
      <c r="Z48">
        <v>12</v>
      </c>
      <c r="AA48" t="s">
        <v>5327</v>
      </c>
      <c r="AB48" t="s">
        <v>764</v>
      </c>
      <c r="AC48" t="str">
        <f>Inquiries[[#This Row],[Name]]&amp;"|"&amp;LOWER(TRIM(Inquiries[[#This Row],[Email__c]]))</f>
        <v>Declan Allen|declanallen@yahoo.com</v>
      </c>
      <c r="AD48">
        <f>COUNTIF(Inquiries[Dup Key],Inquiries[[#This Row],[Dup Key]])</f>
        <v>1</v>
      </c>
      <c r="AE48">
        <f>IF(Inquiries[[#This Row],[First_Response_Date__c]]="","",Inquiries[[#This Row],[First_Response_Date__c]]-Inquiries[[#This Row],[Inquiry_Date__c]])</f>
        <v>0</v>
      </c>
      <c r="AF48" s="6" t="str">
        <f>TEXT(Inquiries[[#This Row],[Inquiry_Date__c]], "yyyy-mm")</f>
        <v>2026-06</v>
      </c>
      <c r="AG48" s="6" t="str">
        <f>_xlfn.XLOOKUP(Inquiries[[#This Row],[Requested_Location__c]], Locations[Location Id], Locations[Location Name])</f>
        <v>Red Bank</v>
      </c>
    </row>
    <row r="49" spans="2:33">
      <c r="B49" t="s">
        <v>52</v>
      </c>
      <c r="C49" t="s">
        <v>5321</v>
      </c>
      <c r="D49" t="s">
        <v>5615</v>
      </c>
      <c r="E49" t="s">
        <v>5136</v>
      </c>
      <c r="F49" s="1">
        <v>46166</v>
      </c>
      <c r="G49" t="s">
        <v>5616</v>
      </c>
      <c r="H49" t="s">
        <v>5617</v>
      </c>
      <c r="I49" s="1">
        <v>46164</v>
      </c>
      <c r="J49" t="s">
        <v>5618</v>
      </c>
      <c r="K49" t="s">
        <v>263</v>
      </c>
      <c r="L49" t="b">
        <v>0</v>
      </c>
      <c r="N49" t="s">
        <v>52</v>
      </c>
      <c r="O49" t="s">
        <v>5327</v>
      </c>
      <c r="R49" t="s">
        <v>5196</v>
      </c>
      <c r="S49" t="s">
        <v>5358</v>
      </c>
      <c r="T49" t="s">
        <v>5616</v>
      </c>
      <c r="U49" t="s">
        <v>5385</v>
      </c>
      <c r="V49" t="s">
        <v>52</v>
      </c>
      <c r="W49" t="s">
        <v>5619</v>
      </c>
      <c r="X49" t="s">
        <v>83</v>
      </c>
      <c r="Y49" t="s">
        <v>5332</v>
      </c>
      <c r="Z49">
        <v>8</v>
      </c>
      <c r="AA49" t="s">
        <v>5327</v>
      </c>
      <c r="AB49" t="s">
        <v>436</v>
      </c>
      <c r="AC49" t="str">
        <f>Inquiries[[#This Row],[Name]]&amp;"|"&amp;LOWER(TRIM(Inquiries[[#This Row],[Email__c]]))</f>
        <v>Jamal Rivera|jamal.rivera@outlook.com</v>
      </c>
      <c r="AD49">
        <f>COUNTIF(Inquiries[Dup Key],Inquiries[[#This Row],[Dup Key]])</f>
        <v>1</v>
      </c>
      <c r="AE49">
        <f>IF(Inquiries[[#This Row],[First_Response_Date__c]]="","",Inquiries[[#This Row],[First_Response_Date__c]]-Inquiries[[#This Row],[Inquiry_Date__c]])</f>
        <v>2</v>
      </c>
      <c r="AF49" s="6" t="str">
        <f>TEXT(Inquiries[[#This Row],[Inquiry_Date__c]], "yyyy-mm")</f>
        <v>2026-05</v>
      </c>
      <c r="AG49" s="6" t="str">
        <f>_xlfn.XLOOKUP(Inquiries[[#This Row],[Requested_Location__c]], Locations[Location Id], Locations[Location Name])</f>
        <v>Brick</v>
      </c>
    </row>
    <row r="50" spans="2:33">
      <c r="B50" t="s">
        <v>52</v>
      </c>
      <c r="C50" t="s">
        <v>5321</v>
      </c>
      <c r="D50" t="s">
        <v>5620</v>
      </c>
      <c r="E50" t="s">
        <v>5420</v>
      </c>
      <c r="F50" s="1">
        <v>46101</v>
      </c>
      <c r="G50" t="s">
        <v>5621</v>
      </c>
      <c r="H50" t="s">
        <v>5622</v>
      </c>
      <c r="I50" s="1">
        <v>46101</v>
      </c>
      <c r="J50" t="s">
        <v>5623</v>
      </c>
      <c r="K50" t="s">
        <v>107</v>
      </c>
      <c r="L50" t="b">
        <v>0</v>
      </c>
      <c r="N50" t="s">
        <v>52</v>
      </c>
      <c r="O50" t="s">
        <v>5327</v>
      </c>
      <c r="R50" t="s">
        <v>5128</v>
      </c>
      <c r="S50" t="s">
        <v>5485</v>
      </c>
      <c r="T50" t="s">
        <v>5621</v>
      </c>
      <c r="U50" t="s">
        <v>5341</v>
      </c>
      <c r="V50" t="s">
        <v>52</v>
      </c>
      <c r="W50" t="s">
        <v>5624</v>
      </c>
      <c r="X50" t="s">
        <v>150</v>
      </c>
      <c r="Y50" t="s">
        <v>5332</v>
      </c>
      <c r="Z50">
        <v>12</v>
      </c>
      <c r="AA50" t="s">
        <v>5327</v>
      </c>
      <c r="AB50" t="s">
        <v>282</v>
      </c>
      <c r="AC50" t="str">
        <f>Inquiries[[#This Row],[Name]]&amp;"|"&amp;LOWER(TRIM(Inquiries[[#This Row],[Email__c]]))</f>
        <v>Jonah Silva|jonah.silva@hotmail.com</v>
      </c>
      <c r="AD50">
        <f>COUNTIF(Inquiries[Dup Key],Inquiries[[#This Row],[Dup Key]])</f>
        <v>1</v>
      </c>
      <c r="AE50">
        <f>IF(Inquiries[[#This Row],[First_Response_Date__c]]="","",Inquiries[[#This Row],[First_Response_Date__c]]-Inquiries[[#This Row],[Inquiry_Date__c]])</f>
        <v>0</v>
      </c>
      <c r="AF50" s="6" t="str">
        <f>TEXT(Inquiries[[#This Row],[Inquiry_Date__c]], "yyyy-mm")</f>
        <v>2026-03</v>
      </c>
      <c r="AG50" s="6" t="str">
        <f>_xlfn.XLOOKUP(Inquiries[[#This Row],[Requested_Location__c]], Locations[Location Id], Locations[Location Name])</f>
        <v>Toms River</v>
      </c>
    </row>
    <row r="51" spans="2:33">
      <c r="B51" t="s">
        <v>52</v>
      </c>
      <c r="C51" t="s">
        <v>5321</v>
      </c>
      <c r="D51" t="s">
        <v>5625</v>
      </c>
      <c r="E51" t="s">
        <v>5452</v>
      </c>
      <c r="F51" s="1">
        <v>46186</v>
      </c>
      <c r="G51" t="s">
        <v>5626</v>
      </c>
      <c r="H51" t="s">
        <v>5627</v>
      </c>
      <c r="I51" s="1">
        <v>46186</v>
      </c>
      <c r="J51" t="s">
        <v>5628</v>
      </c>
      <c r="K51" t="s">
        <v>107</v>
      </c>
      <c r="L51" t="b">
        <v>0</v>
      </c>
      <c r="N51" t="s">
        <v>52</v>
      </c>
      <c r="O51" t="s">
        <v>5327</v>
      </c>
      <c r="R51" t="s">
        <v>5629</v>
      </c>
      <c r="S51" t="s">
        <v>5435</v>
      </c>
      <c r="T51" t="s">
        <v>5626</v>
      </c>
      <c r="U51" t="s">
        <v>5330</v>
      </c>
      <c r="V51" t="s">
        <v>52</v>
      </c>
      <c r="W51" t="s">
        <v>5630</v>
      </c>
      <c r="X51" t="s">
        <v>63</v>
      </c>
      <c r="Y51" t="s">
        <v>5360</v>
      </c>
      <c r="Z51">
        <v>16</v>
      </c>
      <c r="AA51" t="s">
        <v>5327</v>
      </c>
      <c r="AB51" t="s">
        <v>804</v>
      </c>
      <c r="AC51" t="str">
        <f>Inquiries[[#This Row],[Name]]&amp;"|"&amp;LOWER(TRIM(Inquiries[[#This Row],[Email__c]]))</f>
        <v>Nathan Murphy|nmurphy@outlook.com</v>
      </c>
      <c r="AD51">
        <f>COUNTIF(Inquiries[Dup Key],Inquiries[[#This Row],[Dup Key]])</f>
        <v>1</v>
      </c>
      <c r="AE51">
        <f>IF(Inquiries[[#This Row],[First_Response_Date__c]]="","",Inquiries[[#This Row],[First_Response_Date__c]]-Inquiries[[#This Row],[Inquiry_Date__c]])</f>
        <v>0</v>
      </c>
      <c r="AF51" s="6" t="str">
        <f>TEXT(Inquiries[[#This Row],[Inquiry_Date__c]], "yyyy-mm")</f>
        <v>2026-06</v>
      </c>
      <c r="AG51" s="6" t="str">
        <f>_xlfn.XLOOKUP(Inquiries[[#This Row],[Requested_Location__c]], Locations[Location Id], Locations[Location Name])</f>
        <v>Red Bank</v>
      </c>
    </row>
    <row r="52" spans="2:33">
      <c r="B52" t="s">
        <v>52</v>
      </c>
      <c r="C52" t="s">
        <v>5321</v>
      </c>
      <c r="D52" t="s">
        <v>5631</v>
      </c>
      <c r="E52" t="s">
        <v>5240</v>
      </c>
      <c r="F52" s="1">
        <v>46224</v>
      </c>
      <c r="G52" t="s">
        <v>364</v>
      </c>
      <c r="H52" t="s">
        <v>5632</v>
      </c>
      <c r="I52" s="1">
        <v>46223</v>
      </c>
      <c r="J52" t="s">
        <v>5633</v>
      </c>
      <c r="K52" t="s">
        <v>237</v>
      </c>
      <c r="L52" t="b">
        <v>0</v>
      </c>
      <c r="N52" t="s">
        <v>52</v>
      </c>
      <c r="O52" t="s">
        <v>5327</v>
      </c>
      <c r="R52" t="s">
        <v>5285</v>
      </c>
      <c r="S52" t="s">
        <v>5435</v>
      </c>
      <c r="T52" t="s">
        <v>364</v>
      </c>
      <c r="U52" t="s">
        <v>5385</v>
      </c>
      <c r="V52" t="s">
        <v>52</v>
      </c>
      <c r="W52" t="s">
        <v>5634</v>
      </c>
      <c r="X52" t="s">
        <v>83</v>
      </c>
      <c r="Y52" t="s">
        <v>5360</v>
      </c>
      <c r="Z52">
        <v>14</v>
      </c>
      <c r="AA52" t="s">
        <v>5327</v>
      </c>
      <c r="AB52" t="s">
        <v>55</v>
      </c>
      <c r="AC52" t="str">
        <f>Inquiries[[#This Row],[Name]]&amp;"|"&amp;LOWER(TRIM(Inquiries[[#This Row],[Email__c]]))</f>
        <v>Rowan Carter|rowancarter@hotmail.com</v>
      </c>
      <c r="AD52">
        <f>COUNTIF(Inquiries[Dup Key],Inquiries[[#This Row],[Dup Key]])</f>
        <v>1</v>
      </c>
      <c r="AE52">
        <f>IF(Inquiries[[#This Row],[First_Response_Date__c]]="","",Inquiries[[#This Row],[First_Response_Date__c]]-Inquiries[[#This Row],[Inquiry_Date__c]])</f>
        <v>1</v>
      </c>
      <c r="AF52" s="6" t="str">
        <f>TEXT(Inquiries[[#This Row],[Inquiry_Date__c]], "yyyy-mm")</f>
        <v>2026-07</v>
      </c>
      <c r="AG52" s="6" t="str">
        <f>_xlfn.XLOOKUP(Inquiries[[#This Row],[Requested_Location__c]], Locations[Location Id], Locations[Location Name])</f>
        <v>Brick</v>
      </c>
    </row>
    <row r="53" spans="2:33">
      <c r="B53" t="s">
        <v>52</v>
      </c>
      <c r="C53" t="s">
        <v>5321</v>
      </c>
      <c r="D53" t="s">
        <v>5635</v>
      </c>
      <c r="E53" t="s">
        <v>5636</v>
      </c>
      <c r="F53" s="1">
        <v>46165</v>
      </c>
      <c r="G53" t="s">
        <v>5637</v>
      </c>
      <c r="H53" t="s">
        <v>5638</v>
      </c>
      <c r="I53" s="1">
        <v>46083</v>
      </c>
      <c r="J53" t="s">
        <v>5639</v>
      </c>
      <c r="K53" t="s">
        <v>263</v>
      </c>
      <c r="L53" t="b">
        <v>0</v>
      </c>
      <c r="N53" t="s">
        <v>52</v>
      </c>
      <c r="O53" t="s">
        <v>5327</v>
      </c>
      <c r="R53" t="s">
        <v>5640</v>
      </c>
      <c r="S53" t="s">
        <v>5329</v>
      </c>
      <c r="T53" t="s">
        <v>5637</v>
      </c>
      <c r="U53" t="s">
        <v>5385</v>
      </c>
      <c r="V53" t="s">
        <v>52</v>
      </c>
      <c r="W53" t="s">
        <v>5641</v>
      </c>
      <c r="X53" t="s">
        <v>63</v>
      </c>
      <c r="Y53" t="s">
        <v>5343</v>
      </c>
      <c r="Z53">
        <v>12</v>
      </c>
      <c r="AA53" t="s">
        <v>5327</v>
      </c>
      <c r="AB53" t="s">
        <v>901</v>
      </c>
      <c r="AC53" t="str">
        <f>Inquiries[[#This Row],[Name]]&amp;"|"&amp;LOWER(TRIM(Inquiries[[#This Row],[Email__c]]))</f>
        <v>Scarlett Robinson|scarlettrobinson83@icloud.com</v>
      </c>
      <c r="AD53">
        <f>COUNTIF(Inquiries[Dup Key],Inquiries[[#This Row],[Dup Key]])</f>
        <v>1</v>
      </c>
      <c r="AE53">
        <f>IF(Inquiries[[#This Row],[First_Response_Date__c]]="","",Inquiries[[#This Row],[First_Response_Date__c]]-Inquiries[[#This Row],[Inquiry_Date__c]])</f>
        <v>82</v>
      </c>
      <c r="AF53" s="6" t="str">
        <f>TEXT(Inquiries[[#This Row],[Inquiry_Date__c]], "yyyy-mm")</f>
        <v>2026-03</v>
      </c>
      <c r="AG53" s="6" t="str">
        <f>_xlfn.XLOOKUP(Inquiries[[#This Row],[Requested_Location__c]], Locations[Location Id], Locations[Location Name])</f>
        <v>Red Bank</v>
      </c>
    </row>
    <row r="54" spans="2:33">
      <c r="B54" t="s">
        <v>52</v>
      </c>
      <c r="C54" t="s">
        <v>5321</v>
      </c>
      <c r="D54" t="s">
        <v>5642</v>
      </c>
      <c r="E54" t="s">
        <v>5114</v>
      </c>
      <c r="F54" s="1">
        <v>46217</v>
      </c>
      <c r="G54" t="s">
        <v>5643</v>
      </c>
      <c r="H54" t="s">
        <v>5644</v>
      </c>
      <c r="I54" s="1">
        <v>46216</v>
      </c>
      <c r="J54" t="s">
        <v>5645</v>
      </c>
      <c r="K54" t="s">
        <v>392</v>
      </c>
      <c r="L54" t="b">
        <v>0</v>
      </c>
      <c r="N54" t="s">
        <v>52</v>
      </c>
      <c r="O54" t="s">
        <v>5327</v>
      </c>
      <c r="R54" t="s">
        <v>5133</v>
      </c>
      <c r="S54" t="s">
        <v>5340</v>
      </c>
      <c r="T54" t="s">
        <v>5643</v>
      </c>
      <c r="V54" t="s">
        <v>52</v>
      </c>
      <c r="W54" t="s">
        <v>5646</v>
      </c>
      <c r="X54" t="s">
        <v>63</v>
      </c>
      <c r="Y54" t="s">
        <v>5360</v>
      </c>
      <c r="Z54">
        <v>12</v>
      </c>
      <c r="AA54" t="s">
        <v>5327</v>
      </c>
      <c r="AB54" t="s">
        <v>548</v>
      </c>
      <c r="AC54" t="str">
        <f>Inquiries[[#This Row],[Name]]&amp;"|"&amp;LOWER(TRIM(Inquiries[[#This Row],[Email__c]]))</f>
        <v>Liam Perez|liamperez99@gmail.com</v>
      </c>
      <c r="AD54">
        <f>COUNTIF(Inquiries[Dup Key],Inquiries[[#This Row],[Dup Key]])</f>
        <v>1</v>
      </c>
      <c r="AE54">
        <f>IF(Inquiries[[#This Row],[First_Response_Date__c]]="","",Inquiries[[#This Row],[First_Response_Date__c]]-Inquiries[[#This Row],[Inquiry_Date__c]])</f>
        <v>1</v>
      </c>
      <c r="AF54" s="6" t="str">
        <f>TEXT(Inquiries[[#This Row],[Inquiry_Date__c]], "yyyy-mm")</f>
        <v>2026-07</v>
      </c>
      <c r="AG54" s="6" t="str">
        <f>_xlfn.XLOOKUP(Inquiries[[#This Row],[Requested_Location__c]], Locations[Location Id], Locations[Location Name])</f>
        <v>Red Bank</v>
      </c>
    </row>
    <row r="55" spans="2:33">
      <c r="B55" t="s">
        <v>52</v>
      </c>
      <c r="C55" t="s">
        <v>5321</v>
      </c>
      <c r="D55" t="s">
        <v>5647</v>
      </c>
      <c r="E55" t="s">
        <v>5131</v>
      </c>
      <c r="F55" s="1">
        <v>46078</v>
      </c>
      <c r="G55" t="s">
        <v>5648</v>
      </c>
      <c r="H55" t="s">
        <v>5649</v>
      </c>
      <c r="I55" s="1">
        <v>46078</v>
      </c>
      <c r="J55" t="s">
        <v>5650</v>
      </c>
      <c r="K55" t="s">
        <v>78</v>
      </c>
      <c r="L55" t="b">
        <v>0</v>
      </c>
      <c r="N55" t="s">
        <v>52</v>
      </c>
      <c r="O55" t="s">
        <v>5327</v>
      </c>
      <c r="R55" t="s">
        <v>5268</v>
      </c>
      <c r="S55" t="s">
        <v>5358</v>
      </c>
      <c r="T55" t="s">
        <v>5648</v>
      </c>
      <c r="U55" t="s">
        <v>5351</v>
      </c>
      <c r="V55" t="s">
        <v>52</v>
      </c>
      <c r="W55" t="s">
        <v>5651</v>
      </c>
      <c r="X55" t="s">
        <v>63</v>
      </c>
      <c r="Y55" t="s">
        <v>5343</v>
      </c>
      <c r="Z55">
        <v>14</v>
      </c>
      <c r="AA55" t="s">
        <v>5327</v>
      </c>
      <c r="AB55" t="s">
        <v>201</v>
      </c>
      <c r="AC55" t="str">
        <f>Inquiries[[#This Row],[Name]]&amp;"|"&amp;LOWER(TRIM(Inquiries[[#This Row],[Email__c]]))</f>
        <v>Leo Flores|leoflores@hotmail.com</v>
      </c>
      <c r="AD55">
        <f>COUNTIF(Inquiries[Dup Key],Inquiries[[#This Row],[Dup Key]])</f>
        <v>1</v>
      </c>
      <c r="AE55">
        <f>IF(Inquiries[[#This Row],[First_Response_Date__c]]="","",Inquiries[[#This Row],[First_Response_Date__c]]-Inquiries[[#This Row],[Inquiry_Date__c]])</f>
        <v>0</v>
      </c>
      <c r="AF55" s="6" t="str">
        <f>TEXT(Inquiries[[#This Row],[Inquiry_Date__c]], "yyyy-mm")</f>
        <v>2026-02</v>
      </c>
      <c r="AG55" s="6" t="str">
        <f>_xlfn.XLOOKUP(Inquiries[[#This Row],[Requested_Location__c]], Locations[Location Id], Locations[Location Name])</f>
        <v>Red Bank</v>
      </c>
    </row>
    <row r="56" spans="2:33">
      <c r="B56" t="s">
        <v>52</v>
      </c>
      <c r="C56" t="s">
        <v>5321</v>
      </c>
      <c r="D56" t="s">
        <v>5652</v>
      </c>
      <c r="E56" t="s">
        <v>5235</v>
      </c>
      <c r="F56" s="1">
        <v>46145</v>
      </c>
      <c r="G56" t="s">
        <v>5653</v>
      </c>
      <c r="H56" t="s">
        <v>5654</v>
      </c>
      <c r="I56" s="1">
        <v>46142</v>
      </c>
      <c r="J56" t="s">
        <v>5655</v>
      </c>
      <c r="K56" t="s">
        <v>284</v>
      </c>
      <c r="L56" t="b">
        <v>0</v>
      </c>
      <c r="N56" t="s">
        <v>52</v>
      </c>
      <c r="O56" t="s">
        <v>5327</v>
      </c>
      <c r="R56" t="s">
        <v>5067</v>
      </c>
      <c r="S56" t="s">
        <v>5350</v>
      </c>
      <c r="T56" t="s">
        <v>5653</v>
      </c>
      <c r="U56" t="s">
        <v>5341</v>
      </c>
      <c r="V56" t="s">
        <v>52</v>
      </c>
      <c r="W56" t="s">
        <v>5656</v>
      </c>
      <c r="X56" t="s">
        <v>150</v>
      </c>
      <c r="Y56" t="s">
        <v>5332</v>
      </c>
      <c r="Z56">
        <v>8</v>
      </c>
      <c r="AA56" t="s">
        <v>5327</v>
      </c>
      <c r="AB56" t="s">
        <v>804</v>
      </c>
      <c r="AC56" t="str">
        <f>Inquiries[[#This Row],[Name]]&amp;"|"&amp;LOWER(TRIM(Inquiries[[#This Row],[Email__c]]))</f>
        <v>Aiden Mitchell|aidenmitchell3@icloud.com</v>
      </c>
      <c r="AD56">
        <f>COUNTIF(Inquiries[Dup Key],Inquiries[[#This Row],[Dup Key]])</f>
        <v>1</v>
      </c>
      <c r="AE56">
        <f>IF(Inquiries[[#This Row],[First_Response_Date__c]]="","",Inquiries[[#This Row],[First_Response_Date__c]]-Inquiries[[#This Row],[Inquiry_Date__c]])</f>
        <v>3</v>
      </c>
      <c r="AF56" s="6" t="str">
        <f>TEXT(Inquiries[[#This Row],[Inquiry_Date__c]], "yyyy-mm")</f>
        <v>2026-04</v>
      </c>
      <c r="AG56" s="6" t="str">
        <f>_xlfn.XLOOKUP(Inquiries[[#This Row],[Requested_Location__c]], Locations[Location Id], Locations[Location Name])</f>
        <v>Toms River</v>
      </c>
    </row>
    <row r="57" spans="2:33">
      <c r="B57" t="s">
        <v>52</v>
      </c>
      <c r="C57" t="s">
        <v>5321</v>
      </c>
      <c r="D57" t="s">
        <v>5657</v>
      </c>
      <c r="E57" t="s">
        <v>5219</v>
      </c>
      <c r="F57" s="1">
        <v>46152</v>
      </c>
      <c r="G57" t="s">
        <v>5658</v>
      </c>
      <c r="H57" t="s">
        <v>5659</v>
      </c>
      <c r="I57" s="1">
        <v>46147</v>
      </c>
      <c r="J57" t="s">
        <v>5660</v>
      </c>
      <c r="K57" t="s">
        <v>284</v>
      </c>
      <c r="L57" t="b">
        <v>0</v>
      </c>
      <c r="N57" t="s">
        <v>52</v>
      </c>
      <c r="O57" t="s">
        <v>5327</v>
      </c>
      <c r="R57" t="s">
        <v>5272</v>
      </c>
      <c r="S57" t="s">
        <v>5350</v>
      </c>
      <c r="T57" t="s">
        <v>5658</v>
      </c>
      <c r="U57" t="s">
        <v>5351</v>
      </c>
      <c r="V57" t="s">
        <v>52</v>
      </c>
      <c r="W57" t="s">
        <v>5661</v>
      </c>
      <c r="X57" t="s">
        <v>63</v>
      </c>
      <c r="Y57" t="s">
        <v>5343</v>
      </c>
      <c r="Z57">
        <v>35</v>
      </c>
      <c r="AA57" t="s">
        <v>5327</v>
      </c>
      <c r="AB57" t="s">
        <v>1076</v>
      </c>
      <c r="AC57" t="str">
        <f>Inquiries[[#This Row],[Name]]&amp;"|"&amp;LOWER(TRIM(Inquiries[[#This Row],[Email__c]]))</f>
        <v>Adrian Nelson|anelson@icloud.com</v>
      </c>
      <c r="AD57">
        <f>COUNTIF(Inquiries[Dup Key],Inquiries[[#This Row],[Dup Key]])</f>
        <v>1</v>
      </c>
      <c r="AE57">
        <f>IF(Inquiries[[#This Row],[First_Response_Date__c]]="","",Inquiries[[#This Row],[First_Response_Date__c]]-Inquiries[[#This Row],[Inquiry_Date__c]])</f>
        <v>5</v>
      </c>
      <c r="AF57" s="6" t="str">
        <f>TEXT(Inquiries[[#This Row],[Inquiry_Date__c]], "yyyy-mm")</f>
        <v>2026-05</v>
      </c>
      <c r="AG57" s="6" t="str">
        <f>_xlfn.XLOOKUP(Inquiries[[#This Row],[Requested_Location__c]], Locations[Location Id], Locations[Location Name])</f>
        <v>Red Bank</v>
      </c>
    </row>
    <row r="58" spans="2:33">
      <c r="B58" t="s">
        <v>52</v>
      </c>
      <c r="C58" t="s">
        <v>5321</v>
      </c>
      <c r="D58" t="s">
        <v>5662</v>
      </c>
      <c r="E58" t="s">
        <v>5240</v>
      </c>
      <c r="F58" s="1">
        <v>46221</v>
      </c>
      <c r="G58" t="s">
        <v>5663</v>
      </c>
      <c r="H58" t="s">
        <v>5664</v>
      </c>
      <c r="I58" s="1">
        <v>46220</v>
      </c>
      <c r="J58" t="s">
        <v>5665</v>
      </c>
      <c r="K58" t="s">
        <v>203</v>
      </c>
      <c r="L58" t="b">
        <v>0</v>
      </c>
      <c r="N58" t="s">
        <v>52</v>
      </c>
      <c r="O58" t="s">
        <v>5327</v>
      </c>
      <c r="R58" t="s">
        <v>5666</v>
      </c>
      <c r="S58" t="s">
        <v>5393</v>
      </c>
      <c r="T58" t="s">
        <v>5663</v>
      </c>
      <c r="V58" t="s">
        <v>52</v>
      </c>
      <c r="W58" t="s">
        <v>5667</v>
      </c>
      <c r="X58" t="s">
        <v>63</v>
      </c>
      <c r="Y58" t="s">
        <v>5360</v>
      </c>
      <c r="Z58">
        <v>55</v>
      </c>
      <c r="AA58" t="s">
        <v>5327</v>
      </c>
      <c r="AB58" t="s">
        <v>89</v>
      </c>
      <c r="AC58" t="str">
        <f>Inquiries[[#This Row],[Name]]&amp;"|"&amp;LOWER(TRIM(Inquiries[[#This Row],[Email__c]]))</f>
        <v>Rowan Dubois|rdubois@gmail.com</v>
      </c>
      <c r="AD58">
        <f>COUNTIF(Inquiries[Dup Key],Inquiries[[#This Row],[Dup Key]])</f>
        <v>1</v>
      </c>
      <c r="AE58">
        <f>IF(Inquiries[[#This Row],[First_Response_Date__c]]="","",Inquiries[[#This Row],[First_Response_Date__c]]-Inquiries[[#This Row],[Inquiry_Date__c]])</f>
        <v>1</v>
      </c>
      <c r="AF58" s="6" t="str">
        <f>TEXT(Inquiries[[#This Row],[Inquiry_Date__c]], "yyyy-mm")</f>
        <v>2026-07</v>
      </c>
      <c r="AG58" s="6" t="str">
        <f>_xlfn.XLOOKUP(Inquiries[[#This Row],[Requested_Location__c]], Locations[Location Id], Locations[Location Name])</f>
        <v>Red Bank</v>
      </c>
    </row>
    <row r="59" spans="2:33">
      <c r="B59" t="s">
        <v>52</v>
      </c>
      <c r="C59" t="s">
        <v>5321</v>
      </c>
      <c r="D59" t="s">
        <v>5668</v>
      </c>
      <c r="E59" t="s">
        <v>5669</v>
      </c>
      <c r="G59" t="s">
        <v>5670</v>
      </c>
      <c r="H59" t="s">
        <v>5671</v>
      </c>
      <c r="I59" s="1">
        <v>46143</v>
      </c>
      <c r="J59" t="s">
        <v>5672</v>
      </c>
      <c r="K59" t="s">
        <v>527</v>
      </c>
      <c r="L59" t="b">
        <v>0</v>
      </c>
      <c r="N59" t="s">
        <v>52</v>
      </c>
      <c r="O59" t="s">
        <v>5327</v>
      </c>
      <c r="P59" t="s">
        <v>5673</v>
      </c>
      <c r="Q59" t="s">
        <v>5673</v>
      </c>
      <c r="R59" t="s">
        <v>5106</v>
      </c>
      <c r="S59" t="s">
        <v>5358</v>
      </c>
      <c r="T59" t="s">
        <v>5670</v>
      </c>
      <c r="U59" t="s">
        <v>5385</v>
      </c>
      <c r="V59" t="s">
        <v>52</v>
      </c>
      <c r="W59" t="s">
        <v>5674</v>
      </c>
      <c r="X59" t="s">
        <v>150</v>
      </c>
      <c r="Y59" t="s">
        <v>5368</v>
      </c>
      <c r="Z59">
        <v>6</v>
      </c>
      <c r="AA59" t="s">
        <v>5327</v>
      </c>
      <c r="AC59" t="str">
        <f>Inquiries[[#This Row],[Name]]&amp;"|"&amp;LOWER(TRIM(Inquiries[[#This Row],[Email__c]]))</f>
        <v>Theo Nakamura|theo.nakamura@gmail.com</v>
      </c>
      <c r="AD59">
        <f>COUNTIF(Inquiries[Dup Key],Inquiries[[#This Row],[Dup Key]])</f>
        <v>1</v>
      </c>
      <c r="AE59" t="str">
        <f>IF(Inquiries[[#This Row],[First_Response_Date__c]]="","",Inquiries[[#This Row],[First_Response_Date__c]]-Inquiries[[#This Row],[Inquiry_Date__c]])</f>
        <v/>
      </c>
      <c r="AF59" s="6" t="str">
        <f>TEXT(Inquiries[[#This Row],[Inquiry_Date__c]], "yyyy-mm")</f>
        <v>2026-05</v>
      </c>
      <c r="AG59" s="6" t="str">
        <f>_xlfn.XLOOKUP(Inquiries[[#This Row],[Requested_Location__c]], Locations[Location Id], Locations[Location Name])</f>
        <v>Toms River</v>
      </c>
    </row>
    <row r="60" spans="2:33">
      <c r="B60" t="s">
        <v>52</v>
      </c>
      <c r="C60" t="s">
        <v>5321</v>
      </c>
      <c r="D60" t="s">
        <v>5675</v>
      </c>
      <c r="E60" t="s">
        <v>5414</v>
      </c>
      <c r="F60" s="1">
        <v>46077</v>
      </c>
      <c r="G60" t="s">
        <v>5676</v>
      </c>
      <c r="H60" t="s">
        <v>5677</v>
      </c>
      <c r="I60" s="1">
        <v>46075</v>
      </c>
      <c r="J60" t="s">
        <v>5678</v>
      </c>
      <c r="K60" t="s">
        <v>78</v>
      </c>
      <c r="L60" t="b">
        <v>0</v>
      </c>
      <c r="N60" t="s">
        <v>52</v>
      </c>
      <c r="O60" t="s">
        <v>5327</v>
      </c>
      <c r="R60" t="s">
        <v>5679</v>
      </c>
      <c r="S60" t="s">
        <v>5485</v>
      </c>
      <c r="T60" t="s">
        <v>5676</v>
      </c>
      <c r="U60" t="s">
        <v>5449</v>
      </c>
      <c r="V60" t="s">
        <v>52</v>
      </c>
      <c r="W60" t="s">
        <v>5680</v>
      </c>
      <c r="X60" t="s">
        <v>83</v>
      </c>
      <c r="Y60" t="s">
        <v>5360</v>
      </c>
      <c r="Z60">
        <v>28</v>
      </c>
      <c r="AA60" t="s">
        <v>5327</v>
      </c>
      <c r="AB60" t="s">
        <v>261</v>
      </c>
      <c r="AC60" t="str">
        <f>Inquiries[[#This Row],[Name]]&amp;"|"&amp;LOWER(TRIM(Inquiries[[#This Row],[Email__c]]))</f>
        <v>Rohan Lee|rohanlee74@outlook.com</v>
      </c>
      <c r="AD60">
        <f>COUNTIF(Inquiries[Dup Key],Inquiries[[#This Row],[Dup Key]])</f>
        <v>1</v>
      </c>
      <c r="AE60">
        <f>IF(Inquiries[[#This Row],[First_Response_Date__c]]="","",Inquiries[[#This Row],[First_Response_Date__c]]-Inquiries[[#This Row],[Inquiry_Date__c]])</f>
        <v>2</v>
      </c>
      <c r="AF60" s="6" t="str">
        <f>TEXT(Inquiries[[#This Row],[Inquiry_Date__c]], "yyyy-mm")</f>
        <v>2026-02</v>
      </c>
      <c r="AG60" s="6" t="str">
        <f>_xlfn.XLOOKUP(Inquiries[[#This Row],[Requested_Location__c]], Locations[Location Id], Locations[Location Name])</f>
        <v>Brick</v>
      </c>
    </row>
    <row r="61" spans="2:33">
      <c r="B61" t="s">
        <v>52</v>
      </c>
      <c r="C61" t="s">
        <v>5321</v>
      </c>
      <c r="D61" t="s">
        <v>5681</v>
      </c>
      <c r="E61" t="s">
        <v>5682</v>
      </c>
      <c r="G61" t="s">
        <v>5683</v>
      </c>
      <c r="H61" t="s">
        <v>5684</v>
      </c>
      <c r="I61" s="1">
        <v>46165</v>
      </c>
      <c r="J61" t="s">
        <v>5685</v>
      </c>
      <c r="K61" t="s">
        <v>527</v>
      </c>
      <c r="L61" t="b">
        <v>0</v>
      </c>
      <c r="N61" t="s">
        <v>52</v>
      </c>
      <c r="O61" t="s">
        <v>5327</v>
      </c>
      <c r="R61" t="s">
        <v>5106</v>
      </c>
      <c r="S61" t="s">
        <v>5350</v>
      </c>
      <c r="T61" t="s">
        <v>5683</v>
      </c>
      <c r="U61" t="s">
        <v>5341</v>
      </c>
      <c r="V61" t="s">
        <v>52</v>
      </c>
      <c r="W61" t="s">
        <v>5686</v>
      </c>
      <c r="X61" t="s">
        <v>63</v>
      </c>
      <c r="Y61" t="s">
        <v>5368</v>
      </c>
      <c r="Z61">
        <v>44</v>
      </c>
      <c r="AA61" t="s">
        <v>5327</v>
      </c>
      <c r="AC61" t="str">
        <f>Inquiries[[#This Row],[Name]]&amp;"|"&amp;LOWER(TRIM(Inquiries[[#This Row],[Email__c]]))</f>
        <v>Genesis Nakamura|genesisnakamura@yahoo.com</v>
      </c>
      <c r="AD61">
        <f>COUNTIF(Inquiries[Dup Key],Inquiries[[#This Row],[Dup Key]])</f>
        <v>1</v>
      </c>
      <c r="AE61" t="str">
        <f>IF(Inquiries[[#This Row],[First_Response_Date__c]]="","",Inquiries[[#This Row],[First_Response_Date__c]]-Inquiries[[#This Row],[Inquiry_Date__c]])</f>
        <v/>
      </c>
      <c r="AF61" s="6" t="str">
        <f>TEXT(Inquiries[[#This Row],[Inquiry_Date__c]], "yyyy-mm")</f>
        <v>2026-05</v>
      </c>
      <c r="AG61" s="6" t="str">
        <f>_xlfn.XLOOKUP(Inquiries[[#This Row],[Requested_Location__c]], Locations[Location Id], Locations[Location Name])</f>
        <v>Red Bank</v>
      </c>
    </row>
    <row r="62" spans="2:33">
      <c r="B62" t="s">
        <v>52</v>
      </c>
      <c r="C62" t="s">
        <v>5321</v>
      </c>
      <c r="D62" t="s">
        <v>5687</v>
      </c>
      <c r="E62" t="s">
        <v>5516</v>
      </c>
      <c r="F62" s="1">
        <v>46270</v>
      </c>
      <c r="G62" t="s">
        <v>5688</v>
      </c>
      <c r="H62" t="s">
        <v>5689</v>
      </c>
      <c r="I62" s="1">
        <v>46270</v>
      </c>
      <c r="J62" t="s">
        <v>5690</v>
      </c>
      <c r="K62" t="s">
        <v>203</v>
      </c>
      <c r="L62" t="b">
        <v>0</v>
      </c>
      <c r="N62" t="s">
        <v>52</v>
      </c>
      <c r="O62" t="s">
        <v>5327</v>
      </c>
      <c r="R62" t="s">
        <v>5339</v>
      </c>
      <c r="S62" t="s">
        <v>5393</v>
      </c>
      <c r="T62" t="s">
        <v>5688</v>
      </c>
      <c r="U62" t="s">
        <v>5351</v>
      </c>
      <c r="V62" t="s">
        <v>52</v>
      </c>
      <c r="W62" t="s">
        <v>5691</v>
      </c>
      <c r="X62" t="s">
        <v>63</v>
      </c>
      <c r="Y62" t="s">
        <v>5343</v>
      </c>
      <c r="Z62">
        <v>12</v>
      </c>
      <c r="AA62" t="s">
        <v>5327</v>
      </c>
      <c r="AB62" t="s">
        <v>713</v>
      </c>
      <c r="AC62" t="str">
        <f>Inquiries[[#This Row],[Name]]&amp;"|"&amp;LOWER(TRIM(Inquiries[[#This Row],[Email__c]]))</f>
        <v>Ethan Scott|ethan.scott@hotmail.com</v>
      </c>
      <c r="AD62">
        <f>COUNTIF(Inquiries[Dup Key],Inquiries[[#This Row],[Dup Key]])</f>
        <v>1</v>
      </c>
      <c r="AE62">
        <f>IF(Inquiries[[#This Row],[First_Response_Date__c]]="","",Inquiries[[#This Row],[First_Response_Date__c]]-Inquiries[[#This Row],[Inquiry_Date__c]])</f>
        <v>0</v>
      </c>
      <c r="AF62" s="6" t="str">
        <f>TEXT(Inquiries[[#This Row],[Inquiry_Date__c]], "yyyy-mm")</f>
        <v>2026-09</v>
      </c>
      <c r="AG62" s="6" t="str">
        <f>_xlfn.XLOOKUP(Inquiries[[#This Row],[Requested_Location__c]], Locations[Location Id], Locations[Location Name])</f>
        <v>Red Bank</v>
      </c>
    </row>
    <row r="63" spans="2:33">
      <c r="B63" t="s">
        <v>52</v>
      </c>
      <c r="C63" t="s">
        <v>5321</v>
      </c>
      <c r="D63" t="s">
        <v>5692</v>
      </c>
      <c r="E63" t="s">
        <v>5136</v>
      </c>
      <c r="F63" s="1">
        <v>46138</v>
      </c>
      <c r="G63" t="s">
        <v>5693</v>
      </c>
      <c r="H63" t="s">
        <v>5694</v>
      </c>
      <c r="I63" s="1">
        <v>46138</v>
      </c>
      <c r="J63" t="s">
        <v>5695</v>
      </c>
      <c r="K63" t="s">
        <v>527</v>
      </c>
      <c r="L63" t="b">
        <v>0</v>
      </c>
      <c r="N63" t="s">
        <v>52</v>
      </c>
      <c r="O63" t="s">
        <v>5327</v>
      </c>
      <c r="R63" t="s">
        <v>5441</v>
      </c>
      <c r="S63" t="s">
        <v>5435</v>
      </c>
      <c r="T63" t="s">
        <v>5693</v>
      </c>
      <c r="U63" t="s">
        <v>5385</v>
      </c>
      <c r="V63" t="s">
        <v>52</v>
      </c>
      <c r="W63" t="s">
        <v>5696</v>
      </c>
      <c r="X63" t="s">
        <v>63</v>
      </c>
      <c r="Y63" t="s">
        <v>5332</v>
      </c>
      <c r="Z63">
        <v>14</v>
      </c>
      <c r="AA63" t="s">
        <v>5327</v>
      </c>
      <c r="AB63" t="s">
        <v>777</v>
      </c>
      <c r="AC63" t="str">
        <f>Inquiries[[#This Row],[Name]]&amp;"|"&amp;LOWER(TRIM(Inquiries[[#This Row],[Email__c]]))</f>
        <v>Jamal Brown|jamalbrown@outlook.com</v>
      </c>
      <c r="AD63">
        <f>COUNTIF(Inquiries[Dup Key],Inquiries[[#This Row],[Dup Key]])</f>
        <v>1</v>
      </c>
      <c r="AE63">
        <f>IF(Inquiries[[#This Row],[First_Response_Date__c]]="","",Inquiries[[#This Row],[First_Response_Date__c]]-Inquiries[[#This Row],[Inquiry_Date__c]])</f>
        <v>0</v>
      </c>
      <c r="AF63" s="6" t="str">
        <f>TEXT(Inquiries[[#This Row],[Inquiry_Date__c]], "yyyy-mm")</f>
        <v>2026-04</v>
      </c>
      <c r="AG63" s="6" t="str">
        <f>_xlfn.XLOOKUP(Inquiries[[#This Row],[Requested_Location__c]], Locations[Location Id], Locations[Location Name])</f>
        <v>Red Bank</v>
      </c>
    </row>
    <row r="64" spans="2:33">
      <c r="B64" t="s">
        <v>52</v>
      </c>
      <c r="C64" t="s">
        <v>5321</v>
      </c>
      <c r="D64" t="s">
        <v>5697</v>
      </c>
      <c r="E64" t="s">
        <v>5698</v>
      </c>
      <c r="F64" s="1">
        <v>46250</v>
      </c>
      <c r="G64" t="s">
        <v>5699</v>
      </c>
      <c r="H64" t="s">
        <v>5700</v>
      </c>
      <c r="I64" s="1">
        <v>46250</v>
      </c>
      <c r="J64" t="s">
        <v>5701</v>
      </c>
      <c r="K64" t="s">
        <v>650</v>
      </c>
      <c r="L64" t="b">
        <v>0</v>
      </c>
      <c r="N64" t="s">
        <v>52</v>
      </c>
      <c r="O64" t="s">
        <v>5327</v>
      </c>
      <c r="R64" t="s">
        <v>5106</v>
      </c>
      <c r="S64" t="s">
        <v>5358</v>
      </c>
      <c r="T64" t="s">
        <v>5699</v>
      </c>
      <c r="U64" t="s">
        <v>5341</v>
      </c>
      <c r="V64" t="s">
        <v>52</v>
      </c>
      <c r="W64" t="s">
        <v>5702</v>
      </c>
      <c r="X64" t="s">
        <v>63</v>
      </c>
      <c r="Y64" t="s">
        <v>5343</v>
      </c>
      <c r="Z64">
        <v>16</v>
      </c>
      <c r="AA64" t="s">
        <v>5327</v>
      </c>
      <c r="AB64" t="s">
        <v>401</v>
      </c>
      <c r="AC64" t="str">
        <f>Inquiries[[#This Row],[Name]]&amp;"|"&amp;LOWER(TRIM(Inquiries[[#This Row],[Email__c]]))</f>
        <v>Ella Nakamura|ellanakamura45@gmail.com</v>
      </c>
      <c r="AD64">
        <f>COUNTIF(Inquiries[Dup Key],Inquiries[[#This Row],[Dup Key]])</f>
        <v>1</v>
      </c>
      <c r="AE64">
        <f>IF(Inquiries[[#This Row],[First_Response_Date__c]]="","",Inquiries[[#This Row],[First_Response_Date__c]]-Inquiries[[#This Row],[Inquiry_Date__c]])</f>
        <v>0</v>
      </c>
      <c r="AF64" s="6" t="str">
        <f>TEXT(Inquiries[[#This Row],[Inquiry_Date__c]], "yyyy-mm")</f>
        <v>2026-08</v>
      </c>
      <c r="AG64" s="6" t="str">
        <f>_xlfn.XLOOKUP(Inquiries[[#This Row],[Requested_Location__c]], Locations[Location Id], Locations[Location Name])</f>
        <v>Red Bank</v>
      </c>
    </row>
    <row r="65" spans="2:33">
      <c r="B65" t="s">
        <v>52</v>
      </c>
      <c r="C65" t="s">
        <v>5321</v>
      </c>
      <c r="D65" t="s">
        <v>5703</v>
      </c>
      <c r="E65" t="s">
        <v>5294</v>
      </c>
      <c r="F65" s="1">
        <v>46169</v>
      </c>
      <c r="G65" t="s">
        <v>5704</v>
      </c>
      <c r="H65" t="s">
        <v>5705</v>
      </c>
      <c r="I65" s="1">
        <v>46167</v>
      </c>
      <c r="J65" t="s">
        <v>5706</v>
      </c>
      <c r="K65" t="s">
        <v>650</v>
      </c>
      <c r="L65" t="b">
        <v>0</v>
      </c>
      <c r="N65" t="s">
        <v>52</v>
      </c>
      <c r="O65" t="s">
        <v>5327</v>
      </c>
      <c r="R65" t="s">
        <v>5461</v>
      </c>
      <c r="S65" t="s">
        <v>5358</v>
      </c>
      <c r="T65" t="s">
        <v>5704</v>
      </c>
      <c r="U65" t="s">
        <v>5385</v>
      </c>
      <c r="V65" t="s">
        <v>52</v>
      </c>
      <c r="W65" t="s">
        <v>5707</v>
      </c>
      <c r="X65" t="s">
        <v>63</v>
      </c>
      <c r="Y65" t="s">
        <v>5343</v>
      </c>
      <c r="Z65">
        <v>10</v>
      </c>
      <c r="AA65" t="s">
        <v>5327</v>
      </c>
      <c r="AB65" t="s">
        <v>525</v>
      </c>
      <c r="AC65" t="str">
        <f>Inquiries[[#This Row],[Name]]&amp;"|"&amp;LOWER(TRIM(Inquiries[[#This Row],[Email__c]]))</f>
        <v>Jackson Thomas|jthomas@outlook.com</v>
      </c>
      <c r="AD65">
        <f>COUNTIF(Inquiries[Dup Key],Inquiries[[#This Row],[Dup Key]])</f>
        <v>1</v>
      </c>
      <c r="AE65">
        <f>IF(Inquiries[[#This Row],[First_Response_Date__c]]="","",Inquiries[[#This Row],[First_Response_Date__c]]-Inquiries[[#This Row],[Inquiry_Date__c]])</f>
        <v>2</v>
      </c>
      <c r="AF65" s="6" t="str">
        <f>TEXT(Inquiries[[#This Row],[Inquiry_Date__c]], "yyyy-mm")</f>
        <v>2026-05</v>
      </c>
      <c r="AG65" s="6" t="str">
        <f>_xlfn.XLOOKUP(Inquiries[[#This Row],[Requested_Location__c]], Locations[Location Id], Locations[Location Name])</f>
        <v>Red Bank</v>
      </c>
    </row>
    <row r="66" spans="2:33">
      <c r="B66" t="s">
        <v>52</v>
      </c>
      <c r="C66" t="s">
        <v>5321</v>
      </c>
      <c r="D66" t="s">
        <v>5708</v>
      </c>
      <c r="E66" t="s">
        <v>5354</v>
      </c>
      <c r="F66" s="1">
        <v>46135</v>
      </c>
      <c r="G66" t="s">
        <v>5709</v>
      </c>
      <c r="H66" t="s">
        <v>5710</v>
      </c>
      <c r="I66" s="1">
        <v>46135</v>
      </c>
      <c r="J66" t="s">
        <v>5711</v>
      </c>
      <c r="K66" t="s">
        <v>203</v>
      </c>
      <c r="L66" t="b">
        <v>0</v>
      </c>
      <c r="N66" t="s">
        <v>52</v>
      </c>
      <c r="O66" t="s">
        <v>5327</v>
      </c>
      <c r="R66" t="s">
        <v>5133</v>
      </c>
      <c r="S66" t="s">
        <v>5329</v>
      </c>
      <c r="T66" t="s">
        <v>5709</v>
      </c>
      <c r="U66" t="s">
        <v>5330</v>
      </c>
      <c r="V66" t="s">
        <v>52</v>
      </c>
      <c r="W66" t="s">
        <v>5712</v>
      </c>
      <c r="X66" t="s">
        <v>150</v>
      </c>
      <c r="Y66" t="s">
        <v>5332</v>
      </c>
      <c r="Z66">
        <v>44</v>
      </c>
      <c r="AA66" t="s">
        <v>5327</v>
      </c>
      <c r="AB66" t="s">
        <v>944</v>
      </c>
      <c r="AC66" t="str">
        <f>Inquiries[[#This Row],[Name]]&amp;"|"&amp;LOWER(TRIM(Inquiries[[#This Row],[Email__c]]))</f>
        <v>Isaac Perez|iperez@outlook.com</v>
      </c>
      <c r="AD66">
        <f>COUNTIF(Inquiries[Dup Key],Inquiries[[#This Row],[Dup Key]])</f>
        <v>1</v>
      </c>
      <c r="AE66">
        <f>IF(Inquiries[[#This Row],[First_Response_Date__c]]="","",Inquiries[[#This Row],[First_Response_Date__c]]-Inquiries[[#This Row],[Inquiry_Date__c]])</f>
        <v>0</v>
      </c>
      <c r="AF66" s="6" t="str">
        <f>TEXT(Inquiries[[#This Row],[Inquiry_Date__c]], "yyyy-mm")</f>
        <v>2026-04</v>
      </c>
      <c r="AG66" s="6" t="str">
        <f>_xlfn.XLOOKUP(Inquiries[[#This Row],[Requested_Location__c]], Locations[Location Id], Locations[Location Name])</f>
        <v>Toms River</v>
      </c>
    </row>
    <row r="67" spans="2:33">
      <c r="B67" t="s">
        <v>52</v>
      </c>
      <c r="C67" t="s">
        <v>5321</v>
      </c>
      <c r="D67" t="s">
        <v>5713</v>
      </c>
      <c r="E67" t="s">
        <v>5193</v>
      </c>
      <c r="F67" s="1">
        <v>46186</v>
      </c>
      <c r="G67" t="s">
        <v>5714</v>
      </c>
      <c r="H67" t="s">
        <v>5715</v>
      </c>
      <c r="I67" s="1">
        <v>46177</v>
      </c>
      <c r="J67" t="s">
        <v>5716</v>
      </c>
      <c r="K67" t="s">
        <v>650</v>
      </c>
      <c r="L67" t="b">
        <v>0</v>
      </c>
      <c r="N67" t="s">
        <v>52</v>
      </c>
      <c r="O67" t="s">
        <v>5327</v>
      </c>
      <c r="R67" t="s">
        <v>5179</v>
      </c>
      <c r="S67" t="s">
        <v>5393</v>
      </c>
      <c r="T67" t="s">
        <v>5714</v>
      </c>
      <c r="V67" t="s">
        <v>52</v>
      </c>
      <c r="W67" t="s">
        <v>5717</v>
      </c>
      <c r="X67" t="s">
        <v>83</v>
      </c>
      <c r="Y67" t="s">
        <v>5332</v>
      </c>
      <c r="Z67">
        <v>28</v>
      </c>
      <c r="AA67" t="s">
        <v>5327</v>
      </c>
      <c r="AB67" t="s">
        <v>243</v>
      </c>
      <c r="AC67" t="str">
        <f>Inquiries[[#This Row],[Name]]&amp;"|"&amp;LOWER(TRIM(Inquiries[[#This Row],[Email__c]]))</f>
        <v>Isabella Moore|isabellamoore28@icloud.com</v>
      </c>
      <c r="AD67">
        <f>COUNTIF(Inquiries[Dup Key],Inquiries[[#This Row],[Dup Key]])</f>
        <v>1</v>
      </c>
      <c r="AE67">
        <f>IF(Inquiries[[#This Row],[First_Response_Date__c]]="","",Inquiries[[#This Row],[First_Response_Date__c]]-Inquiries[[#This Row],[Inquiry_Date__c]])</f>
        <v>9</v>
      </c>
      <c r="AF67" s="6" t="str">
        <f>TEXT(Inquiries[[#This Row],[Inquiry_Date__c]], "yyyy-mm")</f>
        <v>2026-06</v>
      </c>
      <c r="AG67" s="6" t="str">
        <f>_xlfn.XLOOKUP(Inquiries[[#This Row],[Requested_Location__c]], Locations[Location Id], Locations[Location Name])</f>
        <v>Brick</v>
      </c>
    </row>
    <row r="68" spans="2:33">
      <c r="B68" t="s">
        <v>52</v>
      </c>
      <c r="C68" t="s">
        <v>5321</v>
      </c>
      <c r="D68" t="s">
        <v>5718</v>
      </c>
      <c r="E68" t="s">
        <v>5719</v>
      </c>
      <c r="F68" s="1">
        <v>46277</v>
      </c>
      <c r="G68" t="s">
        <v>5720</v>
      </c>
      <c r="H68" t="s">
        <v>5721</v>
      </c>
      <c r="I68" s="1">
        <v>46276</v>
      </c>
      <c r="J68" t="s">
        <v>5722</v>
      </c>
      <c r="K68" t="s">
        <v>58</v>
      </c>
      <c r="L68" t="b">
        <v>0</v>
      </c>
      <c r="N68" t="s">
        <v>52</v>
      </c>
      <c r="O68" t="s">
        <v>5327</v>
      </c>
      <c r="R68" t="s">
        <v>5542</v>
      </c>
      <c r="S68" t="s">
        <v>5358</v>
      </c>
      <c r="T68" t="s">
        <v>5720</v>
      </c>
      <c r="U68" t="s">
        <v>5341</v>
      </c>
      <c r="V68" t="s">
        <v>52</v>
      </c>
      <c r="W68" t="s">
        <v>5723</v>
      </c>
      <c r="X68" t="s">
        <v>83</v>
      </c>
      <c r="Y68" t="s">
        <v>5343</v>
      </c>
      <c r="Z68">
        <v>12</v>
      </c>
      <c r="AA68" t="s">
        <v>5327</v>
      </c>
      <c r="AB68" t="s">
        <v>944</v>
      </c>
      <c r="AC68" t="str">
        <f>Inquiries[[#This Row],[Name]]&amp;"|"&amp;LOWER(TRIM(Inquiries[[#This Row],[Email__c]]))</f>
        <v>Skylar Ahmed|skylarahmed72@gmail.com</v>
      </c>
      <c r="AD68">
        <f>COUNTIF(Inquiries[Dup Key],Inquiries[[#This Row],[Dup Key]])</f>
        <v>1</v>
      </c>
      <c r="AE68">
        <f>IF(Inquiries[[#This Row],[First_Response_Date__c]]="","",Inquiries[[#This Row],[First_Response_Date__c]]-Inquiries[[#This Row],[Inquiry_Date__c]])</f>
        <v>1</v>
      </c>
      <c r="AF68" s="6" t="str">
        <f>TEXT(Inquiries[[#This Row],[Inquiry_Date__c]], "yyyy-mm")</f>
        <v>2026-09</v>
      </c>
      <c r="AG68" s="6" t="str">
        <f>_xlfn.XLOOKUP(Inquiries[[#This Row],[Requested_Location__c]], Locations[Location Id], Locations[Location Name])</f>
        <v>Brick</v>
      </c>
    </row>
    <row r="69" spans="2:33">
      <c r="B69" t="s">
        <v>52</v>
      </c>
      <c r="C69" t="s">
        <v>5321</v>
      </c>
      <c r="D69" t="s">
        <v>5724</v>
      </c>
      <c r="E69" t="s">
        <v>5370</v>
      </c>
      <c r="F69" s="1">
        <v>46264</v>
      </c>
      <c r="G69" t="s">
        <v>5725</v>
      </c>
      <c r="H69" t="s">
        <v>5726</v>
      </c>
      <c r="I69" s="1">
        <v>46264</v>
      </c>
      <c r="J69" t="s">
        <v>5727</v>
      </c>
      <c r="K69" t="s">
        <v>461</v>
      </c>
      <c r="L69" t="b">
        <v>0</v>
      </c>
      <c r="N69" t="s">
        <v>52</v>
      </c>
      <c r="O69" t="s">
        <v>5327</v>
      </c>
      <c r="R69" t="s">
        <v>5067</v>
      </c>
      <c r="S69" t="s">
        <v>5485</v>
      </c>
      <c r="T69" t="s">
        <v>5725</v>
      </c>
      <c r="V69" t="s">
        <v>52</v>
      </c>
      <c r="W69" t="s">
        <v>5728</v>
      </c>
      <c r="X69" t="s">
        <v>83</v>
      </c>
      <c r="Y69" t="s">
        <v>5332</v>
      </c>
      <c r="Z69">
        <v>8</v>
      </c>
      <c r="AA69" t="s">
        <v>5327</v>
      </c>
      <c r="AB69" t="s">
        <v>97</v>
      </c>
      <c r="AC69" t="str">
        <f>Inquiries[[#This Row],[Name]]&amp;"|"&amp;LOWER(TRIM(Inquiries[[#This Row],[Email__c]]))</f>
        <v>Julian Mitchell|julianmitchell65@outlook.com</v>
      </c>
      <c r="AD69">
        <f>COUNTIF(Inquiries[Dup Key],Inquiries[[#This Row],[Dup Key]])</f>
        <v>1</v>
      </c>
      <c r="AE69">
        <f>IF(Inquiries[[#This Row],[First_Response_Date__c]]="","",Inquiries[[#This Row],[First_Response_Date__c]]-Inquiries[[#This Row],[Inquiry_Date__c]])</f>
        <v>0</v>
      </c>
      <c r="AF69" s="6" t="str">
        <f>TEXT(Inquiries[[#This Row],[Inquiry_Date__c]], "yyyy-mm")</f>
        <v>2026-08</v>
      </c>
      <c r="AG69" s="6" t="str">
        <f>_xlfn.XLOOKUP(Inquiries[[#This Row],[Requested_Location__c]], Locations[Location Id], Locations[Location Name])</f>
        <v>Brick</v>
      </c>
    </row>
    <row r="70" spans="2:33">
      <c r="B70" t="s">
        <v>52</v>
      </c>
      <c r="C70" t="s">
        <v>5321</v>
      </c>
      <c r="D70" t="s">
        <v>5729</v>
      </c>
      <c r="E70" t="s">
        <v>5080</v>
      </c>
      <c r="G70" t="s">
        <v>5730</v>
      </c>
      <c r="H70" t="s">
        <v>5731</v>
      </c>
      <c r="I70" s="1">
        <v>46279</v>
      </c>
      <c r="J70" t="s">
        <v>5732</v>
      </c>
      <c r="K70" t="s">
        <v>147</v>
      </c>
      <c r="L70" t="b">
        <v>0</v>
      </c>
      <c r="N70" t="s">
        <v>52</v>
      </c>
      <c r="O70" t="s">
        <v>5327</v>
      </c>
      <c r="R70" t="s">
        <v>5155</v>
      </c>
      <c r="S70" t="s">
        <v>5340</v>
      </c>
      <c r="T70" t="s">
        <v>5730</v>
      </c>
      <c r="V70" t="s">
        <v>52</v>
      </c>
      <c r="W70" t="s">
        <v>5733</v>
      </c>
      <c r="X70" t="s">
        <v>63</v>
      </c>
      <c r="Y70" t="s">
        <v>5368</v>
      </c>
      <c r="Z70">
        <v>8</v>
      </c>
      <c r="AA70" t="s">
        <v>5327</v>
      </c>
      <c r="AC70" t="str">
        <f>Inquiries[[#This Row],[Name]]&amp;"|"&amp;LOWER(TRIM(Inquiries[[#This Row],[Email__c]]))</f>
        <v>Fatima Hill|fatimahill@gmail.com</v>
      </c>
      <c r="AD70">
        <f>COUNTIF(Inquiries[Dup Key],Inquiries[[#This Row],[Dup Key]])</f>
        <v>1</v>
      </c>
      <c r="AE70" t="str">
        <f>IF(Inquiries[[#This Row],[First_Response_Date__c]]="","",Inquiries[[#This Row],[First_Response_Date__c]]-Inquiries[[#This Row],[Inquiry_Date__c]])</f>
        <v/>
      </c>
      <c r="AF70" s="6" t="str">
        <f>TEXT(Inquiries[[#This Row],[Inquiry_Date__c]], "yyyy-mm")</f>
        <v>2026-09</v>
      </c>
      <c r="AG70" s="6" t="str">
        <f>_xlfn.XLOOKUP(Inquiries[[#This Row],[Requested_Location__c]], Locations[Location Id], Locations[Location Name])</f>
        <v>Red Bank</v>
      </c>
    </row>
    <row r="71" spans="2:33">
      <c r="B71" t="s">
        <v>52</v>
      </c>
      <c r="C71" t="s">
        <v>5321</v>
      </c>
      <c r="D71" t="s">
        <v>5734</v>
      </c>
      <c r="E71" t="s">
        <v>5175</v>
      </c>
      <c r="F71" s="1">
        <v>46054</v>
      </c>
      <c r="G71" t="s">
        <v>5735</v>
      </c>
      <c r="H71" t="s">
        <v>5736</v>
      </c>
      <c r="I71" s="1">
        <v>46072</v>
      </c>
      <c r="J71" t="s">
        <v>5737</v>
      </c>
      <c r="K71" t="s">
        <v>650</v>
      </c>
      <c r="L71" t="b">
        <v>0</v>
      </c>
      <c r="N71" t="s">
        <v>52</v>
      </c>
      <c r="O71" t="s">
        <v>5327</v>
      </c>
      <c r="R71" t="s">
        <v>5122</v>
      </c>
      <c r="S71" t="s">
        <v>5400</v>
      </c>
      <c r="T71" t="s">
        <v>5735</v>
      </c>
      <c r="V71" t="s">
        <v>52</v>
      </c>
      <c r="W71" t="s">
        <v>5738</v>
      </c>
      <c r="X71" t="s">
        <v>63</v>
      </c>
      <c r="Y71" t="s">
        <v>5360</v>
      </c>
      <c r="Z71">
        <v>35</v>
      </c>
      <c r="AA71" t="s">
        <v>5327</v>
      </c>
      <c r="AB71" t="s">
        <v>1076</v>
      </c>
      <c r="AC71" t="str">
        <f>Inquiries[[#This Row],[Name]]&amp;"|"&amp;LOWER(TRIM(Inquiries[[#This Row],[Email__c]]))</f>
        <v>James Miller|james.miller@outlook.com</v>
      </c>
      <c r="AD71">
        <f>COUNTIF(Inquiries[Dup Key],Inquiries[[#This Row],[Dup Key]])</f>
        <v>1</v>
      </c>
      <c r="AE71">
        <f>IF(Inquiries[[#This Row],[First_Response_Date__c]]="","",Inquiries[[#This Row],[First_Response_Date__c]]-Inquiries[[#This Row],[Inquiry_Date__c]])</f>
        <v>-18</v>
      </c>
      <c r="AF71" s="6" t="str">
        <f>TEXT(Inquiries[[#This Row],[Inquiry_Date__c]], "yyyy-mm")</f>
        <v>2026-02</v>
      </c>
      <c r="AG71" s="6" t="str">
        <f>_xlfn.XLOOKUP(Inquiries[[#This Row],[Requested_Location__c]], Locations[Location Id], Locations[Location Name])</f>
        <v>Red Bank</v>
      </c>
    </row>
    <row r="72" spans="2:33">
      <c r="B72" t="s">
        <v>52</v>
      </c>
      <c r="C72" t="s">
        <v>5321</v>
      </c>
      <c r="D72" t="s">
        <v>5739</v>
      </c>
      <c r="E72" t="s">
        <v>5740</v>
      </c>
      <c r="F72" s="1">
        <v>46055</v>
      </c>
      <c r="G72" t="s">
        <v>5741</v>
      </c>
      <c r="H72" t="s">
        <v>5742</v>
      </c>
      <c r="I72" s="1">
        <v>46055</v>
      </c>
      <c r="J72" t="s">
        <v>5743</v>
      </c>
      <c r="K72" t="s">
        <v>263</v>
      </c>
      <c r="L72" t="b">
        <v>0</v>
      </c>
      <c r="N72" t="s">
        <v>52</v>
      </c>
      <c r="O72" t="s">
        <v>5327</v>
      </c>
      <c r="P72" t="s">
        <v>5744</v>
      </c>
      <c r="Q72" t="s">
        <v>5744</v>
      </c>
      <c r="R72" t="s">
        <v>5201</v>
      </c>
      <c r="S72" t="s">
        <v>5393</v>
      </c>
      <c r="T72" t="s">
        <v>5741</v>
      </c>
      <c r="U72" t="s">
        <v>5385</v>
      </c>
      <c r="V72" t="s">
        <v>52</v>
      </c>
      <c r="W72" t="s">
        <v>5745</v>
      </c>
      <c r="X72" t="s">
        <v>83</v>
      </c>
      <c r="Y72" t="s">
        <v>5343</v>
      </c>
      <c r="Z72">
        <v>10</v>
      </c>
      <c r="AA72" t="s">
        <v>5327</v>
      </c>
      <c r="AB72" t="s">
        <v>617</v>
      </c>
      <c r="AC72" t="str">
        <f>Inquiries[[#This Row],[Name]]&amp;"|"&amp;LOWER(TRIM(Inquiries[[#This Row],[Email__c]]))</f>
        <v>Anthony Davis|anthonydavis35@icloud.com</v>
      </c>
      <c r="AD72">
        <f>COUNTIF(Inquiries[Dup Key],Inquiries[[#This Row],[Dup Key]])</f>
        <v>1</v>
      </c>
      <c r="AE72">
        <f>IF(Inquiries[[#This Row],[First_Response_Date__c]]="","",Inquiries[[#This Row],[First_Response_Date__c]]-Inquiries[[#This Row],[Inquiry_Date__c]])</f>
        <v>0</v>
      </c>
      <c r="AF72" s="6" t="str">
        <f>TEXT(Inquiries[[#This Row],[Inquiry_Date__c]], "yyyy-mm")</f>
        <v>2026-02</v>
      </c>
      <c r="AG72" s="6" t="str">
        <f>_xlfn.XLOOKUP(Inquiries[[#This Row],[Requested_Location__c]], Locations[Location Id], Locations[Location Name])</f>
        <v>Brick</v>
      </c>
    </row>
    <row r="73" spans="2:33">
      <c r="B73" t="s">
        <v>52</v>
      </c>
      <c r="C73" t="s">
        <v>5321</v>
      </c>
      <c r="D73" t="s">
        <v>5746</v>
      </c>
      <c r="E73" t="s">
        <v>5747</v>
      </c>
      <c r="G73" t="s">
        <v>5748</v>
      </c>
      <c r="H73" t="s">
        <v>5749</v>
      </c>
      <c r="I73" s="1">
        <v>46079</v>
      </c>
      <c r="J73" t="s">
        <v>5750</v>
      </c>
      <c r="K73" t="s">
        <v>58</v>
      </c>
      <c r="L73" t="b">
        <v>0</v>
      </c>
      <c r="N73" t="s">
        <v>52</v>
      </c>
      <c r="O73" t="s">
        <v>5327</v>
      </c>
      <c r="R73" t="s">
        <v>5339</v>
      </c>
      <c r="S73" t="s">
        <v>5485</v>
      </c>
      <c r="T73" t="s">
        <v>5748</v>
      </c>
      <c r="U73" t="s">
        <v>5449</v>
      </c>
      <c r="V73" t="s">
        <v>52</v>
      </c>
      <c r="W73" t="s">
        <v>5751</v>
      </c>
      <c r="X73" t="s">
        <v>150</v>
      </c>
      <c r="Y73" t="s">
        <v>5368</v>
      </c>
      <c r="Z73">
        <v>35</v>
      </c>
      <c r="AA73" t="s">
        <v>5327</v>
      </c>
      <c r="AC73" t="str">
        <f>Inquiries[[#This Row],[Name]]&amp;"|"&amp;LOWER(TRIM(Inquiries[[#This Row],[Email__c]]))</f>
        <v>Chloe Scott|chloe.scott@yahoo.com</v>
      </c>
      <c r="AD73">
        <f>COUNTIF(Inquiries[Dup Key],Inquiries[[#This Row],[Dup Key]])</f>
        <v>1</v>
      </c>
      <c r="AE73" t="str">
        <f>IF(Inquiries[[#This Row],[First_Response_Date__c]]="","",Inquiries[[#This Row],[First_Response_Date__c]]-Inquiries[[#This Row],[Inquiry_Date__c]])</f>
        <v/>
      </c>
      <c r="AF73" s="6" t="str">
        <f>TEXT(Inquiries[[#This Row],[Inquiry_Date__c]], "yyyy-mm")</f>
        <v>2026-02</v>
      </c>
      <c r="AG73" s="6" t="str">
        <f>_xlfn.XLOOKUP(Inquiries[[#This Row],[Requested_Location__c]], Locations[Location Id], Locations[Location Name])</f>
        <v>Toms River</v>
      </c>
    </row>
    <row r="74" spans="2:33">
      <c r="B74" t="s">
        <v>52</v>
      </c>
      <c r="C74" t="s">
        <v>5321</v>
      </c>
      <c r="D74" t="s">
        <v>5752</v>
      </c>
      <c r="E74" t="s">
        <v>5452</v>
      </c>
      <c r="F74" s="1">
        <v>46188</v>
      </c>
      <c r="G74" t="s">
        <v>5753</v>
      </c>
      <c r="H74" t="s">
        <v>5754</v>
      </c>
      <c r="I74" s="1">
        <v>46187</v>
      </c>
      <c r="J74" t="s">
        <v>5755</v>
      </c>
      <c r="K74" t="s">
        <v>263</v>
      </c>
      <c r="L74" t="b">
        <v>0</v>
      </c>
      <c r="N74" t="s">
        <v>52</v>
      </c>
      <c r="O74" t="s">
        <v>5327</v>
      </c>
      <c r="R74" t="s">
        <v>5141</v>
      </c>
      <c r="S74" t="s">
        <v>5358</v>
      </c>
      <c r="T74" t="s">
        <v>5753</v>
      </c>
      <c r="U74" t="s">
        <v>5351</v>
      </c>
      <c r="V74" t="s">
        <v>52</v>
      </c>
      <c r="W74" t="s">
        <v>5756</v>
      </c>
      <c r="X74" t="s">
        <v>63</v>
      </c>
      <c r="Y74" t="s">
        <v>5332</v>
      </c>
      <c r="Z74">
        <v>10</v>
      </c>
      <c r="AA74" t="s">
        <v>5327</v>
      </c>
      <c r="AB74" t="s">
        <v>804</v>
      </c>
      <c r="AC74" t="str">
        <f>Inquiries[[#This Row],[Name]]&amp;"|"&amp;LOWER(TRIM(Inquiries[[#This Row],[Email__c]]))</f>
        <v>Nathan Ryan|nryan@icloud.com</v>
      </c>
      <c r="AD74">
        <f>COUNTIF(Inquiries[Dup Key],Inquiries[[#This Row],[Dup Key]])</f>
        <v>1</v>
      </c>
      <c r="AE74">
        <f>IF(Inquiries[[#This Row],[First_Response_Date__c]]="","",Inquiries[[#This Row],[First_Response_Date__c]]-Inquiries[[#This Row],[Inquiry_Date__c]])</f>
        <v>1</v>
      </c>
      <c r="AF74" s="6" t="str">
        <f>TEXT(Inquiries[[#This Row],[Inquiry_Date__c]], "yyyy-mm")</f>
        <v>2026-06</v>
      </c>
      <c r="AG74" s="6" t="str">
        <f>_xlfn.XLOOKUP(Inquiries[[#This Row],[Requested_Location__c]], Locations[Location Id], Locations[Location Name])</f>
        <v>Red Bank</v>
      </c>
    </row>
    <row r="75" spans="2:33">
      <c r="B75" t="s">
        <v>52</v>
      </c>
      <c r="C75" t="s">
        <v>5321</v>
      </c>
      <c r="D75" t="s">
        <v>5757</v>
      </c>
      <c r="E75" t="s">
        <v>5669</v>
      </c>
      <c r="G75" t="s">
        <v>5758</v>
      </c>
      <c r="H75" t="s">
        <v>5759</v>
      </c>
      <c r="I75" s="1">
        <v>46208</v>
      </c>
      <c r="J75" t="s">
        <v>5760</v>
      </c>
      <c r="K75" t="s">
        <v>284</v>
      </c>
      <c r="L75" t="b">
        <v>0</v>
      </c>
      <c r="N75" t="s">
        <v>52</v>
      </c>
      <c r="O75" t="s">
        <v>5327</v>
      </c>
      <c r="R75" t="s">
        <v>5384</v>
      </c>
      <c r="S75" t="s">
        <v>5340</v>
      </c>
      <c r="T75" t="s">
        <v>5758</v>
      </c>
      <c r="V75" t="s">
        <v>52</v>
      </c>
      <c r="W75" t="s">
        <v>5761</v>
      </c>
      <c r="X75" t="s">
        <v>83</v>
      </c>
      <c r="Y75" t="s">
        <v>5368</v>
      </c>
      <c r="Z75">
        <v>16</v>
      </c>
      <c r="AA75" t="s">
        <v>5327</v>
      </c>
      <c r="AC75" t="str">
        <f>Inquiries[[#This Row],[Name]]&amp;"|"&amp;LOWER(TRIM(Inquiries[[#This Row],[Email__c]]))</f>
        <v>Theo Walker|theo.walker@icloud.com</v>
      </c>
      <c r="AD75">
        <f>COUNTIF(Inquiries[Dup Key],Inquiries[[#This Row],[Dup Key]])</f>
        <v>1</v>
      </c>
      <c r="AE75" t="str">
        <f>IF(Inquiries[[#This Row],[First_Response_Date__c]]="","",Inquiries[[#This Row],[First_Response_Date__c]]-Inquiries[[#This Row],[Inquiry_Date__c]])</f>
        <v/>
      </c>
      <c r="AF75" s="6" t="str">
        <f>TEXT(Inquiries[[#This Row],[Inquiry_Date__c]], "yyyy-mm")</f>
        <v>2026-07</v>
      </c>
      <c r="AG75" s="6" t="str">
        <f>_xlfn.XLOOKUP(Inquiries[[#This Row],[Requested_Location__c]], Locations[Location Id], Locations[Location Name])</f>
        <v>Brick</v>
      </c>
    </row>
    <row r="76" spans="2:33">
      <c r="B76" t="s">
        <v>52</v>
      </c>
      <c r="C76" t="s">
        <v>5321</v>
      </c>
      <c r="D76" t="s">
        <v>5762</v>
      </c>
      <c r="E76" t="s">
        <v>5763</v>
      </c>
      <c r="F76" s="1">
        <v>46237</v>
      </c>
      <c r="G76" t="s">
        <v>5764</v>
      </c>
      <c r="H76" t="s">
        <v>5765</v>
      </c>
      <c r="I76" s="1">
        <v>46234</v>
      </c>
      <c r="J76" t="s">
        <v>5766</v>
      </c>
      <c r="K76" t="s">
        <v>392</v>
      </c>
      <c r="L76" t="b">
        <v>0</v>
      </c>
      <c r="N76" t="s">
        <v>52</v>
      </c>
      <c r="O76" t="s">
        <v>5327</v>
      </c>
      <c r="R76" t="s">
        <v>5384</v>
      </c>
      <c r="S76" t="s">
        <v>5435</v>
      </c>
      <c r="T76" t="s">
        <v>5764</v>
      </c>
      <c r="U76" t="s">
        <v>5341</v>
      </c>
      <c r="V76" t="s">
        <v>52</v>
      </c>
      <c r="W76" t="s">
        <v>5767</v>
      </c>
      <c r="X76" t="s">
        <v>150</v>
      </c>
      <c r="Y76" t="s">
        <v>5360</v>
      </c>
      <c r="Z76">
        <v>14</v>
      </c>
      <c r="AA76" t="s">
        <v>5327</v>
      </c>
      <c r="AB76" t="s">
        <v>764</v>
      </c>
      <c r="AC76" t="str">
        <f>Inquiries[[#This Row],[Name]]&amp;"|"&amp;LOWER(TRIM(Inquiries[[#This Row],[Email__c]]))</f>
        <v>Chen Walker|chenwalker79@icloud.com</v>
      </c>
      <c r="AD76">
        <f>COUNTIF(Inquiries[Dup Key],Inquiries[[#This Row],[Dup Key]])</f>
        <v>1</v>
      </c>
      <c r="AE76">
        <f>IF(Inquiries[[#This Row],[First_Response_Date__c]]="","",Inquiries[[#This Row],[First_Response_Date__c]]-Inquiries[[#This Row],[Inquiry_Date__c]])</f>
        <v>3</v>
      </c>
      <c r="AF76" s="6" t="str">
        <f>TEXT(Inquiries[[#This Row],[Inquiry_Date__c]], "yyyy-mm")</f>
        <v>2026-07</v>
      </c>
      <c r="AG76" s="6" t="str">
        <f>_xlfn.XLOOKUP(Inquiries[[#This Row],[Requested_Location__c]], Locations[Location Id], Locations[Location Name])</f>
        <v>Toms River</v>
      </c>
    </row>
    <row r="77" spans="2:33">
      <c r="B77" t="s">
        <v>52</v>
      </c>
      <c r="C77" t="s">
        <v>5321</v>
      </c>
      <c r="D77" t="s">
        <v>5768</v>
      </c>
      <c r="E77" t="s">
        <v>5740</v>
      </c>
      <c r="G77" t="s">
        <v>5769</v>
      </c>
      <c r="H77" t="s">
        <v>5770</v>
      </c>
      <c r="I77" s="1">
        <v>46162</v>
      </c>
      <c r="J77" t="s">
        <v>5771</v>
      </c>
      <c r="K77" t="s">
        <v>527</v>
      </c>
      <c r="L77" t="b">
        <v>0</v>
      </c>
      <c r="N77" t="s">
        <v>52</v>
      </c>
      <c r="O77" t="s">
        <v>5327</v>
      </c>
      <c r="R77" t="s">
        <v>5448</v>
      </c>
      <c r="S77" t="s">
        <v>5358</v>
      </c>
      <c r="T77" t="s">
        <v>5769</v>
      </c>
      <c r="U77" t="s">
        <v>5351</v>
      </c>
      <c r="V77" t="s">
        <v>52</v>
      </c>
      <c r="W77" t="s">
        <v>5772</v>
      </c>
      <c r="X77" t="s">
        <v>83</v>
      </c>
      <c r="Y77" t="s">
        <v>5368</v>
      </c>
      <c r="Z77">
        <v>14</v>
      </c>
      <c r="AA77" t="s">
        <v>5327</v>
      </c>
      <c r="AC77" t="str">
        <f>Inquiries[[#This Row],[Name]]&amp;"|"&amp;LOWER(TRIM(Inquiries[[#This Row],[Email__c]]))</f>
        <v>Anthony King|anthonyking11@outlook.com</v>
      </c>
      <c r="AD77">
        <f>COUNTIF(Inquiries[Dup Key],Inquiries[[#This Row],[Dup Key]])</f>
        <v>1</v>
      </c>
      <c r="AE77" t="str">
        <f>IF(Inquiries[[#This Row],[First_Response_Date__c]]="","",Inquiries[[#This Row],[First_Response_Date__c]]-Inquiries[[#This Row],[Inquiry_Date__c]])</f>
        <v/>
      </c>
      <c r="AF77" s="6" t="str">
        <f>TEXT(Inquiries[[#This Row],[Inquiry_Date__c]], "yyyy-mm")</f>
        <v>2026-05</v>
      </c>
      <c r="AG77" s="6" t="str">
        <f>_xlfn.XLOOKUP(Inquiries[[#This Row],[Requested_Location__c]], Locations[Location Id], Locations[Location Name])</f>
        <v>Brick</v>
      </c>
    </row>
    <row r="78" spans="2:33">
      <c r="B78" t="s">
        <v>52</v>
      </c>
      <c r="C78" t="s">
        <v>5321</v>
      </c>
      <c r="D78" t="s">
        <v>5773</v>
      </c>
      <c r="E78" t="s">
        <v>5070</v>
      </c>
      <c r="F78" s="1">
        <v>46251</v>
      </c>
      <c r="G78" t="s">
        <v>5774</v>
      </c>
      <c r="H78" t="s">
        <v>5775</v>
      </c>
      <c r="I78" s="1">
        <v>46246</v>
      </c>
      <c r="J78" t="s">
        <v>5776</v>
      </c>
      <c r="K78" t="s">
        <v>107</v>
      </c>
      <c r="L78" t="b">
        <v>0</v>
      </c>
      <c r="N78" t="s">
        <v>52</v>
      </c>
      <c r="O78" t="s">
        <v>5327</v>
      </c>
      <c r="R78" t="s">
        <v>5378</v>
      </c>
      <c r="S78" t="s">
        <v>5435</v>
      </c>
      <c r="T78" t="s">
        <v>5774</v>
      </c>
      <c r="U78" t="s">
        <v>5351</v>
      </c>
      <c r="V78" t="s">
        <v>52</v>
      </c>
      <c r="W78" t="s">
        <v>5777</v>
      </c>
      <c r="X78" t="s">
        <v>83</v>
      </c>
      <c r="Y78" t="s">
        <v>5343</v>
      </c>
      <c r="Z78">
        <v>55</v>
      </c>
      <c r="AA78" t="s">
        <v>5327</v>
      </c>
      <c r="AB78" t="s">
        <v>302</v>
      </c>
      <c r="AC78" t="str">
        <f>Inquiries[[#This Row],[Name]]&amp;"|"&amp;LOWER(TRIM(Inquiries[[#This Row],[Email__c]]))</f>
        <v>Layla Martin|lmartin@yahoo.com</v>
      </c>
      <c r="AD78">
        <f>COUNTIF(Inquiries[Dup Key],Inquiries[[#This Row],[Dup Key]])</f>
        <v>1</v>
      </c>
      <c r="AE78">
        <f>IF(Inquiries[[#This Row],[First_Response_Date__c]]="","",Inquiries[[#This Row],[First_Response_Date__c]]-Inquiries[[#This Row],[Inquiry_Date__c]])</f>
        <v>5</v>
      </c>
      <c r="AF78" s="6" t="str">
        <f>TEXT(Inquiries[[#This Row],[Inquiry_Date__c]], "yyyy-mm")</f>
        <v>2026-08</v>
      </c>
      <c r="AG78" s="6" t="str">
        <f>_xlfn.XLOOKUP(Inquiries[[#This Row],[Requested_Location__c]], Locations[Location Id], Locations[Location Name])</f>
        <v>Brick</v>
      </c>
    </row>
    <row r="79" spans="2:33">
      <c r="B79" t="s">
        <v>52</v>
      </c>
      <c r="C79" t="s">
        <v>5321</v>
      </c>
      <c r="D79" t="s">
        <v>5778</v>
      </c>
      <c r="E79" t="s">
        <v>5505</v>
      </c>
      <c r="F79" s="1">
        <v>46145</v>
      </c>
      <c r="G79" t="s">
        <v>5779</v>
      </c>
      <c r="H79" t="s">
        <v>5780</v>
      </c>
      <c r="I79" s="1">
        <v>46145</v>
      </c>
      <c r="J79" t="s">
        <v>5781</v>
      </c>
      <c r="K79" t="s">
        <v>107</v>
      </c>
      <c r="L79" t="b">
        <v>0</v>
      </c>
      <c r="N79" t="s">
        <v>52</v>
      </c>
      <c r="O79" t="s">
        <v>5327</v>
      </c>
      <c r="R79" t="s">
        <v>5128</v>
      </c>
      <c r="S79" t="s">
        <v>5393</v>
      </c>
      <c r="T79" t="s">
        <v>5779</v>
      </c>
      <c r="V79" t="s">
        <v>52</v>
      </c>
      <c r="W79" t="s">
        <v>5782</v>
      </c>
      <c r="X79" t="s">
        <v>83</v>
      </c>
      <c r="Y79" t="s">
        <v>5332</v>
      </c>
      <c r="Z79">
        <v>10</v>
      </c>
      <c r="AA79" t="s">
        <v>5327</v>
      </c>
      <c r="AB79" t="s">
        <v>840</v>
      </c>
      <c r="AC79" t="str">
        <f>Inquiries[[#This Row],[Name]]&amp;"|"&amp;LOWER(TRIM(Inquiries[[#This Row],[Email__c]]))</f>
        <v>Evelyn Silva|evelyn.silva@outlook.com</v>
      </c>
      <c r="AD79">
        <f>COUNTIF(Inquiries[Dup Key],Inquiries[[#This Row],[Dup Key]])</f>
        <v>1</v>
      </c>
      <c r="AE79">
        <f>IF(Inquiries[[#This Row],[First_Response_Date__c]]="","",Inquiries[[#This Row],[First_Response_Date__c]]-Inquiries[[#This Row],[Inquiry_Date__c]])</f>
        <v>0</v>
      </c>
      <c r="AF79" s="6" t="str">
        <f>TEXT(Inquiries[[#This Row],[Inquiry_Date__c]], "yyyy-mm")</f>
        <v>2026-05</v>
      </c>
      <c r="AG79" s="6" t="str">
        <f>_xlfn.XLOOKUP(Inquiries[[#This Row],[Requested_Location__c]], Locations[Location Id], Locations[Location Name])</f>
        <v>Brick</v>
      </c>
    </row>
    <row r="80" spans="2:33">
      <c r="B80" t="s">
        <v>52</v>
      </c>
      <c r="C80" t="s">
        <v>5321</v>
      </c>
      <c r="D80" t="s">
        <v>5783</v>
      </c>
      <c r="E80" t="s">
        <v>5298</v>
      </c>
      <c r="F80" s="1">
        <v>46240</v>
      </c>
      <c r="G80" t="s">
        <v>5784</v>
      </c>
      <c r="H80" t="s">
        <v>5785</v>
      </c>
      <c r="I80" s="1">
        <v>46240</v>
      </c>
      <c r="J80" t="s">
        <v>5786</v>
      </c>
      <c r="K80" t="s">
        <v>392</v>
      </c>
      <c r="L80" t="b">
        <v>0</v>
      </c>
      <c r="N80" t="s">
        <v>52</v>
      </c>
      <c r="O80" t="s">
        <v>5327</v>
      </c>
      <c r="R80" t="s">
        <v>5384</v>
      </c>
      <c r="S80" t="s">
        <v>5435</v>
      </c>
      <c r="T80" t="s">
        <v>5784</v>
      </c>
      <c r="V80" t="s">
        <v>52</v>
      </c>
      <c r="W80" t="s">
        <v>5787</v>
      </c>
      <c r="X80" t="s">
        <v>83</v>
      </c>
      <c r="Y80" t="s">
        <v>5332</v>
      </c>
      <c r="Z80">
        <v>10</v>
      </c>
      <c r="AA80" t="s">
        <v>5327</v>
      </c>
      <c r="AB80" t="s">
        <v>476</v>
      </c>
      <c r="AC80" t="str">
        <f>Inquiries[[#This Row],[Name]]&amp;"|"&amp;LOWER(TRIM(Inquiries[[#This Row],[Email__c]]))</f>
        <v>Jordan Walker|jordanwalker@icloud.com</v>
      </c>
      <c r="AD80">
        <f>COUNTIF(Inquiries[Dup Key],Inquiries[[#This Row],[Dup Key]])</f>
        <v>1</v>
      </c>
      <c r="AE80">
        <f>IF(Inquiries[[#This Row],[First_Response_Date__c]]="","",Inquiries[[#This Row],[First_Response_Date__c]]-Inquiries[[#This Row],[Inquiry_Date__c]])</f>
        <v>0</v>
      </c>
      <c r="AF80" s="6" t="str">
        <f>TEXT(Inquiries[[#This Row],[Inquiry_Date__c]], "yyyy-mm")</f>
        <v>2026-08</v>
      </c>
      <c r="AG80" s="6" t="str">
        <f>_xlfn.XLOOKUP(Inquiries[[#This Row],[Requested_Location__c]], Locations[Location Id], Locations[Location Name])</f>
        <v>Brick</v>
      </c>
    </row>
    <row r="81" spans="2:33">
      <c r="B81" t="s">
        <v>52</v>
      </c>
      <c r="C81" t="s">
        <v>5321</v>
      </c>
      <c r="D81" t="s">
        <v>5788</v>
      </c>
      <c r="E81" t="s">
        <v>5698</v>
      </c>
      <c r="F81" s="1">
        <v>46168</v>
      </c>
      <c r="G81" t="s">
        <v>5789</v>
      </c>
      <c r="H81" t="s">
        <v>5790</v>
      </c>
      <c r="I81" s="1">
        <v>46166</v>
      </c>
      <c r="J81" t="s">
        <v>5791</v>
      </c>
      <c r="K81" t="s">
        <v>58</v>
      </c>
      <c r="L81" t="b">
        <v>0</v>
      </c>
      <c r="N81" t="s">
        <v>52</v>
      </c>
      <c r="O81" t="s">
        <v>5327</v>
      </c>
      <c r="R81" t="s">
        <v>5792</v>
      </c>
      <c r="S81" t="s">
        <v>5350</v>
      </c>
      <c r="T81" t="s">
        <v>5789</v>
      </c>
      <c r="U81" t="s">
        <v>5449</v>
      </c>
      <c r="V81" t="s">
        <v>52</v>
      </c>
      <c r="W81" t="s">
        <v>5793</v>
      </c>
      <c r="X81" t="s">
        <v>63</v>
      </c>
      <c r="Y81" t="s">
        <v>5360</v>
      </c>
      <c r="Z81">
        <v>14</v>
      </c>
      <c r="AA81" t="s">
        <v>5327</v>
      </c>
      <c r="AB81" t="s">
        <v>764</v>
      </c>
      <c r="AC81" t="str">
        <f>Inquiries[[#This Row],[Name]]&amp;"|"&amp;LOWER(TRIM(Inquiries[[#This Row],[Email__c]]))</f>
        <v>Ella Roberts|eroberts@gmail.com</v>
      </c>
      <c r="AD81">
        <f>COUNTIF(Inquiries[Dup Key],Inquiries[[#This Row],[Dup Key]])</f>
        <v>1</v>
      </c>
      <c r="AE81">
        <f>IF(Inquiries[[#This Row],[First_Response_Date__c]]="","",Inquiries[[#This Row],[First_Response_Date__c]]-Inquiries[[#This Row],[Inquiry_Date__c]])</f>
        <v>2</v>
      </c>
      <c r="AF81" s="6" t="str">
        <f>TEXT(Inquiries[[#This Row],[Inquiry_Date__c]], "yyyy-mm")</f>
        <v>2026-05</v>
      </c>
      <c r="AG81" s="6" t="str">
        <f>_xlfn.XLOOKUP(Inquiries[[#This Row],[Requested_Location__c]], Locations[Location Id], Locations[Location Name])</f>
        <v>Red Bank</v>
      </c>
    </row>
    <row r="82" spans="2:33">
      <c r="B82" t="s">
        <v>52</v>
      </c>
      <c r="C82" t="s">
        <v>5321</v>
      </c>
      <c r="D82" t="s">
        <v>5794</v>
      </c>
      <c r="E82" t="s">
        <v>5354</v>
      </c>
      <c r="F82" s="1">
        <v>46257</v>
      </c>
      <c r="G82" t="s">
        <v>2593</v>
      </c>
      <c r="H82" t="s">
        <v>5795</v>
      </c>
      <c r="I82" s="1">
        <v>46252</v>
      </c>
      <c r="J82" t="s">
        <v>5796</v>
      </c>
      <c r="K82" t="s">
        <v>284</v>
      </c>
      <c r="L82" t="b">
        <v>0</v>
      </c>
      <c r="N82" t="s">
        <v>52</v>
      </c>
      <c r="O82" t="s">
        <v>5327</v>
      </c>
      <c r="R82" t="s">
        <v>5797</v>
      </c>
      <c r="S82" t="s">
        <v>5350</v>
      </c>
      <c r="T82" t="s">
        <v>2593</v>
      </c>
      <c r="U82" t="s">
        <v>5341</v>
      </c>
      <c r="V82" t="s">
        <v>52</v>
      </c>
      <c r="W82" t="s">
        <v>5798</v>
      </c>
      <c r="X82" t="s">
        <v>83</v>
      </c>
      <c r="Y82" t="s">
        <v>5332</v>
      </c>
      <c r="Z82">
        <v>8</v>
      </c>
      <c r="AA82" t="s">
        <v>5327</v>
      </c>
      <c r="AB82" t="s">
        <v>145</v>
      </c>
      <c r="AC82" t="str">
        <f>Inquiries[[#This Row],[Name]]&amp;"|"&amp;LOWER(TRIM(Inquiries[[#This Row],[Email__c]]))</f>
        <v>Isaac Young|iyoung@yahoo.com</v>
      </c>
      <c r="AD82">
        <f>COUNTIF(Inquiries[Dup Key],Inquiries[[#This Row],[Dup Key]])</f>
        <v>1</v>
      </c>
      <c r="AE82">
        <f>IF(Inquiries[[#This Row],[First_Response_Date__c]]="","",Inquiries[[#This Row],[First_Response_Date__c]]-Inquiries[[#This Row],[Inquiry_Date__c]])</f>
        <v>5</v>
      </c>
      <c r="AF82" s="6" t="str">
        <f>TEXT(Inquiries[[#This Row],[Inquiry_Date__c]], "yyyy-mm")</f>
        <v>2026-08</v>
      </c>
      <c r="AG82" s="6" t="str">
        <f>_xlfn.XLOOKUP(Inquiries[[#This Row],[Requested_Location__c]], Locations[Location Id], Locations[Location Name])</f>
        <v>Brick</v>
      </c>
    </row>
    <row r="83" spans="2:33">
      <c r="B83" t="s">
        <v>52</v>
      </c>
      <c r="C83" t="s">
        <v>5321</v>
      </c>
      <c r="D83" t="s">
        <v>5799</v>
      </c>
      <c r="E83" t="s">
        <v>5800</v>
      </c>
      <c r="F83" s="1">
        <v>46120</v>
      </c>
      <c r="G83" t="s">
        <v>5801</v>
      </c>
      <c r="H83" t="s">
        <v>5802</v>
      </c>
      <c r="I83" s="1">
        <v>46117</v>
      </c>
      <c r="J83" t="s">
        <v>5803</v>
      </c>
      <c r="K83" t="s">
        <v>263</v>
      </c>
      <c r="L83" t="b">
        <v>0</v>
      </c>
      <c r="N83" t="s">
        <v>52</v>
      </c>
      <c r="O83" t="s">
        <v>5327</v>
      </c>
      <c r="R83" t="s">
        <v>5090</v>
      </c>
      <c r="S83" t="s">
        <v>5400</v>
      </c>
      <c r="T83" t="s">
        <v>5801</v>
      </c>
      <c r="U83" t="s">
        <v>5330</v>
      </c>
      <c r="V83" t="s">
        <v>52</v>
      </c>
      <c r="W83" t="s">
        <v>5804</v>
      </c>
      <c r="X83" t="s">
        <v>150</v>
      </c>
      <c r="Y83" t="s">
        <v>5343</v>
      </c>
      <c r="Z83">
        <v>12</v>
      </c>
      <c r="AA83" t="s">
        <v>5327</v>
      </c>
      <c r="AB83" t="s">
        <v>525</v>
      </c>
      <c r="AC83" t="str">
        <f>Inquiries[[#This Row],[Name]]&amp;"|"&amp;LOWER(TRIM(Inquiries[[#This Row],[Email__c]]))</f>
        <v>Riley Hernandez|riley.hernandez@hotmail.com</v>
      </c>
      <c r="AD83">
        <f>COUNTIF(Inquiries[Dup Key],Inquiries[[#This Row],[Dup Key]])</f>
        <v>1</v>
      </c>
      <c r="AE83">
        <f>IF(Inquiries[[#This Row],[First_Response_Date__c]]="","",Inquiries[[#This Row],[First_Response_Date__c]]-Inquiries[[#This Row],[Inquiry_Date__c]])</f>
        <v>3</v>
      </c>
      <c r="AF83" s="6" t="str">
        <f>TEXT(Inquiries[[#This Row],[Inquiry_Date__c]], "yyyy-mm")</f>
        <v>2026-04</v>
      </c>
      <c r="AG83" s="6" t="str">
        <f>_xlfn.XLOOKUP(Inquiries[[#This Row],[Requested_Location__c]], Locations[Location Id], Locations[Location Name])</f>
        <v>Toms River</v>
      </c>
    </row>
    <row r="84" spans="2:33">
      <c r="B84" t="s">
        <v>52</v>
      </c>
      <c r="C84" t="s">
        <v>5321</v>
      </c>
      <c r="D84" t="s">
        <v>5805</v>
      </c>
      <c r="E84" t="s">
        <v>5414</v>
      </c>
      <c r="F84" s="1">
        <v>46150</v>
      </c>
      <c r="G84" t="s">
        <v>5806</v>
      </c>
      <c r="H84" t="s">
        <v>5807</v>
      </c>
      <c r="I84" s="1">
        <v>46150</v>
      </c>
      <c r="J84" t="s">
        <v>5808</v>
      </c>
      <c r="K84" t="s">
        <v>527</v>
      </c>
      <c r="L84" t="b">
        <v>0</v>
      </c>
      <c r="N84" t="s">
        <v>52</v>
      </c>
      <c r="O84" t="s">
        <v>5327</v>
      </c>
      <c r="R84" t="s">
        <v>5601</v>
      </c>
      <c r="S84" t="s">
        <v>5350</v>
      </c>
      <c r="T84" t="s">
        <v>5806</v>
      </c>
      <c r="V84" t="s">
        <v>52</v>
      </c>
      <c r="W84" t="s">
        <v>5809</v>
      </c>
      <c r="X84" t="s">
        <v>150</v>
      </c>
      <c r="Y84" t="s">
        <v>5360</v>
      </c>
      <c r="Z84">
        <v>12</v>
      </c>
      <c r="AA84" t="s">
        <v>5327</v>
      </c>
      <c r="AB84" t="s">
        <v>145</v>
      </c>
      <c r="AC84" t="str">
        <f>Inquiries[[#This Row],[Name]]&amp;"|"&amp;LOWER(TRIM(Inquiries[[#This Row],[Email__c]]))</f>
        <v>Rohan Kim|rohankim28@outlook.com</v>
      </c>
      <c r="AD84">
        <f>COUNTIF(Inquiries[Dup Key],Inquiries[[#This Row],[Dup Key]])</f>
        <v>1</v>
      </c>
      <c r="AE84">
        <f>IF(Inquiries[[#This Row],[First_Response_Date__c]]="","",Inquiries[[#This Row],[First_Response_Date__c]]-Inquiries[[#This Row],[Inquiry_Date__c]])</f>
        <v>0</v>
      </c>
      <c r="AF84" s="6" t="str">
        <f>TEXT(Inquiries[[#This Row],[Inquiry_Date__c]], "yyyy-mm")</f>
        <v>2026-05</v>
      </c>
      <c r="AG84" s="6" t="str">
        <f>_xlfn.XLOOKUP(Inquiries[[#This Row],[Requested_Location__c]], Locations[Location Id], Locations[Location Name])</f>
        <v>Toms River</v>
      </c>
    </row>
    <row r="85" spans="2:33">
      <c r="B85" t="s">
        <v>52</v>
      </c>
      <c r="C85" t="s">
        <v>5321</v>
      </c>
      <c r="D85" t="s">
        <v>5810</v>
      </c>
      <c r="E85" t="s">
        <v>5719</v>
      </c>
      <c r="F85" s="1">
        <v>46240</v>
      </c>
      <c r="G85" t="s">
        <v>5811</v>
      </c>
      <c r="H85" t="s">
        <v>5812</v>
      </c>
      <c r="I85" s="1">
        <v>46238</v>
      </c>
      <c r="J85" t="s">
        <v>5813</v>
      </c>
      <c r="K85" t="s">
        <v>203</v>
      </c>
      <c r="L85" t="b">
        <v>0</v>
      </c>
      <c r="N85" t="s">
        <v>52</v>
      </c>
      <c r="O85" t="s">
        <v>5327</v>
      </c>
      <c r="R85" t="s">
        <v>5148</v>
      </c>
      <c r="S85" t="s">
        <v>5393</v>
      </c>
      <c r="T85" t="s">
        <v>5811</v>
      </c>
      <c r="U85" t="s">
        <v>5330</v>
      </c>
      <c r="V85" t="s">
        <v>52</v>
      </c>
      <c r="W85" t="s">
        <v>5814</v>
      </c>
      <c r="X85" t="s">
        <v>83</v>
      </c>
      <c r="Y85" t="s">
        <v>5343</v>
      </c>
      <c r="Z85">
        <v>44</v>
      </c>
      <c r="AA85" t="s">
        <v>5327</v>
      </c>
      <c r="AB85" t="s">
        <v>1203</v>
      </c>
      <c r="AC85" t="str">
        <f>Inquiries[[#This Row],[Name]]&amp;"|"&amp;LOWER(TRIM(Inquiries[[#This Row],[Email__c]]))</f>
        <v>Skylar Okafor|skylar.okafor@icloud.com</v>
      </c>
      <c r="AD85">
        <f>COUNTIF(Inquiries[Dup Key],Inquiries[[#This Row],[Dup Key]])</f>
        <v>1</v>
      </c>
      <c r="AE85">
        <f>IF(Inquiries[[#This Row],[First_Response_Date__c]]="","",Inquiries[[#This Row],[First_Response_Date__c]]-Inquiries[[#This Row],[Inquiry_Date__c]])</f>
        <v>2</v>
      </c>
      <c r="AF85" s="6" t="str">
        <f>TEXT(Inquiries[[#This Row],[Inquiry_Date__c]], "yyyy-mm")</f>
        <v>2026-08</v>
      </c>
      <c r="AG85" s="6" t="str">
        <f>_xlfn.XLOOKUP(Inquiries[[#This Row],[Requested_Location__c]], Locations[Location Id], Locations[Location Name])</f>
        <v>Brick</v>
      </c>
    </row>
    <row r="86" spans="2:33">
      <c r="B86" t="s">
        <v>52</v>
      </c>
      <c r="C86" t="s">
        <v>5321</v>
      </c>
      <c r="D86" t="s">
        <v>5815</v>
      </c>
      <c r="E86" t="s">
        <v>5800</v>
      </c>
      <c r="F86" s="1">
        <v>46174</v>
      </c>
      <c r="G86" t="s">
        <v>5816</v>
      </c>
      <c r="H86" t="s">
        <v>5817</v>
      </c>
      <c r="I86" s="1">
        <v>46174</v>
      </c>
      <c r="J86" t="s">
        <v>5818</v>
      </c>
      <c r="K86" t="s">
        <v>527</v>
      </c>
      <c r="L86" t="b">
        <v>0</v>
      </c>
      <c r="N86" t="s">
        <v>52</v>
      </c>
      <c r="O86" t="s">
        <v>5327</v>
      </c>
      <c r="R86" t="s">
        <v>5792</v>
      </c>
      <c r="S86" t="s">
        <v>5485</v>
      </c>
      <c r="T86" t="s">
        <v>5816</v>
      </c>
      <c r="V86" t="s">
        <v>52</v>
      </c>
      <c r="W86" t="s">
        <v>5819</v>
      </c>
      <c r="X86" t="s">
        <v>63</v>
      </c>
      <c r="Y86" t="s">
        <v>5360</v>
      </c>
      <c r="Z86">
        <v>35</v>
      </c>
      <c r="AA86" t="s">
        <v>5327</v>
      </c>
      <c r="AB86" t="s">
        <v>401</v>
      </c>
      <c r="AC86" t="str">
        <f>Inquiries[[#This Row],[Name]]&amp;"|"&amp;LOWER(TRIM(Inquiries[[#This Row],[Email__c]]))</f>
        <v>Riley Roberts|rileyroberts92@outlook.com</v>
      </c>
      <c r="AD86">
        <f>COUNTIF(Inquiries[Dup Key],Inquiries[[#This Row],[Dup Key]])</f>
        <v>1</v>
      </c>
      <c r="AE86">
        <f>IF(Inquiries[[#This Row],[First_Response_Date__c]]="","",Inquiries[[#This Row],[First_Response_Date__c]]-Inquiries[[#This Row],[Inquiry_Date__c]])</f>
        <v>0</v>
      </c>
      <c r="AF86" s="6" t="str">
        <f>TEXT(Inquiries[[#This Row],[Inquiry_Date__c]], "yyyy-mm")</f>
        <v>2026-06</v>
      </c>
      <c r="AG86" s="6" t="str">
        <f>_xlfn.XLOOKUP(Inquiries[[#This Row],[Requested_Location__c]], Locations[Location Id], Locations[Location Name])</f>
        <v>Red Bank</v>
      </c>
    </row>
    <row r="87" spans="2:33">
      <c r="B87" t="s">
        <v>52</v>
      </c>
      <c r="C87" t="s">
        <v>5321</v>
      </c>
      <c r="D87" t="s">
        <v>5820</v>
      </c>
      <c r="E87" t="s">
        <v>5493</v>
      </c>
      <c r="F87" s="1">
        <v>46241</v>
      </c>
      <c r="G87" t="s">
        <v>5821</v>
      </c>
      <c r="H87" t="s">
        <v>5822</v>
      </c>
      <c r="I87" s="1">
        <v>46241</v>
      </c>
      <c r="J87" t="s">
        <v>5823</v>
      </c>
      <c r="K87" t="s">
        <v>527</v>
      </c>
      <c r="L87" t="b">
        <v>0</v>
      </c>
      <c r="N87" t="s">
        <v>52</v>
      </c>
      <c r="O87" t="s">
        <v>5327</v>
      </c>
      <c r="R87" t="s">
        <v>5461</v>
      </c>
      <c r="S87" t="s">
        <v>5485</v>
      </c>
      <c r="T87" t="s">
        <v>5821</v>
      </c>
      <c r="V87" t="s">
        <v>52</v>
      </c>
      <c r="W87" t="s">
        <v>5824</v>
      </c>
      <c r="X87" t="s">
        <v>150</v>
      </c>
      <c r="Y87" t="s">
        <v>5360</v>
      </c>
      <c r="Z87">
        <v>16</v>
      </c>
      <c r="AA87" t="s">
        <v>5327</v>
      </c>
      <c r="AB87" t="s">
        <v>490</v>
      </c>
      <c r="AC87" t="str">
        <f>Inquiries[[#This Row],[Name]]&amp;"|"&amp;LOWER(TRIM(Inquiries[[#This Row],[Email__c]]))</f>
        <v>Levi Thomas|levi.thomas@yahoo.com</v>
      </c>
      <c r="AD87">
        <f>COUNTIF(Inquiries[Dup Key],Inquiries[[#This Row],[Dup Key]])</f>
        <v>1</v>
      </c>
      <c r="AE87">
        <f>IF(Inquiries[[#This Row],[First_Response_Date__c]]="","",Inquiries[[#This Row],[First_Response_Date__c]]-Inquiries[[#This Row],[Inquiry_Date__c]])</f>
        <v>0</v>
      </c>
      <c r="AF87" s="6" t="str">
        <f>TEXT(Inquiries[[#This Row],[Inquiry_Date__c]], "yyyy-mm")</f>
        <v>2026-08</v>
      </c>
      <c r="AG87" s="6" t="str">
        <f>_xlfn.XLOOKUP(Inquiries[[#This Row],[Requested_Location__c]], Locations[Location Id], Locations[Location Name])</f>
        <v>Toms River</v>
      </c>
    </row>
    <row r="88" spans="2:33">
      <c r="B88" t="s">
        <v>52</v>
      </c>
      <c r="C88" t="s">
        <v>5321</v>
      </c>
      <c r="D88" t="s">
        <v>5825</v>
      </c>
      <c r="E88" t="s">
        <v>5298</v>
      </c>
      <c r="F88" s="1">
        <v>46208</v>
      </c>
      <c r="G88" t="s">
        <v>5826</v>
      </c>
      <c r="H88" t="s">
        <v>5827</v>
      </c>
      <c r="I88" s="1">
        <v>46208</v>
      </c>
      <c r="J88" t="s">
        <v>5828</v>
      </c>
      <c r="K88" t="s">
        <v>78</v>
      </c>
      <c r="L88" t="b">
        <v>0</v>
      </c>
      <c r="N88" t="s">
        <v>52</v>
      </c>
      <c r="O88" t="s">
        <v>5327</v>
      </c>
      <c r="R88" t="s">
        <v>5392</v>
      </c>
      <c r="S88" t="s">
        <v>5435</v>
      </c>
      <c r="T88" t="s">
        <v>5826</v>
      </c>
      <c r="U88" t="s">
        <v>5385</v>
      </c>
      <c r="V88" t="s">
        <v>52</v>
      </c>
      <c r="W88" t="s">
        <v>5829</v>
      </c>
      <c r="X88" t="s">
        <v>63</v>
      </c>
      <c r="Y88" t="s">
        <v>5343</v>
      </c>
      <c r="Z88">
        <v>44</v>
      </c>
      <c r="AA88" t="s">
        <v>5327</v>
      </c>
      <c r="AB88" t="s">
        <v>390</v>
      </c>
      <c r="AC88" t="str">
        <f>Inquiries[[#This Row],[Name]]&amp;"|"&amp;LOWER(TRIM(Inquiries[[#This Row],[Email__c]]))</f>
        <v>Jordan Anderson|jordananderson42@gmail.com</v>
      </c>
      <c r="AD88">
        <f>COUNTIF(Inquiries[Dup Key],Inquiries[[#This Row],[Dup Key]])</f>
        <v>1</v>
      </c>
      <c r="AE88">
        <f>IF(Inquiries[[#This Row],[First_Response_Date__c]]="","",Inquiries[[#This Row],[First_Response_Date__c]]-Inquiries[[#This Row],[Inquiry_Date__c]])</f>
        <v>0</v>
      </c>
      <c r="AF88" s="6" t="str">
        <f>TEXT(Inquiries[[#This Row],[Inquiry_Date__c]], "yyyy-mm")</f>
        <v>2026-07</v>
      </c>
      <c r="AG88" s="6" t="str">
        <f>_xlfn.XLOOKUP(Inquiries[[#This Row],[Requested_Location__c]], Locations[Location Id], Locations[Location Name])</f>
        <v>Red Bank</v>
      </c>
    </row>
    <row r="89" spans="2:33">
      <c r="B89" t="s">
        <v>52</v>
      </c>
      <c r="C89" t="s">
        <v>5321</v>
      </c>
      <c r="D89" t="s">
        <v>5830</v>
      </c>
      <c r="E89" t="s">
        <v>5538</v>
      </c>
      <c r="G89" t="s">
        <v>5831</v>
      </c>
      <c r="H89" t="s">
        <v>5832</v>
      </c>
      <c r="I89" s="1">
        <v>46199</v>
      </c>
      <c r="J89" t="s">
        <v>5833</v>
      </c>
      <c r="K89" t="s">
        <v>237</v>
      </c>
      <c r="L89" t="b">
        <v>0</v>
      </c>
      <c r="N89" t="s">
        <v>52</v>
      </c>
      <c r="O89" t="s">
        <v>5327</v>
      </c>
      <c r="R89" t="s">
        <v>5122</v>
      </c>
      <c r="S89" t="s">
        <v>5485</v>
      </c>
      <c r="T89" t="s">
        <v>5831</v>
      </c>
      <c r="U89" t="s">
        <v>5351</v>
      </c>
      <c r="V89" t="s">
        <v>52</v>
      </c>
      <c r="W89" t="s">
        <v>5834</v>
      </c>
      <c r="X89" t="s">
        <v>63</v>
      </c>
      <c r="Y89" t="s">
        <v>5368</v>
      </c>
      <c r="Z89">
        <v>55</v>
      </c>
      <c r="AA89" t="s">
        <v>5327</v>
      </c>
      <c r="AC89" t="str">
        <f>Inquiries[[#This Row],[Name]]&amp;"|"&amp;LOWER(TRIM(Inquiries[[#This Row],[Email__c]]))</f>
        <v>Sebastian Miller|sebastianmiller47@hotmail.com</v>
      </c>
      <c r="AD89">
        <f>COUNTIF(Inquiries[Dup Key],Inquiries[[#This Row],[Dup Key]])</f>
        <v>1</v>
      </c>
      <c r="AE89" t="str">
        <f>IF(Inquiries[[#This Row],[First_Response_Date__c]]="","",Inquiries[[#This Row],[First_Response_Date__c]]-Inquiries[[#This Row],[Inquiry_Date__c]])</f>
        <v/>
      </c>
      <c r="AF89" s="6" t="str">
        <f>TEXT(Inquiries[[#This Row],[Inquiry_Date__c]], "yyyy-mm")</f>
        <v>2026-06</v>
      </c>
      <c r="AG89" s="6" t="str">
        <f>_xlfn.XLOOKUP(Inquiries[[#This Row],[Requested_Location__c]], Locations[Location Id], Locations[Location Name])</f>
        <v>Red Bank</v>
      </c>
    </row>
    <row r="90" spans="2:33">
      <c r="B90" t="s">
        <v>52</v>
      </c>
      <c r="C90" t="s">
        <v>5321</v>
      </c>
      <c r="D90" t="s">
        <v>5835</v>
      </c>
      <c r="E90" t="s">
        <v>5836</v>
      </c>
      <c r="F90" s="1">
        <v>46147</v>
      </c>
      <c r="G90" t="s">
        <v>5837</v>
      </c>
      <c r="H90" t="s">
        <v>5838</v>
      </c>
      <c r="I90" s="1">
        <v>46146</v>
      </c>
      <c r="J90" t="s">
        <v>5839</v>
      </c>
      <c r="K90" t="s">
        <v>527</v>
      </c>
      <c r="L90" t="b">
        <v>0</v>
      </c>
      <c r="N90" t="s">
        <v>52</v>
      </c>
      <c r="O90" t="s">
        <v>5327</v>
      </c>
      <c r="R90" t="s">
        <v>5133</v>
      </c>
      <c r="S90" t="s">
        <v>5485</v>
      </c>
      <c r="T90" t="s">
        <v>5837</v>
      </c>
      <c r="U90" t="s">
        <v>5341</v>
      </c>
      <c r="V90" t="s">
        <v>52</v>
      </c>
      <c r="W90" t="s">
        <v>5840</v>
      </c>
      <c r="X90" t="s">
        <v>63</v>
      </c>
      <c r="Y90" t="s">
        <v>5332</v>
      </c>
      <c r="Z90">
        <v>16</v>
      </c>
      <c r="AA90" t="s">
        <v>5327</v>
      </c>
      <c r="AB90" t="s">
        <v>401</v>
      </c>
      <c r="AC90" t="str">
        <f>Inquiries[[#This Row],[Name]]&amp;"|"&amp;LOWER(TRIM(Inquiries[[#This Row],[Email__c]]))</f>
        <v>Brooklyn Perez|brooklynperez@hotmail.com</v>
      </c>
      <c r="AD90">
        <f>COUNTIF(Inquiries[Dup Key],Inquiries[[#This Row],[Dup Key]])</f>
        <v>1</v>
      </c>
      <c r="AE90">
        <f>IF(Inquiries[[#This Row],[First_Response_Date__c]]="","",Inquiries[[#This Row],[First_Response_Date__c]]-Inquiries[[#This Row],[Inquiry_Date__c]])</f>
        <v>1</v>
      </c>
      <c r="AF90" s="6" t="str">
        <f>TEXT(Inquiries[[#This Row],[Inquiry_Date__c]], "yyyy-mm")</f>
        <v>2026-05</v>
      </c>
      <c r="AG90" s="6" t="str">
        <f>_xlfn.XLOOKUP(Inquiries[[#This Row],[Requested_Location__c]], Locations[Location Id], Locations[Location Name])</f>
        <v>Red Bank</v>
      </c>
    </row>
    <row r="91" spans="2:33">
      <c r="B91" t="s">
        <v>52</v>
      </c>
      <c r="C91" t="s">
        <v>5321</v>
      </c>
      <c r="D91" t="s">
        <v>5841</v>
      </c>
      <c r="E91" t="s">
        <v>5842</v>
      </c>
      <c r="F91" s="1">
        <v>46158</v>
      </c>
      <c r="G91" t="s">
        <v>5843</v>
      </c>
      <c r="H91" t="s">
        <v>5844</v>
      </c>
      <c r="I91" s="1">
        <v>46157</v>
      </c>
      <c r="J91" t="s">
        <v>5845</v>
      </c>
      <c r="K91" t="s">
        <v>147</v>
      </c>
      <c r="L91" t="b">
        <v>0</v>
      </c>
      <c r="N91" t="s">
        <v>52</v>
      </c>
      <c r="O91" t="s">
        <v>5327</v>
      </c>
      <c r="R91" t="s">
        <v>5148</v>
      </c>
      <c r="S91" t="s">
        <v>5358</v>
      </c>
      <c r="T91" t="s">
        <v>5843</v>
      </c>
      <c r="U91" t="s">
        <v>5351</v>
      </c>
      <c r="V91" t="s">
        <v>52</v>
      </c>
      <c r="W91" t="s">
        <v>5846</v>
      </c>
      <c r="X91" t="s">
        <v>63</v>
      </c>
      <c r="Y91" t="s">
        <v>5332</v>
      </c>
      <c r="Z91">
        <v>44</v>
      </c>
      <c r="AA91" t="s">
        <v>5327</v>
      </c>
      <c r="AB91" t="s">
        <v>104</v>
      </c>
      <c r="AC91" t="str">
        <f>Inquiries[[#This Row],[Name]]&amp;"|"&amp;LOWER(TRIM(Inquiries[[#This Row],[Email__c]]))</f>
        <v>Mei Okafor|meiokafor@icloud.com</v>
      </c>
      <c r="AD91">
        <f>COUNTIF(Inquiries[Dup Key],Inquiries[[#This Row],[Dup Key]])</f>
        <v>1</v>
      </c>
      <c r="AE91">
        <f>IF(Inquiries[[#This Row],[First_Response_Date__c]]="","",Inquiries[[#This Row],[First_Response_Date__c]]-Inquiries[[#This Row],[Inquiry_Date__c]])</f>
        <v>1</v>
      </c>
      <c r="AF91" s="6" t="str">
        <f>TEXT(Inquiries[[#This Row],[Inquiry_Date__c]], "yyyy-mm")</f>
        <v>2026-05</v>
      </c>
      <c r="AG91" s="6" t="str">
        <f>_xlfn.XLOOKUP(Inquiries[[#This Row],[Requested_Location__c]], Locations[Location Id], Locations[Location Name])</f>
        <v>Red Bank</v>
      </c>
    </row>
    <row r="92" spans="2:33">
      <c r="B92" t="s">
        <v>52</v>
      </c>
      <c r="C92" t="s">
        <v>5321</v>
      </c>
      <c r="D92" t="s">
        <v>5847</v>
      </c>
      <c r="E92" t="s">
        <v>5396</v>
      </c>
      <c r="F92" s="1">
        <v>46160</v>
      </c>
      <c r="G92" t="s">
        <v>5848</v>
      </c>
      <c r="H92" t="s">
        <v>5849</v>
      </c>
      <c r="I92" s="1">
        <v>46155</v>
      </c>
      <c r="J92" t="s">
        <v>5850</v>
      </c>
      <c r="K92" t="s">
        <v>650</v>
      </c>
      <c r="L92" t="b">
        <v>0</v>
      </c>
      <c r="N92" t="s">
        <v>52</v>
      </c>
      <c r="O92" t="s">
        <v>5327</v>
      </c>
      <c r="R92" t="s">
        <v>5679</v>
      </c>
      <c r="S92" t="s">
        <v>5329</v>
      </c>
      <c r="T92" t="s">
        <v>5848</v>
      </c>
      <c r="U92" t="s">
        <v>5351</v>
      </c>
      <c r="V92" t="s">
        <v>52</v>
      </c>
      <c r="W92" t="s">
        <v>5851</v>
      </c>
      <c r="X92" t="s">
        <v>150</v>
      </c>
      <c r="Y92" t="s">
        <v>5343</v>
      </c>
      <c r="Z92">
        <v>8</v>
      </c>
      <c r="AA92" t="s">
        <v>5327</v>
      </c>
      <c r="AB92" t="s">
        <v>983</v>
      </c>
      <c r="AC92" t="str">
        <f>Inquiries[[#This Row],[Name]]&amp;"|"&amp;LOWER(TRIM(Inquiries[[#This Row],[Email__c]]))</f>
        <v>Santiago Lee|santiagolee81@gmail.com</v>
      </c>
      <c r="AD92">
        <f>COUNTIF(Inquiries[Dup Key],Inquiries[[#This Row],[Dup Key]])</f>
        <v>1</v>
      </c>
      <c r="AE92">
        <f>IF(Inquiries[[#This Row],[First_Response_Date__c]]="","",Inquiries[[#This Row],[First_Response_Date__c]]-Inquiries[[#This Row],[Inquiry_Date__c]])</f>
        <v>5</v>
      </c>
      <c r="AF92" s="6" t="str">
        <f>TEXT(Inquiries[[#This Row],[Inquiry_Date__c]], "yyyy-mm")</f>
        <v>2026-05</v>
      </c>
      <c r="AG92" s="6" t="str">
        <f>_xlfn.XLOOKUP(Inquiries[[#This Row],[Requested_Location__c]], Locations[Location Id], Locations[Location Name])</f>
        <v>Toms River</v>
      </c>
    </row>
    <row r="93" spans="2:33">
      <c r="B93" t="s">
        <v>52</v>
      </c>
      <c r="C93" t="s">
        <v>5321</v>
      </c>
      <c r="D93" t="s">
        <v>5852</v>
      </c>
      <c r="E93" t="s">
        <v>5592</v>
      </c>
      <c r="F93" s="1">
        <v>46084</v>
      </c>
      <c r="G93" t="s">
        <v>5853</v>
      </c>
      <c r="H93" t="s">
        <v>5854</v>
      </c>
      <c r="I93" s="1">
        <v>46081</v>
      </c>
      <c r="J93" t="s">
        <v>5855</v>
      </c>
      <c r="K93" t="s">
        <v>461</v>
      </c>
      <c r="L93" t="b">
        <v>0</v>
      </c>
      <c r="N93" t="s">
        <v>52</v>
      </c>
      <c r="O93" t="s">
        <v>5327</v>
      </c>
      <c r="R93" t="s">
        <v>5856</v>
      </c>
      <c r="S93" t="s">
        <v>5393</v>
      </c>
      <c r="T93" t="s">
        <v>5853</v>
      </c>
      <c r="U93" t="s">
        <v>5341</v>
      </c>
      <c r="V93" t="s">
        <v>52</v>
      </c>
      <c r="W93" t="s">
        <v>5857</v>
      </c>
      <c r="X93" t="s">
        <v>63</v>
      </c>
      <c r="Y93" t="s">
        <v>5332</v>
      </c>
      <c r="Z93">
        <v>8</v>
      </c>
      <c r="AA93" t="s">
        <v>5327</v>
      </c>
      <c r="AB93" t="s">
        <v>390</v>
      </c>
      <c r="AC93" t="str">
        <f>Inquiries[[#This Row],[Name]]&amp;"|"&amp;LOWER(TRIM(Inquiries[[#This Row],[Email__c]]))</f>
        <v>Harper Williams|harperwilliams34@outlook.com</v>
      </c>
      <c r="AD93">
        <f>COUNTIF(Inquiries[Dup Key],Inquiries[[#This Row],[Dup Key]])</f>
        <v>1</v>
      </c>
      <c r="AE93">
        <f>IF(Inquiries[[#This Row],[First_Response_Date__c]]="","",Inquiries[[#This Row],[First_Response_Date__c]]-Inquiries[[#This Row],[Inquiry_Date__c]])</f>
        <v>3</v>
      </c>
      <c r="AF93" s="6" t="str">
        <f>TEXT(Inquiries[[#This Row],[Inquiry_Date__c]], "yyyy-mm")</f>
        <v>2026-02</v>
      </c>
      <c r="AG93" s="6" t="str">
        <f>_xlfn.XLOOKUP(Inquiries[[#This Row],[Requested_Location__c]], Locations[Location Id], Locations[Location Name])</f>
        <v>Red Bank</v>
      </c>
    </row>
    <row r="94" spans="2:33">
      <c r="B94" t="s">
        <v>52</v>
      </c>
      <c r="C94" t="s">
        <v>5321</v>
      </c>
      <c r="D94" t="s">
        <v>5858</v>
      </c>
      <c r="E94" t="s">
        <v>5538</v>
      </c>
      <c r="F94" s="1">
        <v>46094</v>
      </c>
      <c r="G94" t="s">
        <v>5859</v>
      </c>
      <c r="H94" t="s">
        <v>5860</v>
      </c>
      <c r="I94" s="1">
        <v>46092</v>
      </c>
      <c r="J94" t="s">
        <v>5861</v>
      </c>
      <c r="K94" t="s">
        <v>527</v>
      </c>
      <c r="L94" t="b">
        <v>0</v>
      </c>
      <c r="N94" t="s">
        <v>52</v>
      </c>
      <c r="O94" t="s">
        <v>5327</v>
      </c>
      <c r="R94" t="s">
        <v>5111</v>
      </c>
      <c r="S94" t="s">
        <v>5393</v>
      </c>
      <c r="T94" t="s">
        <v>5859</v>
      </c>
      <c r="U94" t="s">
        <v>5385</v>
      </c>
      <c r="V94" t="s">
        <v>52</v>
      </c>
      <c r="W94" t="s">
        <v>5862</v>
      </c>
      <c r="X94" t="s">
        <v>63</v>
      </c>
      <c r="Y94" t="s">
        <v>5343</v>
      </c>
      <c r="Z94">
        <v>44</v>
      </c>
      <c r="AA94" t="s">
        <v>5327</v>
      </c>
      <c r="AB94" t="s">
        <v>235</v>
      </c>
      <c r="AC94" t="str">
        <f>Inquiries[[#This Row],[Name]]&amp;"|"&amp;LOWER(TRIM(Inquiries[[#This Row],[Email__c]]))</f>
        <v>Sebastian Johnson|sebastianjohnson74@icloud.com</v>
      </c>
      <c r="AD94">
        <f>COUNTIF(Inquiries[Dup Key],Inquiries[[#This Row],[Dup Key]])</f>
        <v>1</v>
      </c>
      <c r="AE94">
        <f>IF(Inquiries[[#This Row],[First_Response_Date__c]]="","",Inquiries[[#This Row],[First_Response_Date__c]]-Inquiries[[#This Row],[Inquiry_Date__c]])</f>
        <v>2</v>
      </c>
      <c r="AF94" s="6" t="str">
        <f>TEXT(Inquiries[[#This Row],[Inquiry_Date__c]], "yyyy-mm")</f>
        <v>2026-03</v>
      </c>
      <c r="AG94" s="6" t="str">
        <f>_xlfn.XLOOKUP(Inquiries[[#This Row],[Requested_Location__c]], Locations[Location Id], Locations[Location Name])</f>
        <v>Red Bank</v>
      </c>
    </row>
    <row r="95" spans="2:33">
      <c r="B95" t="s">
        <v>52</v>
      </c>
      <c r="C95" t="s">
        <v>5321</v>
      </c>
      <c r="D95" t="s">
        <v>5571</v>
      </c>
      <c r="E95" t="s">
        <v>5572</v>
      </c>
      <c r="F95" s="1">
        <v>46133</v>
      </c>
      <c r="G95" t="s">
        <v>5573</v>
      </c>
      <c r="H95" t="s">
        <v>5863</v>
      </c>
      <c r="I95" s="1">
        <v>46130</v>
      </c>
      <c r="J95" t="s">
        <v>5864</v>
      </c>
      <c r="K95" t="s">
        <v>203</v>
      </c>
      <c r="L95" t="b">
        <v>0</v>
      </c>
      <c r="N95" t="s">
        <v>52</v>
      </c>
      <c r="O95" t="s">
        <v>5327</v>
      </c>
      <c r="R95" t="s">
        <v>5155</v>
      </c>
      <c r="S95" t="s">
        <v>5435</v>
      </c>
      <c r="T95" t="s">
        <v>5573</v>
      </c>
      <c r="U95" t="s">
        <v>5341</v>
      </c>
      <c r="V95" t="s">
        <v>52</v>
      </c>
      <c r="W95" t="s">
        <v>5772</v>
      </c>
      <c r="X95" t="s">
        <v>63</v>
      </c>
      <c r="Y95" t="s">
        <v>5343</v>
      </c>
      <c r="Z95">
        <v>55</v>
      </c>
      <c r="AA95" t="s">
        <v>5327</v>
      </c>
      <c r="AB95" t="s">
        <v>436</v>
      </c>
      <c r="AC95" t="str">
        <f>Inquiries[[#This Row],[Name]]&amp;"|"&amp;LOWER(TRIM(Inquiries[[#This Row],[Email__c]]))</f>
        <v>Matthew Hill|matthewhill32@icloud.com</v>
      </c>
      <c r="AD95">
        <f>COUNTIF(Inquiries[Dup Key],Inquiries[[#This Row],[Dup Key]])</f>
        <v>2</v>
      </c>
      <c r="AE95">
        <f>IF(Inquiries[[#This Row],[First_Response_Date__c]]="","",Inquiries[[#This Row],[First_Response_Date__c]]-Inquiries[[#This Row],[Inquiry_Date__c]])</f>
        <v>3</v>
      </c>
      <c r="AF95" s="6" t="str">
        <f>TEXT(Inquiries[[#This Row],[Inquiry_Date__c]], "yyyy-mm")</f>
        <v>2026-04</v>
      </c>
      <c r="AG95" s="6" t="str">
        <f>_xlfn.XLOOKUP(Inquiries[[#This Row],[Requested_Location__c]], Locations[Location Id], Locations[Location Name])</f>
        <v>Red Bank</v>
      </c>
    </row>
    <row r="96" spans="2:33">
      <c r="B96" t="s">
        <v>52</v>
      </c>
      <c r="C96" t="s">
        <v>5321</v>
      </c>
      <c r="D96" t="s">
        <v>5865</v>
      </c>
      <c r="E96" t="s">
        <v>5866</v>
      </c>
      <c r="F96" s="1">
        <v>46203</v>
      </c>
      <c r="G96" t="s">
        <v>5867</v>
      </c>
      <c r="H96" t="s">
        <v>5868</v>
      </c>
      <c r="I96" s="1">
        <v>46202</v>
      </c>
      <c r="J96" t="s">
        <v>5869</v>
      </c>
      <c r="K96" t="s">
        <v>78</v>
      </c>
      <c r="L96" t="b">
        <v>0</v>
      </c>
      <c r="N96" t="s">
        <v>52</v>
      </c>
      <c r="O96" t="s">
        <v>5327</v>
      </c>
      <c r="R96" t="s">
        <v>5441</v>
      </c>
      <c r="S96" t="s">
        <v>5358</v>
      </c>
      <c r="T96" t="s">
        <v>5867</v>
      </c>
      <c r="U96" t="s">
        <v>5341</v>
      </c>
      <c r="V96" t="s">
        <v>52</v>
      </c>
      <c r="W96" t="s">
        <v>5870</v>
      </c>
      <c r="X96" t="s">
        <v>63</v>
      </c>
      <c r="Y96" t="s">
        <v>5332</v>
      </c>
      <c r="Z96">
        <v>10</v>
      </c>
      <c r="AA96" t="s">
        <v>5327</v>
      </c>
      <c r="AB96" t="s">
        <v>55</v>
      </c>
      <c r="AC96" t="str">
        <f>Inquiries[[#This Row],[Name]]&amp;"|"&amp;LOWER(TRIM(Inquiries[[#This Row],[Email__c]]))</f>
        <v>Nova Brown|nova.brown@icloud.com</v>
      </c>
      <c r="AD96">
        <f>COUNTIF(Inquiries[Dup Key],Inquiries[[#This Row],[Dup Key]])</f>
        <v>1</v>
      </c>
      <c r="AE96">
        <f>IF(Inquiries[[#This Row],[First_Response_Date__c]]="","",Inquiries[[#This Row],[First_Response_Date__c]]-Inquiries[[#This Row],[Inquiry_Date__c]])</f>
        <v>1</v>
      </c>
      <c r="AF96" s="6" t="str">
        <f>TEXT(Inquiries[[#This Row],[Inquiry_Date__c]], "yyyy-mm")</f>
        <v>2026-06</v>
      </c>
      <c r="AG96" s="6" t="str">
        <f>_xlfn.XLOOKUP(Inquiries[[#This Row],[Requested_Location__c]], Locations[Location Id], Locations[Location Name])</f>
        <v>Red Bank</v>
      </c>
    </row>
    <row r="97" spans="2:33">
      <c r="B97" t="s">
        <v>52</v>
      </c>
      <c r="C97" t="s">
        <v>5321</v>
      </c>
      <c r="D97" t="s">
        <v>5871</v>
      </c>
      <c r="E97" t="s">
        <v>5158</v>
      </c>
      <c r="F97" s="1">
        <v>46057</v>
      </c>
      <c r="G97" t="s">
        <v>5872</v>
      </c>
      <c r="H97" t="s">
        <v>5873</v>
      </c>
      <c r="I97" s="1">
        <v>46057</v>
      </c>
      <c r="J97" t="s">
        <v>5874</v>
      </c>
      <c r="K97" t="s">
        <v>58</v>
      </c>
      <c r="L97" t="b">
        <v>0</v>
      </c>
      <c r="N97" t="s">
        <v>52</v>
      </c>
      <c r="O97" t="s">
        <v>5327</v>
      </c>
      <c r="R97" t="s">
        <v>5222</v>
      </c>
      <c r="S97" t="s">
        <v>5340</v>
      </c>
      <c r="T97" t="s">
        <v>5872</v>
      </c>
      <c r="U97" t="s">
        <v>5385</v>
      </c>
      <c r="V97" t="s">
        <v>52</v>
      </c>
      <c r="W97" t="s">
        <v>5875</v>
      </c>
      <c r="X97" t="s">
        <v>63</v>
      </c>
      <c r="Y97" t="s">
        <v>5332</v>
      </c>
      <c r="Z97">
        <v>35</v>
      </c>
      <c r="AA97" t="s">
        <v>5327</v>
      </c>
      <c r="AB97" t="s">
        <v>901</v>
      </c>
      <c r="AC97" t="str">
        <f>Inquiries[[#This Row],[Name]]&amp;"|"&amp;LOWER(TRIM(Inquiries[[#This Row],[Email__c]]))</f>
        <v>Miles Byrne|milesbyrne@gmail.com</v>
      </c>
      <c r="AD97">
        <f>COUNTIF(Inquiries[Dup Key],Inquiries[[#This Row],[Dup Key]])</f>
        <v>1</v>
      </c>
      <c r="AE97">
        <f>IF(Inquiries[[#This Row],[First_Response_Date__c]]="","",Inquiries[[#This Row],[First_Response_Date__c]]-Inquiries[[#This Row],[Inquiry_Date__c]])</f>
        <v>0</v>
      </c>
      <c r="AF97" s="6" t="str">
        <f>TEXT(Inquiries[[#This Row],[Inquiry_Date__c]], "yyyy-mm")</f>
        <v>2026-02</v>
      </c>
      <c r="AG97" s="6" t="str">
        <f>_xlfn.XLOOKUP(Inquiries[[#This Row],[Requested_Location__c]], Locations[Location Id], Locations[Location Name])</f>
        <v>Red Bank</v>
      </c>
    </row>
    <row r="98" spans="2:33">
      <c r="B98" t="s">
        <v>52</v>
      </c>
      <c r="C98" t="s">
        <v>5321</v>
      </c>
      <c r="D98" t="s">
        <v>5876</v>
      </c>
      <c r="E98" t="s">
        <v>5877</v>
      </c>
      <c r="F98" s="1">
        <v>46293</v>
      </c>
      <c r="G98" t="s">
        <v>5878</v>
      </c>
      <c r="H98" t="s">
        <v>5879</v>
      </c>
      <c r="I98" s="1">
        <v>46094</v>
      </c>
      <c r="J98" t="s">
        <v>5880</v>
      </c>
      <c r="K98" t="s">
        <v>147</v>
      </c>
      <c r="L98" t="b">
        <v>0</v>
      </c>
      <c r="M98" s="1">
        <v>46293</v>
      </c>
      <c r="N98" t="s">
        <v>52</v>
      </c>
      <c r="O98" t="s">
        <v>5327</v>
      </c>
      <c r="P98" t="s">
        <v>5881</v>
      </c>
      <c r="Q98" t="s">
        <v>5881</v>
      </c>
      <c r="R98" t="s">
        <v>5461</v>
      </c>
      <c r="S98" t="s">
        <v>5393</v>
      </c>
      <c r="T98" t="s">
        <v>5878</v>
      </c>
      <c r="U98" t="s">
        <v>5385</v>
      </c>
      <c r="V98" t="s">
        <v>52</v>
      </c>
      <c r="W98" t="s">
        <v>5882</v>
      </c>
      <c r="X98" t="s">
        <v>83</v>
      </c>
      <c r="Y98" t="s">
        <v>5883</v>
      </c>
      <c r="Z98">
        <v>14</v>
      </c>
      <c r="AA98" t="s">
        <v>5327</v>
      </c>
      <c r="AB98" t="s">
        <v>764</v>
      </c>
      <c r="AC98" t="str">
        <f>Inquiries[[#This Row],[Name]]&amp;"|"&amp;LOWER(TRIM(Inquiries[[#This Row],[Email__c]]))</f>
        <v>Tyler Thomas|tylerthomas@outlook.com</v>
      </c>
      <c r="AD98">
        <f>COUNTIF(Inquiries[Dup Key],Inquiries[[#This Row],[Dup Key]])</f>
        <v>1</v>
      </c>
      <c r="AE98">
        <f>IF(Inquiries[[#This Row],[First_Response_Date__c]]="","",Inquiries[[#This Row],[First_Response_Date__c]]-Inquiries[[#This Row],[Inquiry_Date__c]])</f>
        <v>199</v>
      </c>
      <c r="AF98" s="6" t="str">
        <f>TEXT(Inquiries[[#This Row],[Inquiry_Date__c]], "yyyy-mm")</f>
        <v>2026-03</v>
      </c>
      <c r="AG98" s="6" t="str">
        <f>_xlfn.XLOOKUP(Inquiries[[#This Row],[Requested_Location__c]], Locations[Location Id], Locations[Location Name])</f>
        <v>Brick</v>
      </c>
    </row>
    <row r="99" spans="2:33">
      <c r="B99" t="s">
        <v>52</v>
      </c>
      <c r="C99" t="s">
        <v>5321</v>
      </c>
      <c r="D99" t="s">
        <v>5884</v>
      </c>
      <c r="E99" t="s">
        <v>5610</v>
      </c>
      <c r="F99" s="1">
        <v>46257</v>
      </c>
      <c r="G99" t="s">
        <v>5885</v>
      </c>
      <c r="H99" t="s">
        <v>5886</v>
      </c>
      <c r="I99" s="1">
        <v>46257</v>
      </c>
      <c r="J99" t="s">
        <v>5887</v>
      </c>
      <c r="K99" t="s">
        <v>650</v>
      </c>
      <c r="L99" t="b">
        <v>0</v>
      </c>
      <c r="N99" t="s">
        <v>52</v>
      </c>
      <c r="O99" t="s">
        <v>5327</v>
      </c>
      <c r="R99" t="s">
        <v>5378</v>
      </c>
      <c r="S99" t="s">
        <v>5400</v>
      </c>
      <c r="T99" t="s">
        <v>5885</v>
      </c>
      <c r="V99" t="s">
        <v>52</v>
      </c>
      <c r="W99" t="s">
        <v>5888</v>
      </c>
      <c r="X99" t="s">
        <v>83</v>
      </c>
      <c r="Y99" t="s">
        <v>5332</v>
      </c>
      <c r="Z99">
        <v>14</v>
      </c>
      <c r="AA99" t="s">
        <v>5327</v>
      </c>
      <c r="AB99" t="s">
        <v>201</v>
      </c>
      <c r="AC99" t="str">
        <f>Inquiries[[#This Row],[Name]]&amp;"|"&amp;LOWER(TRIM(Inquiries[[#This Row],[Email__c]]))</f>
        <v>Declan Martin|declanmartin48@yahoo.com</v>
      </c>
      <c r="AD99">
        <f>COUNTIF(Inquiries[Dup Key],Inquiries[[#This Row],[Dup Key]])</f>
        <v>1</v>
      </c>
      <c r="AE99">
        <f>IF(Inquiries[[#This Row],[First_Response_Date__c]]="","",Inquiries[[#This Row],[First_Response_Date__c]]-Inquiries[[#This Row],[Inquiry_Date__c]])</f>
        <v>0</v>
      </c>
      <c r="AF99" s="6" t="str">
        <f>TEXT(Inquiries[[#This Row],[Inquiry_Date__c]], "yyyy-mm")</f>
        <v>2026-08</v>
      </c>
      <c r="AG99" s="6" t="str">
        <f>_xlfn.XLOOKUP(Inquiries[[#This Row],[Requested_Location__c]], Locations[Location Id], Locations[Location Name])</f>
        <v>Brick</v>
      </c>
    </row>
    <row r="100" spans="2:33">
      <c r="B100" t="s">
        <v>52</v>
      </c>
      <c r="C100" t="s">
        <v>5321</v>
      </c>
      <c r="D100" t="s">
        <v>5889</v>
      </c>
      <c r="E100" t="s">
        <v>5516</v>
      </c>
      <c r="F100" s="1">
        <v>46191</v>
      </c>
      <c r="G100" t="s">
        <v>5890</v>
      </c>
      <c r="H100" t="s">
        <v>5891</v>
      </c>
      <c r="I100" s="1">
        <v>46182</v>
      </c>
      <c r="J100" t="s">
        <v>5892</v>
      </c>
      <c r="K100" t="s">
        <v>461</v>
      </c>
      <c r="L100" t="b">
        <v>0</v>
      </c>
      <c r="N100" t="s">
        <v>52</v>
      </c>
      <c r="O100" t="s">
        <v>5327</v>
      </c>
      <c r="R100" t="s">
        <v>5278</v>
      </c>
      <c r="S100" t="s">
        <v>5400</v>
      </c>
      <c r="T100" t="s">
        <v>5890</v>
      </c>
      <c r="U100" t="s">
        <v>5351</v>
      </c>
      <c r="V100" t="s">
        <v>52</v>
      </c>
      <c r="W100" t="s">
        <v>5893</v>
      </c>
      <c r="X100" t="s">
        <v>83</v>
      </c>
      <c r="Y100" t="s">
        <v>5360</v>
      </c>
      <c r="Z100">
        <v>10</v>
      </c>
      <c r="AA100" t="s">
        <v>5327</v>
      </c>
      <c r="AB100" t="s">
        <v>617</v>
      </c>
      <c r="AC100" t="str">
        <f>Inquiries[[#This Row],[Name]]&amp;"|"&amp;LOWER(TRIM(Inquiries[[#This Row],[Email__c]]))</f>
        <v>Ethan Harris|ethanharris38@yahoo.com</v>
      </c>
      <c r="AD100">
        <f>COUNTIF(Inquiries[Dup Key],Inquiries[[#This Row],[Dup Key]])</f>
        <v>1</v>
      </c>
      <c r="AE100">
        <f>IF(Inquiries[[#This Row],[First_Response_Date__c]]="","",Inquiries[[#This Row],[First_Response_Date__c]]-Inquiries[[#This Row],[Inquiry_Date__c]])</f>
        <v>9</v>
      </c>
      <c r="AF100" s="6" t="str">
        <f>TEXT(Inquiries[[#This Row],[Inquiry_Date__c]], "yyyy-mm")</f>
        <v>2026-06</v>
      </c>
      <c r="AG100" s="6" t="str">
        <f>_xlfn.XLOOKUP(Inquiries[[#This Row],[Requested_Location__c]], Locations[Location Id], Locations[Location Name])</f>
        <v>Brick</v>
      </c>
    </row>
    <row r="101" spans="2:33">
      <c r="B101" t="s">
        <v>52</v>
      </c>
      <c r="C101" t="s">
        <v>5321</v>
      </c>
      <c r="D101" t="s">
        <v>5894</v>
      </c>
      <c r="E101" t="s">
        <v>5566</v>
      </c>
      <c r="F101" s="1">
        <v>46074</v>
      </c>
      <c r="G101" t="s">
        <v>5895</v>
      </c>
      <c r="H101" t="s">
        <v>5896</v>
      </c>
      <c r="I101" s="1">
        <v>46074</v>
      </c>
      <c r="J101" t="s">
        <v>5897</v>
      </c>
      <c r="K101" t="s">
        <v>203</v>
      </c>
      <c r="L101" t="b">
        <v>0</v>
      </c>
      <c r="N101" t="s">
        <v>52</v>
      </c>
      <c r="O101" t="s">
        <v>5327</v>
      </c>
      <c r="R101" t="s">
        <v>5052</v>
      </c>
      <c r="S101" t="s">
        <v>5329</v>
      </c>
      <c r="T101" t="s">
        <v>5895</v>
      </c>
      <c r="U101" t="s">
        <v>5330</v>
      </c>
      <c r="V101" t="s">
        <v>52</v>
      </c>
      <c r="W101" t="s">
        <v>5898</v>
      </c>
      <c r="X101" t="s">
        <v>150</v>
      </c>
      <c r="Y101" t="s">
        <v>5343</v>
      </c>
      <c r="Z101">
        <v>35</v>
      </c>
      <c r="AA101" t="s">
        <v>5327</v>
      </c>
      <c r="AB101" t="s">
        <v>145</v>
      </c>
      <c r="AC101" t="str">
        <f>Inquiries[[#This Row],[Name]]&amp;"|"&amp;LOWER(TRIM(Inquiries[[#This Row],[Email__c]]))</f>
        <v>Lucy Rodriguez|lrodriguez@icloud.com</v>
      </c>
      <c r="AD101">
        <f>COUNTIF(Inquiries[Dup Key],Inquiries[[#This Row],[Dup Key]])</f>
        <v>1</v>
      </c>
      <c r="AE101">
        <f>IF(Inquiries[[#This Row],[First_Response_Date__c]]="","",Inquiries[[#This Row],[First_Response_Date__c]]-Inquiries[[#This Row],[Inquiry_Date__c]])</f>
        <v>0</v>
      </c>
      <c r="AF101" s="6" t="str">
        <f>TEXT(Inquiries[[#This Row],[Inquiry_Date__c]], "yyyy-mm")</f>
        <v>2026-02</v>
      </c>
      <c r="AG101" s="6" t="str">
        <f>_xlfn.XLOOKUP(Inquiries[[#This Row],[Requested_Location__c]], Locations[Location Id], Locations[Location Name])</f>
        <v>Toms River</v>
      </c>
    </row>
    <row r="102" spans="2:33">
      <c r="B102" t="s">
        <v>52</v>
      </c>
      <c r="C102" t="s">
        <v>5321</v>
      </c>
      <c r="D102" t="s">
        <v>5899</v>
      </c>
      <c r="E102" t="s">
        <v>5056</v>
      </c>
      <c r="G102" t="s">
        <v>5900</v>
      </c>
      <c r="H102" t="s">
        <v>5901</v>
      </c>
      <c r="I102" s="1">
        <v>46070</v>
      </c>
      <c r="J102" t="s">
        <v>5902</v>
      </c>
      <c r="K102" t="s">
        <v>107</v>
      </c>
      <c r="L102" t="b">
        <v>0</v>
      </c>
      <c r="N102" t="s">
        <v>52</v>
      </c>
      <c r="O102" t="s">
        <v>5327</v>
      </c>
      <c r="R102" t="s">
        <v>5268</v>
      </c>
      <c r="S102" t="s">
        <v>5435</v>
      </c>
      <c r="T102" t="s">
        <v>5900</v>
      </c>
      <c r="U102" t="s">
        <v>5385</v>
      </c>
      <c r="V102" t="s">
        <v>52</v>
      </c>
      <c r="W102" t="s">
        <v>5903</v>
      </c>
      <c r="X102" t="s">
        <v>63</v>
      </c>
      <c r="Y102" t="s">
        <v>5368</v>
      </c>
      <c r="Z102">
        <v>8</v>
      </c>
      <c r="AA102" t="s">
        <v>5327</v>
      </c>
      <c r="AC102" t="str">
        <f>Inquiries[[#This Row],[Name]]&amp;"|"&amp;LOWER(TRIM(Inquiries[[#This Row],[Email__c]]))</f>
        <v>Mia Flores|miaflores@yahoo.com</v>
      </c>
      <c r="AD102">
        <f>COUNTIF(Inquiries[Dup Key],Inquiries[[#This Row],[Dup Key]])</f>
        <v>1</v>
      </c>
      <c r="AE102" t="str">
        <f>IF(Inquiries[[#This Row],[First_Response_Date__c]]="","",Inquiries[[#This Row],[First_Response_Date__c]]-Inquiries[[#This Row],[Inquiry_Date__c]])</f>
        <v/>
      </c>
      <c r="AF102" s="6" t="str">
        <f>TEXT(Inquiries[[#This Row],[Inquiry_Date__c]], "yyyy-mm")</f>
        <v>2026-02</v>
      </c>
      <c r="AG102" s="6" t="str">
        <f>_xlfn.XLOOKUP(Inquiries[[#This Row],[Requested_Location__c]], Locations[Location Id], Locations[Location Name])</f>
        <v>Red Bank</v>
      </c>
    </row>
    <row r="103" spans="2:33">
      <c r="B103" t="s">
        <v>52</v>
      </c>
      <c r="C103" t="s">
        <v>5321</v>
      </c>
      <c r="D103" t="s">
        <v>5904</v>
      </c>
      <c r="E103" t="s">
        <v>5175</v>
      </c>
      <c r="F103" s="1">
        <v>46067</v>
      </c>
      <c r="G103" t="s">
        <v>5905</v>
      </c>
      <c r="H103" t="s">
        <v>5906</v>
      </c>
      <c r="I103" s="1">
        <v>46064</v>
      </c>
      <c r="J103" t="s">
        <v>5907</v>
      </c>
      <c r="K103" t="s">
        <v>392</v>
      </c>
      <c r="L103" t="b">
        <v>0</v>
      </c>
      <c r="N103" t="s">
        <v>52</v>
      </c>
      <c r="O103" t="s">
        <v>5327</v>
      </c>
      <c r="R103" t="s">
        <v>5155</v>
      </c>
      <c r="S103" t="s">
        <v>5435</v>
      </c>
      <c r="T103" t="s">
        <v>5905</v>
      </c>
      <c r="V103" t="s">
        <v>52</v>
      </c>
      <c r="W103" t="s">
        <v>5908</v>
      </c>
      <c r="X103" t="s">
        <v>150</v>
      </c>
      <c r="Y103" t="s">
        <v>5360</v>
      </c>
      <c r="Z103">
        <v>10</v>
      </c>
      <c r="AA103" t="s">
        <v>5327</v>
      </c>
      <c r="AB103" t="s">
        <v>145</v>
      </c>
      <c r="AC103" t="str">
        <f>Inquiries[[#This Row],[Name]]&amp;"|"&amp;LOWER(TRIM(Inquiries[[#This Row],[Email__c]]))</f>
        <v>James Hill|jameshill@gmail.com</v>
      </c>
      <c r="AD103">
        <f>COUNTIF(Inquiries[Dup Key],Inquiries[[#This Row],[Dup Key]])</f>
        <v>1</v>
      </c>
      <c r="AE103">
        <f>IF(Inquiries[[#This Row],[First_Response_Date__c]]="","",Inquiries[[#This Row],[First_Response_Date__c]]-Inquiries[[#This Row],[Inquiry_Date__c]])</f>
        <v>3</v>
      </c>
      <c r="AF103" s="6" t="str">
        <f>TEXT(Inquiries[[#This Row],[Inquiry_Date__c]], "yyyy-mm")</f>
        <v>2026-02</v>
      </c>
      <c r="AG103" s="6" t="str">
        <f>_xlfn.XLOOKUP(Inquiries[[#This Row],[Requested_Location__c]], Locations[Location Id], Locations[Location Name])</f>
        <v>Toms River</v>
      </c>
    </row>
    <row r="104" spans="2:33">
      <c r="B104" t="s">
        <v>52</v>
      </c>
      <c r="C104" t="s">
        <v>5321</v>
      </c>
      <c r="D104" t="s">
        <v>5909</v>
      </c>
      <c r="E104" t="s">
        <v>5842</v>
      </c>
      <c r="G104" t="s">
        <v>5910</v>
      </c>
      <c r="H104" t="s">
        <v>5911</v>
      </c>
      <c r="I104" s="1">
        <v>46155</v>
      </c>
      <c r="J104" t="s">
        <v>5912</v>
      </c>
      <c r="K104" t="s">
        <v>650</v>
      </c>
      <c r="L104" t="b">
        <v>0</v>
      </c>
      <c r="N104" t="s">
        <v>52</v>
      </c>
      <c r="O104" t="s">
        <v>5327</v>
      </c>
      <c r="P104" t="s">
        <v>5913</v>
      </c>
      <c r="Q104" t="s">
        <v>5913</v>
      </c>
      <c r="R104" t="s">
        <v>5243</v>
      </c>
      <c r="S104" t="s">
        <v>5358</v>
      </c>
      <c r="T104" t="s">
        <v>5910</v>
      </c>
      <c r="U104" t="s">
        <v>5330</v>
      </c>
      <c r="V104" t="s">
        <v>52</v>
      </c>
      <c r="W104" t="s">
        <v>5914</v>
      </c>
      <c r="X104" t="s">
        <v>83</v>
      </c>
      <c r="Y104" t="s">
        <v>5368</v>
      </c>
      <c r="Z104">
        <v>35</v>
      </c>
      <c r="AA104" t="s">
        <v>5327</v>
      </c>
      <c r="AC104" t="str">
        <f>Inquiries[[#This Row],[Name]]&amp;"|"&amp;LOWER(TRIM(Inquiries[[#This Row],[Email__c]]))</f>
        <v>Mei Jones|meijones41@outlook.com</v>
      </c>
      <c r="AD104">
        <f>COUNTIF(Inquiries[Dup Key],Inquiries[[#This Row],[Dup Key]])</f>
        <v>1</v>
      </c>
      <c r="AE104" t="str">
        <f>IF(Inquiries[[#This Row],[First_Response_Date__c]]="","",Inquiries[[#This Row],[First_Response_Date__c]]-Inquiries[[#This Row],[Inquiry_Date__c]])</f>
        <v/>
      </c>
      <c r="AF104" s="6" t="str">
        <f>TEXT(Inquiries[[#This Row],[Inquiry_Date__c]], "yyyy-mm")</f>
        <v>2026-05</v>
      </c>
      <c r="AG104" s="6" t="str">
        <f>_xlfn.XLOOKUP(Inquiries[[#This Row],[Requested_Location__c]], Locations[Location Id], Locations[Location Name])</f>
        <v>Brick</v>
      </c>
    </row>
    <row r="105" spans="2:33">
      <c r="B105" t="s">
        <v>52</v>
      </c>
      <c r="C105" t="s">
        <v>5321</v>
      </c>
      <c r="D105" t="s">
        <v>5915</v>
      </c>
      <c r="E105" t="s">
        <v>5610</v>
      </c>
      <c r="F105" s="1">
        <v>46159</v>
      </c>
      <c r="G105" t="s">
        <v>5916</v>
      </c>
      <c r="H105" t="s">
        <v>5917</v>
      </c>
      <c r="I105" s="1">
        <v>46159</v>
      </c>
      <c r="J105" t="s">
        <v>5918</v>
      </c>
      <c r="K105" t="s">
        <v>147</v>
      </c>
      <c r="L105" t="b">
        <v>0</v>
      </c>
      <c r="N105" t="s">
        <v>52</v>
      </c>
      <c r="O105" t="s">
        <v>5327</v>
      </c>
      <c r="R105" t="s">
        <v>5201</v>
      </c>
      <c r="S105" t="s">
        <v>5435</v>
      </c>
      <c r="T105" t="s">
        <v>5916</v>
      </c>
      <c r="V105" t="s">
        <v>52</v>
      </c>
      <c r="W105" t="s">
        <v>5919</v>
      </c>
      <c r="X105" t="s">
        <v>63</v>
      </c>
      <c r="Y105" t="s">
        <v>5360</v>
      </c>
      <c r="Z105">
        <v>28</v>
      </c>
      <c r="AA105" t="s">
        <v>5327</v>
      </c>
      <c r="AB105" t="s">
        <v>337</v>
      </c>
      <c r="AC105" t="str">
        <f>Inquiries[[#This Row],[Name]]&amp;"|"&amp;LOWER(TRIM(Inquiries[[#This Row],[Email__c]]))</f>
        <v>Declan Davis|declandavis31@outlook.com</v>
      </c>
      <c r="AD105">
        <f>COUNTIF(Inquiries[Dup Key],Inquiries[[#This Row],[Dup Key]])</f>
        <v>1</v>
      </c>
      <c r="AE105">
        <f>IF(Inquiries[[#This Row],[First_Response_Date__c]]="","",Inquiries[[#This Row],[First_Response_Date__c]]-Inquiries[[#This Row],[Inquiry_Date__c]])</f>
        <v>0</v>
      </c>
      <c r="AF105" s="6" t="str">
        <f>TEXT(Inquiries[[#This Row],[Inquiry_Date__c]], "yyyy-mm")</f>
        <v>2026-05</v>
      </c>
      <c r="AG105" s="6" t="str">
        <f>_xlfn.XLOOKUP(Inquiries[[#This Row],[Requested_Location__c]], Locations[Location Id], Locations[Location Name])</f>
        <v>Red Bank</v>
      </c>
    </row>
    <row r="106" spans="2:33">
      <c r="B106" t="s">
        <v>52</v>
      </c>
      <c r="C106" t="s">
        <v>5321</v>
      </c>
      <c r="D106" t="s">
        <v>5920</v>
      </c>
      <c r="E106" t="s">
        <v>5921</v>
      </c>
      <c r="F106" s="1">
        <v>46094</v>
      </c>
      <c r="G106" t="s">
        <v>5922</v>
      </c>
      <c r="H106" t="s">
        <v>5923</v>
      </c>
      <c r="I106" s="1">
        <v>46092</v>
      </c>
      <c r="J106" t="s">
        <v>5924</v>
      </c>
      <c r="K106" t="s">
        <v>461</v>
      </c>
      <c r="L106" t="b">
        <v>0</v>
      </c>
      <c r="N106" t="s">
        <v>52</v>
      </c>
      <c r="O106" t="s">
        <v>5327</v>
      </c>
      <c r="R106" t="s">
        <v>5172</v>
      </c>
      <c r="S106" t="s">
        <v>5358</v>
      </c>
      <c r="T106" t="s">
        <v>5922</v>
      </c>
      <c r="V106" t="s">
        <v>52</v>
      </c>
      <c r="W106" t="s">
        <v>5925</v>
      </c>
      <c r="X106" t="s">
        <v>83</v>
      </c>
      <c r="Y106" t="s">
        <v>5360</v>
      </c>
      <c r="Z106">
        <v>8</v>
      </c>
      <c r="AA106" t="s">
        <v>5327</v>
      </c>
      <c r="AB106" t="s">
        <v>476</v>
      </c>
      <c r="AC106" t="str">
        <f>Inquiries[[#This Row],[Name]]&amp;"|"&amp;LOWER(TRIM(Inquiries[[#This Row],[Email__c]]))</f>
        <v>Claire Garcia|cgarcia@hotmail.com</v>
      </c>
      <c r="AD106">
        <f>COUNTIF(Inquiries[Dup Key],Inquiries[[#This Row],[Dup Key]])</f>
        <v>1</v>
      </c>
      <c r="AE106">
        <f>IF(Inquiries[[#This Row],[First_Response_Date__c]]="","",Inquiries[[#This Row],[First_Response_Date__c]]-Inquiries[[#This Row],[Inquiry_Date__c]])</f>
        <v>2</v>
      </c>
      <c r="AF106" s="6" t="str">
        <f>TEXT(Inquiries[[#This Row],[Inquiry_Date__c]], "yyyy-mm")</f>
        <v>2026-03</v>
      </c>
      <c r="AG106" s="6" t="str">
        <f>_xlfn.XLOOKUP(Inquiries[[#This Row],[Requested_Location__c]], Locations[Location Id], Locations[Location Name])</f>
        <v>Brick</v>
      </c>
    </row>
    <row r="107" spans="2:33">
      <c r="B107" t="s">
        <v>52</v>
      </c>
      <c r="C107" t="s">
        <v>5321</v>
      </c>
      <c r="D107" t="s">
        <v>5926</v>
      </c>
      <c r="E107" t="s">
        <v>5560</v>
      </c>
      <c r="F107" s="1">
        <v>46125</v>
      </c>
      <c r="G107" t="s">
        <v>5927</v>
      </c>
      <c r="H107" t="s">
        <v>5928</v>
      </c>
      <c r="I107" s="1">
        <v>46125</v>
      </c>
      <c r="J107" t="s">
        <v>5929</v>
      </c>
      <c r="K107" t="s">
        <v>237</v>
      </c>
      <c r="L107" t="b">
        <v>0</v>
      </c>
      <c r="N107" t="s">
        <v>52</v>
      </c>
      <c r="O107" t="s">
        <v>5327</v>
      </c>
      <c r="R107" t="s">
        <v>5252</v>
      </c>
      <c r="S107" t="s">
        <v>5393</v>
      </c>
      <c r="T107" t="s">
        <v>5927</v>
      </c>
      <c r="U107" t="s">
        <v>5385</v>
      </c>
      <c r="V107" t="s">
        <v>52</v>
      </c>
      <c r="W107" t="s">
        <v>5930</v>
      </c>
      <c r="X107" t="s">
        <v>83</v>
      </c>
      <c r="Y107" t="s">
        <v>5343</v>
      </c>
      <c r="Z107">
        <v>28</v>
      </c>
      <c r="AA107" t="s">
        <v>5327</v>
      </c>
      <c r="AB107" t="s">
        <v>777</v>
      </c>
      <c r="AC107" t="str">
        <f>Inquiries[[#This Row],[Name]]&amp;"|"&amp;LOWER(TRIM(Inquiries[[#This Row],[Email__c]]))</f>
        <v>Lucas Baker|lucas.baker@icloud.com</v>
      </c>
      <c r="AD107">
        <f>COUNTIF(Inquiries[Dup Key],Inquiries[[#This Row],[Dup Key]])</f>
        <v>1</v>
      </c>
      <c r="AE107">
        <f>IF(Inquiries[[#This Row],[First_Response_Date__c]]="","",Inquiries[[#This Row],[First_Response_Date__c]]-Inquiries[[#This Row],[Inquiry_Date__c]])</f>
        <v>0</v>
      </c>
      <c r="AF107" s="6" t="str">
        <f>TEXT(Inquiries[[#This Row],[Inquiry_Date__c]], "yyyy-mm")</f>
        <v>2026-04</v>
      </c>
      <c r="AG107" s="6" t="str">
        <f>_xlfn.XLOOKUP(Inquiries[[#This Row],[Requested_Location__c]], Locations[Location Id], Locations[Location Name])</f>
        <v>Brick</v>
      </c>
    </row>
    <row r="108" spans="2:33">
      <c r="B108" t="s">
        <v>52</v>
      </c>
      <c r="C108" t="s">
        <v>5321</v>
      </c>
      <c r="D108" t="s">
        <v>5931</v>
      </c>
      <c r="E108" t="s">
        <v>5669</v>
      </c>
      <c r="F108" s="1">
        <v>46223</v>
      </c>
      <c r="G108" t="s">
        <v>5932</v>
      </c>
      <c r="H108" t="s">
        <v>5933</v>
      </c>
      <c r="I108" s="1">
        <v>46223</v>
      </c>
      <c r="J108" t="s">
        <v>5934</v>
      </c>
      <c r="K108" t="s">
        <v>284</v>
      </c>
      <c r="L108" t="b">
        <v>0</v>
      </c>
      <c r="N108" t="s">
        <v>52</v>
      </c>
      <c r="O108" t="s">
        <v>5327</v>
      </c>
      <c r="R108" t="s">
        <v>5666</v>
      </c>
      <c r="S108" t="s">
        <v>5340</v>
      </c>
      <c r="T108" t="s">
        <v>5932</v>
      </c>
      <c r="U108" t="s">
        <v>5341</v>
      </c>
      <c r="V108" t="s">
        <v>52</v>
      </c>
      <c r="W108" t="s">
        <v>5935</v>
      </c>
      <c r="X108" t="s">
        <v>83</v>
      </c>
      <c r="Y108" t="s">
        <v>5332</v>
      </c>
      <c r="AA108" t="s">
        <v>5327</v>
      </c>
      <c r="AB108" t="s">
        <v>261</v>
      </c>
      <c r="AC108" t="str">
        <f>Inquiries[[#This Row],[Name]]&amp;"|"&amp;LOWER(TRIM(Inquiries[[#This Row],[Email__c]]))</f>
        <v>Theo Dubois|theodubois49@hotmail.com</v>
      </c>
      <c r="AD108">
        <f>COUNTIF(Inquiries[Dup Key],Inquiries[[#This Row],[Dup Key]])</f>
        <v>1</v>
      </c>
      <c r="AE108">
        <f>IF(Inquiries[[#This Row],[First_Response_Date__c]]="","",Inquiries[[#This Row],[First_Response_Date__c]]-Inquiries[[#This Row],[Inquiry_Date__c]])</f>
        <v>0</v>
      </c>
      <c r="AF108" s="6" t="str">
        <f>TEXT(Inquiries[[#This Row],[Inquiry_Date__c]], "yyyy-mm")</f>
        <v>2026-07</v>
      </c>
      <c r="AG108" s="6" t="str">
        <f>_xlfn.XLOOKUP(Inquiries[[#This Row],[Requested_Location__c]], Locations[Location Id], Locations[Location Name])</f>
        <v>Brick</v>
      </c>
    </row>
    <row r="109" spans="2:33">
      <c r="B109" t="s">
        <v>52</v>
      </c>
      <c r="C109" t="s">
        <v>5321</v>
      </c>
      <c r="D109" t="s">
        <v>5936</v>
      </c>
      <c r="E109" t="s">
        <v>5063</v>
      </c>
      <c r="F109" s="1">
        <v>46159</v>
      </c>
      <c r="G109" t="s">
        <v>5937</v>
      </c>
      <c r="H109" t="s">
        <v>5938</v>
      </c>
      <c r="I109" s="1">
        <v>46156</v>
      </c>
      <c r="J109" t="s">
        <v>5939</v>
      </c>
      <c r="K109" t="s">
        <v>461</v>
      </c>
      <c r="L109" t="b">
        <v>0</v>
      </c>
      <c r="N109" t="s">
        <v>52</v>
      </c>
      <c r="O109" t="s">
        <v>5327</v>
      </c>
      <c r="P109" t="s">
        <v>5940</v>
      </c>
      <c r="Q109" t="s">
        <v>5940</v>
      </c>
      <c r="R109" t="s">
        <v>5095</v>
      </c>
      <c r="S109" t="s">
        <v>5393</v>
      </c>
      <c r="T109" t="s">
        <v>5937</v>
      </c>
      <c r="U109" t="s">
        <v>5351</v>
      </c>
      <c r="V109" t="s">
        <v>52</v>
      </c>
      <c r="W109" t="s">
        <v>5941</v>
      </c>
      <c r="X109" t="s">
        <v>63</v>
      </c>
      <c r="Y109" t="s">
        <v>5332</v>
      </c>
      <c r="Z109">
        <v>28</v>
      </c>
      <c r="AA109" t="s">
        <v>5327</v>
      </c>
      <c r="AB109" t="s">
        <v>1076</v>
      </c>
      <c r="AC109" t="str">
        <f>Inquiries[[#This Row],[Name]]&amp;"|"&amp;LOWER(TRIM(Inquiries[[#This Row],[Email__c]]))</f>
        <v>Noah Novak|noahnovak75@yahoo.com</v>
      </c>
      <c r="AD109">
        <f>COUNTIF(Inquiries[Dup Key],Inquiries[[#This Row],[Dup Key]])</f>
        <v>1</v>
      </c>
      <c r="AE109">
        <f>IF(Inquiries[[#This Row],[First_Response_Date__c]]="","",Inquiries[[#This Row],[First_Response_Date__c]]-Inquiries[[#This Row],[Inquiry_Date__c]])</f>
        <v>3</v>
      </c>
      <c r="AF109" s="6" t="str">
        <f>TEXT(Inquiries[[#This Row],[Inquiry_Date__c]], "yyyy-mm")</f>
        <v>2026-05</v>
      </c>
      <c r="AG109" s="6" t="str">
        <f>_xlfn.XLOOKUP(Inquiries[[#This Row],[Requested_Location__c]], Locations[Location Id], Locations[Location Name])</f>
        <v>Red Bank</v>
      </c>
    </row>
    <row r="110" spans="2:33">
      <c r="B110" t="s">
        <v>52</v>
      </c>
      <c r="C110" t="s">
        <v>5321</v>
      </c>
      <c r="D110" t="s">
        <v>5942</v>
      </c>
      <c r="E110" t="s">
        <v>5943</v>
      </c>
      <c r="G110" t="s">
        <v>5944</v>
      </c>
      <c r="H110" t="s">
        <v>5945</v>
      </c>
      <c r="I110" s="1">
        <v>46119</v>
      </c>
      <c r="J110" t="s">
        <v>5946</v>
      </c>
      <c r="K110" t="s">
        <v>284</v>
      </c>
      <c r="L110" t="b">
        <v>0</v>
      </c>
      <c r="N110" t="s">
        <v>52</v>
      </c>
      <c r="O110" t="s">
        <v>5327</v>
      </c>
      <c r="P110" t="s">
        <v>5947</v>
      </c>
      <c r="Q110" t="s">
        <v>5947</v>
      </c>
      <c r="R110" t="s">
        <v>5172</v>
      </c>
      <c r="S110" t="s">
        <v>5400</v>
      </c>
      <c r="T110" t="s">
        <v>5944</v>
      </c>
      <c r="U110" t="s">
        <v>5330</v>
      </c>
      <c r="V110" t="s">
        <v>52</v>
      </c>
      <c r="W110" t="s">
        <v>5948</v>
      </c>
      <c r="X110" t="s">
        <v>83</v>
      </c>
      <c r="Y110" t="s">
        <v>5368</v>
      </c>
      <c r="Z110">
        <v>44</v>
      </c>
      <c r="AA110" t="s">
        <v>5327</v>
      </c>
      <c r="AC110" t="str">
        <f>Inquiries[[#This Row],[Name]]&amp;"|"&amp;LOWER(TRIM(Inquiries[[#This Row],[Email__c]]))</f>
        <v>Kennedy Garcia|kennedygarcia45@hotmail.com</v>
      </c>
      <c r="AD110">
        <f>COUNTIF(Inquiries[Dup Key],Inquiries[[#This Row],[Dup Key]])</f>
        <v>1</v>
      </c>
      <c r="AE110" t="str">
        <f>IF(Inquiries[[#This Row],[First_Response_Date__c]]="","",Inquiries[[#This Row],[First_Response_Date__c]]-Inquiries[[#This Row],[Inquiry_Date__c]])</f>
        <v/>
      </c>
      <c r="AF110" s="6" t="str">
        <f>TEXT(Inquiries[[#This Row],[Inquiry_Date__c]], "yyyy-mm")</f>
        <v>2026-04</v>
      </c>
      <c r="AG110" s="6" t="str">
        <f>_xlfn.XLOOKUP(Inquiries[[#This Row],[Requested_Location__c]], Locations[Location Id], Locations[Location Name])</f>
        <v>Brick</v>
      </c>
    </row>
    <row r="111" spans="2:33">
      <c r="B111" t="s">
        <v>52</v>
      </c>
      <c r="C111" t="s">
        <v>5321</v>
      </c>
      <c r="D111" t="s">
        <v>5949</v>
      </c>
      <c r="E111" t="s">
        <v>5164</v>
      </c>
      <c r="G111" t="s">
        <v>5950</v>
      </c>
      <c r="H111" t="s">
        <v>5951</v>
      </c>
      <c r="I111" s="1">
        <v>46253</v>
      </c>
      <c r="J111" t="s">
        <v>5952</v>
      </c>
      <c r="K111" t="s">
        <v>527</v>
      </c>
      <c r="L111" t="b">
        <v>0</v>
      </c>
      <c r="N111" t="s">
        <v>52</v>
      </c>
      <c r="O111" t="s">
        <v>5327</v>
      </c>
      <c r="P111" t="s">
        <v>5953</v>
      </c>
      <c r="Q111" t="s">
        <v>5953</v>
      </c>
      <c r="R111" t="s">
        <v>5679</v>
      </c>
      <c r="S111" t="s">
        <v>5329</v>
      </c>
      <c r="T111" t="s">
        <v>5950</v>
      </c>
      <c r="V111" t="s">
        <v>52</v>
      </c>
      <c r="W111" t="s">
        <v>5954</v>
      </c>
      <c r="X111" t="s">
        <v>63</v>
      </c>
      <c r="Y111" t="s">
        <v>5368</v>
      </c>
      <c r="Z111">
        <v>10</v>
      </c>
      <c r="AA111" t="s">
        <v>5327</v>
      </c>
      <c r="AC111" t="str">
        <f>Inquiries[[#This Row],[Name]]&amp;"|"&amp;LOWER(TRIM(Inquiries[[#This Row],[Email__c]]))</f>
        <v>Vincent Lee|vincentlee5@gmail.com</v>
      </c>
      <c r="AD111">
        <f>COUNTIF(Inquiries[Dup Key],Inquiries[[#This Row],[Dup Key]])</f>
        <v>1</v>
      </c>
      <c r="AE111" t="str">
        <f>IF(Inquiries[[#This Row],[First_Response_Date__c]]="","",Inquiries[[#This Row],[First_Response_Date__c]]-Inquiries[[#This Row],[Inquiry_Date__c]])</f>
        <v/>
      </c>
      <c r="AF111" s="6" t="str">
        <f>TEXT(Inquiries[[#This Row],[Inquiry_Date__c]], "yyyy-mm")</f>
        <v>2026-08</v>
      </c>
      <c r="AG111" s="6" t="str">
        <f>_xlfn.XLOOKUP(Inquiries[[#This Row],[Requested_Location__c]], Locations[Location Id], Locations[Location Name])</f>
        <v>Red Bank</v>
      </c>
    </row>
    <row r="112" spans="2:33">
      <c r="B112" t="s">
        <v>52</v>
      </c>
      <c r="C112" t="s">
        <v>5321</v>
      </c>
      <c r="D112" t="s">
        <v>5955</v>
      </c>
      <c r="E112" t="s">
        <v>5275</v>
      </c>
      <c r="F112" s="1">
        <v>46109</v>
      </c>
      <c r="G112" t="s">
        <v>5956</v>
      </c>
      <c r="H112" t="s">
        <v>5957</v>
      </c>
      <c r="I112" s="1">
        <v>46109</v>
      </c>
      <c r="J112" t="s">
        <v>5958</v>
      </c>
      <c r="K112" t="s">
        <v>58</v>
      </c>
      <c r="L112" t="b">
        <v>0</v>
      </c>
      <c r="N112" t="s">
        <v>52</v>
      </c>
      <c r="O112" t="s">
        <v>5327</v>
      </c>
      <c r="R112" t="s">
        <v>5190</v>
      </c>
      <c r="S112" t="s">
        <v>5435</v>
      </c>
      <c r="T112" t="s">
        <v>5956</v>
      </c>
      <c r="U112" t="s">
        <v>5385</v>
      </c>
      <c r="V112" t="s">
        <v>52</v>
      </c>
      <c r="W112" t="s">
        <v>5959</v>
      </c>
      <c r="X112" t="s">
        <v>150</v>
      </c>
      <c r="Y112" t="s">
        <v>5332</v>
      </c>
      <c r="Z112">
        <v>16</v>
      </c>
      <c r="AA112" t="s">
        <v>5327</v>
      </c>
      <c r="AB112" t="s">
        <v>55</v>
      </c>
      <c r="AC112" t="str">
        <f>Inquiries[[#This Row],[Name]]&amp;"|"&amp;LOWER(TRIM(Inquiries[[#This Row],[Email__c]]))</f>
        <v>Sofia Rossi|sofiarossi@hotmail.com</v>
      </c>
      <c r="AD112">
        <f>COUNTIF(Inquiries[Dup Key],Inquiries[[#This Row],[Dup Key]])</f>
        <v>1</v>
      </c>
      <c r="AE112">
        <f>IF(Inquiries[[#This Row],[First_Response_Date__c]]="","",Inquiries[[#This Row],[First_Response_Date__c]]-Inquiries[[#This Row],[Inquiry_Date__c]])</f>
        <v>0</v>
      </c>
      <c r="AF112" s="6" t="str">
        <f>TEXT(Inquiries[[#This Row],[Inquiry_Date__c]], "yyyy-mm")</f>
        <v>2026-03</v>
      </c>
      <c r="AG112" s="6" t="str">
        <f>_xlfn.XLOOKUP(Inquiries[[#This Row],[Requested_Location__c]], Locations[Location Id], Locations[Location Name])</f>
        <v>Toms River</v>
      </c>
    </row>
    <row r="113" spans="2:33">
      <c r="B113" t="s">
        <v>52</v>
      </c>
      <c r="C113" t="s">
        <v>5321</v>
      </c>
      <c r="D113" t="s">
        <v>5960</v>
      </c>
      <c r="E113" t="s">
        <v>5187</v>
      </c>
      <c r="F113" s="1">
        <v>46079</v>
      </c>
      <c r="G113" t="s">
        <v>5961</v>
      </c>
      <c r="H113" t="s">
        <v>5962</v>
      </c>
      <c r="I113" s="1">
        <v>46079</v>
      </c>
      <c r="J113" t="s">
        <v>5963</v>
      </c>
      <c r="K113" t="s">
        <v>203</v>
      </c>
      <c r="L113" t="b">
        <v>0</v>
      </c>
      <c r="N113" t="s">
        <v>52</v>
      </c>
      <c r="O113" t="s">
        <v>5327</v>
      </c>
      <c r="R113" t="s">
        <v>5148</v>
      </c>
      <c r="S113" t="s">
        <v>5340</v>
      </c>
      <c r="T113" t="s">
        <v>5961</v>
      </c>
      <c r="U113" t="s">
        <v>5385</v>
      </c>
      <c r="V113" t="s">
        <v>52</v>
      </c>
      <c r="W113" t="s">
        <v>5964</v>
      </c>
      <c r="X113" t="s">
        <v>63</v>
      </c>
      <c r="Y113" t="s">
        <v>5332</v>
      </c>
      <c r="Z113">
        <v>10</v>
      </c>
      <c r="AA113" t="s">
        <v>5327</v>
      </c>
      <c r="AB113" t="s">
        <v>476</v>
      </c>
      <c r="AC113" t="str">
        <f>Inquiries[[#This Row],[Name]]&amp;"|"&amp;LOWER(TRIM(Inquiries[[#This Row],[Email__c]]))</f>
        <v>Lily Okafor|lilyokafor56@outlook.com</v>
      </c>
      <c r="AD113">
        <f>COUNTIF(Inquiries[Dup Key],Inquiries[[#This Row],[Dup Key]])</f>
        <v>1</v>
      </c>
      <c r="AE113">
        <f>IF(Inquiries[[#This Row],[First_Response_Date__c]]="","",Inquiries[[#This Row],[First_Response_Date__c]]-Inquiries[[#This Row],[Inquiry_Date__c]])</f>
        <v>0</v>
      </c>
      <c r="AF113" s="6" t="str">
        <f>TEXT(Inquiries[[#This Row],[Inquiry_Date__c]], "yyyy-mm")</f>
        <v>2026-02</v>
      </c>
      <c r="AG113" s="6" t="str">
        <f>_xlfn.XLOOKUP(Inquiries[[#This Row],[Requested_Location__c]], Locations[Location Id], Locations[Location Name])</f>
        <v>Red Bank</v>
      </c>
    </row>
    <row r="114" spans="2:33">
      <c r="B114" t="s">
        <v>52</v>
      </c>
      <c r="C114" t="s">
        <v>5321</v>
      </c>
      <c r="D114" t="s">
        <v>5965</v>
      </c>
      <c r="E114" t="s">
        <v>5966</v>
      </c>
      <c r="F114" s="1">
        <v>46184</v>
      </c>
      <c r="G114" t="s">
        <v>5967</v>
      </c>
      <c r="H114" t="s">
        <v>5968</v>
      </c>
      <c r="I114" s="1">
        <v>46181</v>
      </c>
      <c r="J114" t="s">
        <v>5969</v>
      </c>
      <c r="K114" t="s">
        <v>147</v>
      </c>
      <c r="L114" t="b">
        <v>0</v>
      </c>
      <c r="N114" t="s">
        <v>52</v>
      </c>
      <c r="O114" t="s">
        <v>5327</v>
      </c>
      <c r="R114" t="s">
        <v>5052</v>
      </c>
      <c r="S114" t="s">
        <v>5350</v>
      </c>
      <c r="T114" t="s">
        <v>5967</v>
      </c>
      <c r="U114" t="s">
        <v>5385</v>
      </c>
      <c r="V114" t="s">
        <v>52</v>
      </c>
      <c r="W114" t="s">
        <v>5970</v>
      </c>
      <c r="X114" t="s">
        <v>83</v>
      </c>
      <c r="Y114" t="s">
        <v>5343</v>
      </c>
      <c r="Z114">
        <v>55</v>
      </c>
      <c r="AA114" t="s">
        <v>5327</v>
      </c>
      <c r="AB114" t="s">
        <v>901</v>
      </c>
      <c r="AC114" t="str">
        <f>Inquiries[[#This Row],[Name]]&amp;"|"&amp;LOWER(TRIM(Inquiries[[#This Row],[Email__c]]))</f>
        <v>Henry Rodriguez|henryrodriguez97@icloud.com</v>
      </c>
      <c r="AD114">
        <f>COUNTIF(Inquiries[Dup Key],Inquiries[[#This Row],[Dup Key]])</f>
        <v>1</v>
      </c>
      <c r="AE114">
        <f>IF(Inquiries[[#This Row],[First_Response_Date__c]]="","",Inquiries[[#This Row],[First_Response_Date__c]]-Inquiries[[#This Row],[Inquiry_Date__c]])</f>
        <v>3</v>
      </c>
      <c r="AF114" s="6" t="str">
        <f>TEXT(Inquiries[[#This Row],[Inquiry_Date__c]], "yyyy-mm")</f>
        <v>2026-06</v>
      </c>
      <c r="AG114" s="6" t="str">
        <f>_xlfn.XLOOKUP(Inquiries[[#This Row],[Requested_Location__c]], Locations[Location Id], Locations[Location Name])</f>
        <v>Brick</v>
      </c>
    </row>
    <row r="115" spans="2:33">
      <c r="B115" t="s">
        <v>52</v>
      </c>
      <c r="C115" t="s">
        <v>5321</v>
      </c>
      <c r="D115" t="s">
        <v>5971</v>
      </c>
      <c r="E115" t="s">
        <v>5682</v>
      </c>
      <c r="F115" s="1">
        <v>46293</v>
      </c>
      <c r="G115" t="s">
        <v>5972</v>
      </c>
      <c r="H115" t="s">
        <v>5973</v>
      </c>
      <c r="I115" s="1">
        <v>46136</v>
      </c>
      <c r="J115" t="s">
        <v>5974</v>
      </c>
      <c r="K115" t="s">
        <v>58</v>
      </c>
      <c r="L115" t="b">
        <v>0</v>
      </c>
      <c r="M115" s="1">
        <v>46293</v>
      </c>
      <c r="N115" t="s">
        <v>52</v>
      </c>
      <c r="O115" t="s">
        <v>5327</v>
      </c>
      <c r="P115" t="s">
        <v>5975</v>
      </c>
      <c r="Q115" t="s">
        <v>5975</v>
      </c>
      <c r="R115" t="s">
        <v>5196</v>
      </c>
      <c r="S115" t="s">
        <v>5393</v>
      </c>
      <c r="T115" t="s">
        <v>5972</v>
      </c>
      <c r="U115" t="s">
        <v>5385</v>
      </c>
      <c r="V115" t="s">
        <v>52</v>
      </c>
      <c r="W115" t="s">
        <v>5976</v>
      </c>
      <c r="X115" t="s">
        <v>63</v>
      </c>
      <c r="Y115" t="s">
        <v>5977</v>
      </c>
      <c r="Z115">
        <v>14</v>
      </c>
      <c r="AA115" t="s">
        <v>5327</v>
      </c>
      <c r="AC115" t="str">
        <f>Inquiries[[#This Row],[Name]]&amp;"|"&amp;LOWER(TRIM(Inquiries[[#This Row],[Email__c]]))</f>
        <v>Genesis Rivera|genesisrivera@gmail.com</v>
      </c>
      <c r="AD115">
        <f>COUNTIF(Inquiries[Dup Key],Inquiries[[#This Row],[Dup Key]])</f>
        <v>1</v>
      </c>
      <c r="AE115">
        <f>IF(Inquiries[[#This Row],[First_Response_Date__c]]="","",Inquiries[[#This Row],[First_Response_Date__c]]-Inquiries[[#This Row],[Inquiry_Date__c]])</f>
        <v>157</v>
      </c>
      <c r="AF115" s="6" t="str">
        <f>TEXT(Inquiries[[#This Row],[Inquiry_Date__c]], "yyyy-mm")</f>
        <v>2026-04</v>
      </c>
      <c r="AG115" s="6" t="str">
        <f>_xlfn.XLOOKUP(Inquiries[[#This Row],[Requested_Location__c]], Locations[Location Id], Locations[Location Name])</f>
        <v>Red Bank</v>
      </c>
    </row>
    <row r="116" spans="2:33">
      <c r="B116" t="s">
        <v>52</v>
      </c>
      <c r="C116" t="s">
        <v>5321</v>
      </c>
      <c r="D116" t="s">
        <v>5978</v>
      </c>
      <c r="E116" t="s">
        <v>5979</v>
      </c>
      <c r="F116" s="1">
        <v>46253</v>
      </c>
      <c r="G116" t="s">
        <v>5980</v>
      </c>
      <c r="H116" t="s">
        <v>5981</v>
      </c>
      <c r="I116" s="1">
        <v>46253</v>
      </c>
      <c r="J116" t="s">
        <v>5982</v>
      </c>
      <c r="K116" t="s">
        <v>527</v>
      </c>
      <c r="L116" t="b">
        <v>0</v>
      </c>
      <c r="N116" t="s">
        <v>52</v>
      </c>
      <c r="O116" t="s">
        <v>5327</v>
      </c>
      <c r="R116" t="s">
        <v>5116</v>
      </c>
      <c r="S116" t="s">
        <v>5350</v>
      </c>
      <c r="T116" t="s">
        <v>5980</v>
      </c>
      <c r="V116" t="s">
        <v>52</v>
      </c>
      <c r="W116" t="s">
        <v>5983</v>
      </c>
      <c r="X116" t="s">
        <v>63</v>
      </c>
      <c r="Y116" t="s">
        <v>5343</v>
      </c>
      <c r="Z116">
        <v>10</v>
      </c>
      <c r="AA116" t="s">
        <v>5327</v>
      </c>
      <c r="AB116" t="s">
        <v>282</v>
      </c>
      <c r="AC116" t="str">
        <f>Inquiries[[#This Row],[Name]]&amp;"|"&amp;LOWER(TRIM(Inquiries[[#This Row],[Email__c]]))</f>
        <v>Josiah Lopez|josiah.lopez@outlook.com</v>
      </c>
      <c r="AD116">
        <f>COUNTIF(Inquiries[Dup Key],Inquiries[[#This Row],[Dup Key]])</f>
        <v>1</v>
      </c>
      <c r="AE116">
        <f>IF(Inquiries[[#This Row],[First_Response_Date__c]]="","",Inquiries[[#This Row],[First_Response_Date__c]]-Inquiries[[#This Row],[Inquiry_Date__c]])</f>
        <v>0</v>
      </c>
      <c r="AF116" s="6" t="str">
        <f>TEXT(Inquiries[[#This Row],[Inquiry_Date__c]], "yyyy-mm")</f>
        <v>2026-08</v>
      </c>
      <c r="AG116" s="6" t="str">
        <f>_xlfn.XLOOKUP(Inquiries[[#This Row],[Requested_Location__c]], Locations[Location Id], Locations[Location Name])</f>
        <v>Red Bank</v>
      </c>
    </row>
    <row r="117" spans="2:33">
      <c r="B117" t="s">
        <v>52</v>
      </c>
      <c r="C117" t="s">
        <v>5321</v>
      </c>
      <c r="D117" t="s">
        <v>5984</v>
      </c>
      <c r="E117" t="s">
        <v>5275</v>
      </c>
      <c r="F117" s="1">
        <v>46098</v>
      </c>
      <c r="G117" t="s">
        <v>5985</v>
      </c>
      <c r="H117" t="s">
        <v>5986</v>
      </c>
      <c r="I117" s="1">
        <v>46098</v>
      </c>
      <c r="J117" t="s">
        <v>5987</v>
      </c>
      <c r="K117" t="s">
        <v>203</v>
      </c>
      <c r="L117" t="b">
        <v>0</v>
      </c>
      <c r="N117" t="s">
        <v>52</v>
      </c>
      <c r="O117" t="s">
        <v>5327</v>
      </c>
      <c r="R117" t="s">
        <v>5106</v>
      </c>
      <c r="S117" t="s">
        <v>5329</v>
      </c>
      <c r="T117" t="s">
        <v>5985</v>
      </c>
      <c r="U117" t="s">
        <v>5449</v>
      </c>
      <c r="V117" t="s">
        <v>52</v>
      </c>
      <c r="W117" t="s">
        <v>5988</v>
      </c>
      <c r="X117" t="s">
        <v>63</v>
      </c>
      <c r="Y117" t="s">
        <v>5360</v>
      </c>
      <c r="Z117">
        <v>12</v>
      </c>
      <c r="AA117" t="s">
        <v>5327</v>
      </c>
      <c r="AB117" t="s">
        <v>476</v>
      </c>
      <c r="AC117" t="str">
        <f>Inquiries[[#This Row],[Name]]&amp;"|"&amp;LOWER(TRIM(Inquiries[[#This Row],[Email__c]]))</f>
        <v>Sofia Nakamura|sofia.nakamura@gmail.com</v>
      </c>
      <c r="AD117">
        <f>COUNTIF(Inquiries[Dup Key],Inquiries[[#This Row],[Dup Key]])</f>
        <v>1</v>
      </c>
      <c r="AE117">
        <f>IF(Inquiries[[#This Row],[First_Response_Date__c]]="","",Inquiries[[#This Row],[First_Response_Date__c]]-Inquiries[[#This Row],[Inquiry_Date__c]])</f>
        <v>0</v>
      </c>
      <c r="AF117" s="6" t="str">
        <f>TEXT(Inquiries[[#This Row],[Inquiry_Date__c]], "yyyy-mm")</f>
        <v>2026-03</v>
      </c>
      <c r="AG117" s="6" t="str">
        <f>_xlfn.XLOOKUP(Inquiries[[#This Row],[Requested_Location__c]], Locations[Location Id], Locations[Location Name])</f>
        <v>Red Bank</v>
      </c>
    </row>
    <row r="118" spans="2:33">
      <c r="B118" t="s">
        <v>52</v>
      </c>
      <c r="C118" t="s">
        <v>5321</v>
      </c>
      <c r="D118" t="s">
        <v>5989</v>
      </c>
      <c r="E118" t="s">
        <v>5414</v>
      </c>
      <c r="F118" s="1">
        <v>46063</v>
      </c>
      <c r="G118" t="s">
        <v>5990</v>
      </c>
      <c r="H118" t="s">
        <v>5991</v>
      </c>
      <c r="I118" s="1">
        <v>46063</v>
      </c>
      <c r="J118" t="s">
        <v>5992</v>
      </c>
      <c r="K118" t="s">
        <v>107</v>
      </c>
      <c r="L118" t="b">
        <v>0</v>
      </c>
      <c r="N118" t="s">
        <v>52</v>
      </c>
      <c r="O118" t="s">
        <v>5327</v>
      </c>
      <c r="R118" t="s">
        <v>5441</v>
      </c>
      <c r="S118" t="s">
        <v>5358</v>
      </c>
      <c r="T118" t="s">
        <v>5990</v>
      </c>
      <c r="U118" t="s">
        <v>5351</v>
      </c>
      <c r="V118" t="s">
        <v>52</v>
      </c>
      <c r="W118" t="s">
        <v>5993</v>
      </c>
      <c r="X118" t="s">
        <v>63</v>
      </c>
      <c r="Y118" t="s">
        <v>5332</v>
      </c>
      <c r="Z118">
        <v>44</v>
      </c>
      <c r="AA118" t="s">
        <v>5327</v>
      </c>
      <c r="AB118" t="s">
        <v>5260</v>
      </c>
      <c r="AC118" t="str">
        <f>Inquiries[[#This Row],[Name]]&amp;"|"&amp;LOWER(TRIM(Inquiries[[#This Row],[Email__c]]))</f>
        <v>Rohan Brown|rohanbrown@gmail.com</v>
      </c>
      <c r="AD118">
        <f>COUNTIF(Inquiries[Dup Key],Inquiries[[#This Row],[Dup Key]])</f>
        <v>1</v>
      </c>
      <c r="AE118">
        <f>IF(Inquiries[[#This Row],[First_Response_Date__c]]="","",Inquiries[[#This Row],[First_Response_Date__c]]-Inquiries[[#This Row],[Inquiry_Date__c]])</f>
        <v>0</v>
      </c>
      <c r="AF118" s="6" t="str">
        <f>TEXT(Inquiries[[#This Row],[Inquiry_Date__c]], "yyyy-mm")</f>
        <v>2026-02</v>
      </c>
      <c r="AG118" s="6" t="str">
        <f>_xlfn.XLOOKUP(Inquiries[[#This Row],[Requested_Location__c]], Locations[Location Id], Locations[Location Name])</f>
        <v>Red Bank</v>
      </c>
    </row>
    <row r="119" spans="2:33">
      <c r="B119" t="s">
        <v>52</v>
      </c>
      <c r="C119" t="s">
        <v>5321</v>
      </c>
      <c r="D119" t="s">
        <v>5994</v>
      </c>
      <c r="E119" t="s">
        <v>5420</v>
      </c>
      <c r="F119" s="1">
        <v>46191</v>
      </c>
      <c r="G119" t="s">
        <v>5995</v>
      </c>
      <c r="H119" t="s">
        <v>5996</v>
      </c>
      <c r="I119" s="1">
        <v>46188</v>
      </c>
      <c r="J119" t="s">
        <v>5997</v>
      </c>
      <c r="K119" t="s">
        <v>392</v>
      </c>
      <c r="L119" t="b">
        <v>0</v>
      </c>
      <c r="N119" t="s">
        <v>52</v>
      </c>
      <c r="O119" t="s">
        <v>5327</v>
      </c>
      <c r="R119" t="s">
        <v>5106</v>
      </c>
      <c r="S119" t="s">
        <v>5435</v>
      </c>
      <c r="T119" t="s">
        <v>5995</v>
      </c>
      <c r="U119" t="s">
        <v>5341</v>
      </c>
      <c r="V119" t="s">
        <v>52</v>
      </c>
      <c r="W119" t="s">
        <v>5998</v>
      </c>
      <c r="X119" t="s">
        <v>83</v>
      </c>
      <c r="Y119" t="s">
        <v>5360</v>
      </c>
      <c r="Z119">
        <v>6</v>
      </c>
      <c r="AA119" t="s">
        <v>5327</v>
      </c>
      <c r="AB119" t="s">
        <v>503</v>
      </c>
      <c r="AC119" t="str">
        <f>Inquiries[[#This Row],[Name]]&amp;"|"&amp;LOWER(TRIM(Inquiries[[#This Row],[Email__c]]))</f>
        <v>Jonah Nakamura|jnakamura@icloud.com</v>
      </c>
      <c r="AD119">
        <f>COUNTIF(Inquiries[Dup Key],Inquiries[[#This Row],[Dup Key]])</f>
        <v>1</v>
      </c>
      <c r="AE119">
        <f>IF(Inquiries[[#This Row],[First_Response_Date__c]]="","",Inquiries[[#This Row],[First_Response_Date__c]]-Inquiries[[#This Row],[Inquiry_Date__c]])</f>
        <v>3</v>
      </c>
      <c r="AF119" s="6" t="str">
        <f>TEXT(Inquiries[[#This Row],[Inquiry_Date__c]], "yyyy-mm")</f>
        <v>2026-06</v>
      </c>
      <c r="AG119" s="6" t="str">
        <f>_xlfn.XLOOKUP(Inquiries[[#This Row],[Requested_Location__c]], Locations[Location Id], Locations[Location Name])</f>
        <v>Brick</v>
      </c>
    </row>
    <row r="120" spans="2:33">
      <c r="B120" t="s">
        <v>52</v>
      </c>
      <c r="C120" t="s">
        <v>5321</v>
      </c>
      <c r="D120" t="s">
        <v>5999</v>
      </c>
      <c r="E120" t="s">
        <v>5499</v>
      </c>
      <c r="F120" s="1">
        <v>46110</v>
      </c>
      <c r="G120" t="s">
        <v>6000</v>
      </c>
      <c r="H120" t="s">
        <v>6001</v>
      </c>
      <c r="I120" s="1">
        <v>46101</v>
      </c>
      <c r="J120" t="s">
        <v>6002</v>
      </c>
      <c r="K120" t="s">
        <v>147</v>
      </c>
      <c r="L120" t="b">
        <v>0</v>
      </c>
      <c r="N120" t="s">
        <v>52</v>
      </c>
      <c r="O120" t="s">
        <v>5327</v>
      </c>
      <c r="R120" t="s">
        <v>5542</v>
      </c>
      <c r="S120" t="s">
        <v>5329</v>
      </c>
      <c r="T120" t="s">
        <v>6000</v>
      </c>
      <c r="V120" t="s">
        <v>52</v>
      </c>
      <c r="W120" t="s">
        <v>6003</v>
      </c>
      <c r="X120" t="s">
        <v>63</v>
      </c>
      <c r="Y120" t="s">
        <v>5343</v>
      </c>
      <c r="Z120">
        <v>12</v>
      </c>
      <c r="AA120" t="s">
        <v>5327</v>
      </c>
      <c r="AB120" t="s">
        <v>901</v>
      </c>
      <c r="AC120" t="str">
        <f>Inquiries[[#This Row],[Name]]&amp;"|"&amp;LOWER(TRIM(Inquiries[[#This Row],[Email__c]]))</f>
        <v>Gabriel Ahmed|gabrielahmed96@hotmail.com</v>
      </c>
      <c r="AD120">
        <f>COUNTIF(Inquiries[Dup Key],Inquiries[[#This Row],[Dup Key]])</f>
        <v>1</v>
      </c>
      <c r="AE120">
        <f>IF(Inquiries[[#This Row],[First_Response_Date__c]]="","",Inquiries[[#This Row],[First_Response_Date__c]]-Inquiries[[#This Row],[Inquiry_Date__c]])</f>
        <v>9</v>
      </c>
      <c r="AF120" s="6" t="str">
        <f>TEXT(Inquiries[[#This Row],[Inquiry_Date__c]], "yyyy-mm")</f>
        <v>2026-03</v>
      </c>
      <c r="AG120" s="6" t="str">
        <f>_xlfn.XLOOKUP(Inquiries[[#This Row],[Requested_Location__c]], Locations[Location Id], Locations[Location Name])</f>
        <v>Red Bank</v>
      </c>
    </row>
    <row r="121" spans="2:33">
      <c r="B121" t="s">
        <v>52</v>
      </c>
      <c r="C121" t="s">
        <v>5321</v>
      </c>
      <c r="D121" t="s">
        <v>6004</v>
      </c>
      <c r="E121" t="s">
        <v>5747</v>
      </c>
      <c r="F121" s="1">
        <v>46178</v>
      </c>
      <c r="G121" t="s">
        <v>6005</v>
      </c>
      <c r="H121" t="s">
        <v>6006</v>
      </c>
      <c r="I121" s="1">
        <v>46178</v>
      </c>
      <c r="J121" t="s">
        <v>6007</v>
      </c>
      <c r="K121" t="s">
        <v>284</v>
      </c>
      <c r="L121" t="b">
        <v>0</v>
      </c>
      <c r="N121" t="s">
        <v>52</v>
      </c>
      <c r="O121" t="s">
        <v>5327</v>
      </c>
      <c r="R121" t="s">
        <v>5128</v>
      </c>
      <c r="S121" t="s">
        <v>5393</v>
      </c>
      <c r="T121" t="s">
        <v>6005</v>
      </c>
      <c r="V121" t="s">
        <v>52</v>
      </c>
      <c r="W121" t="s">
        <v>6008</v>
      </c>
      <c r="X121" t="s">
        <v>63</v>
      </c>
      <c r="Y121" t="s">
        <v>5360</v>
      </c>
      <c r="Z121">
        <v>12</v>
      </c>
      <c r="AA121" t="s">
        <v>5327</v>
      </c>
      <c r="AB121" t="s">
        <v>713</v>
      </c>
      <c r="AC121" t="str">
        <f>Inquiries[[#This Row],[Name]]&amp;"|"&amp;LOWER(TRIM(Inquiries[[#This Row],[Email__c]]))</f>
        <v>Chloe Silva|chloesilva@hotmail.com</v>
      </c>
      <c r="AD121">
        <f>COUNTIF(Inquiries[Dup Key],Inquiries[[#This Row],[Dup Key]])</f>
        <v>1</v>
      </c>
      <c r="AE121">
        <f>IF(Inquiries[[#This Row],[First_Response_Date__c]]="","",Inquiries[[#This Row],[First_Response_Date__c]]-Inquiries[[#This Row],[Inquiry_Date__c]])</f>
        <v>0</v>
      </c>
      <c r="AF121" s="6" t="str">
        <f>TEXT(Inquiries[[#This Row],[Inquiry_Date__c]], "yyyy-mm")</f>
        <v>2026-06</v>
      </c>
      <c r="AG121" s="6" t="str">
        <f>_xlfn.XLOOKUP(Inquiries[[#This Row],[Requested_Location__c]], Locations[Location Id], Locations[Location Name])</f>
        <v>Red Bank</v>
      </c>
    </row>
    <row r="122" spans="2:33">
      <c r="B122" t="s">
        <v>52</v>
      </c>
      <c r="C122" t="s">
        <v>5321</v>
      </c>
      <c r="D122" t="s">
        <v>6009</v>
      </c>
      <c r="E122" t="s">
        <v>5093</v>
      </c>
      <c r="G122" t="s">
        <v>6010</v>
      </c>
      <c r="H122" t="s">
        <v>6011</v>
      </c>
      <c r="I122" s="1">
        <v>46103</v>
      </c>
      <c r="J122" t="s">
        <v>6012</v>
      </c>
      <c r="K122" t="s">
        <v>527</v>
      </c>
      <c r="L122" t="b">
        <v>0</v>
      </c>
      <c r="N122" t="s">
        <v>52</v>
      </c>
      <c r="O122" t="s">
        <v>5327</v>
      </c>
      <c r="P122" t="s">
        <v>6013</v>
      </c>
      <c r="Q122" t="s">
        <v>6013</v>
      </c>
      <c r="R122" t="s">
        <v>5763</v>
      </c>
      <c r="S122" t="s">
        <v>5358</v>
      </c>
      <c r="T122" t="s">
        <v>6010</v>
      </c>
      <c r="U122" t="s">
        <v>5351</v>
      </c>
      <c r="V122" t="s">
        <v>52</v>
      </c>
      <c r="W122" t="s">
        <v>6014</v>
      </c>
      <c r="X122" t="s">
        <v>63</v>
      </c>
      <c r="Y122" t="s">
        <v>5368</v>
      </c>
      <c r="Z122">
        <v>12</v>
      </c>
      <c r="AA122" t="s">
        <v>5327</v>
      </c>
      <c r="AC122" t="str">
        <f>Inquiries[[#This Row],[Name]]&amp;"|"&amp;LOWER(TRIM(Inquiries[[#This Row],[Email__c]]))</f>
        <v>Micah Chen|micahchen59@outlook.com</v>
      </c>
      <c r="AD122">
        <f>COUNTIF(Inquiries[Dup Key],Inquiries[[#This Row],[Dup Key]])</f>
        <v>1</v>
      </c>
      <c r="AE122" t="str">
        <f>IF(Inquiries[[#This Row],[First_Response_Date__c]]="","",Inquiries[[#This Row],[First_Response_Date__c]]-Inquiries[[#This Row],[Inquiry_Date__c]])</f>
        <v/>
      </c>
      <c r="AF122" s="6" t="str">
        <f>TEXT(Inquiries[[#This Row],[Inquiry_Date__c]], "yyyy-mm")</f>
        <v>2026-03</v>
      </c>
      <c r="AG122" s="6" t="str">
        <f>_xlfn.XLOOKUP(Inquiries[[#This Row],[Requested_Location__c]], Locations[Location Id], Locations[Location Name])</f>
        <v>Red Bank</v>
      </c>
    </row>
    <row r="123" spans="2:33">
      <c r="B123" t="s">
        <v>52</v>
      </c>
      <c r="C123" t="s">
        <v>5321</v>
      </c>
      <c r="D123" t="s">
        <v>6015</v>
      </c>
      <c r="E123" t="s">
        <v>5225</v>
      </c>
      <c r="F123" s="1">
        <v>46234</v>
      </c>
      <c r="G123" t="s">
        <v>6016</v>
      </c>
      <c r="H123" t="s">
        <v>6017</v>
      </c>
      <c r="I123" s="1">
        <v>46231</v>
      </c>
      <c r="J123" t="s">
        <v>6018</v>
      </c>
      <c r="K123" t="s">
        <v>527</v>
      </c>
      <c r="L123" t="b">
        <v>0</v>
      </c>
      <c r="N123" t="s">
        <v>52</v>
      </c>
      <c r="O123" t="s">
        <v>5327</v>
      </c>
      <c r="R123" t="s">
        <v>5206</v>
      </c>
      <c r="S123" t="s">
        <v>5393</v>
      </c>
      <c r="T123" t="s">
        <v>6016</v>
      </c>
      <c r="V123" t="s">
        <v>52</v>
      </c>
      <c r="W123" t="s">
        <v>6019</v>
      </c>
      <c r="X123" t="s">
        <v>63</v>
      </c>
      <c r="Y123" t="s">
        <v>5332</v>
      </c>
      <c r="Z123">
        <v>44</v>
      </c>
      <c r="AA123" t="s">
        <v>5327</v>
      </c>
      <c r="AB123" t="s">
        <v>302</v>
      </c>
      <c r="AC123" t="str">
        <f>Inquiries[[#This Row],[Name]]&amp;"|"&amp;LOWER(TRIM(Inquiries[[#This Row],[Email__c]]))</f>
        <v>Kai Wilson|kaiwilson@icloud.com</v>
      </c>
      <c r="AD123">
        <f>COUNTIF(Inquiries[Dup Key],Inquiries[[#This Row],[Dup Key]])</f>
        <v>1</v>
      </c>
      <c r="AE123">
        <f>IF(Inquiries[[#This Row],[First_Response_Date__c]]="","",Inquiries[[#This Row],[First_Response_Date__c]]-Inquiries[[#This Row],[Inquiry_Date__c]])</f>
        <v>3</v>
      </c>
      <c r="AF123" s="6" t="str">
        <f>TEXT(Inquiries[[#This Row],[Inquiry_Date__c]], "yyyy-mm")</f>
        <v>2026-07</v>
      </c>
      <c r="AG123" s="6" t="str">
        <f>_xlfn.XLOOKUP(Inquiries[[#This Row],[Requested_Location__c]], Locations[Location Id], Locations[Location Name])</f>
        <v>Red Bank</v>
      </c>
    </row>
    <row r="124" spans="2:33">
      <c r="B124" t="s">
        <v>52</v>
      </c>
      <c r="C124" t="s">
        <v>5321</v>
      </c>
      <c r="D124" t="s">
        <v>6020</v>
      </c>
      <c r="E124" t="s">
        <v>5592</v>
      </c>
      <c r="F124" s="1">
        <v>46205</v>
      </c>
      <c r="G124" t="s">
        <v>6021</v>
      </c>
      <c r="H124" t="s">
        <v>6022</v>
      </c>
      <c r="I124" s="1">
        <v>46205</v>
      </c>
      <c r="J124" t="s">
        <v>6023</v>
      </c>
      <c r="K124" t="s">
        <v>58</v>
      </c>
      <c r="L124" t="b">
        <v>0</v>
      </c>
      <c r="N124" t="s">
        <v>52</v>
      </c>
      <c r="O124" t="s">
        <v>5327</v>
      </c>
      <c r="R124" t="s">
        <v>5535</v>
      </c>
      <c r="S124" t="s">
        <v>5358</v>
      </c>
      <c r="T124" t="s">
        <v>6021</v>
      </c>
      <c r="U124" t="s">
        <v>5449</v>
      </c>
      <c r="V124" t="s">
        <v>52</v>
      </c>
      <c r="W124" t="s">
        <v>6024</v>
      </c>
      <c r="X124" t="s">
        <v>63</v>
      </c>
      <c r="Y124" t="s">
        <v>5360</v>
      </c>
      <c r="Z124">
        <v>28</v>
      </c>
      <c r="AA124" t="s">
        <v>5327</v>
      </c>
      <c r="AB124" t="s">
        <v>318</v>
      </c>
      <c r="AC124" t="str">
        <f>Inquiries[[#This Row],[Name]]&amp;"|"&amp;LOWER(TRIM(Inquiries[[#This Row],[Email__c]]))</f>
        <v>Harper Campbell|hcampbell@icloud.com</v>
      </c>
      <c r="AD124">
        <f>COUNTIF(Inquiries[Dup Key],Inquiries[[#This Row],[Dup Key]])</f>
        <v>1</v>
      </c>
      <c r="AE124">
        <f>IF(Inquiries[[#This Row],[First_Response_Date__c]]="","",Inquiries[[#This Row],[First_Response_Date__c]]-Inquiries[[#This Row],[Inquiry_Date__c]])</f>
        <v>0</v>
      </c>
      <c r="AF124" s="6" t="str">
        <f>TEXT(Inquiries[[#This Row],[Inquiry_Date__c]], "yyyy-mm")</f>
        <v>2026-07</v>
      </c>
      <c r="AG124" s="6" t="str">
        <f>_xlfn.XLOOKUP(Inquiries[[#This Row],[Requested_Location__c]], Locations[Location Id], Locations[Location Name])</f>
        <v>Red Bank</v>
      </c>
    </row>
    <row r="125" spans="2:33">
      <c r="B125" t="s">
        <v>52</v>
      </c>
      <c r="C125" t="s">
        <v>5321</v>
      </c>
      <c r="D125" t="s">
        <v>6025</v>
      </c>
      <c r="E125" t="s">
        <v>5204</v>
      </c>
      <c r="F125" s="1">
        <v>46263</v>
      </c>
      <c r="G125" t="s">
        <v>6026</v>
      </c>
      <c r="H125" t="s">
        <v>6027</v>
      </c>
      <c r="I125" s="1">
        <v>46261</v>
      </c>
      <c r="J125" t="s">
        <v>6028</v>
      </c>
      <c r="K125" t="s">
        <v>284</v>
      </c>
      <c r="L125" t="b">
        <v>0</v>
      </c>
      <c r="N125" t="s">
        <v>52</v>
      </c>
      <c r="O125" t="s">
        <v>5327</v>
      </c>
      <c r="R125" t="s">
        <v>5263</v>
      </c>
      <c r="S125" t="s">
        <v>5400</v>
      </c>
      <c r="T125" t="s">
        <v>6026</v>
      </c>
      <c r="V125" t="s">
        <v>52</v>
      </c>
      <c r="W125" t="s">
        <v>6029</v>
      </c>
      <c r="X125" t="s">
        <v>63</v>
      </c>
      <c r="Y125" t="s">
        <v>5343</v>
      </c>
      <c r="Z125">
        <v>35</v>
      </c>
      <c r="AA125" t="s">
        <v>5327</v>
      </c>
      <c r="AB125" t="s">
        <v>431</v>
      </c>
      <c r="AC125" t="str">
        <f>Inquiries[[#This Row],[Name]]&amp;"|"&amp;LOWER(TRIM(Inquiries[[#This Row],[Email__c]]))</f>
        <v>Penelope Ramirez|penelope.ramirez@icloud.com</v>
      </c>
      <c r="AD125">
        <f>COUNTIF(Inquiries[Dup Key],Inquiries[[#This Row],[Dup Key]])</f>
        <v>1</v>
      </c>
      <c r="AE125">
        <f>IF(Inquiries[[#This Row],[First_Response_Date__c]]="","",Inquiries[[#This Row],[First_Response_Date__c]]-Inquiries[[#This Row],[Inquiry_Date__c]])</f>
        <v>2</v>
      </c>
      <c r="AF125" s="6" t="str">
        <f>TEXT(Inquiries[[#This Row],[Inquiry_Date__c]], "yyyy-mm")</f>
        <v>2026-08</v>
      </c>
      <c r="AG125" s="6" t="str">
        <f>_xlfn.XLOOKUP(Inquiries[[#This Row],[Requested_Location__c]], Locations[Location Id], Locations[Location Name])</f>
        <v>Red Bank</v>
      </c>
    </row>
    <row r="126" spans="2:33">
      <c r="B126" t="s">
        <v>52</v>
      </c>
      <c r="C126" t="s">
        <v>5321</v>
      </c>
      <c r="D126" t="s">
        <v>6030</v>
      </c>
      <c r="E126" t="s">
        <v>5420</v>
      </c>
      <c r="F126" s="1">
        <v>46237</v>
      </c>
      <c r="G126" t="s">
        <v>2843</v>
      </c>
      <c r="H126" t="s">
        <v>6031</v>
      </c>
      <c r="I126" s="1">
        <v>46236</v>
      </c>
      <c r="J126" t="s">
        <v>6032</v>
      </c>
      <c r="K126" t="s">
        <v>58</v>
      </c>
      <c r="L126" t="b">
        <v>0</v>
      </c>
      <c r="N126" t="s">
        <v>52</v>
      </c>
      <c r="O126" t="s">
        <v>5327</v>
      </c>
      <c r="R126" t="s">
        <v>5143</v>
      </c>
      <c r="T126" t="s">
        <v>2843</v>
      </c>
      <c r="V126" t="s">
        <v>52</v>
      </c>
      <c r="W126" t="s">
        <v>6033</v>
      </c>
      <c r="X126" t="s">
        <v>83</v>
      </c>
      <c r="Y126" t="s">
        <v>5343</v>
      </c>
      <c r="Z126">
        <v>14</v>
      </c>
      <c r="AA126" t="s">
        <v>5327</v>
      </c>
      <c r="AB126" t="s">
        <v>302</v>
      </c>
      <c r="AC126" t="str">
        <f>Inquiries[[#This Row],[Name]]&amp;"|"&amp;LOWER(TRIM(Inquiries[[#This Row],[Email__c]]))</f>
        <v>Jonah Clark|jonah.clark@hotmail.com</v>
      </c>
      <c r="AD126">
        <f>COUNTIF(Inquiries[Dup Key],Inquiries[[#This Row],[Dup Key]])</f>
        <v>1</v>
      </c>
      <c r="AE126">
        <f>IF(Inquiries[[#This Row],[First_Response_Date__c]]="","",Inquiries[[#This Row],[First_Response_Date__c]]-Inquiries[[#This Row],[Inquiry_Date__c]])</f>
        <v>1</v>
      </c>
      <c r="AF126" s="6" t="str">
        <f>TEXT(Inquiries[[#This Row],[Inquiry_Date__c]], "yyyy-mm")</f>
        <v>2026-08</v>
      </c>
      <c r="AG126" s="6" t="str">
        <f>_xlfn.XLOOKUP(Inquiries[[#This Row],[Requested_Location__c]], Locations[Location Id], Locations[Location Name])</f>
        <v>Brick</v>
      </c>
    </row>
    <row r="127" spans="2:33">
      <c r="B127" t="s">
        <v>52</v>
      </c>
      <c r="C127" t="s">
        <v>5321</v>
      </c>
      <c r="D127" t="s">
        <v>6034</v>
      </c>
      <c r="E127" t="s">
        <v>6035</v>
      </c>
      <c r="F127" s="1">
        <v>46104</v>
      </c>
      <c r="G127" t="s">
        <v>6036</v>
      </c>
      <c r="H127" t="s">
        <v>6037</v>
      </c>
      <c r="I127" s="1">
        <v>46103</v>
      </c>
      <c r="J127" t="s">
        <v>6038</v>
      </c>
      <c r="K127" t="s">
        <v>263</v>
      </c>
      <c r="L127" t="b">
        <v>0</v>
      </c>
      <c r="N127" t="s">
        <v>52</v>
      </c>
      <c r="O127" t="s">
        <v>5327</v>
      </c>
      <c r="R127" t="s">
        <v>5141</v>
      </c>
      <c r="S127" t="s">
        <v>5329</v>
      </c>
      <c r="T127" t="s">
        <v>6036</v>
      </c>
      <c r="U127" t="s">
        <v>5351</v>
      </c>
      <c r="V127" t="s">
        <v>52</v>
      </c>
      <c r="W127" t="s">
        <v>6039</v>
      </c>
      <c r="X127" t="s">
        <v>63</v>
      </c>
      <c r="Y127" t="s">
        <v>5360</v>
      </c>
      <c r="Z127">
        <v>12</v>
      </c>
      <c r="AA127" t="s">
        <v>5327</v>
      </c>
      <c r="AB127" t="s">
        <v>89</v>
      </c>
      <c r="AC127" t="str">
        <f>Inquiries[[#This Row],[Name]]&amp;"|"&amp;LOWER(TRIM(Inquiries[[#This Row],[Email__c]]))</f>
        <v>Violet Ryan|violetryan66@icloud.com</v>
      </c>
      <c r="AD127">
        <f>COUNTIF(Inquiries[Dup Key],Inquiries[[#This Row],[Dup Key]])</f>
        <v>1</v>
      </c>
      <c r="AE127">
        <f>IF(Inquiries[[#This Row],[First_Response_Date__c]]="","",Inquiries[[#This Row],[First_Response_Date__c]]-Inquiries[[#This Row],[Inquiry_Date__c]])</f>
        <v>1</v>
      </c>
      <c r="AF127" s="6" t="str">
        <f>TEXT(Inquiries[[#This Row],[Inquiry_Date__c]], "yyyy-mm")</f>
        <v>2026-03</v>
      </c>
      <c r="AG127" s="6" t="str">
        <f>_xlfn.XLOOKUP(Inquiries[[#This Row],[Requested_Location__c]], Locations[Location Id], Locations[Location Name])</f>
        <v>Red Bank</v>
      </c>
    </row>
    <row r="128" spans="2:33">
      <c r="B128" t="s">
        <v>52</v>
      </c>
      <c r="C128" t="s">
        <v>5321</v>
      </c>
      <c r="D128" t="s">
        <v>6040</v>
      </c>
      <c r="E128" t="s">
        <v>5118</v>
      </c>
      <c r="G128" t="s">
        <v>6041</v>
      </c>
      <c r="H128" t="s">
        <v>6042</v>
      </c>
      <c r="I128" s="1">
        <v>46090</v>
      </c>
      <c r="J128" t="s">
        <v>6043</v>
      </c>
      <c r="K128" t="s">
        <v>237</v>
      </c>
      <c r="L128" t="b">
        <v>0</v>
      </c>
      <c r="N128" t="s">
        <v>52</v>
      </c>
      <c r="O128" t="s">
        <v>5327</v>
      </c>
      <c r="R128" t="s">
        <v>5172</v>
      </c>
      <c r="S128" t="s">
        <v>5350</v>
      </c>
      <c r="T128" t="s">
        <v>6041</v>
      </c>
      <c r="U128" t="s">
        <v>5341</v>
      </c>
      <c r="V128" t="s">
        <v>52</v>
      </c>
      <c r="W128" t="s">
        <v>6044</v>
      </c>
      <c r="X128" t="s">
        <v>63</v>
      </c>
      <c r="Y128" t="s">
        <v>5368</v>
      </c>
      <c r="Z128">
        <v>55</v>
      </c>
      <c r="AA128" t="s">
        <v>5327</v>
      </c>
      <c r="AC128" t="str">
        <f>Inquiries[[#This Row],[Name]]&amp;"|"&amp;LOWER(TRIM(Inquiries[[#This Row],[Email__c]]))</f>
        <v>Aubrey Garcia|aubrey.garcia@yahoo.com</v>
      </c>
      <c r="AD128">
        <f>COUNTIF(Inquiries[Dup Key],Inquiries[[#This Row],[Dup Key]])</f>
        <v>1</v>
      </c>
      <c r="AE128" t="str">
        <f>IF(Inquiries[[#This Row],[First_Response_Date__c]]="","",Inquiries[[#This Row],[First_Response_Date__c]]-Inquiries[[#This Row],[Inquiry_Date__c]])</f>
        <v/>
      </c>
      <c r="AF128" s="6" t="str">
        <f>TEXT(Inquiries[[#This Row],[Inquiry_Date__c]], "yyyy-mm")</f>
        <v>2026-03</v>
      </c>
      <c r="AG128" s="6" t="str">
        <f>_xlfn.XLOOKUP(Inquiries[[#This Row],[Requested_Location__c]], Locations[Location Id], Locations[Location Name])</f>
        <v>Red Bank</v>
      </c>
    </row>
    <row r="129" spans="1:33">
      <c r="B129" t="s">
        <v>52</v>
      </c>
      <c r="C129" t="s">
        <v>5321</v>
      </c>
      <c r="D129" t="s">
        <v>6045</v>
      </c>
      <c r="E129" t="s">
        <v>5943</v>
      </c>
      <c r="F129" s="1">
        <v>46185</v>
      </c>
      <c r="G129" t="s">
        <v>6046</v>
      </c>
      <c r="H129" t="s">
        <v>6047</v>
      </c>
      <c r="I129" s="1">
        <v>46185</v>
      </c>
      <c r="J129" t="s">
        <v>6048</v>
      </c>
      <c r="K129" t="s">
        <v>650</v>
      </c>
      <c r="L129" t="b">
        <v>0</v>
      </c>
      <c r="N129" t="s">
        <v>52</v>
      </c>
      <c r="O129" t="s">
        <v>5327</v>
      </c>
      <c r="R129" t="s">
        <v>5366</v>
      </c>
      <c r="S129" t="s">
        <v>5358</v>
      </c>
      <c r="T129" t="s">
        <v>6046</v>
      </c>
      <c r="U129" t="s">
        <v>5449</v>
      </c>
      <c r="V129" t="s">
        <v>52</v>
      </c>
      <c r="W129" t="s">
        <v>6049</v>
      </c>
      <c r="X129" t="s">
        <v>83</v>
      </c>
      <c r="Y129" t="s">
        <v>5360</v>
      </c>
      <c r="Z129">
        <v>10</v>
      </c>
      <c r="AA129" t="s">
        <v>5327</v>
      </c>
      <c r="AB129" t="s">
        <v>390</v>
      </c>
      <c r="AC129" t="str">
        <f>Inquiries[[#This Row],[Name]]&amp;"|"&amp;LOWER(TRIM(Inquiries[[#This Row],[Email__c]]))</f>
        <v>Kennedy Thompson|kthompson@icloud.com</v>
      </c>
      <c r="AD129">
        <f>COUNTIF(Inquiries[Dup Key],Inquiries[[#This Row],[Dup Key]])</f>
        <v>1</v>
      </c>
      <c r="AE129">
        <f>IF(Inquiries[[#This Row],[First_Response_Date__c]]="","",Inquiries[[#This Row],[First_Response_Date__c]]-Inquiries[[#This Row],[Inquiry_Date__c]])</f>
        <v>0</v>
      </c>
      <c r="AF129" s="6" t="str">
        <f>TEXT(Inquiries[[#This Row],[Inquiry_Date__c]], "yyyy-mm")</f>
        <v>2026-06</v>
      </c>
      <c r="AG129" s="6" t="str">
        <f>_xlfn.XLOOKUP(Inquiries[[#This Row],[Requested_Location__c]], Locations[Location Id], Locations[Location Name])</f>
        <v>Brick</v>
      </c>
    </row>
    <row r="130" spans="1:33">
      <c r="B130" t="s">
        <v>52</v>
      </c>
      <c r="C130" t="s">
        <v>5321</v>
      </c>
      <c r="D130" t="s">
        <v>6050</v>
      </c>
      <c r="E130" t="s">
        <v>5610</v>
      </c>
      <c r="F130" s="1">
        <v>46140</v>
      </c>
      <c r="G130" t="s">
        <v>6051</v>
      </c>
      <c r="H130" t="s">
        <v>6052</v>
      </c>
      <c r="I130" s="1">
        <v>46140</v>
      </c>
      <c r="J130" t="s">
        <v>6053</v>
      </c>
      <c r="K130" t="s">
        <v>78</v>
      </c>
      <c r="L130" t="b">
        <v>0</v>
      </c>
      <c r="N130" t="s">
        <v>52</v>
      </c>
      <c r="O130" t="s">
        <v>5327</v>
      </c>
      <c r="R130" t="s">
        <v>5294</v>
      </c>
      <c r="S130" t="s">
        <v>5340</v>
      </c>
      <c r="T130" t="s">
        <v>6051</v>
      </c>
      <c r="U130" t="s">
        <v>5341</v>
      </c>
      <c r="V130" t="s">
        <v>52</v>
      </c>
      <c r="W130" t="s">
        <v>6054</v>
      </c>
      <c r="X130" t="s">
        <v>83</v>
      </c>
      <c r="Y130" t="s">
        <v>5343</v>
      </c>
      <c r="Z130">
        <v>55</v>
      </c>
      <c r="AA130" t="s">
        <v>5327</v>
      </c>
      <c r="AB130" t="s">
        <v>503</v>
      </c>
      <c r="AC130" t="str">
        <f>Inquiries[[#This Row],[Name]]&amp;"|"&amp;LOWER(TRIM(Inquiries[[#This Row],[Email__c]]))</f>
        <v>Declan Jackson|declan.jackson@yahoo.com</v>
      </c>
      <c r="AD130">
        <f>COUNTIF(Inquiries[Dup Key],Inquiries[[#This Row],[Dup Key]])</f>
        <v>1</v>
      </c>
      <c r="AE130">
        <f>IF(Inquiries[[#This Row],[First_Response_Date__c]]="","",Inquiries[[#This Row],[First_Response_Date__c]]-Inquiries[[#This Row],[Inquiry_Date__c]])</f>
        <v>0</v>
      </c>
      <c r="AF130" s="6" t="str">
        <f>TEXT(Inquiries[[#This Row],[Inquiry_Date__c]], "yyyy-mm")</f>
        <v>2026-04</v>
      </c>
      <c r="AG130" s="6" t="str">
        <f>_xlfn.XLOOKUP(Inquiries[[#This Row],[Requested_Location__c]], Locations[Location Id], Locations[Location Name])</f>
        <v>Brick</v>
      </c>
    </row>
    <row r="131" spans="1:33">
      <c r="B131" t="s">
        <v>52</v>
      </c>
      <c r="C131" t="s">
        <v>5321</v>
      </c>
      <c r="D131" t="s">
        <v>6055</v>
      </c>
      <c r="E131" t="s">
        <v>5866</v>
      </c>
      <c r="F131" s="1">
        <v>46065</v>
      </c>
      <c r="G131" t="s">
        <v>6056</v>
      </c>
      <c r="H131" t="s">
        <v>6057</v>
      </c>
      <c r="I131" s="1">
        <v>46056</v>
      </c>
      <c r="J131" t="s">
        <v>6058</v>
      </c>
      <c r="K131" t="s">
        <v>527</v>
      </c>
      <c r="L131" t="b">
        <v>0</v>
      </c>
      <c r="N131" t="s">
        <v>52</v>
      </c>
      <c r="O131" t="s">
        <v>5327</v>
      </c>
      <c r="R131" t="s">
        <v>5601</v>
      </c>
      <c r="S131" t="s">
        <v>5340</v>
      </c>
      <c r="T131" t="s">
        <v>6056</v>
      </c>
      <c r="V131" t="s">
        <v>52</v>
      </c>
      <c r="W131" t="s">
        <v>6059</v>
      </c>
      <c r="X131" t="s">
        <v>83</v>
      </c>
      <c r="Y131" t="s">
        <v>5360</v>
      </c>
      <c r="Z131">
        <v>16</v>
      </c>
      <c r="AA131" t="s">
        <v>5327</v>
      </c>
      <c r="AB131" t="s">
        <v>459</v>
      </c>
      <c r="AC131" t="str">
        <f>Inquiries[[#This Row],[Name]]&amp;"|"&amp;LOWER(TRIM(Inquiries[[#This Row],[Email__c]]))</f>
        <v>Nova Kim|novakim@yahoo.com</v>
      </c>
      <c r="AD131">
        <f>COUNTIF(Inquiries[Dup Key],Inquiries[[#This Row],[Dup Key]])</f>
        <v>1</v>
      </c>
      <c r="AE131">
        <f>IF(Inquiries[[#This Row],[First_Response_Date__c]]="","",Inquiries[[#This Row],[First_Response_Date__c]]-Inquiries[[#This Row],[Inquiry_Date__c]])</f>
        <v>9</v>
      </c>
      <c r="AF131" s="6" t="str">
        <f>TEXT(Inquiries[[#This Row],[Inquiry_Date__c]], "yyyy-mm")</f>
        <v>2026-02</v>
      </c>
      <c r="AG131" s="6" t="str">
        <f>_xlfn.XLOOKUP(Inquiries[[#This Row],[Requested_Location__c]], Locations[Location Id], Locations[Location Name])</f>
        <v>Brick</v>
      </c>
    </row>
    <row r="132" spans="1:33">
      <c r="B132" t="s">
        <v>52</v>
      </c>
      <c r="C132" t="s">
        <v>5321</v>
      </c>
      <c r="D132" t="s">
        <v>6060</v>
      </c>
      <c r="E132" t="s">
        <v>6061</v>
      </c>
      <c r="F132" s="1">
        <v>46074</v>
      </c>
      <c r="G132" t="s">
        <v>6062</v>
      </c>
      <c r="H132" t="s">
        <v>6063</v>
      </c>
      <c r="I132" s="1">
        <v>46074</v>
      </c>
      <c r="J132" t="s">
        <v>6064</v>
      </c>
      <c r="K132" t="s">
        <v>392</v>
      </c>
      <c r="L132" t="b">
        <v>0</v>
      </c>
      <c r="N132" t="s">
        <v>52</v>
      </c>
      <c r="O132" t="s">
        <v>5327</v>
      </c>
      <c r="R132" t="s">
        <v>5201</v>
      </c>
      <c r="S132" t="s">
        <v>5358</v>
      </c>
      <c r="T132" t="s">
        <v>6062</v>
      </c>
      <c r="U132" t="s">
        <v>5449</v>
      </c>
      <c r="V132" t="s">
        <v>52</v>
      </c>
      <c r="W132" t="s">
        <v>6065</v>
      </c>
      <c r="X132" t="s">
        <v>83</v>
      </c>
      <c r="Y132" t="s">
        <v>5343</v>
      </c>
      <c r="Z132">
        <v>6</v>
      </c>
      <c r="AA132" t="s">
        <v>5327</v>
      </c>
      <c r="AB132" t="s">
        <v>1386</v>
      </c>
      <c r="AC132" t="str">
        <f>Inquiries[[#This Row],[Name]]&amp;"|"&amp;LOWER(TRIM(Inquiries[[#This Row],[Email__c]]))</f>
        <v>Victoria Davis|victoriadavis21@hotmail.com</v>
      </c>
      <c r="AD132">
        <f>COUNTIF(Inquiries[Dup Key],Inquiries[[#This Row],[Dup Key]])</f>
        <v>1</v>
      </c>
      <c r="AE132">
        <f>IF(Inquiries[[#This Row],[First_Response_Date__c]]="","",Inquiries[[#This Row],[First_Response_Date__c]]-Inquiries[[#This Row],[Inquiry_Date__c]])</f>
        <v>0</v>
      </c>
      <c r="AF132" s="6" t="str">
        <f>TEXT(Inquiries[[#This Row],[Inquiry_Date__c]], "yyyy-mm")</f>
        <v>2026-02</v>
      </c>
      <c r="AG132" s="6" t="str">
        <f>_xlfn.XLOOKUP(Inquiries[[#This Row],[Requested_Location__c]], Locations[Location Id], Locations[Location Name])</f>
        <v>Brick</v>
      </c>
    </row>
    <row r="133" spans="1:33">
      <c r="B133" t="s">
        <v>52</v>
      </c>
      <c r="C133" t="s">
        <v>5321</v>
      </c>
      <c r="D133" t="s">
        <v>6066</v>
      </c>
      <c r="E133" t="s">
        <v>6067</v>
      </c>
      <c r="F133" s="1">
        <v>46200</v>
      </c>
      <c r="G133" t="s">
        <v>6068</v>
      </c>
      <c r="H133" t="s">
        <v>6069</v>
      </c>
      <c r="I133" s="1">
        <v>46200</v>
      </c>
      <c r="J133" t="s">
        <v>6070</v>
      </c>
      <c r="K133" t="s">
        <v>107</v>
      </c>
      <c r="L133" t="b">
        <v>0</v>
      </c>
      <c r="N133" t="s">
        <v>52</v>
      </c>
      <c r="O133" t="s">
        <v>5327</v>
      </c>
      <c r="R133" t="s">
        <v>5384</v>
      </c>
      <c r="S133" t="s">
        <v>5393</v>
      </c>
      <c r="T133" t="s">
        <v>6068</v>
      </c>
      <c r="V133" t="s">
        <v>52</v>
      </c>
      <c r="W133" t="s">
        <v>6071</v>
      </c>
      <c r="X133" t="s">
        <v>63</v>
      </c>
      <c r="Y133" t="s">
        <v>5360</v>
      </c>
      <c r="Z133">
        <v>14</v>
      </c>
      <c r="AA133" t="s">
        <v>5327</v>
      </c>
      <c r="AB133" t="s">
        <v>97</v>
      </c>
      <c r="AC133" t="str">
        <f>Inquiries[[#This Row],[Name]]&amp;"|"&amp;LOWER(TRIM(Inquiries[[#This Row],[Email__c]]))</f>
        <v>Xavier Walker|xwalker@yahoo.com</v>
      </c>
      <c r="AD133">
        <f>COUNTIF(Inquiries[Dup Key],Inquiries[[#This Row],[Dup Key]])</f>
        <v>1</v>
      </c>
      <c r="AE133">
        <f>IF(Inquiries[[#This Row],[First_Response_Date__c]]="","",Inquiries[[#This Row],[First_Response_Date__c]]-Inquiries[[#This Row],[Inquiry_Date__c]])</f>
        <v>0</v>
      </c>
      <c r="AF133" s="6" t="str">
        <f>TEXT(Inquiries[[#This Row],[Inquiry_Date__c]], "yyyy-mm")</f>
        <v>2026-06</v>
      </c>
      <c r="AG133" s="6" t="str">
        <f>_xlfn.XLOOKUP(Inquiries[[#This Row],[Requested_Location__c]], Locations[Location Id], Locations[Location Name])</f>
        <v>Red Bank</v>
      </c>
    </row>
    <row r="134" spans="1:33">
      <c r="B134" t="s">
        <v>52</v>
      </c>
      <c r="C134" t="s">
        <v>5321</v>
      </c>
      <c r="D134" t="s">
        <v>6072</v>
      </c>
      <c r="E134" t="s">
        <v>5516</v>
      </c>
      <c r="G134" t="s">
        <v>6073</v>
      </c>
      <c r="H134" t="s">
        <v>6074</v>
      </c>
      <c r="I134" s="1">
        <v>46245</v>
      </c>
      <c r="J134" t="s">
        <v>6075</v>
      </c>
      <c r="K134" t="s">
        <v>461</v>
      </c>
      <c r="L134" t="b">
        <v>0</v>
      </c>
      <c r="N134" t="s">
        <v>52</v>
      </c>
      <c r="O134" t="s">
        <v>5327</v>
      </c>
      <c r="R134" t="s">
        <v>5222</v>
      </c>
      <c r="S134" t="s">
        <v>5485</v>
      </c>
      <c r="T134" t="s">
        <v>6073</v>
      </c>
      <c r="U134" t="s">
        <v>5385</v>
      </c>
      <c r="V134" t="s">
        <v>52</v>
      </c>
      <c r="W134" t="s">
        <v>6076</v>
      </c>
      <c r="X134" t="s">
        <v>150</v>
      </c>
      <c r="Y134" t="s">
        <v>5368</v>
      </c>
      <c r="Z134">
        <v>16</v>
      </c>
      <c r="AA134" t="s">
        <v>5327</v>
      </c>
      <c r="AC134" t="str">
        <f>Inquiries[[#This Row],[Name]]&amp;"|"&amp;LOWER(TRIM(Inquiries[[#This Row],[Email__c]]))</f>
        <v>Ethan Byrne|ethanbyrne63@gmail.com</v>
      </c>
      <c r="AD134">
        <f>COUNTIF(Inquiries[Dup Key],Inquiries[[#This Row],[Dup Key]])</f>
        <v>1</v>
      </c>
      <c r="AE134" t="str">
        <f>IF(Inquiries[[#This Row],[First_Response_Date__c]]="","",Inquiries[[#This Row],[First_Response_Date__c]]-Inquiries[[#This Row],[Inquiry_Date__c]])</f>
        <v/>
      </c>
      <c r="AF134" s="6" t="str">
        <f>TEXT(Inquiries[[#This Row],[Inquiry_Date__c]], "yyyy-mm")</f>
        <v>2026-08</v>
      </c>
      <c r="AG134" s="6" t="str">
        <f>_xlfn.XLOOKUP(Inquiries[[#This Row],[Requested_Location__c]], Locations[Location Id], Locations[Location Name])</f>
        <v>Toms River</v>
      </c>
    </row>
    <row r="135" spans="1:33">
      <c r="B135" t="s">
        <v>52</v>
      </c>
      <c r="C135" t="s">
        <v>5321</v>
      </c>
      <c r="D135" t="s">
        <v>6077</v>
      </c>
      <c r="E135" t="s">
        <v>5877</v>
      </c>
      <c r="G135" t="s">
        <v>6078</v>
      </c>
      <c r="H135" t="s">
        <v>6079</v>
      </c>
      <c r="I135" s="1">
        <v>46070</v>
      </c>
      <c r="J135" t="s">
        <v>6080</v>
      </c>
      <c r="K135" t="s">
        <v>237</v>
      </c>
      <c r="L135" t="b">
        <v>0</v>
      </c>
      <c r="N135" t="s">
        <v>52</v>
      </c>
      <c r="O135" t="s">
        <v>5327</v>
      </c>
      <c r="P135" t="s">
        <v>6081</v>
      </c>
      <c r="Q135" t="s">
        <v>6081</v>
      </c>
      <c r="R135" t="s">
        <v>5206</v>
      </c>
      <c r="S135" t="s">
        <v>5485</v>
      </c>
      <c r="T135" t="s">
        <v>6078</v>
      </c>
      <c r="U135" t="s">
        <v>5449</v>
      </c>
      <c r="V135" t="s">
        <v>52</v>
      </c>
      <c r="W135" t="s">
        <v>6082</v>
      </c>
      <c r="X135" t="s">
        <v>63</v>
      </c>
      <c r="Y135" t="s">
        <v>5368</v>
      </c>
      <c r="Z135">
        <v>28</v>
      </c>
      <c r="AA135" t="s">
        <v>5327</v>
      </c>
      <c r="AC135" t="str">
        <f>Inquiries[[#This Row],[Name]]&amp;"|"&amp;LOWER(TRIM(Inquiries[[#This Row],[Email__c]]))</f>
        <v>Tyler Wilson|tylerwilson@hotmail.com</v>
      </c>
      <c r="AD135">
        <f>COUNTIF(Inquiries[Dup Key],Inquiries[[#This Row],[Dup Key]])</f>
        <v>1</v>
      </c>
      <c r="AE135" t="str">
        <f>IF(Inquiries[[#This Row],[First_Response_Date__c]]="","",Inquiries[[#This Row],[First_Response_Date__c]]-Inquiries[[#This Row],[Inquiry_Date__c]])</f>
        <v/>
      </c>
      <c r="AF135" s="6" t="str">
        <f>TEXT(Inquiries[[#This Row],[Inquiry_Date__c]], "yyyy-mm")</f>
        <v>2026-02</v>
      </c>
      <c r="AG135" s="6" t="str">
        <f>_xlfn.XLOOKUP(Inquiries[[#This Row],[Requested_Location__c]], Locations[Location Id], Locations[Location Name])</f>
        <v>Red Bank</v>
      </c>
    </row>
    <row r="136" spans="1:33">
      <c r="B136" t="s">
        <v>52</v>
      </c>
      <c r="C136" t="s">
        <v>5321</v>
      </c>
      <c r="D136" t="s">
        <v>6083</v>
      </c>
      <c r="E136" t="s">
        <v>6035</v>
      </c>
      <c r="F136" s="1">
        <v>46128</v>
      </c>
      <c r="G136" t="s">
        <v>6084</v>
      </c>
      <c r="H136" t="s">
        <v>6085</v>
      </c>
      <c r="I136" s="1">
        <v>46127</v>
      </c>
      <c r="J136" t="s">
        <v>6086</v>
      </c>
      <c r="K136" t="s">
        <v>650</v>
      </c>
      <c r="L136" t="b">
        <v>0</v>
      </c>
      <c r="N136" t="s">
        <v>52</v>
      </c>
      <c r="O136" t="s">
        <v>5327</v>
      </c>
      <c r="R136" t="s">
        <v>5072</v>
      </c>
      <c r="S136" t="s">
        <v>5350</v>
      </c>
      <c r="T136" t="s">
        <v>6084</v>
      </c>
      <c r="U136" t="s">
        <v>5330</v>
      </c>
      <c r="V136" t="s">
        <v>52</v>
      </c>
      <c r="W136" t="s">
        <v>6087</v>
      </c>
      <c r="X136" t="s">
        <v>63</v>
      </c>
      <c r="Y136" t="s">
        <v>5332</v>
      </c>
      <c r="Z136">
        <v>12</v>
      </c>
      <c r="AA136" t="s">
        <v>5327</v>
      </c>
      <c r="AB136" t="s">
        <v>503</v>
      </c>
      <c r="AC136" t="str">
        <f>Inquiries[[#This Row],[Name]]&amp;"|"&amp;LOWER(TRIM(Inquiries[[#This Row],[Email__c]]))</f>
        <v>Violet Sullivan|violetsullivan@hotmail.com</v>
      </c>
      <c r="AD136">
        <f>COUNTIF(Inquiries[Dup Key],Inquiries[[#This Row],[Dup Key]])</f>
        <v>1</v>
      </c>
      <c r="AE136">
        <f>IF(Inquiries[[#This Row],[First_Response_Date__c]]="","",Inquiries[[#This Row],[First_Response_Date__c]]-Inquiries[[#This Row],[Inquiry_Date__c]])</f>
        <v>1</v>
      </c>
      <c r="AF136" s="6" t="str">
        <f>TEXT(Inquiries[[#This Row],[Inquiry_Date__c]], "yyyy-mm")</f>
        <v>2026-04</v>
      </c>
      <c r="AG136" s="6" t="str">
        <f>_xlfn.XLOOKUP(Inquiries[[#This Row],[Requested_Location__c]], Locations[Location Id], Locations[Location Name])</f>
        <v>Red Bank</v>
      </c>
    </row>
    <row r="137" spans="1:33">
      <c r="B137" t="s">
        <v>52</v>
      </c>
      <c r="C137" t="s">
        <v>5321</v>
      </c>
      <c r="D137" t="s">
        <v>6088</v>
      </c>
      <c r="E137" t="s">
        <v>5493</v>
      </c>
      <c r="F137" s="1">
        <v>46063</v>
      </c>
      <c r="G137" t="s">
        <v>6089</v>
      </c>
      <c r="H137" t="s">
        <v>6090</v>
      </c>
      <c r="I137" s="1">
        <v>46062</v>
      </c>
      <c r="J137" t="s">
        <v>6091</v>
      </c>
      <c r="K137" t="s">
        <v>58</v>
      </c>
      <c r="L137" t="b">
        <v>0</v>
      </c>
      <c r="N137" t="s">
        <v>52</v>
      </c>
      <c r="O137" t="s">
        <v>5327</v>
      </c>
      <c r="R137" t="s">
        <v>5640</v>
      </c>
      <c r="S137" t="s">
        <v>5329</v>
      </c>
      <c r="T137" t="s">
        <v>6089</v>
      </c>
      <c r="U137" t="s">
        <v>5341</v>
      </c>
      <c r="V137" t="s">
        <v>52</v>
      </c>
      <c r="W137" t="s">
        <v>6092</v>
      </c>
      <c r="X137" t="s">
        <v>63</v>
      </c>
      <c r="Y137" t="s">
        <v>5332</v>
      </c>
      <c r="Z137">
        <v>10</v>
      </c>
      <c r="AA137" t="s">
        <v>5327</v>
      </c>
      <c r="AB137" t="s">
        <v>923</v>
      </c>
      <c r="AC137" t="str">
        <f>Inquiries[[#This Row],[Name]]&amp;"|"&amp;LOWER(TRIM(Inquiries[[#This Row],[Email__c]]))</f>
        <v>Levi Robinson|levi.robinson@icloud.com</v>
      </c>
      <c r="AD137">
        <f>COUNTIF(Inquiries[Dup Key],Inquiries[[#This Row],[Dup Key]])</f>
        <v>1</v>
      </c>
      <c r="AE137">
        <f>IF(Inquiries[[#This Row],[First_Response_Date__c]]="","",Inquiries[[#This Row],[First_Response_Date__c]]-Inquiries[[#This Row],[Inquiry_Date__c]])</f>
        <v>1</v>
      </c>
      <c r="AF137" s="6" t="str">
        <f>TEXT(Inquiries[[#This Row],[Inquiry_Date__c]], "yyyy-mm")</f>
        <v>2026-02</v>
      </c>
      <c r="AG137" s="6" t="str">
        <f>_xlfn.XLOOKUP(Inquiries[[#This Row],[Requested_Location__c]], Locations[Location Id], Locations[Location Name])</f>
        <v>Red Bank</v>
      </c>
    </row>
    <row r="138" spans="1:33">
      <c r="B138" t="s">
        <v>52</v>
      </c>
      <c r="C138" t="s">
        <v>6093</v>
      </c>
      <c r="D138" t="s">
        <v>6094</v>
      </c>
      <c r="E138" t="s">
        <v>5420</v>
      </c>
      <c r="F138" s="1">
        <v>46099</v>
      </c>
      <c r="G138" t="s">
        <v>6095</v>
      </c>
      <c r="H138" t="s">
        <v>6096</v>
      </c>
      <c r="I138" s="1">
        <v>46090</v>
      </c>
      <c r="J138" t="s">
        <v>6097</v>
      </c>
      <c r="K138" t="s">
        <v>650</v>
      </c>
      <c r="L138" t="b">
        <v>0</v>
      </c>
      <c r="N138" t="s">
        <v>52</v>
      </c>
      <c r="O138" t="s">
        <v>5327</v>
      </c>
      <c r="R138" t="s">
        <v>5083</v>
      </c>
      <c r="S138" t="s">
        <v>5340</v>
      </c>
      <c r="T138" t="s">
        <v>6095</v>
      </c>
      <c r="V138" t="s">
        <v>52</v>
      </c>
      <c r="W138" t="s">
        <v>6098</v>
      </c>
      <c r="X138" t="s">
        <v>150</v>
      </c>
      <c r="Y138" t="s">
        <v>5360</v>
      </c>
      <c r="Z138">
        <v>14</v>
      </c>
      <c r="AA138" t="s">
        <v>5327</v>
      </c>
      <c r="AC138" t="str">
        <f>Inquiries[[#This Row],[Name]]&amp;"|"&amp;LOWER(TRIM(Inquiries[[#This Row],[Email__c]]))</f>
        <v>Jonah Lewis|jlewis@yahoo.com</v>
      </c>
      <c r="AD138">
        <f>COUNTIF(Inquiries[Dup Key],Inquiries[[#This Row],[Dup Key]])</f>
        <v>1</v>
      </c>
      <c r="AE138">
        <f>IF(Inquiries[[#This Row],[First_Response_Date__c]]="","",Inquiries[[#This Row],[First_Response_Date__c]]-Inquiries[[#This Row],[Inquiry_Date__c]])</f>
        <v>9</v>
      </c>
      <c r="AF138" s="6" t="str">
        <f>TEXT(Inquiries[[#This Row],[Inquiry_Date__c]], "yyyy-mm")</f>
        <v>2026-03</v>
      </c>
      <c r="AG138" s="6" t="str">
        <f>_xlfn.XLOOKUP(Inquiries[[#This Row],[Requested_Location__c]], Locations[Location Id], Locations[Location Name])</f>
        <v>Toms River</v>
      </c>
    </row>
    <row r="139" spans="1:33">
      <c r="B139" t="s">
        <v>52</v>
      </c>
      <c r="C139" t="s">
        <v>6093</v>
      </c>
      <c r="D139" t="s">
        <v>6099</v>
      </c>
      <c r="E139" t="s">
        <v>5240</v>
      </c>
      <c r="F139" s="1">
        <v>46261</v>
      </c>
      <c r="G139" t="s">
        <v>6100</v>
      </c>
      <c r="H139" t="s">
        <v>6101</v>
      </c>
      <c r="I139" s="1">
        <v>46260</v>
      </c>
      <c r="J139" t="s">
        <v>6102</v>
      </c>
      <c r="K139" t="s">
        <v>527</v>
      </c>
      <c r="L139" t="b">
        <v>0</v>
      </c>
      <c r="N139" t="s">
        <v>52</v>
      </c>
      <c r="O139" t="s">
        <v>5327</v>
      </c>
      <c r="R139" t="s">
        <v>5542</v>
      </c>
      <c r="S139" t="s">
        <v>5329</v>
      </c>
      <c r="T139" t="s">
        <v>6100</v>
      </c>
      <c r="V139" t="s">
        <v>52</v>
      </c>
      <c r="W139" t="s">
        <v>6103</v>
      </c>
      <c r="X139" t="s">
        <v>83</v>
      </c>
      <c r="Y139" t="s">
        <v>5343</v>
      </c>
      <c r="Z139">
        <v>28</v>
      </c>
      <c r="AA139" t="s">
        <v>5327</v>
      </c>
      <c r="AC139" t="str">
        <f>Inquiries[[#This Row],[Name]]&amp;"|"&amp;LOWER(TRIM(Inquiries[[#This Row],[Email__c]]))</f>
        <v>Rowan Ahmed|rowanahmed@icloud.com</v>
      </c>
      <c r="AD139">
        <f>COUNTIF(Inquiries[Dup Key],Inquiries[[#This Row],[Dup Key]])</f>
        <v>1</v>
      </c>
      <c r="AE139">
        <f>IF(Inquiries[[#This Row],[First_Response_Date__c]]="","",Inquiries[[#This Row],[First_Response_Date__c]]-Inquiries[[#This Row],[Inquiry_Date__c]])</f>
        <v>1</v>
      </c>
      <c r="AF139" s="6" t="str">
        <f>TEXT(Inquiries[[#This Row],[Inquiry_Date__c]], "yyyy-mm")</f>
        <v>2026-08</v>
      </c>
      <c r="AG139" s="6" t="str">
        <f>_xlfn.XLOOKUP(Inquiries[[#This Row],[Requested_Location__c]], Locations[Location Id], Locations[Location Name])</f>
        <v>Brick</v>
      </c>
    </row>
    <row r="140" spans="1:33">
      <c r="B140" t="s">
        <v>52</v>
      </c>
      <c r="C140" t="s">
        <v>6093</v>
      </c>
      <c r="D140" t="s">
        <v>6104</v>
      </c>
      <c r="E140" t="s">
        <v>5294</v>
      </c>
      <c r="F140" s="1">
        <v>46152</v>
      </c>
      <c r="G140" t="s">
        <v>6105</v>
      </c>
      <c r="H140" t="s">
        <v>6106</v>
      </c>
      <c r="I140" s="1">
        <v>46151</v>
      </c>
      <c r="J140" t="s">
        <v>6107</v>
      </c>
      <c r="K140" t="s">
        <v>203</v>
      </c>
      <c r="L140" t="b">
        <v>0</v>
      </c>
      <c r="N140" t="s">
        <v>52</v>
      </c>
      <c r="O140" t="s">
        <v>5327</v>
      </c>
      <c r="R140" t="s">
        <v>5095</v>
      </c>
      <c r="S140" t="s">
        <v>5329</v>
      </c>
      <c r="T140" t="s">
        <v>6105</v>
      </c>
      <c r="U140" t="s">
        <v>5330</v>
      </c>
      <c r="V140" t="s">
        <v>52</v>
      </c>
      <c r="W140" t="s">
        <v>6108</v>
      </c>
      <c r="X140" t="s">
        <v>63</v>
      </c>
      <c r="Y140" t="s">
        <v>5343</v>
      </c>
      <c r="Z140">
        <v>8</v>
      </c>
      <c r="AA140" t="s">
        <v>5327</v>
      </c>
      <c r="AC140" t="str">
        <f>Inquiries[[#This Row],[Name]]&amp;"|"&amp;LOWER(TRIM(Inquiries[[#This Row],[Email__c]]))</f>
        <v>Jackson Novak|jnovak@gmail.com</v>
      </c>
      <c r="AD140">
        <f>COUNTIF(Inquiries[Dup Key],Inquiries[[#This Row],[Dup Key]])</f>
        <v>1</v>
      </c>
      <c r="AE140">
        <f>IF(Inquiries[[#This Row],[First_Response_Date__c]]="","",Inquiries[[#This Row],[First_Response_Date__c]]-Inquiries[[#This Row],[Inquiry_Date__c]])</f>
        <v>1</v>
      </c>
      <c r="AF140" s="6" t="str">
        <f>TEXT(Inquiries[[#This Row],[Inquiry_Date__c]], "yyyy-mm")</f>
        <v>2026-05</v>
      </c>
      <c r="AG140" s="6" t="str">
        <f>_xlfn.XLOOKUP(Inquiries[[#This Row],[Requested_Location__c]], Locations[Location Id], Locations[Location Name])</f>
        <v>Red Bank</v>
      </c>
    </row>
    <row r="141" spans="1:33">
      <c r="A141" t="s">
        <v>6109</v>
      </c>
      <c r="B141" t="s">
        <v>52</v>
      </c>
      <c r="C141" t="s">
        <v>6110</v>
      </c>
      <c r="D141" t="s">
        <v>6111</v>
      </c>
      <c r="E141" t="s">
        <v>5131</v>
      </c>
      <c r="F141" s="1">
        <v>46296</v>
      </c>
      <c r="G141" t="s">
        <v>6112</v>
      </c>
      <c r="H141" t="s">
        <v>6113</v>
      </c>
      <c r="I141" s="1">
        <v>46296</v>
      </c>
      <c r="K141" t="s">
        <v>237</v>
      </c>
      <c r="L141" t="b">
        <v>0</v>
      </c>
      <c r="M141" s="1">
        <v>46296</v>
      </c>
      <c r="N141" t="s">
        <v>52</v>
      </c>
      <c r="O141" t="s">
        <v>6114</v>
      </c>
      <c r="P141" t="s">
        <v>6115</v>
      </c>
      <c r="Q141" t="s">
        <v>6115</v>
      </c>
      <c r="R141" t="s">
        <v>6116</v>
      </c>
      <c r="S141" t="s">
        <v>5400</v>
      </c>
      <c r="T141" t="s">
        <v>6112</v>
      </c>
      <c r="V141" t="s">
        <v>6117</v>
      </c>
      <c r="W141">
        <v>7897897890</v>
      </c>
      <c r="X141" t="s">
        <v>83</v>
      </c>
      <c r="Y141" t="s">
        <v>5332</v>
      </c>
      <c r="Z141">
        <v>9</v>
      </c>
      <c r="AA141" t="s">
        <v>6114</v>
      </c>
      <c r="AC141" t="str">
        <f>Inquiries[[#This Row],[Name]]&amp;"|"&amp;LOWER(TRIM(Inquiries[[#This Row],[Email__c]]))</f>
        <v>Leo Ortiz|danaortiz@gmail.com</v>
      </c>
      <c r="AD141">
        <f>COUNTIF(Inquiries[Dup Key],Inquiries[[#This Row],[Dup Key]])</f>
        <v>1</v>
      </c>
      <c r="AE141">
        <f>IF(Inquiries[[#This Row],[First_Response_Date__c]]="","",Inquiries[[#This Row],[First_Response_Date__c]]-Inquiries[[#This Row],[Inquiry_Date__c]])</f>
        <v>0</v>
      </c>
      <c r="AF141" s="6" t="str">
        <f>TEXT(Inquiries[[#This Row],[Inquiry_Date__c]], "yyyy-mm")</f>
        <v>2026-10</v>
      </c>
      <c r="AG141" s="6" t="str">
        <f>_xlfn.XLOOKUP(Inquiries[[#This Row],[Requested_Location__c]], Locations[Location Id], Locations[Location Name])</f>
        <v>Brick</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9B6F-BBB4-4CD3-8040-6DA16CF6E9B9}">
  <dimension ref="A1:B16"/>
  <sheetViews>
    <sheetView workbookViewId="0"/>
  </sheetViews>
  <sheetFormatPr defaultRowHeight="15"/>
  <cols>
    <col min="1" max="1" width="25.7109375" bestFit="1" customWidth="1"/>
    <col min="2" max="2" width="24" bestFit="1" customWidth="1"/>
    <col min="3" max="6" width="4.42578125" bestFit="1" customWidth="1"/>
    <col min="7" max="7" width="7.42578125" bestFit="1" customWidth="1"/>
    <col min="8" max="8" width="11.7109375" bestFit="1" customWidth="1"/>
  </cols>
  <sheetData>
    <row r="1" spans="1:2">
      <c r="A1" s="8" t="s">
        <v>42</v>
      </c>
      <c r="B1" t="s">
        <v>5054</v>
      </c>
    </row>
    <row r="3" spans="1:2">
      <c r="A3" s="8" t="s">
        <v>6118</v>
      </c>
      <c r="B3" t="s">
        <v>6119</v>
      </c>
    </row>
    <row r="4" spans="1:2">
      <c r="A4" t="s">
        <v>284</v>
      </c>
      <c r="B4" s="2">
        <v>4080</v>
      </c>
    </row>
    <row r="5" spans="1:2">
      <c r="A5" t="s">
        <v>237</v>
      </c>
      <c r="B5" s="2">
        <v>3160</v>
      </c>
    </row>
    <row r="6" spans="1:2">
      <c r="A6" t="s">
        <v>461</v>
      </c>
      <c r="B6" s="2">
        <v>2940</v>
      </c>
    </row>
    <row r="7" spans="1:2">
      <c r="A7" t="s">
        <v>392</v>
      </c>
      <c r="B7" s="2">
        <v>2900</v>
      </c>
    </row>
    <row r="8" spans="1:2">
      <c r="A8" t="s">
        <v>147</v>
      </c>
      <c r="B8" s="2">
        <v>2600</v>
      </c>
    </row>
    <row r="9" spans="1:2">
      <c r="A9" t="s">
        <v>203</v>
      </c>
      <c r="B9" s="2">
        <v>1960</v>
      </c>
    </row>
    <row r="10" spans="1:2">
      <c r="A10" t="s">
        <v>650</v>
      </c>
      <c r="B10" s="2">
        <v>1960</v>
      </c>
    </row>
    <row r="11" spans="1:2">
      <c r="A11" t="s">
        <v>527</v>
      </c>
      <c r="B11" s="2">
        <v>1900</v>
      </c>
    </row>
    <row r="12" spans="1:2">
      <c r="A12" t="s">
        <v>263</v>
      </c>
      <c r="B12" s="2">
        <v>1840</v>
      </c>
    </row>
    <row r="13" spans="1:2">
      <c r="A13" t="s">
        <v>78</v>
      </c>
      <c r="B13" s="2">
        <v>1820</v>
      </c>
    </row>
    <row r="14" spans="1:2">
      <c r="A14" t="s">
        <v>107</v>
      </c>
      <c r="B14" s="2">
        <v>1640</v>
      </c>
    </row>
    <row r="15" spans="1:2">
      <c r="A15" t="s">
        <v>58</v>
      </c>
      <c r="B15" s="2">
        <v>1260</v>
      </c>
    </row>
    <row r="16" spans="1:2">
      <c r="A16" t="s">
        <v>5011</v>
      </c>
      <c r="B16" s="2">
        <v>28060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83"/>
  <sheetViews>
    <sheetView topLeftCell="J1" workbookViewId="0">
      <selection activeCell="AN2" sqref="AN2"/>
    </sheetView>
  </sheetViews>
  <sheetFormatPr defaultRowHeight="15"/>
  <cols>
    <col min="1" max="1" width="15" bestFit="1" customWidth="1"/>
    <col min="2" max="2" width="14" style="1" bestFit="1" customWidth="1"/>
    <col min="3" max="3" width="23.28515625" bestFit="1" customWidth="1"/>
    <col min="4" max="4" width="21" hidden="1" customWidth="1"/>
    <col min="5" max="5" width="25.140625" hidden="1" customWidth="1"/>
    <col min="6" max="6" width="21.85546875" bestFit="1" customWidth="1"/>
    <col min="7" max="7" width="16.85546875" bestFit="1" customWidth="1"/>
    <col min="8" max="8" width="19.7109375" bestFit="1" customWidth="1"/>
    <col min="9" max="9" width="30.28515625" bestFit="1" customWidth="1"/>
    <col min="10" max="10" width="26.42578125" bestFit="1" customWidth="1"/>
    <col min="11" max="11" width="26.140625" bestFit="1" customWidth="1"/>
    <col min="12" max="12" width="21.7109375" bestFit="1" customWidth="1"/>
    <col min="13" max="13" width="20.85546875" bestFit="1" customWidth="1"/>
    <col min="14" max="14" width="19.28515625" bestFit="1" customWidth="1"/>
    <col min="15" max="15" width="23.140625" bestFit="1" customWidth="1"/>
    <col min="16" max="16" width="11.85546875" bestFit="1" customWidth="1"/>
    <col min="17" max="17" width="18.140625" bestFit="1" customWidth="1"/>
    <col min="18" max="18" width="21" hidden="1" customWidth="1"/>
    <col min="19" max="21" width="25.140625" hidden="1" customWidth="1"/>
    <col min="22" max="22" width="25.42578125" style="1" bestFit="1" customWidth="1"/>
    <col min="23" max="23" width="16.5703125" bestFit="1" customWidth="1"/>
    <col min="24" max="24" width="23.140625" bestFit="1" customWidth="1"/>
    <col min="25" max="25" width="30.85546875" bestFit="1" customWidth="1"/>
    <col min="26" max="26" width="19.42578125" bestFit="1" customWidth="1"/>
    <col min="27" max="27" width="19.7109375" bestFit="1" customWidth="1"/>
    <col min="28" max="28" width="21" bestFit="1" customWidth="1"/>
    <col min="29" max="29" width="27.28515625" bestFit="1" customWidth="1"/>
    <col min="30" max="30" width="19.7109375" bestFit="1" customWidth="1"/>
    <col min="31" max="31" width="24.85546875" bestFit="1" customWidth="1"/>
    <col min="32" max="32" width="15.85546875" bestFit="1" customWidth="1"/>
    <col min="33" max="33" width="12" bestFit="1" customWidth="1"/>
    <col min="34" max="34" width="28.140625" bestFit="1" customWidth="1"/>
    <col min="35" max="35" width="25.140625" bestFit="1" customWidth="1"/>
    <col min="36" max="36" width="20.5703125" bestFit="1" customWidth="1"/>
    <col min="37" max="37" width="25.140625" hidden="1" customWidth="1"/>
    <col min="38" max="38" width="19.42578125" bestFit="1" customWidth="1"/>
    <col min="39" max="39" width="22.140625" bestFit="1" customWidth="1"/>
    <col min="40" max="40" width="12.42578125" style="6" customWidth="1"/>
    <col min="41" max="41" width="13" customWidth="1"/>
  </cols>
  <sheetData>
    <row r="1" spans="1:41">
      <c r="A1" t="s">
        <v>6120</v>
      </c>
      <c r="B1" s="1" t="s">
        <v>6121</v>
      </c>
      <c r="C1" t="s">
        <v>6122</v>
      </c>
      <c r="D1" t="s">
        <v>20</v>
      </c>
      <c r="E1" t="s">
        <v>21</v>
      </c>
      <c r="F1" t="s">
        <v>6123</v>
      </c>
      <c r="G1" t="s">
        <v>5029</v>
      </c>
      <c r="H1" t="s">
        <v>5030</v>
      </c>
      <c r="I1" t="s">
        <v>6124</v>
      </c>
      <c r="J1" t="s">
        <v>6125</v>
      </c>
      <c r="K1" t="s">
        <v>6126</v>
      </c>
      <c r="L1" t="s">
        <v>6127</v>
      </c>
      <c r="M1" t="s">
        <v>6128</v>
      </c>
      <c r="N1" t="s">
        <v>6129</v>
      </c>
      <c r="O1" t="s">
        <v>23</v>
      </c>
      <c r="P1" t="s">
        <v>28</v>
      </c>
      <c r="Q1" t="s">
        <v>29</v>
      </c>
      <c r="R1" t="s">
        <v>30</v>
      </c>
      <c r="S1" t="s">
        <v>31</v>
      </c>
      <c r="T1" t="s">
        <v>32</v>
      </c>
      <c r="U1" t="s">
        <v>33</v>
      </c>
      <c r="V1" s="1" t="s">
        <v>6130</v>
      </c>
      <c r="W1" t="s">
        <v>5034</v>
      </c>
      <c r="X1" t="s">
        <v>6131</v>
      </c>
      <c r="Y1" t="s">
        <v>6132</v>
      </c>
      <c r="Z1" s="2" t="s">
        <v>6133</v>
      </c>
      <c r="AA1" t="s">
        <v>40</v>
      </c>
      <c r="AB1" t="s">
        <v>5037</v>
      </c>
      <c r="AC1" t="s">
        <v>6134</v>
      </c>
      <c r="AD1" t="s">
        <v>6135</v>
      </c>
      <c r="AE1" t="s">
        <v>6118</v>
      </c>
      <c r="AF1" t="s">
        <v>6136</v>
      </c>
      <c r="AG1" t="s">
        <v>42</v>
      </c>
      <c r="AH1" t="s">
        <v>6137</v>
      </c>
      <c r="AI1" t="s">
        <v>43</v>
      </c>
      <c r="AJ1" t="s">
        <v>6138</v>
      </c>
      <c r="AK1" t="s">
        <v>45</v>
      </c>
      <c r="AL1" t="s">
        <v>6139</v>
      </c>
      <c r="AM1" t="s">
        <v>6140</v>
      </c>
      <c r="AN1" s="6" t="s">
        <v>5316</v>
      </c>
      <c r="AO1" t="s">
        <v>5317</v>
      </c>
    </row>
    <row r="2" spans="1:41">
      <c r="A2">
        <v>16</v>
      </c>
      <c r="B2" s="1">
        <v>40400</v>
      </c>
      <c r="C2">
        <v>0</v>
      </c>
      <c r="D2" t="s">
        <v>52</v>
      </c>
      <c r="E2" t="s">
        <v>6141</v>
      </c>
      <c r="F2" s="1">
        <v>46226</v>
      </c>
      <c r="G2" t="s">
        <v>6142</v>
      </c>
      <c r="H2" t="s">
        <v>67</v>
      </c>
      <c r="I2" t="s">
        <v>6143</v>
      </c>
      <c r="J2" t="s">
        <v>5979</v>
      </c>
      <c r="K2" t="s">
        <v>6144</v>
      </c>
      <c r="L2" t="s">
        <v>6145</v>
      </c>
      <c r="M2" t="s">
        <v>63</v>
      </c>
      <c r="N2" t="s">
        <v>5018</v>
      </c>
      <c r="O2" t="s">
        <v>66</v>
      </c>
      <c r="P2" t="b">
        <v>0</v>
      </c>
      <c r="R2" t="s">
        <v>52</v>
      </c>
      <c r="S2" t="s">
        <v>6146</v>
      </c>
      <c r="T2" t="s">
        <v>6147</v>
      </c>
      <c r="U2" t="s">
        <v>6147</v>
      </c>
      <c r="W2" t="s">
        <v>6144</v>
      </c>
      <c r="X2" t="s">
        <v>6148</v>
      </c>
      <c r="Y2" t="s">
        <v>6149</v>
      </c>
      <c r="Z2" s="2">
        <v>220</v>
      </c>
      <c r="AA2" t="s">
        <v>67</v>
      </c>
      <c r="AB2" t="s">
        <v>52</v>
      </c>
      <c r="AC2" t="b">
        <v>0</v>
      </c>
      <c r="AD2" t="s">
        <v>6150</v>
      </c>
      <c r="AE2" t="s">
        <v>58</v>
      </c>
      <c r="AF2" t="s">
        <v>6151</v>
      </c>
      <c r="AG2" t="s">
        <v>6152</v>
      </c>
      <c r="AI2" t="s">
        <v>6153</v>
      </c>
      <c r="AK2" t="s">
        <v>6154</v>
      </c>
      <c r="AL2">
        <v>1</v>
      </c>
      <c r="AN2" s="6" t="str">
        <f>Students[[#This Row],[Name]]&amp;"|"&amp;LOWER(TRIM(Students[[#This Row],[Guardian_Email__c]]))</f>
        <v>Aurora White|awhite@outlook.com</v>
      </c>
      <c r="AO2">
        <f>COUNTIF(Students[Dup Key],Students[[#This Row],[Dup Key]])</f>
        <v>1</v>
      </c>
    </row>
    <row r="3" spans="1:41">
      <c r="A3">
        <v>38</v>
      </c>
      <c r="B3" s="1">
        <v>32094</v>
      </c>
      <c r="C3">
        <v>0</v>
      </c>
      <c r="D3" t="s">
        <v>52</v>
      </c>
      <c r="E3" t="s">
        <v>6141</v>
      </c>
      <c r="F3" s="1">
        <v>45324</v>
      </c>
      <c r="G3" t="s">
        <v>6155</v>
      </c>
      <c r="H3" t="s">
        <v>87</v>
      </c>
      <c r="M3" t="s">
        <v>83</v>
      </c>
      <c r="N3" t="s">
        <v>5016</v>
      </c>
      <c r="O3" t="s">
        <v>86</v>
      </c>
      <c r="P3" t="b">
        <v>0</v>
      </c>
      <c r="R3" t="s">
        <v>52</v>
      </c>
      <c r="S3" t="s">
        <v>6146</v>
      </c>
      <c r="T3" t="s">
        <v>6156</v>
      </c>
      <c r="U3" t="s">
        <v>6156</v>
      </c>
      <c r="W3" t="s">
        <v>5206</v>
      </c>
      <c r="X3" t="s">
        <v>6148</v>
      </c>
      <c r="Z3" s="2">
        <v>220</v>
      </c>
      <c r="AA3" t="s">
        <v>87</v>
      </c>
      <c r="AB3" t="s">
        <v>52</v>
      </c>
      <c r="AC3" t="b">
        <v>0</v>
      </c>
      <c r="AD3" t="s">
        <v>6150</v>
      </c>
      <c r="AE3" t="s">
        <v>78</v>
      </c>
      <c r="AF3" t="s">
        <v>6157</v>
      </c>
      <c r="AG3" t="s">
        <v>6152</v>
      </c>
      <c r="AH3" t="s">
        <v>6158</v>
      </c>
      <c r="AI3" t="s">
        <v>6159</v>
      </c>
      <c r="AJ3" t="s">
        <v>6160</v>
      </c>
      <c r="AK3" t="s">
        <v>6154</v>
      </c>
      <c r="AL3">
        <v>1</v>
      </c>
      <c r="AN3" s="6" t="s">
        <v>6161</v>
      </c>
      <c r="AO3">
        <f>COUNTIF(Students[Dup Key],Students[[#This Row],[Dup Key]])</f>
        <v>1</v>
      </c>
    </row>
    <row r="4" spans="1:41">
      <c r="A4">
        <v>11</v>
      </c>
      <c r="B4" s="1">
        <v>42276</v>
      </c>
      <c r="C4">
        <v>3</v>
      </c>
      <c r="D4" t="s">
        <v>52</v>
      </c>
      <c r="E4" t="s">
        <v>6141</v>
      </c>
      <c r="F4" s="1">
        <v>45095</v>
      </c>
      <c r="G4" t="s">
        <v>6162</v>
      </c>
      <c r="H4" t="s">
        <v>112</v>
      </c>
      <c r="I4" t="s">
        <v>6163</v>
      </c>
      <c r="J4" t="s">
        <v>5345</v>
      </c>
      <c r="K4" t="s">
        <v>5349</v>
      </c>
      <c r="L4" t="s">
        <v>6164</v>
      </c>
      <c r="M4" t="s">
        <v>63</v>
      </c>
      <c r="N4" t="s">
        <v>5018</v>
      </c>
      <c r="O4" t="s">
        <v>111</v>
      </c>
      <c r="P4" t="b">
        <v>0</v>
      </c>
      <c r="R4" t="s">
        <v>52</v>
      </c>
      <c r="S4" t="s">
        <v>6146</v>
      </c>
      <c r="T4" t="s">
        <v>6165</v>
      </c>
      <c r="U4" t="s">
        <v>6165</v>
      </c>
      <c r="V4" s="1">
        <v>46258</v>
      </c>
      <c r="W4" t="s">
        <v>5349</v>
      </c>
      <c r="X4" t="s">
        <v>6148</v>
      </c>
      <c r="Z4" s="2">
        <v>200</v>
      </c>
      <c r="AA4" t="s">
        <v>112</v>
      </c>
      <c r="AB4" t="s">
        <v>52</v>
      </c>
      <c r="AC4" t="b">
        <v>0</v>
      </c>
      <c r="AD4" t="s">
        <v>6166</v>
      </c>
      <c r="AE4" t="s">
        <v>107</v>
      </c>
      <c r="AF4" t="s">
        <v>6151</v>
      </c>
      <c r="AG4" t="s">
        <v>5054</v>
      </c>
      <c r="AI4" t="s">
        <v>6167</v>
      </c>
      <c r="AK4" t="s">
        <v>6154</v>
      </c>
      <c r="AL4">
        <v>1</v>
      </c>
      <c r="AN4" s="6" t="str">
        <f>Students[[#This Row],[Name]]&amp;"|"&amp;LOWER(TRIM(Students[[#This Row],[Guardian_Email__c]]))</f>
        <v>Delilah Adams|cadams@yahoo.com</v>
      </c>
      <c r="AO4">
        <f>COUNTIF(Students[Dup Key],Students[[#This Row],[Dup Key]])</f>
        <v>1</v>
      </c>
    </row>
    <row r="5" spans="1:41">
      <c r="A5">
        <v>38</v>
      </c>
      <c r="B5" s="1">
        <v>32177</v>
      </c>
      <c r="C5">
        <v>2</v>
      </c>
      <c r="D5" t="s">
        <v>52</v>
      </c>
      <c r="E5" t="s">
        <v>6141</v>
      </c>
      <c r="F5" s="1">
        <v>45727</v>
      </c>
      <c r="G5" t="s">
        <v>5199</v>
      </c>
      <c r="H5" t="s">
        <v>152</v>
      </c>
      <c r="M5" t="s">
        <v>150</v>
      </c>
      <c r="N5" t="s">
        <v>5014</v>
      </c>
      <c r="O5" t="s">
        <v>151</v>
      </c>
      <c r="P5" t="b">
        <v>0</v>
      </c>
      <c r="R5" t="s">
        <v>52</v>
      </c>
      <c r="S5" t="s">
        <v>6146</v>
      </c>
      <c r="T5" t="s">
        <v>6168</v>
      </c>
      <c r="U5" t="s">
        <v>6168</v>
      </c>
      <c r="V5" s="1">
        <v>46089</v>
      </c>
      <c r="W5" t="s">
        <v>5294</v>
      </c>
      <c r="X5" t="s">
        <v>6148</v>
      </c>
      <c r="Z5" s="2">
        <v>220</v>
      </c>
      <c r="AA5" t="s">
        <v>152</v>
      </c>
      <c r="AB5" t="s">
        <v>52</v>
      </c>
      <c r="AC5" t="b">
        <v>0</v>
      </c>
      <c r="AD5" t="s">
        <v>6169</v>
      </c>
      <c r="AE5" t="s">
        <v>147</v>
      </c>
      <c r="AF5" t="s">
        <v>6157</v>
      </c>
      <c r="AG5" t="s">
        <v>5054</v>
      </c>
      <c r="AH5" t="s">
        <v>6170</v>
      </c>
      <c r="AI5" t="s">
        <v>6171</v>
      </c>
      <c r="AJ5" t="s">
        <v>6172</v>
      </c>
      <c r="AK5" t="s">
        <v>6154</v>
      </c>
      <c r="AL5">
        <v>1</v>
      </c>
      <c r="AN5" s="6" t="str">
        <f>Students[[#This Row],[Name]]&amp;"|"&amp;LOWER(TRIM(Students[[#This Row],[Guardian_Email__c]]))</f>
        <v>Logan Jackson|</v>
      </c>
      <c r="AO5">
        <f>COUNTIF(Students[Dup Key],Students[[#This Row],[Dup Key]])</f>
        <v>1</v>
      </c>
    </row>
    <row r="6" spans="1:41">
      <c r="A6">
        <v>31</v>
      </c>
      <c r="B6" s="1">
        <v>34719</v>
      </c>
      <c r="C6">
        <v>0</v>
      </c>
      <c r="D6" t="s">
        <v>52</v>
      </c>
      <c r="E6" t="s">
        <v>6141</v>
      </c>
      <c r="F6" s="1">
        <v>46072</v>
      </c>
      <c r="G6" t="s">
        <v>5842</v>
      </c>
      <c r="H6" t="s">
        <v>184</v>
      </c>
      <c r="M6" t="s">
        <v>83</v>
      </c>
      <c r="N6" t="s">
        <v>5016</v>
      </c>
      <c r="O6" t="s">
        <v>183</v>
      </c>
      <c r="P6" t="b">
        <v>0</v>
      </c>
      <c r="R6" t="s">
        <v>52</v>
      </c>
      <c r="S6" t="s">
        <v>6146</v>
      </c>
      <c r="T6" t="s">
        <v>6173</v>
      </c>
      <c r="U6" t="s">
        <v>6173</v>
      </c>
      <c r="W6" t="s">
        <v>5366</v>
      </c>
      <c r="X6" t="s">
        <v>6148</v>
      </c>
      <c r="Z6" s="2">
        <v>180</v>
      </c>
      <c r="AA6" t="s">
        <v>184</v>
      </c>
      <c r="AB6" t="s">
        <v>52</v>
      </c>
      <c r="AC6" t="b">
        <v>0</v>
      </c>
      <c r="AD6" t="s">
        <v>6174</v>
      </c>
      <c r="AE6" t="s">
        <v>78</v>
      </c>
      <c r="AF6" t="s">
        <v>6157</v>
      </c>
      <c r="AG6" t="s">
        <v>5054</v>
      </c>
      <c r="AH6" t="s">
        <v>6175</v>
      </c>
      <c r="AI6" t="s">
        <v>6176</v>
      </c>
      <c r="AJ6" t="s">
        <v>6177</v>
      </c>
      <c r="AK6" t="s">
        <v>6154</v>
      </c>
      <c r="AL6">
        <v>1</v>
      </c>
      <c r="AN6" s="6" t="str">
        <f>Students[[#This Row],[Name]]&amp;"|"&amp;LOWER(TRIM(Students[[#This Row],[Guardian_Email__c]]))</f>
        <v>Mei Thompson|</v>
      </c>
      <c r="AO6">
        <f>COUNTIF(Students[Dup Key],Students[[#This Row],[Dup Key]])</f>
        <v>1</v>
      </c>
    </row>
    <row r="7" spans="1:41">
      <c r="A7">
        <v>14</v>
      </c>
      <c r="B7" s="1">
        <v>40917</v>
      </c>
      <c r="C7">
        <v>1</v>
      </c>
      <c r="D7" t="s">
        <v>52</v>
      </c>
      <c r="E7" t="s">
        <v>6141</v>
      </c>
      <c r="F7" s="1">
        <v>45757</v>
      </c>
      <c r="G7" t="s">
        <v>5943</v>
      </c>
      <c r="H7" t="s">
        <v>207</v>
      </c>
      <c r="I7" t="s">
        <v>6178</v>
      </c>
      <c r="J7" t="s">
        <v>5225</v>
      </c>
      <c r="K7" t="s">
        <v>5072</v>
      </c>
      <c r="L7" t="s">
        <v>6179</v>
      </c>
      <c r="M7" t="s">
        <v>150</v>
      </c>
      <c r="N7" t="s">
        <v>5014</v>
      </c>
      <c r="O7" t="s">
        <v>206</v>
      </c>
      <c r="P7" t="b">
        <v>0</v>
      </c>
      <c r="R7" t="s">
        <v>52</v>
      </c>
      <c r="S7" t="s">
        <v>6146</v>
      </c>
      <c r="T7" t="s">
        <v>6173</v>
      </c>
      <c r="U7" t="s">
        <v>6173</v>
      </c>
      <c r="V7" s="1">
        <v>46157</v>
      </c>
      <c r="W7" t="s">
        <v>5072</v>
      </c>
      <c r="X7" t="s">
        <v>6148</v>
      </c>
      <c r="Y7" t="s">
        <v>6180</v>
      </c>
      <c r="Z7" s="2">
        <v>200</v>
      </c>
      <c r="AA7" t="s">
        <v>207</v>
      </c>
      <c r="AB7" t="s">
        <v>52</v>
      </c>
      <c r="AC7" t="b">
        <v>0</v>
      </c>
      <c r="AD7" t="s">
        <v>6166</v>
      </c>
      <c r="AE7" t="s">
        <v>203</v>
      </c>
      <c r="AF7" t="s">
        <v>6151</v>
      </c>
      <c r="AG7" t="s">
        <v>5054</v>
      </c>
      <c r="AI7" t="s">
        <v>6181</v>
      </c>
      <c r="AK7" t="s">
        <v>6154</v>
      </c>
      <c r="AL7">
        <v>1</v>
      </c>
      <c r="AN7" s="6" t="str">
        <f>Students[[#This Row],[Name]]&amp;"|"&amp;LOWER(TRIM(Students[[#This Row],[Guardian_Email__c]]))</f>
        <v>Kennedy Sullivan|lsullivan@gmail.com</v>
      </c>
      <c r="AO7">
        <f>COUNTIF(Students[Dup Key],Students[[#This Row],[Dup Key]])</f>
        <v>1</v>
      </c>
    </row>
    <row r="8" spans="1:41">
      <c r="A8">
        <v>9</v>
      </c>
      <c r="B8" s="1">
        <v>42701</v>
      </c>
      <c r="C8">
        <v>0</v>
      </c>
      <c r="D8" t="s">
        <v>52</v>
      </c>
      <c r="E8" t="s">
        <v>6141</v>
      </c>
      <c r="F8" s="1">
        <v>45837</v>
      </c>
      <c r="G8" t="s">
        <v>5164</v>
      </c>
      <c r="H8" t="s">
        <v>221</v>
      </c>
      <c r="I8" t="s">
        <v>6182</v>
      </c>
      <c r="J8" t="s">
        <v>5187</v>
      </c>
      <c r="K8" t="s">
        <v>5243</v>
      </c>
      <c r="L8" t="s">
        <v>6183</v>
      </c>
      <c r="M8" t="s">
        <v>83</v>
      </c>
      <c r="N8" t="s">
        <v>5016</v>
      </c>
      <c r="O8" t="s">
        <v>220</v>
      </c>
      <c r="P8" t="b">
        <v>0</v>
      </c>
      <c r="R8" t="s">
        <v>52</v>
      </c>
      <c r="S8" t="s">
        <v>6146</v>
      </c>
      <c r="T8" t="s">
        <v>6184</v>
      </c>
      <c r="U8" t="s">
        <v>6184</v>
      </c>
      <c r="W8" t="s">
        <v>5243</v>
      </c>
      <c r="X8" t="s">
        <v>6148</v>
      </c>
      <c r="Z8" s="2">
        <v>180</v>
      </c>
      <c r="AA8" t="s">
        <v>221</v>
      </c>
      <c r="AB8" t="s">
        <v>52</v>
      </c>
      <c r="AC8" t="b">
        <v>0</v>
      </c>
      <c r="AD8" t="s">
        <v>6169</v>
      </c>
      <c r="AE8" t="s">
        <v>78</v>
      </c>
      <c r="AF8" t="s">
        <v>6151</v>
      </c>
      <c r="AG8" t="s">
        <v>5054</v>
      </c>
      <c r="AI8" t="s">
        <v>6185</v>
      </c>
      <c r="AK8" t="s">
        <v>6154</v>
      </c>
      <c r="AL8">
        <v>1</v>
      </c>
      <c r="AN8" s="6" t="str">
        <f>Students[[#This Row],[Name]]&amp;"|"&amp;LOWER(TRIM(Students[[#This Row],[Guardian_Email__c]]))</f>
        <v>Vincent Jones|sebastianjones@outlook.com</v>
      </c>
      <c r="AO8">
        <f>COUNTIF(Students[Dup Key],Students[[#This Row],[Dup Key]])</f>
        <v>1</v>
      </c>
    </row>
    <row r="9" spans="1:41">
      <c r="A9">
        <v>9</v>
      </c>
      <c r="B9" s="1">
        <v>42682</v>
      </c>
      <c r="C9">
        <v>2</v>
      </c>
      <c r="D9" t="s">
        <v>52</v>
      </c>
      <c r="E9" t="s">
        <v>6141</v>
      </c>
      <c r="F9" s="1">
        <v>45903</v>
      </c>
      <c r="G9" t="s">
        <v>5063</v>
      </c>
      <c r="H9" t="s">
        <v>241</v>
      </c>
      <c r="I9" t="s">
        <v>6186</v>
      </c>
      <c r="J9" t="s">
        <v>5836</v>
      </c>
      <c r="K9" t="s">
        <v>6187</v>
      </c>
      <c r="L9" t="s">
        <v>6188</v>
      </c>
      <c r="M9" t="s">
        <v>83</v>
      </c>
      <c r="N9" t="s">
        <v>5016</v>
      </c>
      <c r="O9" t="s">
        <v>240</v>
      </c>
      <c r="P9" t="b">
        <v>0</v>
      </c>
      <c r="R9" t="s">
        <v>52</v>
      </c>
      <c r="S9" t="s">
        <v>6146</v>
      </c>
      <c r="T9" t="s">
        <v>6173</v>
      </c>
      <c r="U9" t="s">
        <v>6173</v>
      </c>
      <c r="V9" s="1">
        <v>46164</v>
      </c>
      <c r="W9" t="s">
        <v>6187</v>
      </c>
      <c r="X9" t="s">
        <v>6189</v>
      </c>
      <c r="Z9" s="2">
        <v>180</v>
      </c>
      <c r="AA9" t="s">
        <v>241</v>
      </c>
      <c r="AB9" t="s">
        <v>52</v>
      </c>
      <c r="AC9" t="b">
        <v>0</v>
      </c>
      <c r="AD9" t="s">
        <v>6169</v>
      </c>
      <c r="AE9" t="s">
        <v>237</v>
      </c>
      <c r="AF9" t="s">
        <v>6157</v>
      </c>
      <c r="AG9" t="s">
        <v>5054</v>
      </c>
      <c r="AI9" t="s">
        <v>6190</v>
      </c>
      <c r="AK9" t="s">
        <v>6154</v>
      </c>
      <c r="AL9">
        <v>0.5</v>
      </c>
      <c r="AN9" s="6" t="str">
        <f>Students[[#This Row],[Name]]&amp;"|"&amp;LOWER(TRIM(Students[[#This Row],[Guardian_Email__c]]))</f>
        <v>Noah Wright|ezra.wright@icloud.com</v>
      </c>
      <c r="AO9">
        <f>COUNTIF(Students[Dup Key],Students[[#This Row],[Dup Key]])</f>
        <v>1</v>
      </c>
    </row>
    <row r="10" spans="1:41">
      <c r="C10">
        <v>1</v>
      </c>
      <c r="D10" t="s">
        <v>52</v>
      </c>
      <c r="E10" t="s">
        <v>6141</v>
      </c>
      <c r="F10" s="1">
        <v>45886</v>
      </c>
      <c r="G10" t="s">
        <v>5141</v>
      </c>
      <c r="H10" t="s">
        <v>268</v>
      </c>
      <c r="J10" t="s">
        <v>5420</v>
      </c>
      <c r="K10" t="s">
        <v>5278</v>
      </c>
      <c r="M10" t="s">
        <v>63</v>
      </c>
      <c r="N10" t="s">
        <v>5018</v>
      </c>
      <c r="O10" t="s">
        <v>267</v>
      </c>
      <c r="P10" t="b">
        <v>0</v>
      </c>
      <c r="R10" t="s">
        <v>52</v>
      </c>
      <c r="S10" t="s">
        <v>6191</v>
      </c>
      <c r="T10" t="s">
        <v>6192</v>
      </c>
      <c r="U10" t="s">
        <v>6192</v>
      </c>
      <c r="V10" s="1">
        <v>46216</v>
      </c>
      <c r="W10" t="s">
        <v>5278</v>
      </c>
      <c r="X10" t="s">
        <v>6189</v>
      </c>
      <c r="Z10" s="2">
        <v>160</v>
      </c>
      <c r="AA10" t="s">
        <v>268</v>
      </c>
      <c r="AB10" t="s">
        <v>52</v>
      </c>
      <c r="AC10" t="b">
        <v>0</v>
      </c>
      <c r="AD10" t="s">
        <v>6193</v>
      </c>
      <c r="AE10" t="s">
        <v>263</v>
      </c>
      <c r="AF10" t="s">
        <v>6151</v>
      </c>
      <c r="AG10" t="s">
        <v>5054</v>
      </c>
      <c r="AH10" t="s">
        <v>6194</v>
      </c>
      <c r="AI10" t="s">
        <v>6195</v>
      </c>
      <c r="AK10" t="s">
        <v>6154</v>
      </c>
      <c r="AL10">
        <v>0.5</v>
      </c>
      <c r="AN10" s="6" t="str">
        <f>Students[[#This Row],[Name]]&amp;"|"&amp;LOWER(TRIM(Students[[#This Row],[Guardian_Email__c]]))</f>
        <v>Ryan Harris|</v>
      </c>
      <c r="AO10">
        <f>COUNTIF(Students[Dup Key],Students[[#This Row],[Dup Key]])</f>
        <v>1</v>
      </c>
    </row>
    <row r="11" spans="1:41">
      <c r="A11">
        <v>15</v>
      </c>
      <c r="B11" s="1">
        <v>40717</v>
      </c>
      <c r="C11">
        <v>1</v>
      </c>
      <c r="D11" t="s">
        <v>52</v>
      </c>
      <c r="E11" t="s">
        <v>6141</v>
      </c>
      <c r="F11" s="1">
        <v>45268</v>
      </c>
      <c r="G11" t="s">
        <v>5682</v>
      </c>
      <c r="H11" t="s">
        <v>288</v>
      </c>
      <c r="I11" t="s">
        <v>6196</v>
      </c>
      <c r="J11" t="s">
        <v>6197</v>
      </c>
      <c r="K11" t="s">
        <v>5116</v>
      </c>
      <c r="L11" t="s">
        <v>6198</v>
      </c>
      <c r="M11" t="s">
        <v>83</v>
      </c>
      <c r="N11" t="s">
        <v>5016</v>
      </c>
      <c r="O11" t="s">
        <v>287</v>
      </c>
      <c r="P11" t="b">
        <v>0</v>
      </c>
      <c r="R11" t="s">
        <v>52</v>
      </c>
      <c r="S11" t="s">
        <v>6146</v>
      </c>
      <c r="T11" t="s">
        <v>6173</v>
      </c>
      <c r="U11" t="s">
        <v>6173</v>
      </c>
      <c r="V11" s="1">
        <v>46136</v>
      </c>
      <c r="W11" t="s">
        <v>5116</v>
      </c>
      <c r="X11" t="s">
        <v>6148</v>
      </c>
      <c r="Y11" t="s">
        <v>6199</v>
      </c>
      <c r="Z11" s="2">
        <v>240</v>
      </c>
      <c r="AA11" t="s">
        <v>288</v>
      </c>
      <c r="AB11" t="s">
        <v>52</v>
      </c>
      <c r="AC11" t="b">
        <v>0</v>
      </c>
      <c r="AD11" t="s">
        <v>6166</v>
      </c>
      <c r="AE11" t="s">
        <v>284</v>
      </c>
      <c r="AF11" t="s">
        <v>6200</v>
      </c>
      <c r="AG11" t="s">
        <v>5054</v>
      </c>
      <c r="AI11" t="s">
        <v>6201</v>
      </c>
      <c r="AK11" t="s">
        <v>6154</v>
      </c>
      <c r="AL11">
        <v>1</v>
      </c>
      <c r="AN11" s="6" t="str">
        <f>Students[[#This Row],[Name]]&amp;"|"&amp;LOWER(TRIM(Students[[#This Row],[Guardian_Email__c]]))</f>
        <v>Genesis Lopez|olopez@hotmail.com</v>
      </c>
      <c r="AO11">
        <f>COUNTIF(Students[Dup Key],Students[[#This Row],[Dup Key]])</f>
        <v>1</v>
      </c>
    </row>
    <row r="12" spans="1:41">
      <c r="A12">
        <v>60</v>
      </c>
      <c r="B12" s="1">
        <v>24046</v>
      </c>
      <c r="C12">
        <v>1</v>
      </c>
      <c r="D12" t="s">
        <v>52</v>
      </c>
      <c r="E12" t="s">
        <v>6141</v>
      </c>
      <c r="F12" s="1">
        <v>45628</v>
      </c>
      <c r="G12" t="s">
        <v>5979</v>
      </c>
      <c r="H12" t="s">
        <v>307</v>
      </c>
      <c r="M12" t="s">
        <v>63</v>
      </c>
      <c r="N12" t="s">
        <v>5018</v>
      </c>
      <c r="O12" t="s">
        <v>306</v>
      </c>
      <c r="P12" t="b">
        <v>0</v>
      </c>
      <c r="R12" t="s">
        <v>52</v>
      </c>
      <c r="S12" t="s">
        <v>6146</v>
      </c>
      <c r="T12" t="s">
        <v>6173</v>
      </c>
      <c r="U12" t="s">
        <v>6173</v>
      </c>
      <c r="V12" s="1">
        <v>46274</v>
      </c>
      <c r="W12" t="s">
        <v>5077</v>
      </c>
      <c r="X12" t="s">
        <v>6148</v>
      </c>
      <c r="Z12" s="2">
        <v>160</v>
      </c>
      <c r="AA12" t="s">
        <v>307</v>
      </c>
      <c r="AB12" t="s">
        <v>52</v>
      </c>
      <c r="AC12" t="b">
        <v>0</v>
      </c>
      <c r="AD12" t="s">
        <v>6193</v>
      </c>
      <c r="AE12" t="s">
        <v>58</v>
      </c>
      <c r="AF12" t="s">
        <v>6157</v>
      </c>
      <c r="AG12" t="s">
        <v>5054</v>
      </c>
      <c r="AH12" t="s">
        <v>5369</v>
      </c>
      <c r="AI12" t="s">
        <v>6202</v>
      </c>
      <c r="AJ12" t="s">
        <v>6203</v>
      </c>
      <c r="AK12" t="s">
        <v>6154</v>
      </c>
      <c r="AL12">
        <v>1</v>
      </c>
      <c r="AN12" s="6" t="str">
        <f>Students[[#This Row],[Name]]&amp;"|"&amp;LOWER(TRIM(Students[[#This Row],[Guardian_Email__c]]))</f>
        <v>Josiah Torres|</v>
      </c>
      <c r="AO12">
        <f>COUNTIF(Students[Dup Key],Students[[#This Row],[Dup Key]])</f>
        <v>1</v>
      </c>
    </row>
    <row r="13" spans="1:41">
      <c r="A13">
        <v>13</v>
      </c>
      <c r="B13" s="1">
        <v>41471</v>
      </c>
      <c r="C13">
        <v>1</v>
      </c>
      <c r="D13" t="s">
        <v>52</v>
      </c>
      <c r="E13" t="s">
        <v>6141</v>
      </c>
      <c r="F13" s="1">
        <v>46235</v>
      </c>
      <c r="G13" t="s">
        <v>5275</v>
      </c>
      <c r="H13" t="s">
        <v>326</v>
      </c>
      <c r="I13" t="s">
        <v>6204</v>
      </c>
      <c r="J13" t="s">
        <v>5800</v>
      </c>
      <c r="K13" t="s">
        <v>5072</v>
      </c>
      <c r="L13" t="s">
        <v>6205</v>
      </c>
      <c r="M13" t="s">
        <v>150</v>
      </c>
      <c r="N13" t="s">
        <v>5014</v>
      </c>
      <c r="O13" t="s">
        <v>325</v>
      </c>
      <c r="P13" t="b">
        <v>0</v>
      </c>
      <c r="R13" t="s">
        <v>52</v>
      </c>
      <c r="S13" t="s">
        <v>6146</v>
      </c>
      <c r="T13" t="s">
        <v>6173</v>
      </c>
      <c r="U13" t="s">
        <v>6173</v>
      </c>
      <c r="V13" s="1">
        <v>46261</v>
      </c>
      <c r="W13" t="s">
        <v>5072</v>
      </c>
      <c r="X13" t="s">
        <v>6189</v>
      </c>
      <c r="Y13" t="s">
        <v>6206</v>
      </c>
      <c r="Z13" s="2">
        <v>160</v>
      </c>
      <c r="AA13" t="s">
        <v>326</v>
      </c>
      <c r="AB13" t="s">
        <v>52</v>
      </c>
      <c r="AC13" t="b">
        <v>0</v>
      </c>
      <c r="AD13" t="s">
        <v>6174</v>
      </c>
      <c r="AE13" t="s">
        <v>237</v>
      </c>
      <c r="AF13" t="s">
        <v>6157</v>
      </c>
      <c r="AG13" t="s">
        <v>5054</v>
      </c>
      <c r="AI13" t="s">
        <v>6207</v>
      </c>
      <c r="AK13" t="s">
        <v>6154</v>
      </c>
      <c r="AL13">
        <v>0.5</v>
      </c>
      <c r="AN13" s="6" t="str">
        <f>Students[[#This Row],[Name]]&amp;"|"&amp;LOWER(TRIM(Students[[#This Row],[Guardian_Email__c]]))</f>
        <v>Sofia Sullivan|asullivan@icloud.com</v>
      </c>
      <c r="AO13">
        <f>COUNTIF(Students[Dup Key],Students[[#This Row],[Dup Key]])</f>
        <v>1</v>
      </c>
    </row>
    <row r="14" spans="1:41">
      <c r="A14">
        <v>10</v>
      </c>
      <c r="B14" s="1">
        <v>42480</v>
      </c>
      <c r="C14">
        <v>1</v>
      </c>
      <c r="D14" t="s">
        <v>52</v>
      </c>
      <c r="E14" t="s">
        <v>6141</v>
      </c>
      <c r="F14" s="1">
        <v>45492</v>
      </c>
      <c r="G14" t="s">
        <v>5452</v>
      </c>
      <c r="H14" t="s">
        <v>342</v>
      </c>
      <c r="I14" t="s">
        <v>6208</v>
      </c>
      <c r="J14" t="s">
        <v>5866</v>
      </c>
      <c r="K14" t="s">
        <v>5542</v>
      </c>
      <c r="L14" t="s">
        <v>6209</v>
      </c>
      <c r="M14" t="s">
        <v>150</v>
      </c>
      <c r="N14" t="s">
        <v>5014</v>
      </c>
      <c r="O14" t="s">
        <v>341</v>
      </c>
      <c r="P14" t="b">
        <v>0</v>
      </c>
      <c r="R14" t="s">
        <v>52</v>
      </c>
      <c r="S14" t="s">
        <v>6146</v>
      </c>
      <c r="T14" t="s">
        <v>6173</v>
      </c>
      <c r="U14" t="s">
        <v>6173</v>
      </c>
      <c r="V14" s="1">
        <v>46266</v>
      </c>
      <c r="W14" t="s">
        <v>5542</v>
      </c>
      <c r="X14" t="s">
        <v>6189</v>
      </c>
      <c r="Z14" s="2">
        <v>200</v>
      </c>
      <c r="AA14" t="s">
        <v>342</v>
      </c>
      <c r="AB14" t="s">
        <v>52</v>
      </c>
      <c r="AC14" t="b">
        <v>0</v>
      </c>
      <c r="AD14" t="s">
        <v>6174</v>
      </c>
      <c r="AE14" t="s">
        <v>284</v>
      </c>
      <c r="AF14" t="s">
        <v>6157</v>
      </c>
      <c r="AG14" t="s">
        <v>5054</v>
      </c>
      <c r="AI14" t="s">
        <v>6210</v>
      </c>
      <c r="AK14" t="s">
        <v>6154</v>
      </c>
      <c r="AL14">
        <v>0.5</v>
      </c>
      <c r="AN14" s="6" t="str">
        <f>Students[[#This Row],[Name]]&amp;"|"&amp;LOWER(TRIM(Students[[#This Row],[Guardian_Email__c]]))</f>
        <v>Nathan Ahmed|yahmed@outlook.com</v>
      </c>
      <c r="AO14">
        <f>COUNTIF(Students[Dup Key],Students[[#This Row],[Dup Key]])</f>
        <v>2</v>
      </c>
    </row>
    <row r="15" spans="1:41">
      <c r="A15">
        <v>9</v>
      </c>
      <c r="B15" s="1">
        <v>43011</v>
      </c>
      <c r="C15">
        <v>0</v>
      </c>
      <c r="D15" t="s">
        <v>52</v>
      </c>
      <c r="E15" t="s">
        <v>6141</v>
      </c>
      <c r="F15" s="1">
        <v>45168</v>
      </c>
      <c r="G15" t="s">
        <v>5240</v>
      </c>
      <c r="H15" t="s">
        <v>364</v>
      </c>
      <c r="I15" t="s">
        <v>6211</v>
      </c>
      <c r="J15" t="s">
        <v>5636</v>
      </c>
      <c r="K15" t="s">
        <v>5285</v>
      </c>
      <c r="L15" t="s">
        <v>6212</v>
      </c>
      <c r="M15" t="s">
        <v>63</v>
      </c>
      <c r="N15" t="s">
        <v>5018</v>
      </c>
      <c r="O15" t="s">
        <v>363</v>
      </c>
      <c r="P15" t="b">
        <v>0</v>
      </c>
      <c r="R15" t="s">
        <v>52</v>
      </c>
      <c r="S15" t="s">
        <v>6146</v>
      </c>
      <c r="T15" t="s">
        <v>6213</v>
      </c>
      <c r="U15" t="s">
        <v>6213</v>
      </c>
      <c r="W15" t="s">
        <v>5285</v>
      </c>
      <c r="X15" t="s">
        <v>6148</v>
      </c>
      <c r="Z15" s="2">
        <v>240</v>
      </c>
      <c r="AA15" t="s">
        <v>364</v>
      </c>
      <c r="AB15" t="s">
        <v>52</v>
      </c>
      <c r="AC15" t="b">
        <v>0</v>
      </c>
      <c r="AD15" t="s">
        <v>6169</v>
      </c>
      <c r="AE15" t="s">
        <v>78</v>
      </c>
      <c r="AF15" t="s">
        <v>6157</v>
      </c>
      <c r="AG15" t="s">
        <v>5054</v>
      </c>
      <c r="AI15" t="s">
        <v>6214</v>
      </c>
      <c r="AK15" t="s">
        <v>6154</v>
      </c>
      <c r="AL15">
        <v>1</v>
      </c>
      <c r="AN15" s="6" t="str">
        <f>Students[[#This Row],[Name]]&amp;"|"&amp;LOWER(TRIM(Students[[#This Row],[Guardian_Email__c]]))</f>
        <v>Rowan Carter|noahcarter28@gmail.com</v>
      </c>
      <c r="AO15">
        <f>COUNTIF(Students[Dup Key],Students[[#This Row],[Dup Key]])</f>
        <v>1</v>
      </c>
    </row>
    <row r="16" spans="1:41">
      <c r="A16">
        <v>18</v>
      </c>
      <c r="B16" s="1">
        <v>39723</v>
      </c>
      <c r="C16">
        <v>1</v>
      </c>
      <c r="D16" t="s">
        <v>52</v>
      </c>
      <c r="E16" t="s">
        <v>6141</v>
      </c>
      <c r="F16" s="1">
        <v>44679</v>
      </c>
      <c r="G16" t="s">
        <v>5408</v>
      </c>
      <c r="H16" t="s">
        <v>396</v>
      </c>
      <c r="I16" t="s">
        <v>6215</v>
      </c>
      <c r="J16" t="s">
        <v>5294</v>
      </c>
      <c r="K16" t="s">
        <v>5384</v>
      </c>
      <c r="L16" t="s">
        <v>6216</v>
      </c>
      <c r="M16" t="s">
        <v>83</v>
      </c>
      <c r="N16" t="s">
        <v>5016</v>
      </c>
      <c r="O16" t="s">
        <v>395</v>
      </c>
      <c r="P16" t="b">
        <v>0</v>
      </c>
      <c r="R16" t="s">
        <v>6217</v>
      </c>
      <c r="S16" t="s">
        <v>6218</v>
      </c>
      <c r="T16" t="s">
        <v>6173</v>
      </c>
      <c r="U16" t="s">
        <v>6173</v>
      </c>
      <c r="V16" s="1">
        <v>46225</v>
      </c>
      <c r="W16" t="s">
        <v>5384</v>
      </c>
      <c r="X16" t="s">
        <v>6148</v>
      </c>
      <c r="Z16" s="2">
        <v>220</v>
      </c>
      <c r="AA16" t="s">
        <v>396</v>
      </c>
      <c r="AB16" t="s">
        <v>52</v>
      </c>
      <c r="AC16" t="b">
        <v>0</v>
      </c>
      <c r="AD16" t="s">
        <v>6166</v>
      </c>
      <c r="AE16" t="s">
        <v>392</v>
      </c>
      <c r="AF16" t="s">
        <v>6157</v>
      </c>
      <c r="AG16" t="s">
        <v>5054</v>
      </c>
      <c r="AH16" t="s">
        <v>6219</v>
      </c>
      <c r="AI16" t="s">
        <v>6220</v>
      </c>
      <c r="AK16" t="s">
        <v>6218</v>
      </c>
      <c r="AL16">
        <v>1</v>
      </c>
      <c r="AN16" s="6" t="str">
        <f>Students[[#This Row],[Name]]&amp;"|"&amp;LOWER(TRIM(Students[[#This Row],[Guardian_Email__c]]))</f>
        <v>Hazel Walker|mileswalker@gmail.com</v>
      </c>
      <c r="AO16">
        <f>COUNTIF(Students[Dup Key],Students[[#This Row],[Dup Key]])</f>
        <v>1</v>
      </c>
    </row>
    <row r="17" spans="1:41">
      <c r="A17">
        <v>52</v>
      </c>
      <c r="B17" s="1">
        <v>26971</v>
      </c>
      <c r="C17">
        <v>0</v>
      </c>
      <c r="D17" t="s">
        <v>52</v>
      </c>
      <c r="E17" t="s">
        <v>6141</v>
      </c>
      <c r="F17" s="1">
        <v>44901</v>
      </c>
      <c r="G17" t="s">
        <v>5719</v>
      </c>
      <c r="H17" t="s">
        <v>6221</v>
      </c>
      <c r="M17" t="s">
        <v>150</v>
      </c>
      <c r="N17" t="s">
        <v>5014</v>
      </c>
      <c r="O17" t="s">
        <v>6222</v>
      </c>
      <c r="P17" t="b">
        <v>0</v>
      </c>
      <c r="R17" t="s">
        <v>52</v>
      </c>
      <c r="S17" t="s">
        <v>6223</v>
      </c>
      <c r="T17" t="s">
        <v>6173</v>
      </c>
      <c r="U17" t="s">
        <v>6173</v>
      </c>
      <c r="W17" t="s">
        <v>5247</v>
      </c>
      <c r="X17" t="s">
        <v>6148</v>
      </c>
      <c r="Z17" s="2">
        <v>200</v>
      </c>
      <c r="AA17" t="s">
        <v>6221</v>
      </c>
      <c r="AB17" t="s">
        <v>52</v>
      </c>
      <c r="AC17" t="b">
        <v>0</v>
      </c>
      <c r="AD17" t="s">
        <v>6150</v>
      </c>
      <c r="AE17" t="s">
        <v>203</v>
      </c>
      <c r="AF17" t="s">
        <v>6200</v>
      </c>
      <c r="AG17" t="s">
        <v>6224</v>
      </c>
      <c r="AH17" t="s">
        <v>6225</v>
      </c>
      <c r="AI17" t="s">
        <v>6226</v>
      </c>
      <c r="AJ17" t="s">
        <v>6227</v>
      </c>
      <c r="AK17" t="s">
        <v>6154</v>
      </c>
      <c r="AL17">
        <v>1</v>
      </c>
      <c r="AM17" s="1">
        <v>45946</v>
      </c>
      <c r="AN17" s="6" t="str">
        <f>Students[[#This Row],[Name]]&amp;"|"&amp;LOWER(TRIM(Students[[#This Row],[Guardian_Email__c]]))</f>
        <v>Skylar Kelly|</v>
      </c>
      <c r="AO17">
        <f>COUNTIF(Students[Dup Key],Students[[#This Row],[Dup Key]])</f>
        <v>1</v>
      </c>
    </row>
    <row r="18" spans="1:41">
      <c r="A18">
        <v>52</v>
      </c>
      <c r="B18" s="1">
        <v>27035</v>
      </c>
      <c r="C18">
        <v>0</v>
      </c>
      <c r="D18" t="s">
        <v>52</v>
      </c>
      <c r="E18" t="s">
        <v>6141</v>
      </c>
      <c r="F18" s="1">
        <v>46129</v>
      </c>
      <c r="G18" t="s">
        <v>5118</v>
      </c>
      <c r="H18" t="s">
        <v>406</v>
      </c>
      <c r="M18" t="s">
        <v>150</v>
      </c>
      <c r="N18" t="s">
        <v>5014</v>
      </c>
      <c r="O18" t="s">
        <v>405</v>
      </c>
      <c r="P18" t="b">
        <v>0</v>
      </c>
      <c r="R18" t="s">
        <v>52</v>
      </c>
      <c r="S18" t="s">
        <v>6146</v>
      </c>
      <c r="T18" t="s">
        <v>6228</v>
      </c>
      <c r="U18" t="s">
        <v>6228</v>
      </c>
      <c r="W18" t="s">
        <v>5392</v>
      </c>
      <c r="X18" t="s">
        <v>6148</v>
      </c>
      <c r="Z18" s="2">
        <v>240</v>
      </c>
      <c r="AA18" t="s">
        <v>406</v>
      </c>
      <c r="AB18" t="s">
        <v>52</v>
      </c>
      <c r="AC18" t="b">
        <v>0</v>
      </c>
      <c r="AD18" t="s">
        <v>6169</v>
      </c>
      <c r="AE18" t="s">
        <v>263</v>
      </c>
      <c r="AF18" t="s">
        <v>6200</v>
      </c>
      <c r="AG18" t="s">
        <v>5054</v>
      </c>
      <c r="AH18" t="s">
        <v>6229</v>
      </c>
      <c r="AI18" t="s">
        <v>6230</v>
      </c>
      <c r="AJ18" t="s">
        <v>6231</v>
      </c>
      <c r="AK18" t="s">
        <v>6154</v>
      </c>
      <c r="AL18">
        <v>1</v>
      </c>
      <c r="AN18" s="6" t="str">
        <f>Students[[#This Row],[Name]]&amp;"|"&amp;LOWER(TRIM(Students[[#This Row],[Guardian_Email__c]]))</f>
        <v>Aubrey Anderson|</v>
      </c>
      <c r="AO18">
        <f>COUNTIF(Students[Dup Key],Students[[#This Row],[Dup Key]])</f>
        <v>1</v>
      </c>
    </row>
    <row r="19" spans="1:41">
      <c r="A19">
        <v>7</v>
      </c>
      <c r="B19" s="1">
        <v>43479</v>
      </c>
      <c r="C19">
        <v>1</v>
      </c>
      <c r="D19" t="s">
        <v>52</v>
      </c>
      <c r="E19" t="s">
        <v>6141</v>
      </c>
      <c r="F19" s="1">
        <v>45854</v>
      </c>
      <c r="G19" t="s">
        <v>5281</v>
      </c>
      <c r="H19" t="s">
        <v>417</v>
      </c>
      <c r="I19" t="s">
        <v>6232</v>
      </c>
      <c r="J19" t="s">
        <v>6233</v>
      </c>
      <c r="K19" t="s">
        <v>5263</v>
      </c>
      <c r="L19" t="s">
        <v>6234</v>
      </c>
      <c r="M19" t="s">
        <v>150</v>
      </c>
      <c r="N19" t="s">
        <v>5014</v>
      </c>
      <c r="O19" t="s">
        <v>416</v>
      </c>
      <c r="P19" t="b">
        <v>0</v>
      </c>
      <c r="R19" t="s">
        <v>52</v>
      </c>
      <c r="S19" t="s">
        <v>6146</v>
      </c>
      <c r="T19" t="s">
        <v>6173</v>
      </c>
      <c r="U19" t="s">
        <v>6173</v>
      </c>
      <c r="V19" s="1">
        <v>46065</v>
      </c>
      <c r="W19" t="s">
        <v>5263</v>
      </c>
      <c r="X19" t="s">
        <v>6148</v>
      </c>
      <c r="Z19" s="2">
        <v>240</v>
      </c>
      <c r="AA19" t="s">
        <v>417</v>
      </c>
      <c r="AB19" t="s">
        <v>52</v>
      </c>
      <c r="AC19" t="b">
        <v>0</v>
      </c>
      <c r="AD19" t="s">
        <v>6166</v>
      </c>
      <c r="AE19" t="s">
        <v>237</v>
      </c>
      <c r="AF19" t="s">
        <v>6157</v>
      </c>
      <c r="AG19" t="s">
        <v>5054</v>
      </c>
      <c r="AI19" t="s">
        <v>6235</v>
      </c>
      <c r="AK19" t="s">
        <v>6154</v>
      </c>
      <c r="AL19">
        <v>1</v>
      </c>
      <c r="AN19" s="6" t="str">
        <f>Students[[#This Row],[Name]]&amp;"|"&amp;LOWER(TRIM(Students[[#This Row],[Guardian_Email__c]]))</f>
        <v>Priya Ramirez|hudsonramirez@gmail.com</v>
      </c>
      <c r="AO19">
        <f>COUNTIF(Students[Dup Key],Students[[#This Row],[Dup Key]])</f>
        <v>1</v>
      </c>
    </row>
    <row r="20" spans="1:41">
      <c r="A20">
        <v>10</v>
      </c>
      <c r="B20" s="1">
        <v>42522</v>
      </c>
      <c r="C20">
        <v>0</v>
      </c>
      <c r="D20" t="s">
        <v>52</v>
      </c>
      <c r="E20" t="s">
        <v>6141</v>
      </c>
      <c r="F20" s="1">
        <v>46214</v>
      </c>
      <c r="G20" t="s">
        <v>5240</v>
      </c>
      <c r="H20" t="s">
        <v>442</v>
      </c>
      <c r="I20" t="s">
        <v>6236</v>
      </c>
      <c r="J20" t="s">
        <v>6061</v>
      </c>
      <c r="K20" t="s">
        <v>5206</v>
      </c>
      <c r="L20" t="s">
        <v>6237</v>
      </c>
      <c r="M20" t="s">
        <v>63</v>
      </c>
      <c r="N20" t="s">
        <v>5018</v>
      </c>
      <c r="O20" t="s">
        <v>441</v>
      </c>
      <c r="P20" t="b">
        <v>0</v>
      </c>
      <c r="R20" t="s">
        <v>52</v>
      </c>
      <c r="S20" t="s">
        <v>6146</v>
      </c>
      <c r="T20" t="s">
        <v>6173</v>
      </c>
      <c r="U20" t="s">
        <v>6173</v>
      </c>
      <c r="W20" t="s">
        <v>5206</v>
      </c>
      <c r="X20" t="s">
        <v>6148</v>
      </c>
      <c r="Z20" s="2">
        <v>240</v>
      </c>
      <c r="AA20" t="s">
        <v>442</v>
      </c>
      <c r="AB20" t="s">
        <v>52</v>
      </c>
      <c r="AC20" t="b">
        <v>0</v>
      </c>
      <c r="AD20" t="s">
        <v>6193</v>
      </c>
      <c r="AE20" t="s">
        <v>263</v>
      </c>
      <c r="AF20" t="s">
        <v>6157</v>
      </c>
      <c r="AG20" t="s">
        <v>5054</v>
      </c>
      <c r="AI20" t="s">
        <v>6238</v>
      </c>
      <c r="AK20" t="s">
        <v>6154</v>
      </c>
      <c r="AL20">
        <v>1</v>
      </c>
      <c r="AN20" s="6" t="str">
        <f>Students[[#This Row],[Name]]&amp;"|"&amp;LOWER(TRIM(Students[[#This Row],[Guardian_Email__c]]))</f>
        <v>Rowan Wilson|anthonywilson26@icloud.com</v>
      </c>
      <c r="AO20">
        <f>COUNTIF(Students[Dup Key],Students[[#This Row],[Dup Key]])</f>
        <v>1</v>
      </c>
    </row>
    <row r="21" spans="1:41">
      <c r="A21">
        <v>31</v>
      </c>
      <c r="B21" s="1">
        <v>34902</v>
      </c>
      <c r="C21">
        <v>0</v>
      </c>
      <c r="D21" t="s">
        <v>52</v>
      </c>
      <c r="E21" t="s">
        <v>6141</v>
      </c>
      <c r="F21" s="1">
        <v>45034</v>
      </c>
      <c r="G21" t="s">
        <v>5370</v>
      </c>
      <c r="H21" t="s">
        <v>465</v>
      </c>
      <c r="M21" t="s">
        <v>150</v>
      </c>
      <c r="N21" t="s">
        <v>5014</v>
      </c>
      <c r="O21" t="s">
        <v>464</v>
      </c>
      <c r="P21" t="b">
        <v>0</v>
      </c>
      <c r="R21" t="s">
        <v>52</v>
      </c>
      <c r="S21" t="s">
        <v>6146</v>
      </c>
      <c r="T21" t="s">
        <v>6173</v>
      </c>
      <c r="U21" t="s">
        <v>6173</v>
      </c>
      <c r="W21" t="s">
        <v>5268</v>
      </c>
      <c r="X21" t="s">
        <v>6148</v>
      </c>
      <c r="Z21" s="2">
        <v>220</v>
      </c>
      <c r="AA21" t="s">
        <v>465</v>
      </c>
      <c r="AB21" t="s">
        <v>52</v>
      </c>
      <c r="AC21" t="b">
        <v>0</v>
      </c>
      <c r="AD21" t="s">
        <v>6239</v>
      </c>
      <c r="AE21" t="s">
        <v>461</v>
      </c>
      <c r="AF21" t="s">
        <v>6157</v>
      </c>
      <c r="AG21" t="s">
        <v>5054</v>
      </c>
      <c r="AH21" t="s">
        <v>6240</v>
      </c>
      <c r="AI21" t="s">
        <v>6241</v>
      </c>
      <c r="AJ21" t="s">
        <v>6242</v>
      </c>
      <c r="AK21" t="s">
        <v>6154</v>
      </c>
      <c r="AL21">
        <v>1</v>
      </c>
      <c r="AN21" s="6" t="str">
        <f>Students[[#This Row],[Name]]&amp;"|"&amp;LOWER(TRIM(Students[[#This Row],[Guardian_Email__c]]))</f>
        <v>Julian Flores|</v>
      </c>
      <c r="AO21">
        <f>COUNTIF(Students[Dup Key],Students[[#This Row],[Dup Key]])</f>
        <v>1</v>
      </c>
    </row>
    <row r="22" spans="1:41">
      <c r="A22">
        <v>10</v>
      </c>
      <c r="B22" s="1">
        <v>42643</v>
      </c>
      <c r="C22">
        <v>0</v>
      </c>
      <c r="D22" t="s">
        <v>52</v>
      </c>
      <c r="E22" t="s">
        <v>6141</v>
      </c>
      <c r="F22" s="1">
        <v>45873</v>
      </c>
      <c r="G22" t="s">
        <v>5966</v>
      </c>
      <c r="H22" t="s">
        <v>482</v>
      </c>
      <c r="I22" t="s">
        <v>6243</v>
      </c>
      <c r="J22" t="s">
        <v>5396</v>
      </c>
      <c r="K22" t="s">
        <v>5666</v>
      </c>
      <c r="L22" t="s">
        <v>6244</v>
      </c>
      <c r="M22" t="s">
        <v>63</v>
      </c>
      <c r="N22" t="s">
        <v>5018</v>
      </c>
      <c r="O22" t="s">
        <v>481</v>
      </c>
      <c r="P22" t="b">
        <v>0</v>
      </c>
      <c r="R22" t="s">
        <v>52</v>
      </c>
      <c r="S22" t="s">
        <v>6146</v>
      </c>
      <c r="T22" t="s">
        <v>6173</v>
      </c>
      <c r="U22" t="s">
        <v>6173</v>
      </c>
      <c r="W22" t="s">
        <v>5666</v>
      </c>
      <c r="X22" t="s">
        <v>6148</v>
      </c>
      <c r="Z22" s="2">
        <v>200</v>
      </c>
      <c r="AA22" t="s">
        <v>482</v>
      </c>
      <c r="AB22" t="s">
        <v>52</v>
      </c>
      <c r="AC22" t="b">
        <v>0</v>
      </c>
      <c r="AD22" t="s">
        <v>6239</v>
      </c>
      <c r="AE22" t="s">
        <v>78</v>
      </c>
      <c r="AF22" t="s">
        <v>6200</v>
      </c>
      <c r="AG22" t="s">
        <v>5054</v>
      </c>
      <c r="AI22" t="s">
        <v>6245</v>
      </c>
      <c r="AK22" t="s">
        <v>6154</v>
      </c>
      <c r="AL22">
        <v>1</v>
      </c>
      <c r="AN22" s="6" t="str">
        <f>Students[[#This Row],[Name]]&amp;"|"&amp;LOWER(TRIM(Students[[#This Row],[Guardian_Email__c]]))</f>
        <v>Henry Dubois|matthew.dubois@yahoo.com</v>
      </c>
      <c r="AO22">
        <f>COUNTIF(Students[Dup Key],Students[[#This Row],[Dup Key]])</f>
        <v>1</v>
      </c>
    </row>
    <row r="23" spans="1:41">
      <c r="A23">
        <v>13</v>
      </c>
      <c r="B23" s="1">
        <v>41456</v>
      </c>
      <c r="C23">
        <v>0</v>
      </c>
      <c r="D23" t="s">
        <v>52</v>
      </c>
      <c r="E23" t="s">
        <v>6141</v>
      </c>
      <c r="F23" s="1">
        <v>44660</v>
      </c>
      <c r="G23" t="s">
        <v>5610</v>
      </c>
      <c r="H23" t="s">
        <v>6246</v>
      </c>
      <c r="I23" t="s">
        <v>6247</v>
      </c>
      <c r="J23" t="s">
        <v>5470</v>
      </c>
      <c r="K23" t="s">
        <v>5116</v>
      </c>
      <c r="L23" t="s">
        <v>6248</v>
      </c>
      <c r="M23" t="s">
        <v>63</v>
      </c>
      <c r="N23" t="s">
        <v>5018</v>
      </c>
      <c r="O23" t="s">
        <v>6249</v>
      </c>
      <c r="P23" t="b">
        <v>0</v>
      </c>
      <c r="R23" t="s">
        <v>52</v>
      </c>
      <c r="S23" t="s">
        <v>6223</v>
      </c>
      <c r="T23" t="s">
        <v>6250</v>
      </c>
      <c r="U23" t="s">
        <v>6250</v>
      </c>
      <c r="W23" t="s">
        <v>5116</v>
      </c>
      <c r="X23" t="s">
        <v>6148</v>
      </c>
      <c r="Y23" t="s">
        <v>6251</v>
      </c>
      <c r="Z23" s="2">
        <v>160</v>
      </c>
      <c r="AA23" t="s">
        <v>6246</v>
      </c>
      <c r="AB23" t="s">
        <v>52</v>
      </c>
      <c r="AC23" t="b">
        <v>0</v>
      </c>
      <c r="AD23" t="s">
        <v>6169</v>
      </c>
      <c r="AE23" t="s">
        <v>284</v>
      </c>
      <c r="AF23" t="s">
        <v>6151</v>
      </c>
      <c r="AG23" t="s">
        <v>6224</v>
      </c>
      <c r="AI23" t="s">
        <v>6252</v>
      </c>
      <c r="AK23" t="s">
        <v>6154</v>
      </c>
      <c r="AL23">
        <v>1</v>
      </c>
      <c r="AM23" s="1">
        <v>46017</v>
      </c>
      <c r="AN23" s="6" t="str">
        <f>Students[[#This Row],[Name]]&amp;"|"&amp;LOWER(TRIM(Students[[#This Row],[Guardian_Email__c]]))</f>
        <v>Declan Lopez|julianlopez38@yahoo.com</v>
      </c>
      <c r="AO23">
        <f>COUNTIF(Students[Dup Key],Students[[#This Row],[Dup Key]])</f>
        <v>1</v>
      </c>
    </row>
    <row r="24" spans="1:41">
      <c r="A24">
        <v>13</v>
      </c>
      <c r="B24" s="1">
        <v>41270</v>
      </c>
      <c r="C24">
        <v>0</v>
      </c>
      <c r="D24" t="s">
        <v>52</v>
      </c>
      <c r="E24" t="s">
        <v>6141</v>
      </c>
      <c r="F24" s="1">
        <v>45389</v>
      </c>
      <c r="G24" t="s">
        <v>5877</v>
      </c>
      <c r="H24" t="s">
        <v>498</v>
      </c>
      <c r="I24" t="s">
        <v>6253</v>
      </c>
      <c r="J24" t="s">
        <v>5169</v>
      </c>
      <c r="K24" t="s">
        <v>5052</v>
      </c>
      <c r="L24" t="s">
        <v>6254</v>
      </c>
      <c r="M24" t="s">
        <v>83</v>
      </c>
      <c r="N24" t="s">
        <v>5016</v>
      </c>
      <c r="O24" t="s">
        <v>497</v>
      </c>
      <c r="P24" t="b">
        <v>0</v>
      </c>
      <c r="R24" t="s">
        <v>52</v>
      </c>
      <c r="S24" t="s">
        <v>6146</v>
      </c>
      <c r="T24" t="s">
        <v>6173</v>
      </c>
      <c r="U24" t="s">
        <v>6173</v>
      </c>
      <c r="W24" t="s">
        <v>5052</v>
      </c>
      <c r="X24" t="s">
        <v>6148</v>
      </c>
      <c r="Y24" t="s">
        <v>6255</v>
      </c>
      <c r="Z24" s="2">
        <v>200</v>
      </c>
      <c r="AA24" t="s">
        <v>498</v>
      </c>
      <c r="AB24" t="s">
        <v>52</v>
      </c>
      <c r="AC24" t="b">
        <v>0</v>
      </c>
      <c r="AD24" t="s">
        <v>6150</v>
      </c>
      <c r="AE24" t="s">
        <v>392</v>
      </c>
      <c r="AF24" t="s">
        <v>6157</v>
      </c>
      <c r="AG24" t="s">
        <v>5054</v>
      </c>
      <c r="AI24" t="s">
        <v>6256</v>
      </c>
      <c r="AK24" t="s">
        <v>6154</v>
      </c>
      <c r="AL24">
        <v>1</v>
      </c>
      <c r="AN24" s="6" t="str">
        <f>Students[[#This Row],[Name]]&amp;"|"&amp;LOWER(TRIM(Students[[#This Row],[Guardian_Email__c]]))</f>
        <v>Tyler Rodriguez|tylerrodriguez@icloud.com</v>
      </c>
      <c r="AO24">
        <f>COUNTIF(Students[Dup Key],Students[[#This Row],[Dup Key]])</f>
        <v>1</v>
      </c>
    </row>
    <row r="25" spans="1:41">
      <c r="A25">
        <v>7</v>
      </c>
      <c r="B25" s="1">
        <v>43692</v>
      </c>
      <c r="C25">
        <v>1</v>
      </c>
      <c r="D25" t="s">
        <v>52</v>
      </c>
      <c r="E25" t="s">
        <v>6141</v>
      </c>
      <c r="F25" s="1">
        <v>44858</v>
      </c>
      <c r="G25" t="s">
        <v>5131</v>
      </c>
      <c r="H25" t="s">
        <v>508</v>
      </c>
      <c r="I25" t="s">
        <v>6257</v>
      </c>
      <c r="J25" t="s">
        <v>5370</v>
      </c>
      <c r="K25" t="s">
        <v>5461</v>
      </c>
      <c r="L25" t="s">
        <v>6258</v>
      </c>
      <c r="M25" t="s">
        <v>63</v>
      </c>
      <c r="N25" t="s">
        <v>5018</v>
      </c>
      <c r="O25" t="s">
        <v>507</v>
      </c>
      <c r="P25" t="b">
        <v>0</v>
      </c>
      <c r="R25" t="s">
        <v>52</v>
      </c>
      <c r="S25" t="s">
        <v>6146</v>
      </c>
      <c r="T25" t="s">
        <v>6173</v>
      </c>
      <c r="U25" t="s">
        <v>6173</v>
      </c>
      <c r="V25" s="1">
        <v>46107</v>
      </c>
      <c r="W25" t="s">
        <v>5461</v>
      </c>
      <c r="X25" t="s">
        <v>6148</v>
      </c>
      <c r="Z25" s="2">
        <v>160</v>
      </c>
      <c r="AA25" t="s">
        <v>508</v>
      </c>
      <c r="AB25" t="s">
        <v>52</v>
      </c>
      <c r="AC25" t="b">
        <v>0</v>
      </c>
      <c r="AD25" t="s">
        <v>6169</v>
      </c>
      <c r="AE25" t="s">
        <v>461</v>
      </c>
      <c r="AF25" t="s">
        <v>6151</v>
      </c>
      <c r="AG25" t="s">
        <v>5054</v>
      </c>
      <c r="AI25" t="s">
        <v>6259</v>
      </c>
      <c r="AK25" t="s">
        <v>6154</v>
      </c>
      <c r="AL25">
        <v>1</v>
      </c>
      <c r="AN25" s="6" t="str">
        <f>Students[[#This Row],[Name]]&amp;"|"&amp;LOWER(TRIM(Students[[#This Row],[Guardian_Email__c]]))</f>
        <v>Leo Thomas|levi.thomas@outlook.com</v>
      </c>
      <c r="AO25">
        <f>COUNTIF(Students[Dup Key],Students[[#This Row],[Dup Key]])</f>
        <v>1</v>
      </c>
    </row>
    <row r="26" spans="1:41">
      <c r="A26">
        <v>10</v>
      </c>
      <c r="B26" s="1">
        <v>42623</v>
      </c>
      <c r="C26">
        <v>2</v>
      </c>
      <c r="D26" t="s">
        <v>52</v>
      </c>
      <c r="E26" t="s">
        <v>6141</v>
      </c>
      <c r="F26" s="1">
        <v>45821</v>
      </c>
      <c r="G26" t="s">
        <v>5298</v>
      </c>
      <c r="H26" t="s">
        <v>531</v>
      </c>
      <c r="I26" t="s">
        <v>6260</v>
      </c>
      <c r="J26" t="s">
        <v>5836</v>
      </c>
      <c r="K26" t="s">
        <v>5122</v>
      </c>
      <c r="L26" t="s">
        <v>6261</v>
      </c>
      <c r="M26" t="s">
        <v>63</v>
      </c>
      <c r="N26" t="s">
        <v>5018</v>
      </c>
      <c r="O26" t="s">
        <v>530</v>
      </c>
      <c r="P26" t="b">
        <v>0</v>
      </c>
      <c r="R26" t="s">
        <v>52</v>
      </c>
      <c r="S26" t="s">
        <v>6146</v>
      </c>
      <c r="T26" t="s">
        <v>6173</v>
      </c>
      <c r="U26" t="s">
        <v>6173</v>
      </c>
      <c r="V26" s="1">
        <v>46249</v>
      </c>
      <c r="W26" t="s">
        <v>5122</v>
      </c>
      <c r="X26" t="s">
        <v>6189</v>
      </c>
      <c r="Z26" s="2">
        <v>160</v>
      </c>
      <c r="AA26" t="s">
        <v>531</v>
      </c>
      <c r="AB26" t="s">
        <v>52</v>
      </c>
      <c r="AC26" t="b">
        <v>0</v>
      </c>
      <c r="AD26" t="s">
        <v>6193</v>
      </c>
      <c r="AE26" t="s">
        <v>527</v>
      </c>
      <c r="AF26" t="s">
        <v>6151</v>
      </c>
      <c r="AG26" t="s">
        <v>5054</v>
      </c>
      <c r="AI26" t="s">
        <v>6262</v>
      </c>
      <c r="AK26" t="s">
        <v>6154</v>
      </c>
      <c r="AL26">
        <v>0.5</v>
      </c>
      <c r="AN26" s="6" t="str">
        <f>Students[[#This Row],[Name]]&amp;"|"&amp;LOWER(TRIM(Students[[#This Row],[Guardian_Email__c]]))</f>
        <v>Jordan Miller|vmiller@yahoo.com</v>
      </c>
      <c r="AO26">
        <f>COUNTIF(Students[Dup Key],Students[[#This Row],[Dup Key]])</f>
        <v>1</v>
      </c>
    </row>
    <row r="27" spans="1:41">
      <c r="A27">
        <v>15</v>
      </c>
      <c r="B27" s="1">
        <v>40717</v>
      </c>
      <c r="C27">
        <v>0</v>
      </c>
      <c r="D27" t="s">
        <v>52</v>
      </c>
      <c r="E27" t="s">
        <v>6141</v>
      </c>
      <c r="F27" s="1">
        <v>45146</v>
      </c>
      <c r="G27" t="s">
        <v>5921</v>
      </c>
      <c r="H27" t="s">
        <v>6263</v>
      </c>
      <c r="I27" t="s">
        <v>6264</v>
      </c>
      <c r="J27" t="s">
        <v>5098</v>
      </c>
      <c r="K27" t="s">
        <v>5268</v>
      </c>
      <c r="L27" t="s">
        <v>6265</v>
      </c>
      <c r="M27" t="s">
        <v>63</v>
      </c>
      <c r="N27" t="s">
        <v>5018</v>
      </c>
      <c r="O27" t="s">
        <v>6266</v>
      </c>
      <c r="P27" t="b">
        <v>0</v>
      </c>
      <c r="R27" t="s">
        <v>52</v>
      </c>
      <c r="S27" t="s">
        <v>6223</v>
      </c>
      <c r="T27" t="s">
        <v>6228</v>
      </c>
      <c r="U27" t="s">
        <v>6228</v>
      </c>
      <c r="W27" t="s">
        <v>5268</v>
      </c>
      <c r="X27" t="s">
        <v>6148</v>
      </c>
      <c r="Y27" t="s">
        <v>6267</v>
      </c>
      <c r="Z27" s="2">
        <v>200</v>
      </c>
      <c r="AA27" t="s">
        <v>6263</v>
      </c>
      <c r="AB27" t="s">
        <v>52</v>
      </c>
      <c r="AC27" t="b">
        <v>0</v>
      </c>
      <c r="AD27" t="s">
        <v>6239</v>
      </c>
      <c r="AE27" t="s">
        <v>107</v>
      </c>
      <c r="AF27" t="s">
        <v>6157</v>
      </c>
      <c r="AG27" t="s">
        <v>6224</v>
      </c>
      <c r="AI27" t="s">
        <v>6268</v>
      </c>
      <c r="AK27" t="s">
        <v>6154</v>
      </c>
      <c r="AL27">
        <v>1</v>
      </c>
      <c r="AM27" s="1">
        <v>46244</v>
      </c>
      <c r="AN27" s="6" t="str">
        <f>Students[[#This Row],[Name]]&amp;"|"&amp;LOWER(TRIM(Students[[#This Row],[Guardian_Email__c]]))</f>
        <v>Claire Flores|victoriaflores@yahoo.com</v>
      </c>
      <c r="AO27">
        <f>COUNTIF(Students[Dup Key],Students[[#This Row],[Dup Key]])</f>
        <v>1</v>
      </c>
    </row>
    <row r="28" spans="1:41">
      <c r="A28">
        <v>16</v>
      </c>
      <c r="B28" s="1">
        <v>40287</v>
      </c>
      <c r="C28">
        <v>3</v>
      </c>
      <c r="D28" t="s">
        <v>52</v>
      </c>
      <c r="E28" t="s">
        <v>6141</v>
      </c>
      <c r="F28" s="1">
        <v>45025</v>
      </c>
      <c r="G28" t="s">
        <v>5592</v>
      </c>
      <c r="H28" t="s">
        <v>553</v>
      </c>
      <c r="I28" t="s">
        <v>6269</v>
      </c>
      <c r="J28" t="s">
        <v>5193</v>
      </c>
      <c r="K28" t="s">
        <v>5302</v>
      </c>
      <c r="L28" t="s">
        <v>6270</v>
      </c>
      <c r="M28" t="s">
        <v>83</v>
      </c>
      <c r="N28" t="s">
        <v>5016</v>
      </c>
      <c r="O28" t="s">
        <v>552</v>
      </c>
      <c r="P28" t="b">
        <v>0</v>
      </c>
      <c r="R28" t="s">
        <v>52</v>
      </c>
      <c r="S28" t="s">
        <v>6146</v>
      </c>
      <c r="T28" t="s">
        <v>6271</v>
      </c>
      <c r="U28" t="s">
        <v>6271</v>
      </c>
      <c r="V28" s="1">
        <v>46189</v>
      </c>
      <c r="W28" t="s">
        <v>5302</v>
      </c>
      <c r="X28" t="s">
        <v>6148</v>
      </c>
      <c r="Y28" t="s">
        <v>6272</v>
      </c>
      <c r="Z28" s="2">
        <v>220</v>
      </c>
      <c r="AA28" t="s">
        <v>553</v>
      </c>
      <c r="AB28" t="s">
        <v>52</v>
      </c>
      <c r="AC28" t="b">
        <v>0</v>
      </c>
      <c r="AD28" t="s">
        <v>6193</v>
      </c>
      <c r="AE28" t="s">
        <v>203</v>
      </c>
      <c r="AF28" t="s">
        <v>6157</v>
      </c>
      <c r="AG28" t="s">
        <v>5054</v>
      </c>
      <c r="AI28" t="s">
        <v>6273</v>
      </c>
      <c r="AK28" t="s">
        <v>6154</v>
      </c>
      <c r="AL28">
        <v>1</v>
      </c>
      <c r="AN28" s="6" t="str">
        <f>Students[[#This Row],[Name]]&amp;"|"&amp;LOWER(TRIM(Students[[#This Row],[Guardian_Email__c]]))</f>
        <v>Harper Patel|micahpatel19@outlook.com</v>
      </c>
      <c r="AO28">
        <f>COUNTIF(Students[Dup Key],Students[[#This Row],[Dup Key]])</f>
        <v>1</v>
      </c>
    </row>
    <row r="29" spans="1:41">
      <c r="A29">
        <v>17</v>
      </c>
      <c r="B29" s="1">
        <v>39820</v>
      </c>
      <c r="C29">
        <v>0</v>
      </c>
      <c r="D29" t="s">
        <v>52</v>
      </c>
      <c r="E29" t="s">
        <v>6141</v>
      </c>
      <c r="F29" s="1">
        <v>44595</v>
      </c>
      <c r="G29" t="s">
        <v>5070</v>
      </c>
      <c r="H29" t="s">
        <v>578</v>
      </c>
      <c r="I29" t="s">
        <v>6274</v>
      </c>
      <c r="J29" t="s">
        <v>5408</v>
      </c>
      <c r="K29" t="s">
        <v>5155</v>
      </c>
      <c r="L29" t="s">
        <v>6275</v>
      </c>
      <c r="M29" t="s">
        <v>83</v>
      </c>
      <c r="N29" t="s">
        <v>5016</v>
      </c>
      <c r="O29" t="s">
        <v>577</v>
      </c>
      <c r="P29" t="b">
        <v>0</v>
      </c>
      <c r="R29" t="s">
        <v>52</v>
      </c>
      <c r="S29" t="s">
        <v>6146</v>
      </c>
      <c r="T29" t="s">
        <v>6173</v>
      </c>
      <c r="U29" t="s">
        <v>6173</v>
      </c>
      <c r="W29" t="s">
        <v>5155</v>
      </c>
      <c r="X29" t="s">
        <v>6148</v>
      </c>
      <c r="Y29" t="s">
        <v>6276</v>
      </c>
      <c r="Z29" s="2">
        <v>180</v>
      </c>
      <c r="AA29" t="s">
        <v>578</v>
      </c>
      <c r="AB29" t="s">
        <v>52</v>
      </c>
      <c r="AC29" t="b">
        <v>0</v>
      </c>
      <c r="AD29" t="s">
        <v>6174</v>
      </c>
      <c r="AE29" t="s">
        <v>147</v>
      </c>
      <c r="AF29" t="s">
        <v>6200</v>
      </c>
      <c r="AG29" t="s">
        <v>5054</v>
      </c>
      <c r="AI29" t="s">
        <v>6277</v>
      </c>
      <c r="AK29" t="s">
        <v>6154</v>
      </c>
      <c r="AL29">
        <v>1</v>
      </c>
      <c r="AN29" s="6" t="str">
        <f>Students[[#This Row],[Name]]&amp;"|"&amp;LOWER(TRIM(Students[[#This Row],[Guardian_Email__c]]))</f>
        <v>Layla Hill|ihill@icloud.com</v>
      </c>
      <c r="AO29">
        <f>COUNTIF(Students[Dup Key],Students[[#This Row],[Dup Key]])</f>
        <v>1</v>
      </c>
    </row>
    <row r="30" spans="1:41">
      <c r="A30">
        <v>17</v>
      </c>
      <c r="B30" s="1">
        <v>39937</v>
      </c>
      <c r="C30">
        <v>0</v>
      </c>
      <c r="D30" t="s">
        <v>52</v>
      </c>
      <c r="E30" t="s">
        <v>6141</v>
      </c>
      <c r="F30" s="1">
        <v>45322</v>
      </c>
      <c r="G30" t="s">
        <v>5275</v>
      </c>
      <c r="H30" t="s">
        <v>586</v>
      </c>
      <c r="I30" t="s">
        <v>6278</v>
      </c>
      <c r="J30" t="s">
        <v>5204</v>
      </c>
      <c r="K30" t="s">
        <v>6279</v>
      </c>
      <c r="L30" t="s">
        <v>6280</v>
      </c>
      <c r="M30" t="s">
        <v>63</v>
      </c>
      <c r="N30" t="s">
        <v>5018</v>
      </c>
      <c r="O30" t="s">
        <v>585</v>
      </c>
      <c r="P30" t="b">
        <v>0</v>
      </c>
      <c r="R30" t="s">
        <v>52</v>
      </c>
      <c r="S30" t="s">
        <v>6146</v>
      </c>
      <c r="T30" t="s">
        <v>6281</v>
      </c>
      <c r="U30" t="s">
        <v>6281</v>
      </c>
      <c r="W30" t="s">
        <v>6279</v>
      </c>
      <c r="X30" t="s">
        <v>6148</v>
      </c>
      <c r="Y30" t="s">
        <v>6282</v>
      </c>
      <c r="Z30" s="2">
        <v>160</v>
      </c>
      <c r="AA30" t="s">
        <v>586</v>
      </c>
      <c r="AB30" t="s">
        <v>52</v>
      </c>
      <c r="AC30" t="b">
        <v>0</v>
      </c>
      <c r="AD30" t="s">
        <v>6150</v>
      </c>
      <c r="AE30" t="s">
        <v>461</v>
      </c>
      <c r="AF30" t="s">
        <v>6200</v>
      </c>
      <c r="AG30" t="s">
        <v>5054</v>
      </c>
      <c r="AI30" t="s">
        <v>6283</v>
      </c>
      <c r="AK30" t="s">
        <v>6154</v>
      </c>
      <c r="AL30">
        <v>1</v>
      </c>
      <c r="AN30" s="6" t="str">
        <f>Students[[#This Row],[Name]]&amp;"|"&amp;LOWER(TRIM(Students[[#This Row],[Guardian_Email__c]]))</f>
        <v>Sofia Green|jamalgreen@hotmail.com</v>
      </c>
      <c r="AO30">
        <f>COUNTIF(Students[Dup Key],Students[[#This Row],[Dup Key]])</f>
        <v>1</v>
      </c>
    </row>
    <row r="31" spans="1:41">
      <c r="A31">
        <v>9</v>
      </c>
      <c r="B31" s="1">
        <v>42931</v>
      </c>
      <c r="C31">
        <v>0</v>
      </c>
      <c r="D31" t="s">
        <v>52</v>
      </c>
      <c r="E31" t="s">
        <v>6141</v>
      </c>
      <c r="F31" s="1">
        <v>45575</v>
      </c>
      <c r="G31" t="s">
        <v>5219</v>
      </c>
      <c r="H31" t="s">
        <v>612</v>
      </c>
      <c r="I31" t="s">
        <v>6284</v>
      </c>
      <c r="J31" t="s">
        <v>5175</v>
      </c>
      <c r="K31" t="s">
        <v>5072</v>
      </c>
      <c r="L31" t="s">
        <v>6285</v>
      </c>
      <c r="M31" t="s">
        <v>150</v>
      </c>
      <c r="N31" t="s">
        <v>5014</v>
      </c>
      <c r="O31" t="s">
        <v>611</v>
      </c>
      <c r="P31" t="b">
        <v>0</v>
      </c>
      <c r="R31" t="s">
        <v>6286</v>
      </c>
      <c r="S31" t="s">
        <v>6287</v>
      </c>
      <c r="T31" t="s">
        <v>6228</v>
      </c>
      <c r="U31" t="s">
        <v>6228</v>
      </c>
      <c r="W31" t="s">
        <v>5072</v>
      </c>
      <c r="X31" t="s">
        <v>6148</v>
      </c>
      <c r="Z31" s="2">
        <v>240</v>
      </c>
      <c r="AA31" t="s">
        <v>612</v>
      </c>
      <c r="AB31" t="s">
        <v>52</v>
      </c>
      <c r="AC31" t="b">
        <v>0</v>
      </c>
      <c r="AD31" t="s">
        <v>6169</v>
      </c>
      <c r="AE31" t="s">
        <v>284</v>
      </c>
      <c r="AF31" t="s">
        <v>6200</v>
      </c>
      <c r="AG31" t="s">
        <v>5054</v>
      </c>
      <c r="AI31" t="s">
        <v>6288</v>
      </c>
      <c r="AK31" t="s">
        <v>6154</v>
      </c>
      <c r="AL31">
        <v>1</v>
      </c>
      <c r="AN31" s="6" t="str">
        <f>Students[[#This Row],[Name]]&amp;"|"&amp;LOWER(TRIM(Students[[#This Row],[Guardian_Email__c]]))</f>
        <v>Adrian Sullivan|brooklyn.sullivan@icloud.com</v>
      </c>
      <c r="AO31">
        <f>COUNTIF(Students[Dup Key],Students[[#This Row],[Dup Key]])</f>
        <v>1</v>
      </c>
    </row>
    <row r="32" spans="1:41">
      <c r="A32">
        <v>14</v>
      </c>
      <c r="B32" s="1">
        <v>40945</v>
      </c>
      <c r="C32">
        <v>1</v>
      </c>
      <c r="D32" t="s">
        <v>52</v>
      </c>
      <c r="E32" t="s">
        <v>6141</v>
      </c>
      <c r="F32" s="1">
        <v>45026</v>
      </c>
      <c r="G32" t="s">
        <v>5388</v>
      </c>
      <c r="H32" t="s">
        <v>622</v>
      </c>
      <c r="I32" t="s">
        <v>6289</v>
      </c>
      <c r="J32" t="s">
        <v>5763</v>
      </c>
      <c r="K32" t="s">
        <v>5222</v>
      </c>
      <c r="L32" t="s">
        <v>6290</v>
      </c>
      <c r="M32" t="s">
        <v>63</v>
      </c>
      <c r="N32" t="s">
        <v>5018</v>
      </c>
      <c r="O32" t="s">
        <v>621</v>
      </c>
      <c r="P32" t="b">
        <v>0</v>
      </c>
      <c r="R32" t="s">
        <v>52</v>
      </c>
      <c r="S32" t="s">
        <v>6146</v>
      </c>
      <c r="T32" t="s">
        <v>6173</v>
      </c>
      <c r="U32" t="s">
        <v>6173</v>
      </c>
      <c r="V32" s="1">
        <v>46147</v>
      </c>
      <c r="W32" t="s">
        <v>5222</v>
      </c>
      <c r="X32" t="s">
        <v>6148</v>
      </c>
      <c r="Y32" t="s">
        <v>6291</v>
      </c>
      <c r="Z32" s="2">
        <v>240</v>
      </c>
      <c r="AA32" t="s">
        <v>622</v>
      </c>
      <c r="AB32" t="s">
        <v>52</v>
      </c>
      <c r="AC32" t="b">
        <v>0</v>
      </c>
      <c r="AD32" t="s">
        <v>6239</v>
      </c>
      <c r="AE32" t="s">
        <v>461</v>
      </c>
      <c r="AF32" t="s">
        <v>6151</v>
      </c>
      <c r="AG32" t="s">
        <v>5054</v>
      </c>
      <c r="AI32" t="s">
        <v>6292</v>
      </c>
      <c r="AK32" t="s">
        <v>6154</v>
      </c>
      <c r="AL32">
        <v>1</v>
      </c>
      <c r="AN32" s="6" t="str">
        <f>Students[[#This Row],[Name]]&amp;"|"&amp;LOWER(TRIM(Students[[#This Row],[Guardian_Email__c]]))</f>
        <v>Ruby Byrne|everlybyrne57@hotmail.com</v>
      </c>
      <c r="AO32">
        <f>COUNTIF(Students[Dup Key],Students[[#This Row],[Dup Key]])</f>
        <v>1</v>
      </c>
    </row>
    <row r="33" spans="1:41">
      <c r="A33">
        <v>18</v>
      </c>
      <c r="B33" s="1">
        <v>39711</v>
      </c>
      <c r="C33">
        <v>3</v>
      </c>
      <c r="D33" t="s">
        <v>52</v>
      </c>
      <c r="E33" t="s">
        <v>6141</v>
      </c>
      <c r="F33" s="1">
        <v>45312</v>
      </c>
      <c r="G33" t="s">
        <v>5118</v>
      </c>
      <c r="H33" t="s">
        <v>633</v>
      </c>
      <c r="I33" t="s">
        <v>6293</v>
      </c>
      <c r="J33" t="s">
        <v>5747</v>
      </c>
      <c r="K33" t="s">
        <v>5206</v>
      </c>
      <c r="L33" t="s">
        <v>6294</v>
      </c>
      <c r="M33" t="s">
        <v>83</v>
      </c>
      <c r="N33" t="s">
        <v>5016</v>
      </c>
      <c r="O33" t="s">
        <v>632</v>
      </c>
      <c r="P33" t="b">
        <v>0</v>
      </c>
      <c r="R33" t="s">
        <v>52</v>
      </c>
      <c r="S33" t="s">
        <v>6295</v>
      </c>
      <c r="T33" t="s">
        <v>6296</v>
      </c>
      <c r="U33" t="s">
        <v>6296</v>
      </c>
      <c r="V33" s="1">
        <v>46149</v>
      </c>
      <c r="W33" t="s">
        <v>5206</v>
      </c>
      <c r="X33" t="s">
        <v>6148</v>
      </c>
      <c r="Z33" s="2"/>
      <c r="AA33" t="s">
        <v>633</v>
      </c>
      <c r="AB33" t="s">
        <v>52</v>
      </c>
      <c r="AC33" t="b">
        <v>0</v>
      </c>
      <c r="AD33" t="s">
        <v>6166</v>
      </c>
      <c r="AE33" t="s">
        <v>78</v>
      </c>
      <c r="AF33" t="s">
        <v>6151</v>
      </c>
      <c r="AG33" t="s">
        <v>6152</v>
      </c>
      <c r="AH33" t="s">
        <v>6297</v>
      </c>
      <c r="AI33" t="s">
        <v>6298</v>
      </c>
      <c r="AK33" t="s">
        <v>6154</v>
      </c>
      <c r="AL33">
        <v>1</v>
      </c>
      <c r="AN33" s="6" t="str">
        <f>Students[[#This Row],[Name]]&amp;"|"&amp;LOWER(TRIM(Students[[#This Row],[Guardian_Email__c]]))</f>
        <v>Aubrey Wilson|aiden.wilson@icloud.com</v>
      </c>
      <c r="AO33">
        <f>COUNTIF(Students[Dup Key],Students[[#This Row],[Dup Key]])</f>
        <v>1</v>
      </c>
    </row>
    <row r="34" spans="1:41">
      <c r="A34">
        <v>10</v>
      </c>
      <c r="B34" s="1">
        <v>42345</v>
      </c>
      <c r="C34">
        <v>1</v>
      </c>
      <c r="D34" t="s">
        <v>52</v>
      </c>
      <c r="E34" t="s">
        <v>6141</v>
      </c>
      <c r="F34" s="1">
        <v>44846</v>
      </c>
      <c r="G34" t="s">
        <v>5420</v>
      </c>
      <c r="H34" t="s">
        <v>654</v>
      </c>
      <c r="I34" t="s">
        <v>6299</v>
      </c>
      <c r="J34" t="s">
        <v>5444</v>
      </c>
      <c r="K34" t="s">
        <v>5179</v>
      </c>
      <c r="L34" t="s">
        <v>6300</v>
      </c>
      <c r="M34" t="s">
        <v>63</v>
      </c>
      <c r="N34" t="s">
        <v>5018</v>
      </c>
      <c r="O34" t="s">
        <v>653</v>
      </c>
      <c r="P34" t="b">
        <v>0</v>
      </c>
      <c r="R34" t="s">
        <v>52</v>
      </c>
      <c r="S34" t="s">
        <v>6146</v>
      </c>
      <c r="T34" t="s">
        <v>6173</v>
      </c>
      <c r="U34" t="s">
        <v>6173</v>
      </c>
      <c r="V34" s="1">
        <v>46082</v>
      </c>
      <c r="W34" t="s">
        <v>5179</v>
      </c>
      <c r="X34" t="s">
        <v>6148</v>
      </c>
      <c r="Z34" s="2">
        <v>220</v>
      </c>
      <c r="AA34" t="s">
        <v>654</v>
      </c>
      <c r="AB34" t="s">
        <v>52</v>
      </c>
      <c r="AC34" t="b">
        <v>0</v>
      </c>
      <c r="AD34" t="s">
        <v>6169</v>
      </c>
      <c r="AE34" t="s">
        <v>650</v>
      </c>
      <c r="AF34" t="s">
        <v>6157</v>
      </c>
      <c r="AG34" t="s">
        <v>5054</v>
      </c>
      <c r="AI34" t="s">
        <v>6301</v>
      </c>
      <c r="AK34" t="s">
        <v>6154</v>
      </c>
      <c r="AL34">
        <v>1</v>
      </c>
      <c r="AN34" s="6" t="str">
        <f>Students[[#This Row],[Name]]&amp;"|"&amp;LOWER(TRIM(Students[[#This Row],[Guardian_Email__c]]))</f>
        <v>Jonah Moore|lmoore@icloud.com</v>
      </c>
      <c r="AO34">
        <f>COUNTIF(Students[Dup Key],Students[[#This Row],[Dup Key]])</f>
        <v>1</v>
      </c>
    </row>
    <row r="35" spans="1:41">
      <c r="A35">
        <v>9</v>
      </c>
      <c r="B35" s="1">
        <v>42987</v>
      </c>
      <c r="C35">
        <v>1</v>
      </c>
      <c r="D35" t="s">
        <v>52</v>
      </c>
      <c r="E35" t="s">
        <v>6141</v>
      </c>
      <c r="F35" s="1">
        <v>46134</v>
      </c>
      <c r="G35" t="s">
        <v>5093</v>
      </c>
      <c r="H35" t="s">
        <v>668</v>
      </c>
      <c r="I35" t="s">
        <v>6302</v>
      </c>
      <c r="J35" t="s">
        <v>6061</v>
      </c>
      <c r="K35" t="s">
        <v>5448</v>
      </c>
      <c r="L35" t="s">
        <v>6303</v>
      </c>
      <c r="M35" t="s">
        <v>63</v>
      </c>
      <c r="N35" t="s">
        <v>5018</v>
      </c>
      <c r="O35" t="s">
        <v>667</v>
      </c>
      <c r="P35" t="b">
        <v>0</v>
      </c>
      <c r="R35" t="s">
        <v>52</v>
      </c>
      <c r="S35" t="s">
        <v>6146</v>
      </c>
      <c r="T35" t="s">
        <v>6173</v>
      </c>
      <c r="U35" t="s">
        <v>6173</v>
      </c>
      <c r="V35" s="1">
        <v>46148</v>
      </c>
      <c r="W35" t="s">
        <v>5448</v>
      </c>
      <c r="X35" t="s">
        <v>6148</v>
      </c>
      <c r="Z35" s="2">
        <v>160</v>
      </c>
      <c r="AA35" t="s">
        <v>668</v>
      </c>
      <c r="AB35" t="s">
        <v>52</v>
      </c>
      <c r="AC35" t="b">
        <v>0</v>
      </c>
      <c r="AD35" t="s">
        <v>6174</v>
      </c>
      <c r="AE35" t="s">
        <v>78</v>
      </c>
      <c r="AF35" t="s">
        <v>6157</v>
      </c>
      <c r="AG35" t="s">
        <v>5054</v>
      </c>
      <c r="AI35" t="s">
        <v>6304</v>
      </c>
      <c r="AK35" t="s">
        <v>6154</v>
      </c>
      <c r="AL35">
        <v>1</v>
      </c>
      <c r="AN35" s="6" t="str">
        <f>Students[[#This Row],[Name]]&amp;"|"&amp;LOWER(TRIM(Students[[#This Row],[Guardian_Email__c]]))</f>
        <v>Micah King|isaacking60@yahoo.com</v>
      </c>
      <c r="AO35">
        <f>COUNTIF(Students[Dup Key],Students[[#This Row],[Dup Key]])</f>
        <v>1</v>
      </c>
    </row>
    <row r="36" spans="1:41">
      <c r="A36">
        <v>14</v>
      </c>
      <c r="B36" s="1">
        <v>41019</v>
      </c>
      <c r="C36">
        <v>0</v>
      </c>
      <c r="D36" t="s">
        <v>52</v>
      </c>
      <c r="E36" t="s">
        <v>6141</v>
      </c>
      <c r="F36" s="1">
        <v>45916</v>
      </c>
      <c r="G36" t="s">
        <v>5235</v>
      </c>
      <c r="H36" t="s">
        <v>682</v>
      </c>
      <c r="I36" t="s">
        <v>6305</v>
      </c>
      <c r="J36" t="s">
        <v>6233</v>
      </c>
      <c r="K36" t="s">
        <v>5792</v>
      </c>
      <c r="L36" t="s">
        <v>6306</v>
      </c>
      <c r="M36" t="s">
        <v>83</v>
      </c>
      <c r="N36" t="s">
        <v>5016</v>
      </c>
      <c r="O36" t="s">
        <v>681</v>
      </c>
      <c r="P36" t="b">
        <v>0</v>
      </c>
      <c r="R36" t="s">
        <v>52</v>
      </c>
      <c r="S36" t="s">
        <v>6307</v>
      </c>
      <c r="T36" t="s">
        <v>6308</v>
      </c>
      <c r="U36" t="s">
        <v>6308</v>
      </c>
      <c r="W36" t="s">
        <v>5792</v>
      </c>
      <c r="X36" t="s">
        <v>6189</v>
      </c>
      <c r="Y36" t="s">
        <v>6309</v>
      </c>
      <c r="Z36" s="2">
        <v>180</v>
      </c>
      <c r="AA36" t="s">
        <v>682</v>
      </c>
      <c r="AB36" t="s">
        <v>52</v>
      </c>
      <c r="AC36" t="b">
        <v>0</v>
      </c>
      <c r="AD36" t="s">
        <v>6239</v>
      </c>
      <c r="AE36" t="s">
        <v>461</v>
      </c>
      <c r="AF36" t="s">
        <v>6157</v>
      </c>
      <c r="AG36" t="s">
        <v>5054</v>
      </c>
      <c r="AI36" t="s">
        <v>6310</v>
      </c>
      <c r="AK36" t="s">
        <v>6154</v>
      </c>
      <c r="AL36">
        <v>0.5</v>
      </c>
      <c r="AN36" s="6" t="str">
        <f>Students[[#This Row],[Name]]&amp;"|"&amp;LOWER(TRIM(Students[[#This Row],[Guardian_Email__c]]))</f>
        <v>Aiden Roberts|oliviaroberts@icloud.com</v>
      </c>
      <c r="AO36">
        <f>COUNTIF(Students[Dup Key],Students[[#This Row],[Dup Key]])</f>
        <v>1</v>
      </c>
    </row>
    <row r="37" spans="1:41">
      <c r="A37">
        <v>15</v>
      </c>
      <c r="B37" s="1">
        <v>40612</v>
      </c>
      <c r="C37">
        <v>0</v>
      </c>
      <c r="D37" t="s">
        <v>52</v>
      </c>
      <c r="E37" t="s">
        <v>6141</v>
      </c>
      <c r="F37" s="1">
        <v>45366</v>
      </c>
      <c r="G37" t="s">
        <v>6311</v>
      </c>
      <c r="H37" t="s">
        <v>711</v>
      </c>
      <c r="I37" t="s">
        <v>6312</v>
      </c>
      <c r="J37" t="s">
        <v>5505</v>
      </c>
      <c r="K37" t="s">
        <v>5349</v>
      </c>
      <c r="L37" t="s">
        <v>6313</v>
      </c>
      <c r="M37" t="s">
        <v>83</v>
      </c>
      <c r="N37" t="s">
        <v>5016</v>
      </c>
      <c r="O37" t="s">
        <v>710</v>
      </c>
      <c r="P37" t="b">
        <v>0</v>
      </c>
      <c r="R37" t="s">
        <v>52</v>
      </c>
      <c r="S37" t="s">
        <v>6146</v>
      </c>
      <c r="T37" t="s">
        <v>6228</v>
      </c>
      <c r="U37" t="s">
        <v>6228</v>
      </c>
      <c r="W37" t="s">
        <v>5349</v>
      </c>
      <c r="X37" t="s">
        <v>6148</v>
      </c>
      <c r="Y37" t="s">
        <v>6314</v>
      </c>
      <c r="Z37" s="2">
        <v>220</v>
      </c>
      <c r="AA37" t="s">
        <v>711</v>
      </c>
      <c r="AB37" t="s">
        <v>52</v>
      </c>
      <c r="AC37" t="b">
        <v>0</v>
      </c>
      <c r="AD37" t="s">
        <v>6166</v>
      </c>
      <c r="AE37" t="s">
        <v>107</v>
      </c>
      <c r="AF37" t="s">
        <v>6157</v>
      </c>
      <c r="AG37" t="s">
        <v>5054</v>
      </c>
      <c r="AI37" t="s">
        <v>6315</v>
      </c>
      <c r="AK37" t="s">
        <v>6154</v>
      </c>
      <c r="AL37">
        <v>1</v>
      </c>
      <c r="AN37" s="6" t="str">
        <f>Students[[#This Row],[Name]]&amp;"|"&amp;LOWER(TRIM(Students[[#This Row],[Guardian_Email__c]]))</f>
        <v>Bella Adams|emily.adams@icloud.com</v>
      </c>
      <c r="AO37">
        <f>COUNTIF(Students[Dup Key],Students[[#This Row],[Dup Key]])</f>
        <v>1</v>
      </c>
    </row>
    <row r="38" spans="1:41">
      <c r="A38">
        <v>6</v>
      </c>
      <c r="B38" s="1">
        <v>43867</v>
      </c>
      <c r="C38">
        <v>1</v>
      </c>
      <c r="D38" t="s">
        <v>52</v>
      </c>
      <c r="E38" t="s">
        <v>6141</v>
      </c>
      <c r="F38" s="1">
        <v>45977</v>
      </c>
      <c r="G38" t="s">
        <v>5682</v>
      </c>
      <c r="H38" t="s">
        <v>721</v>
      </c>
      <c r="I38" t="s">
        <v>6316</v>
      </c>
      <c r="J38" t="s">
        <v>5604</v>
      </c>
      <c r="K38" t="s">
        <v>5095</v>
      </c>
      <c r="L38" t="s">
        <v>6317</v>
      </c>
      <c r="M38" t="s">
        <v>83</v>
      </c>
      <c r="N38" t="s">
        <v>5016</v>
      </c>
      <c r="O38" t="s">
        <v>720</v>
      </c>
      <c r="P38" t="b">
        <v>0</v>
      </c>
      <c r="R38" t="s">
        <v>52</v>
      </c>
      <c r="S38" t="s">
        <v>6146</v>
      </c>
      <c r="T38" t="s">
        <v>6173</v>
      </c>
      <c r="U38" t="s">
        <v>6173</v>
      </c>
      <c r="V38" s="1">
        <v>46177</v>
      </c>
      <c r="W38" t="s">
        <v>5095</v>
      </c>
      <c r="X38" t="s">
        <v>6148</v>
      </c>
      <c r="Z38" s="2">
        <v>180</v>
      </c>
      <c r="AA38" t="s">
        <v>721</v>
      </c>
      <c r="AB38" t="s">
        <v>52</v>
      </c>
      <c r="AC38" t="b">
        <v>0</v>
      </c>
      <c r="AD38" t="s">
        <v>6150</v>
      </c>
      <c r="AE38" t="s">
        <v>263</v>
      </c>
      <c r="AF38" t="s">
        <v>6157</v>
      </c>
      <c r="AG38" t="s">
        <v>5054</v>
      </c>
      <c r="AI38" t="s">
        <v>6318</v>
      </c>
      <c r="AK38" t="s">
        <v>6154</v>
      </c>
      <c r="AL38">
        <v>1</v>
      </c>
      <c r="AN38" s="6" t="str">
        <f>Students[[#This Row],[Name]]&amp;"|"&amp;LOWER(TRIM(Students[[#This Row],[Guardian_Email__c]]))</f>
        <v>Genesis Novak|lucy.novak@icloud.com</v>
      </c>
      <c r="AO38">
        <f>COUNTIF(Students[Dup Key],Students[[#This Row],[Dup Key]])</f>
        <v>1</v>
      </c>
    </row>
    <row r="39" spans="1:41">
      <c r="A39">
        <v>31</v>
      </c>
      <c r="B39" s="1">
        <v>34673</v>
      </c>
      <c r="C39">
        <v>0</v>
      </c>
      <c r="D39" t="s">
        <v>52</v>
      </c>
      <c r="E39" t="s">
        <v>6141</v>
      </c>
      <c r="F39" s="1">
        <v>45663</v>
      </c>
      <c r="G39" t="s">
        <v>5080</v>
      </c>
      <c r="H39" t="s">
        <v>744</v>
      </c>
      <c r="I39" t="s">
        <v>6319</v>
      </c>
      <c r="J39" t="s">
        <v>6320</v>
      </c>
      <c r="K39" t="s">
        <v>6321</v>
      </c>
      <c r="L39" t="s">
        <v>6322</v>
      </c>
      <c r="M39" t="s">
        <v>83</v>
      </c>
      <c r="N39" t="s">
        <v>5016</v>
      </c>
      <c r="O39" t="s">
        <v>743</v>
      </c>
      <c r="P39" t="b">
        <v>0</v>
      </c>
      <c r="R39" t="s">
        <v>52</v>
      </c>
      <c r="S39" t="s">
        <v>6323</v>
      </c>
      <c r="T39" t="s">
        <v>6324</v>
      </c>
      <c r="U39" t="s">
        <v>6324</v>
      </c>
      <c r="W39" t="s">
        <v>5243</v>
      </c>
      <c r="X39" t="s">
        <v>6148</v>
      </c>
      <c r="Z39" s="2">
        <v>160</v>
      </c>
      <c r="AA39" t="s">
        <v>744</v>
      </c>
      <c r="AB39" t="s">
        <v>52</v>
      </c>
      <c r="AC39" t="b">
        <v>0</v>
      </c>
      <c r="AD39" t="s">
        <v>6150</v>
      </c>
      <c r="AE39" t="s">
        <v>650</v>
      </c>
      <c r="AF39" t="s">
        <v>6157</v>
      </c>
      <c r="AG39" t="s">
        <v>5054</v>
      </c>
      <c r="AH39" t="s">
        <v>6325</v>
      </c>
      <c r="AI39" t="s">
        <v>6326</v>
      </c>
      <c r="AJ39" t="s">
        <v>6327</v>
      </c>
      <c r="AK39" t="s">
        <v>6154</v>
      </c>
      <c r="AL39">
        <v>1</v>
      </c>
      <c r="AN39" s="6" t="str">
        <f>Students[[#This Row],[Name]]&amp;"|"&amp;LOWER(TRIM(Students[[#This Row],[Guardian_Email__c]]))</f>
        <v>Fatima Jones|guardian@email.com</v>
      </c>
      <c r="AO39">
        <f>COUNTIF(Students[Dup Key],Students[[#This Row],[Dup Key]])</f>
        <v>1</v>
      </c>
    </row>
    <row r="40" spans="1:41">
      <c r="A40">
        <v>9</v>
      </c>
      <c r="B40" s="1">
        <v>42740</v>
      </c>
      <c r="C40">
        <v>0</v>
      </c>
      <c r="D40" t="s">
        <v>52</v>
      </c>
      <c r="E40" t="s">
        <v>6141</v>
      </c>
      <c r="F40" s="1">
        <v>45484</v>
      </c>
      <c r="G40" t="s">
        <v>6061</v>
      </c>
      <c r="H40" t="s">
        <v>6328</v>
      </c>
      <c r="I40" t="s">
        <v>6329</v>
      </c>
      <c r="J40" t="s">
        <v>5747</v>
      </c>
      <c r="K40" t="s">
        <v>5128</v>
      </c>
      <c r="L40" t="s">
        <v>6330</v>
      </c>
      <c r="M40" t="s">
        <v>150</v>
      </c>
      <c r="N40" t="s">
        <v>5014</v>
      </c>
      <c r="O40" t="s">
        <v>6331</v>
      </c>
      <c r="P40" t="b">
        <v>0</v>
      </c>
      <c r="R40" t="s">
        <v>52</v>
      </c>
      <c r="S40" t="s">
        <v>6223</v>
      </c>
      <c r="T40" t="s">
        <v>6173</v>
      </c>
      <c r="U40" t="s">
        <v>6173</v>
      </c>
      <c r="W40" t="s">
        <v>5128</v>
      </c>
      <c r="X40" t="s">
        <v>6148</v>
      </c>
      <c r="Z40" s="2">
        <v>180</v>
      </c>
      <c r="AA40" t="s">
        <v>6328</v>
      </c>
      <c r="AB40" t="s">
        <v>52</v>
      </c>
      <c r="AC40" t="b">
        <v>0</v>
      </c>
      <c r="AD40" t="s">
        <v>6169</v>
      </c>
      <c r="AE40" t="s">
        <v>461</v>
      </c>
      <c r="AF40" t="s">
        <v>6157</v>
      </c>
      <c r="AG40" t="s">
        <v>6224</v>
      </c>
      <c r="AI40" t="s">
        <v>6332</v>
      </c>
      <c r="AK40" t="s">
        <v>6154</v>
      </c>
      <c r="AL40">
        <v>1</v>
      </c>
      <c r="AM40" s="1">
        <v>45955</v>
      </c>
      <c r="AN40" s="6" t="str">
        <f>Students[[#This Row],[Name]]&amp;"|"&amp;LOWER(TRIM(Students[[#This Row],[Guardian_Email__c]]))</f>
        <v>Victoria Silva|savannahsilva7@gmail.com</v>
      </c>
      <c r="AO40">
        <f>COUNTIF(Students[Dup Key],Students[[#This Row],[Dup Key]])</f>
        <v>1</v>
      </c>
    </row>
    <row r="41" spans="1:41">
      <c r="A41">
        <v>15</v>
      </c>
      <c r="B41" s="1">
        <v>40610</v>
      </c>
      <c r="C41">
        <v>0</v>
      </c>
      <c r="D41" t="s">
        <v>52</v>
      </c>
      <c r="E41" t="s">
        <v>6141</v>
      </c>
      <c r="F41" s="1">
        <v>45623</v>
      </c>
      <c r="G41" t="s">
        <v>5636</v>
      </c>
      <c r="H41" t="s">
        <v>769</v>
      </c>
      <c r="I41" t="s">
        <v>6333</v>
      </c>
      <c r="J41" t="s">
        <v>6334</v>
      </c>
      <c r="K41" t="s">
        <v>5294</v>
      </c>
      <c r="L41" t="s">
        <v>6335</v>
      </c>
      <c r="M41" t="s">
        <v>63</v>
      </c>
      <c r="N41" t="s">
        <v>5018</v>
      </c>
      <c r="O41" t="s">
        <v>768</v>
      </c>
      <c r="P41" t="b">
        <v>0</v>
      </c>
      <c r="R41" t="s">
        <v>52</v>
      </c>
      <c r="S41" t="s">
        <v>6146</v>
      </c>
      <c r="T41" t="s">
        <v>6173</v>
      </c>
      <c r="U41" t="s">
        <v>6173</v>
      </c>
      <c r="W41" t="s">
        <v>5294</v>
      </c>
      <c r="X41" t="s">
        <v>6148</v>
      </c>
      <c r="Y41" t="s">
        <v>6336</v>
      </c>
      <c r="Z41" s="2">
        <v>180</v>
      </c>
      <c r="AA41" t="s">
        <v>769</v>
      </c>
      <c r="AB41" t="s">
        <v>52</v>
      </c>
      <c r="AC41" t="b">
        <v>0</v>
      </c>
      <c r="AD41" t="s">
        <v>6169</v>
      </c>
      <c r="AE41" t="s">
        <v>284</v>
      </c>
      <c r="AF41" t="s">
        <v>6157</v>
      </c>
      <c r="AG41" t="s">
        <v>5054</v>
      </c>
      <c r="AI41" t="s">
        <v>6337</v>
      </c>
      <c r="AK41" t="s">
        <v>6154</v>
      </c>
      <c r="AL41">
        <v>1</v>
      </c>
      <c r="AN41" s="6" t="str">
        <f>Students[[#This Row],[Name]]&amp;"|"&amp;LOWER(TRIM(Students[[#This Row],[Guardian_Email__c]]))</f>
        <v>Scarlett Jackson|chenjackson13@yahoo.com</v>
      </c>
      <c r="AO41">
        <f>COUNTIF(Students[Dup Key],Students[[#This Row],[Dup Key]])</f>
        <v>1</v>
      </c>
    </row>
    <row r="42" spans="1:41">
      <c r="A42">
        <v>45</v>
      </c>
      <c r="B42" s="1">
        <v>29533</v>
      </c>
      <c r="C42">
        <v>0</v>
      </c>
      <c r="D42" t="s">
        <v>52</v>
      </c>
      <c r="E42" t="s">
        <v>6141</v>
      </c>
      <c r="F42" s="1">
        <v>44864</v>
      </c>
      <c r="G42" t="s">
        <v>5131</v>
      </c>
      <c r="H42" t="s">
        <v>782</v>
      </c>
      <c r="M42" t="s">
        <v>150</v>
      </c>
      <c r="N42" t="s">
        <v>5014</v>
      </c>
      <c r="O42" t="s">
        <v>781</v>
      </c>
      <c r="P42" t="b">
        <v>0</v>
      </c>
      <c r="R42" t="s">
        <v>52</v>
      </c>
      <c r="S42" t="s">
        <v>6146</v>
      </c>
      <c r="T42" t="s">
        <v>6173</v>
      </c>
      <c r="U42" t="s">
        <v>6173</v>
      </c>
      <c r="W42" t="s">
        <v>5067</v>
      </c>
      <c r="X42" t="s">
        <v>6189</v>
      </c>
      <c r="Z42" s="2">
        <v>180</v>
      </c>
      <c r="AA42" t="s">
        <v>782</v>
      </c>
      <c r="AB42" t="s">
        <v>52</v>
      </c>
      <c r="AC42" t="b">
        <v>0</v>
      </c>
      <c r="AD42" t="s">
        <v>6239</v>
      </c>
      <c r="AE42" t="s">
        <v>527</v>
      </c>
      <c r="AF42" t="s">
        <v>6157</v>
      </c>
      <c r="AG42" t="s">
        <v>5054</v>
      </c>
      <c r="AH42" t="s">
        <v>6338</v>
      </c>
      <c r="AI42" t="s">
        <v>6339</v>
      </c>
      <c r="AJ42" t="s">
        <v>6340</v>
      </c>
      <c r="AK42" t="s">
        <v>6154</v>
      </c>
      <c r="AL42">
        <v>0.5</v>
      </c>
      <c r="AN42" s="6" t="str">
        <f>Students[[#This Row],[Name]]&amp;"|"&amp;LOWER(TRIM(Students[[#This Row],[Guardian_Email__c]]))</f>
        <v>Leo Mitchell|</v>
      </c>
      <c r="AO42">
        <f>COUNTIF(Students[Dup Key],Students[[#This Row],[Dup Key]])</f>
        <v>1</v>
      </c>
    </row>
    <row r="43" spans="1:41">
      <c r="A43">
        <v>16</v>
      </c>
      <c r="B43" s="1">
        <v>40120</v>
      </c>
      <c r="C43">
        <v>0</v>
      </c>
      <c r="D43" t="s">
        <v>52</v>
      </c>
      <c r="E43" t="s">
        <v>6141</v>
      </c>
      <c r="F43" s="1">
        <v>44782</v>
      </c>
      <c r="G43" t="s">
        <v>5431</v>
      </c>
      <c r="H43" t="s">
        <v>799</v>
      </c>
      <c r="I43" t="s">
        <v>6341</v>
      </c>
      <c r="J43" t="s">
        <v>5698</v>
      </c>
      <c r="K43" t="s">
        <v>5052</v>
      </c>
      <c r="L43" t="s">
        <v>6342</v>
      </c>
      <c r="M43" t="s">
        <v>63</v>
      </c>
      <c r="N43" t="s">
        <v>5018</v>
      </c>
      <c r="O43" t="s">
        <v>798</v>
      </c>
      <c r="P43" t="b">
        <v>0</v>
      </c>
      <c r="R43" t="s">
        <v>52</v>
      </c>
      <c r="S43" t="s">
        <v>6146</v>
      </c>
      <c r="T43" t="s">
        <v>6173</v>
      </c>
      <c r="U43" t="s">
        <v>6173</v>
      </c>
      <c r="W43" t="s">
        <v>5052</v>
      </c>
      <c r="X43" t="s">
        <v>6148</v>
      </c>
      <c r="Y43" t="s">
        <v>6343</v>
      </c>
      <c r="Z43" s="2">
        <v>180</v>
      </c>
      <c r="AA43" t="s">
        <v>799</v>
      </c>
      <c r="AB43" t="s">
        <v>52</v>
      </c>
      <c r="AC43" t="b">
        <v>0</v>
      </c>
      <c r="AD43" t="s">
        <v>6239</v>
      </c>
      <c r="AE43" t="s">
        <v>650</v>
      </c>
      <c r="AF43" t="s">
        <v>6157</v>
      </c>
      <c r="AG43" t="s">
        <v>6152</v>
      </c>
      <c r="AI43" t="s">
        <v>6344</v>
      </c>
      <c r="AK43" t="s">
        <v>6154</v>
      </c>
      <c r="AL43">
        <v>1</v>
      </c>
      <c r="AN43" s="6" t="str">
        <f>Students[[#This Row],[Name]]&amp;"|"&amp;LOWER(TRIM(Students[[#This Row],[Guardian_Email__c]]))</f>
        <v>Naomi Rodriguez|abigail.rodriguez@gmail.com</v>
      </c>
      <c r="AO43">
        <f>COUNTIF(Students[Dup Key],Students[[#This Row],[Dup Key]])</f>
        <v>1</v>
      </c>
    </row>
    <row r="44" spans="1:41">
      <c r="A44">
        <v>7</v>
      </c>
      <c r="B44" s="1">
        <v>43554</v>
      </c>
      <c r="C44">
        <v>0</v>
      </c>
      <c r="D44" t="s">
        <v>52</v>
      </c>
      <c r="E44" t="s">
        <v>6141</v>
      </c>
      <c r="F44" s="1">
        <v>44855</v>
      </c>
      <c r="G44" t="s">
        <v>5388</v>
      </c>
      <c r="H44" t="s">
        <v>809</v>
      </c>
      <c r="I44" t="s">
        <v>6345</v>
      </c>
      <c r="J44" t="s">
        <v>5292</v>
      </c>
      <c r="K44" t="s">
        <v>5100</v>
      </c>
      <c r="L44" t="s">
        <v>6346</v>
      </c>
      <c r="M44" t="s">
        <v>63</v>
      </c>
      <c r="N44" t="s">
        <v>5018</v>
      </c>
      <c r="O44" t="s">
        <v>808</v>
      </c>
      <c r="P44" t="b">
        <v>0</v>
      </c>
      <c r="R44" t="s">
        <v>52</v>
      </c>
      <c r="S44" t="s">
        <v>6146</v>
      </c>
      <c r="T44" t="s">
        <v>6173</v>
      </c>
      <c r="U44" t="s">
        <v>6173</v>
      </c>
      <c r="W44" t="s">
        <v>5100</v>
      </c>
      <c r="X44" t="s">
        <v>6148</v>
      </c>
      <c r="Z44" s="2">
        <v>200</v>
      </c>
      <c r="AA44" t="s">
        <v>809</v>
      </c>
      <c r="AB44" t="s">
        <v>52</v>
      </c>
      <c r="AC44" t="b">
        <v>0</v>
      </c>
      <c r="AD44" t="s">
        <v>6193</v>
      </c>
      <c r="AE44" t="s">
        <v>147</v>
      </c>
      <c r="AF44" t="s">
        <v>6157</v>
      </c>
      <c r="AG44" t="s">
        <v>5054</v>
      </c>
      <c r="AI44" t="s">
        <v>6347</v>
      </c>
      <c r="AK44" t="s">
        <v>6154</v>
      </c>
      <c r="AL44">
        <v>1</v>
      </c>
      <c r="AN44" s="6" t="str">
        <f>Students[[#This Row],[Name]]&amp;"|"&amp;LOWER(TRIM(Students[[#This Row],[Guardian_Email__c]]))</f>
        <v>Ruby Taylor|avataylor32@icloud.com</v>
      </c>
      <c r="AO44">
        <f>COUNTIF(Students[Dup Key],Students[[#This Row],[Dup Key]])</f>
        <v>1</v>
      </c>
    </row>
    <row r="45" spans="1:41">
      <c r="A45">
        <v>8</v>
      </c>
      <c r="B45" s="1">
        <v>43044</v>
      </c>
      <c r="C45">
        <v>0</v>
      </c>
      <c r="D45" t="s">
        <v>52</v>
      </c>
      <c r="E45" t="s">
        <v>6141</v>
      </c>
      <c r="F45" s="1">
        <v>44662</v>
      </c>
      <c r="G45" t="s">
        <v>5354</v>
      </c>
      <c r="H45" t="s">
        <v>832</v>
      </c>
      <c r="I45" t="s">
        <v>6348</v>
      </c>
      <c r="J45" t="s">
        <v>6349</v>
      </c>
      <c r="K45" t="s">
        <v>5278</v>
      </c>
      <c r="L45" t="s">
        <v>6350</v>
      </c>
      <c r="M45" t="s">
        <v>63</v>
      </c>
      <c r="N45" t="s">
        <v>5018</v>
      </c>
      <c r="O45" t="s">
        <v>831</v>
      </c>
      <c r="P45" t="b">
        <v>0</v>
      </c>
      <c r="R45" t="s">
        <v>52</v>
      </c>
      <c r="S45" t="s">
        <v>6146</v>
      </c>
      <c r="T45" t="s">
        <v>6173</v>
      </c>
      <c r="U45" t="s">
        <v>6173</v>
      </c>
      <c r="W45" t="s">
        <v>5278</v>
      </c>
      <c r="X45" t="s">
        <v>6148</v>
      </c>
      <c r="Z45" s="2">
        <v>180</v>
      </c>
      <c r="AA45" t="s">
        <v>832</v>
      </c>
      <c r="AB45" t="s">
        <v>52</v>
      </c>
      <c r="AC45" t="b">
        <v>0</v>
      </c>
      <c r="AD45" t="s">
        <v>6166</v>
      </c>
      <c r="AE45" t="s">
        <v>78</v>
      </c>
      <c r="AF45" t="s">
        <v>6151</v>
      </c>
      <c r="AG45" t="s">
        <v>5054</v>
      </c>
      <c r="AI45" t="s">
        <v>6351</v>
      </c>
      <c r="AK45" t="s">
        <v>6154</v>
      </c>
      <c r="AL45">
        <v>1</v>
      </c>
      <c r="AN45" s="6" t="str">
        <f>Students[[#This Row],[Name]]&amp;"|"&amp;LOWER(TRIM(Students[[#This Row],[Guardian_Email__c]]))</f>
        <v>Isaac Harris|vharris@gmail.com</v>
      </c>
      <c r="AO45">
        <f>COUNTIF(Students[Dup Key],Students[[#This Row],[Dup Key]])</f>
        <v>1</v>
      </c>
    </row>
    <row r="46" spans="1:41">
      <c r="C46">
        <v>1</v>
      </c>
      <c r="D46" t="s">
        <v>52</v>
      </c>
      <c r="E46" t="s">
        <v>6141</v>
      </c>
      <c r="F46" s="1">
        <v>46189</v>
      </c>
      <c r="G46" t="s">
        <v>5966</v>
      </c>
      <c r="H46" t="s">
        <v>845</v>
      </c>
      <c r="I46" t="s">
        <v>6352</v>
      </c>
      <c r="J46" t="s">
        <v>5408</v>
      </c>
      <c r="K46" t="s">
        <v>5441</v>
      </c>
      <c r="L46" t="s">
        <v>6353</v>
      </c>
      <c r="M46" t="s">
        <v>83</v>
      </c>
      <c r="N46" t="s">
        <v>5016</v>
      </c>
      <c r="O46" t="s">
        <v>844</v>
      </c>
      <c r="P46" t="b">
        <v>0</v>
      </c>
      <c r="R46" t="s">
        <v>52</v>
      </c>
      <c r="S46" t="s">
        <v>6354</v>
      </c>
      <c r="T46" t="s">
        <v>6354</v>
      </c>
      <c r="U46" t="s">
        <v>6354</v>
      </c>
      <c r="V46" s="1">
        <v>46235</v>
      </c>
      <c r="W46" t="s">
        <v>5441</v>
      </c>
      <c r="X46" t="s">
        <v>6148</v>
      </c>
      <c r="Z46" s="2">
        <v>240</v>
      </c>
      <c r="AA46" t="s">
        <v>845</v>
      </c>
      <c r="AB46" t="s">
        <v>52</v>
      </c>
      <c r="AC46" t="b">
        <v>0</v>
      </c>
      <c r="AD46" t="s">
        <v>6174</v>
      </c>
      <c r="AE46" t="s">
        <v>58</v>
      </c>
      <c r="AF46" t="s">
        <v>6200</v>
      </c>
      <c r="AG46" t="s">
        <v>5054</v>
      </c>
      <c r="AI46" t="s">
        <v>6355</v>
      </c>
      <c r="AK46" t="s">
        <v>6154</v>
      </c>
      <c r="AL46">
        <v>1</v>
      </c>
      <c r="AN46" s="6" t="str">
        <f>Students[[#This Row],[Name]]&amp;"|"&amp;LOWER(TRIM(Students[[#This Row],[Guardian_Email__c]]))</f>
        <v>Henry Brown|james.brown@outlook.com</v>
      </c>
      <c r="AO46">
        <f>COUNTIF(Students[Dup Key],Students[[#This Row],[Dup Key]])</f>
        <v>1</v>
      </c>
    </row>
    <row r="47" spans="1:41">
      <c r="A47">
        <v>8</v>
      </c>
      <c r="B47" s="1">
        <v>43178</v>
      </c>
      <c r="C47">
        <v>0</v>
      </c>
      <c r="D47" t="s">
        <v>52</v>
      </c>
      <c r="E47" t="s">
        <v>6141</v>
      </c>
      <c r="F47" s="1">
        <v>45990</v>
      </c>
      <c r="G47" t="s">
        <v>5118</v>
      </c>
      <c r="H47" t="s">
        <v>867</v>
      </c>
      <c r="I47" t="s">
        <v>6356</v>
      </c>
      <c r="J47" t="s">
        <v>6142</v>
      </c>
      <c r="K47" t="s">
        <v>5143</v>
      </c>
      <c r="L47" t="s">
        <v>6357</v>
      </c>
      <c r="M47" t="s">
        <v>63</v>
      </c>
      <c r="N47" t="s">
        <v>5018</v>
      </c>
      <c r="O47" t="s">
        <v>866</v>
      </c>
      <c r="P47" t="b">
        <v>0</v>
      </c>
      <c r="R47" t="s">
        <v>52</v>
      </c>
      <c r="S47" t="s">
        <v>6146</v>
      </c>
      <c r="T47" t="s">
        <v>6228</v>
      </c>
      <c r="U47" t="s">
        <v>6228</v>
      </c>
      <c r="W47" t="s">
        <v>5143</v>
      </c>
      <c r="X47" t="s">
        <v>6148</v>
      </c>
      <c r="Z47" s="2">
        <v>180</v>
      </c>
      <c r="AA47" t="s">
        <v>867</v>
      </c>
      <c r="AB47" t="s">
        <v>52</v>
      </c>
      <c r="AC47" t="b">
        <v>0</v>
      </c>
      <c r="AD47" t="s">
        <v>6150</v>
      </c>
      <c r="AE47" t="s">
        <v>284</v>
      </c>
      <c r="AF47" t="s">
        <v>6200</v>
      </c>
      <c r="AG47" t="s">
        <v>5054</v>
      </c>
      <c r="AI47" t="s">
        <v>6358</v>
      </c>
      <c r="AK47" t="s">
        <v>6154</v>
      </c>
      <c r="AL47">
        <v>1</v>
      </c>
      <c r="AN47" s="6" t="str">
        <f>Students[[#This Row],[Name]]&amp;"|"&amp;LOWER(TRIM(Students[[#This Row],[Guardian_Email__c]]))</f>
        <v>Aubrey Clark|malachiclark@outlook.com</v>
      </c>
      <c r="AO47">
        <f>COUNTIF(Students[Dup Key],Students[[#This Row],[Dup Key]])</f>
        <v>1</v>
      </c>
    </row>
    <row r="48" spans="1:41">
      <c r="A48">
        <v>10</v>
      </c>
      <c r="B48" s="1">
        <v>42440</v>
      </c>
      <c r="C48">
        <v>0</v>
      </c>
      <c r="D48" t="s">
        <v>52</v>
      </c>
      <c r="E48" t="s">
        <v>6141</v>
      </c>
      <c r="F48" s="1">
        <v>44643</v>
      </c>
      <c r="G48" t="s">
        <v>5380</v>
      </c>
      <c r="H48" t="s">
        <v>6359</v>
      </c>
      <c r="I48" t="s">
        <v>6360</v>
      </c>
      <c r="J48" t="s">
        <v>5370</v>
      </c>
      <c r="K48" t="s">
        <v>5763</v>
      </c>
      <c r="L48" t="s">
        <v>6361</v>
      </c>
      <c r="M48" t="s">
        <v>63</v>
      </c>
      <c r="N48" t="s">
        <v>5018</v>
      </c>
      <c r="O48" t="s">
        <v>6362</v>
      </c>
      <c r="P48" t="b">
        <v>0</v>
      </c>
      <c r="R48" t="s">
        <v>52</v>
      </c>
      <c r="S48" t="s">
        <v>6223</v>
      </c>
      <c r="T48" t="s">
        <v>6173</v>
      </c>
      <c r="U48" t="s">
        <v>6173</v>
      </c>
      <c r="W48" t="s">
        <v>5763</v>
      </c>
      <c r="X48" t="s">
        <v>6148</v>
      </c>
      <c r="Z48" s="2">
        <v>160</v>
      </c>
      <c r="AA48" t="s">
        <v>6359</v>
      </c>
      <c r="AB48" t="s">
        <v>52</v>
      </c>
      <c r="AC48" t="b">
        <v>0</v>
      </c>
      <c r="AD48" t="s">
        <v>6239</v>
      </c>
      <c r="AE48" t="s">
        <v>107</v>
      </c>
      <c r="AF48" t="s">
        <v>6157</v>
      </c>
      <c r="AG48" t="s">
        <v>6224</v>
      </c>
      <c r="AI48" t="s">
        <v>6363</v>
      </c>
      <c r="AK48" t="s">
        <v>6154</v>
      </c>
      <c r="AL48">
        <v>1</v>
      </c>
      <c r="AM48" s="1">
        <v>45983</v>
      </c>
      <c r="AN48" s="6" t="str">
        <f>Students[[#This Row],[Name]]&amp;"|"&amp;LOWER(TRIM(Students[[#This Row],[Guardian_Email__c]]))</f>
        <v>Paisley Chen|loganchen@hotmail.com</v>
      </c>
      <c r="AO48">
        <f>COUNTIF(Students[Dup Key],Students[[#This Row],[Dup Key]])</f>
        <v>1</v>
      </c>
    </row>
    <row r="49" spans="1:41">
      <c r="A49">
        <v>7</v>
      </c>
      <c r="B49" s="1">
        <v>43669</v>
      </c>
      <c r="C49">
        <v>2</v>
      </c>
      <c r="D49" t="s">
        <v>52</v>
      </c>
      <c r="E49" t="s">
        <v>6141</v>
      </c>
      <c r="F49" s="1">
        <v>45738</v>
      </c>
      <c r="G49" t="s">
        <v>6364</v>
      </c>
      <c r="H49" t="s">
        <v>890</v>
      </c>
      <c r="I49" t="s">
        <v>6365</v>
      </c>
      <c r="J49" t="s">
        <v>5470</v>
      </c>
      <c r="K49" t="s">
        <v>5272</v>
      </c>
      <c r="L49" t="s">
        <v>6366</v>
      </c>
      <c r="M49" t="s">
        <v>63</v>
      </c>
      <c r="N49" t="s">
        <v>5018</v>
      </c>
      <c r="O49" t="s">
        <v>889</v>
      </c>
      <c r="P49" t="b">
        <v>0</v>
      </c>
      <c r="R49" t="s">
        <v>52</v>
      </c>
      <c r="S49" t="s">
        <v>6146</v>
      </c>
      <c r="T49" t="s">
        <v>6228</v>
      </c>
      <c r="U49" t="s">
        <v>6228</v>
      </c>
      <c r="V49" s="1">
        <v>46258</v>
      </c>
      <c r="W49" t="s">
        <v>5272</v>
      </c>
      <c r="X49" t="s">
        <v>6189</v>
      </c>
      <c r="Z49" s="2">
        <v>200</v>
      </c>
      <c r="AA49" t="s">
        <v>890</v>
      </c>
      <c r="AB49" t="s">
        <v>52</v>
      </c>
      <c r="AC49" t="b">
        <v>0</v>
      </c>
      <c r="AD49" t="s">
        <v>6239</v>
      </c>
      <c r="AE49" t="s">
        <v>650</v>
      </c>
      <c r="AF49" t="s">
        <v>6200</v>
      </c>
      <c r="AG49" t="s">
        <v>5054</v>
      </c>
      <c r="AI49" t="s">
        <v>6367</v>
      </c>
      <c r="AK49" t="s">
        <v>6154</v>
      </c>
      <c r="AL49">
        <v>0.5</v>
      </c>
      <c r="AN49" s="6" t="str">
        <f>Students[[#This Row],[Name]]&amp;"|"&amp;LOWER(TRIM(Students[[#This Row],[Guardian_Email__c]]))</f>
        <v>Everly Nelson|hudson.nelson@outlook.com</v>
      </c>
      <c r="AO49">
        <f>COUNTIF(Students[Dup Key],Students[[#This Row],[Dup Key]])</f>
        <v>1</v>
      </c>
    </row>
    <row r="50" spans="1:41">
      <c r="A50">
        <v>8</v>
      </c>
      <c r="B50" s="1">
        <v>43130</v>
      </c>
      <c r="C50">
        <v>0</v>
      </c>
      <c r="D50" t="s">
        <v>52</v>
      </c>
      <c r="E50" t="s">
        <v>6141</v>
      </c>
      <c r="F50" s="1">
        <v>45175</v>
      </c>
      <c r="G50" t="s">
        <v>6334</v>
      </c>
      <c r="H50" t="s">
        <v>906</v>
      </c>
      <c r="I50" t="s">
        <v>6368</v>
      </c>
      <c r="J50" t="s">
        <v>5298</v>
      </c>
      <c r="K50" t="s">
        <v>5792</v>
      </c>
      <c r="L50" t="s">
        <v>6369</v>
      </c>
      <c r="M50" t="s">
        <v>63</v>
      </c>
      <c r="N50" t="s">
        <v>5018</v>
      </c>
      <c r="O50" t="s">
        <v>905</v>
      </c>
      <c r="P50" t="b">
        <v>0</v>
      </c>
      <c r="R50" t="s">
        <v>52</v>
      </c>
      <c r="S50" t="s">
        <v>6146</v>
      </c>
      <c r="T50" t="s">
        <v>6228</v>
      </c>
      <c r="U50" t="s">
        <v>6228</v>
      </c>
      <c r="W50" t="s">
        <v>5792</v>
      </c>
      <c r="X50" t="s">
        <v>6148</v>
      </c>
      <c r="Z50" s="2">
        <v>220</v>
      </c>
      <c r="AA50" t="s">
        <v>906</v>
      </c>
      <c r="AB50" t="s">
        <v>52</v>
      </c>
      <c r="AC50" t="b">
        <v>0</v>
      </c>
      <c r="AD50" t="s">
        <v>6239</v>
      </c>
      <c r="AE50" t="s">
        <v>237</v>
      </c>
      <c r="AF50" t="s">
        <v>6157</v>
      </c>
      <c r="AG50" t="s">
        <v>5054</v>
      </c>
      <c r="AI50" t="s">
        <v>6370</v>
      </c>
      <c r="AK50" t="s">
        <v>6154</v>
      </c>
      <c r="AL50">
        <v>1</v>
      </c>
      <c r="AN50" s="6" t="str">
        <f>Students[[#This Row],[Name]]&amp;"|"&amp;LOWER(TRIM(Students[[#This Row],[Guardian_Email__c]]))</f>
        <v>Anna Roberts|graceroberts@gmail.com</v>
      </c>
      <c r="AO50">
        <f>COUNTIF(Students[Dup Key],Students[[#This Row],[Dup Key]])</f>
        <v>1</v>
      </c>
    </row>
    <row r="51" spans="1:41">
      <c r="A51">
        <v>15</v>
      </c>
      <c r="B51" s="1">
        <v>40825</v>
      </c>
      <c r="C51">
        <v>0</v>
      </c>
      <c r="D51" t="s">
        <v>52</v>
      </c>
      <c r="E51" t="s">
        <v>6141</v>
      </c>
      <c r="F51" s="1">
        <v>44686</v>
      </c>
      <c r="G51" t="s">
        <v>5836</v>
      </c>
      <c r="H51" t="s">
        <v>928</v>
      </c>
      <c r="I51" t="s">
        <v>6371</v>
      </c>
      <c r="J51" t="s">
        <v>5323</v>
      </c>
      <c r="K51" t="s">
        <v>5797</v>
      </c>
      <c r="L51" t="s">
        <v>6372</v>
      </c>
      <c r="M51" t="s">
        <v>150</v>
      </c>
      <c r="N51" t="s">
        <v>5014</v>
      </c>
      <c r="O51" t="s">
        <v>927</v>
      </c>
      <c r="P51" t="b">
        <v>0</v>
      </c>
      <c r="R51" t="s">
        <v>52</v>
      </c>
      <c r="S51" t="s">
        <v>6146</v>
      </c>
      <c r="T51" t="s">
        <v>6228</v>
      </c>
      <c r="U51" t="s">
        <v>6228</v>
      </c>
      <c r="W51" t="s">
        <v>5797</v>
      </c>
      <c r="X51" t="s">
        <v>6148</v>
      </c>
      <c r="Y51" t="s">
        <v>6373</v>
      </c>
      <c r="Z51" s="2">
        <v>240</v>
      </c>
      <c r="AA51" t="s">
        <v>928</v>
      </c>
      <c r="AB51" t="s">
        <v>52</v>
      </c>
      <c r="AC51" t="b">
        <v>0</v>
      </c>
      <c r="AD51" t="s">
        <v>6239</v>
      </c>
      <c r="AE51" t="s">
        <v>650</v>
      </c>
      <c r="AF51" t="s">
        <v>6157</v>
      </c>
      <c r="AG51" t="s">
        <v>5054</v>
      </c>
      <c r="AI51" t="s">
        <v>6374</v>
      </c>
      <c r="AK51" t="s">
        <v>6154</v>
      </c>
      <c r="AL51">
        <v>1</v>
      </c>
      <c r="AN51" s="6" t="str">
        <f>Students[[#This Row],[Name]]&amp;"|"&amp;LOWER(TRIM(Students[[#This Row],[Guardian_Email__c]]))</f>
        <v>Brooklyn Young|byoung@outlook.com</v>
      </c>
      <c r="AO51">
        <f>COUNTIF(Students[Dup Key],Students[[#This Row],[Dup Key]])</f>
        <v>1</v>
      </c>
    </row>
    <row r="52" spans="1:41">
      <c r="A52">
        <v>10</v>
      </c>
      <c r="B52" s="1">
        <v>42499</v>
      </c>
      <c r="C52">
        <v>1</v>
      </c>
      <c r="D52" t="s">
        <v>52</v>
      </c>
      <c r="E52" t="s">
        <v>6141</v>
      </c>
      <c r="F52" s="1">
        <v>45372</v>
      </c>
      <c r="G52" t="s">
        <v>5842</v>
      </c>
      <c r="H52" t="s">
        <v>936</v>
      </c>
      <c r="I52" t="s">
        <v>6375</v>
      </c>
      <c r="J52" t="s">
        <v>6376</v>
      </c>
      <c r="K52" t="s">
        <v>6144</v>
      </c>
      <c r="L52" t="s">
        <v>6377</v>
      </c>
      <c r="M52" t="s">
        <v>83</v>
      </c>
      <c r="N52" t="s">
        <v>5016</v>
      </c>
      <c r="O52" t="s">
        <v>935</v>
      </c>
      <c r="P52" t="b">
        <v>0</v>
      </c>
      <c r="R52" t="s">
        <v>52</v>
      </c>
      <c r="S52" t="s">
        <v>6146</v>
      </c>
      <c r="T52" t="s">
        <v>6173</v>
      </c>
      <c r="U52" t="s">
        <v>6173</v>
      </c>
      <c r="V52" s="1">
        <v>46080</v>
      </c>
      <c r="W52" t="s">
        <v>6144</v>
      </c>
      <c r="X52" t="s">
        <v>6148</v>
      </c>
      <c r="Z52" s="2">
        <v>220</v>
      </c>
      <c r="AA52" t="s">
        <v>936</v>
      </c>
      <c r="AB52" t="s">
        <v>52</v>
      </c>
      <c r="AC52" t="b">
        <v>0</v>
      </c>
      <c r="AD52" t="s">
        <v>6239</v>
      </c>
      <c r="AE52" t="s">
        <v>527</v>
      </c>
      <c r="AF52" t="s">
        <v>6151</v>
      </c>
      <c r="AG52" t="s">
        <v>5054</v>
      </c>
      <c r="AI52" t="s">
        <v>6378</v>
      </c>
      <c r="AK52" t="s">
        <v>6154</v>
      </c>
      <c r="AL52">
        <v>1</v>
      </c>
      <c r="AN52" s="6" t="str">
        <f>Students[[#This Row],[Name]]&amp;"|"&amp;LOWER(TRIM(Students[[#This Row],[Guardian_Email__c]]))</f>
        <v>Mei White|theowhite@icloud.com</v>
      </c>
      <c r="AO52">
        <f>COUNTIF(Students[Dup Key],Students[[#This Row],[Dup Key]])</f>
        <v>1</v>
      </c>
    </row>
    <row r="53" spans="1:41">
      <c r="A53">
        <v>9</v>
      </c>
      <c r="B53" s="1">
        <v>42904</v>
      </c>
      <c r="C53">
        <v>0</v>
      </c>
      <c r="D53" t="s">
        <v>52</v>
      </c>
      <c r="E53" t="s">
        <v>6141</v>
      </c>
      <c r="F53" s="1">
        <v>45147</v>
      </c>
      <c r="G53" t="s">
        <v>5380</v>
      </c>
      <c r="H53" t="s">
        <v>6379</v>
      </c>
      <c r="I53" t="s">
        <v>6380</v>
      </c>
      <c r="J53" t="s">
        <v>5118</v>
      </c>
      <c r="K53" t="s">
        <v>5067</v>
      </c>
      <c r="L53" t="s">
        <v>6381</v>
      </c>
      <c r="M53" t="s">
        <v>63</v>
      </c>
      <c r="N53" t="s">
        <v>5018</v>
      </c>
      <c r="O53" t="s">
        <v>6382</v>
      </c>
      <c r="P53" t="b">
        <v>0</v>
      </c>
      <c r="R53" t="s">
        <v>52</v>
      </c>
      <c r="S53" t="s">
        <v>6223</v>
      </c>
      <c r="T53" t="s">
        <v>6173</v>
      </c>
      <c r="U53" t="s">
        <v>6173</v>
      </c>
      <c r="W53" t="s">
        <v>5067</v>
      </c>
      <c r="X53" t="s">
        <v>6148</v>
      </c>
      <c r="Z53" s="2">
        <v>180</v>
      </c>
      <c r="AA53" t="s">
        <v>6379</v>
      </c>
      <c r="AB53" t="s">
        <v>52</v>
      </c>
      <c r="AC53" t="b">
        <v>0</v>
      </c>
      <c r="AD53" t="s">
        <v>6150</v>
      </c>
      <c r="AE53" t="s">
        <v>237</v>
      </c>
      <c r="AF53" t="s">
        <v>6151</v>
      </c>
      <c r="AG53" t="s">
        <v>6224</v>
      </c>
      <c r="AI53" t="s">
        <v>6383</v>
      </c>
      <c r="AK53" t="s">
        <v>6154</v>
      </c>
      <c r="AL53">
        <v>1</v>
      </c>
      <c r="AM53" s="1">
        <v>46035</v>
      </c>
      <c r="AN53" s="6" t="str">
        <f>Students[[#This Row],[Name]]&amp;"|"&amp;LOWER(TRIM(Students[[#This Row],[Guardian_Email__c]]))</f>
        <v>Paisley Mitchell|jmitchell@yahoo.com</v>
      </c>
      <c r="AO53">
        <f>COUNTIF(Students[Dup Key],Students[[#This Row],[Dup Key]])</f>
        <v>1</v>
      </c>
    </row>
    <row r="54" spans="1:41">
      <c r="A54">
        <v>7</v>
      </c>
      <c r="B54" s="1">
        <v>43423</v>
      </c>
      <c r="C54">
        <v>0</v>
      </c>
      <c r="D54" t="s">
        <v>52</v>
      </c>
      <c r="E54" t="s">
        <v>6141</v>
      </c>
      <c r="F54" s="1">
        <v>44754</v>
      </c>
      <c r="G54" t="s">
        <v>5719</v>
      </c>
      <c r="H54" t="s">
        <v>949</v>
      </c>
      <c r="I54" t="s">
        <v>6384</v>
      </c>
      <c r="J54" t="s">
        <v>5396</v>
      </c>
      <c r="K54" t="s">
        <v>5196</v>
      </c>
      <c r="L54" t="s">
        <v>6385</v>
      </c>
      <c r="M54" t="s">
        <v>150</v>
      </c>
      <c r="N54" t="s">
        <v>5014</v>
      </c>
      <c r="O54" t="s">
        <v>948</v>
      </c>
      <c r="P54" t="b">
        <v>0</v>
      </c>
      <c r="R54" t="s">
        <v>52</v>
      </c>
      <c r="S54" t="s">
        <v>6146</v>
      </c>
      <c r="T54" t="s">
        <v>6173</v>
      </c>
      <c r="U54" t="s">
        <v>6173</v>
      </c>
      <c r="W54" t="s">
        <v>5196</v>
      </c>
      <c r="X54" t="s">
        <v>6148</v>
      </c>
      <c r="Z54" s="2">
        <v>220</v>
      </c>
      <c r="AA54" t="s">
        <v>949</v>
      </c>
      <c r="AB54" t="s">
        <v>52</v>
      </c>
      <c r="AC54" t="b">
        <v>0</v>
      </c>
      <c r="AD54" t="s">
        <v>6169</v>
      </c>
      <c r="AE54" t="s">
        <v>107</v>
      </c>
      <c r="AF54" t="s">
        <v>6157</v>
      </c>
      <c r="AG54" t="s">
        <v>5054</v>
      </c>
      <c r="AI54" t="s">
        <v>6386</v>
      </c>
      <c r="AK54" t="s">
        <v>6154</v>
      </c>
      <c r="AL54">
        <v>1</v>
      </c>
      <c r="AN54" s="6" t="str">
        <f>Students[[#This Row],[Name]]&amp;"|"&amp;LOWER(TRIM(Students[[#This Row],[Guardian_Email__c]]))</f>
        <v>Skylar Rivera|harperrivera@yahoo.com</v>
      </c>
      <c r="AO54">
        <f>COUNTIF(Students[Dup Key],Students[[#This Row],[Dup Key]])</f>
        <v>1</v>
      </c>
    </row>
    <row r="55" spans="1:41">
      <c r="A55">
        <v>12</v>
      </c>
      <c r="B55" s="1">
        <v>41727</v>
      </c>
      <c r="C55">
        <v>1</v>
      </c>
      <c r="D55" t="s">
        <v>52</v>
      </c>
      <c r="E55" t="s">
        <v>6141</v>
      </c>
      <c r="F55" s="1">
        <v>45857</v>
      </c>
      <c r="G55" t="s">
        <v>5966</v>
      </c>
      <c r="H55" t="s">
        <v>966</v>
      </c>
      <c r="I55" t="s">
        <v>6387</v>
      </c>
      <c r="J55" t="s">
        <v>5114</v>
      </c>
      <c r="K55" t="s">
        <v>5141</v>
      </c>
      <c r="L55" t="s">
        <v>6388</v>
      </c>
      <c r="M55" t="s">
        <v>83</v>
      </c>
      <c r="N55" t="s">
        <v>5016</v>
      </c>
      <c r="O55" t="s">
        <v>965</v>
      </c>
      <c r="P55" t="b">
        <v>0</v>
      </c>
      <c r="R55" t="s">
        <v>52</v>
      </c>
      <c r="S55" t="s">
        <v>6146</v>
      </c>
      <c r="T55" t="s">
        <v>6389</v>
      </c>
      <c r="U55" t="s">
        <v>6389</v>
      </c>
      <c r="V55" s="1">
        <v>46104</v>
      </c>
      <c r="W55" t="s">
        <v>5141</v>
      </c>
      <c r="X55" t="s">
        <v>6148</v>
      </c>
      <c r="Z55" s="2">
        <v>160</v>
      </c>
      <c r="AA55" t="s">
        <v>966</v>
      </c>
      <c r="AB55" t="s">
        <v>52</v>
      </c>
      <c r="AC55" t="b">
        <v>0</v>
      </c>
      <c r="AD55" t="s">
        <v>6193</v>
      </c>
      <c r="AE55" t="s">
        <v>237</v>
      </c>
      <c r="AF55" t="s">
        <v>6200</v>
      </c>
      <c r="AG55" t="s">
        <v>5054</v>
      </c>
      <c r="AI55" t="s">
        <v>6390</v>
      </c>
      <c r="AK55" t="s">
        <v>6154</v>
      </c>
      <c r="AL55">
        <v>1</v>
      </c>
      <c r="AN55" s="6" t="str">
        <f>Students[[#This Row],[Name]]&amp;"|"&amp;LOWER(TRIM(Students[[#This Row],[Guardian_Email__c]]))</f>
        <v>Henry Ryan|lucyryan25@gmail.com</v>
      </c>
      <c r="AO55">
        <f>COUNTIF(Students[Dup Key],Students[[#This Row],[Dup Key]])</f>
        <v>1</v>
      </c>
    </row>
    <row r="56" spans="1:41">
      <c r="A56">
        <v>11</v>
      </c>
      <c r="B56" s="1">
        <v>41939</v>
      </c>
      <c r="C56">
        <v>2</v>
      </c>
      <c r="D56" t="s">
        <v>52</v>
      </c>
      <c r="E56" t="s">
        <v>6141</v>
      </c>
      <c r="F56" s="1">
        <v>45777</v>
      </c>
      <c r="G56" t="s">
        <v>6391</v>
      </c>
      <c r="H56" t="s">
        <v>988</v>
      </c>
      <c r="I56" t="s">
        <v>6392</v>
      </c>
      <c r="J56" t="s">
        <v>5396</v>
      </c>
      <c r="K56" t="s">
        <v>5256</v>
      </c>
      <c r="L56" t="s">
        <v>6393</v>
      </c>
      <c r="M56" t="s">
        <v>63</v>
      </c>
      <c r="N56" t="s">
        <v>5018</v>
      </c>
      <c r="O56" t="s">
        <v>987</v>
      </c>
      <c r="P56" t="b">
        <v>0</v>
      </c>
      <c r="R56" t="s">
        <v>52</v>
      </c>
      <c r="S56" t="s">
        <v>6146</v>
      </c>
      <c r="T56" t="s">
        <v>6173</v>
      </c>
      <c r="U56" t="s">
        <v>6173</v>
      </c>
      <c r="V56" s="1">
        <v>46103</v>
      </c>
      <c r="W56" t="s">
        <v>5256</v>
      </c>
      <c r="X56" t="s">
        <v>6148</v>
      </c>
      <c r="Z56" s="2">
        <v>240</v>
      </c>
      <c r="AA56" t="s">
        <v>988</v>
      </c>
      <c r="AB56" t="s">
        <v>52</v>
      </c>
      <c r="AC56" t="b">
        <v>0</v>
      </c>
      <c r="AD56" t="s">
        <v>6166</v>
      </c>
      <c r="AE56" t="s">
        <v>237</v>
      </c>
      <c r="AF56" t="s">
        <v>6157</v>
      </c>
      <c r="AG56" t="s">
        <v>6152</v>
      </c>
      <c r="AI56" t="s">
        <v>6394</v>
      </c>
      <c r="AK56" t="s">
        <v>6154</v>
      </c>
      <c r="AL56">
        <v>1</v>
      </c>
      <c r="AN56" s="6" t="str">
        <f>Students[[#This Row],[Name]]&amp;"|"&amp;LOWER(TRIM(Students[[#This Row],[Guardian_Email__c]]))</f>
        <v>Grace Sanchez|hazel.sanchez@yahoo.com</v>
      </c>
      <c r="AO56">
        <f>COUNTIF(Students[Dup Key],Students[[#This Row],[Dup Key]])</f>
        <v>1</v>
      </c>
    </row>
    <row r="57" spans="1:41">
      <c r="A57">
        <v>17</v>
      </c>
      <c r="B57" s="1">
        <v>39990</v>
      </c>
      <c r="C57">
        <v>0</v>
      </c>
      <c r="D57" t="s">
        <v>52</v>
      </c>
      <c r="E57" t="s">
        <v>6141</v>
      </c>
      <c r="F57" s="1">
        <v>45893</v>
      </c>
      <c r="G57" t="s">
        <v>6395</v>
      </c>
      <c r="H57" t="s">
        <v>6396</v>
      </c>
      <c r="I57" t="s">
        <v>6397</v>
      </c>
      <c r="J57" t="s">
        <v>5866</v>
      </c>
      <c r="K57" t="s">
        <v>5294</v>
      </c>
      <c r="L57" t="s">
        <v>6398</v>
      </c>
      <c r="M57" t="s">
        <v>83</v>
      </c>
      <c r="N57" t="s">
        <v>5016</v>
      </c>
      <c r="O57" t="s">
        <v>6399</v>
      </c>
      <c r="P57" t="b">
        <v>0</v>
      </c>
      <c r="R57" t="s">
        <v>52</v>
      </c>
      <c r="S57" t="s">
        <v>6223</v>
      </c>
      <c r="T57" t="s">
        <v>6173</v>
      </c>
      <c r="U57" t="s">
        <v>6173</v>
      </c>
      <c r="W57" t="s">
        <v>5294</v>
      </c>
      <c r="X57" t="s">
        <v>6148</v>
      </c>
      <c r="Y57" t="s">
        <v>6400</v>
      </c>
      <c r="Z57" s="2">
        <v>200</v>
      </c>
      <c r="AA57" t="s">
        <v>6396</v>
      </c>
      <c r="AB57" t="s">
        <v>52</v>
      </c>
      <c r="AC57" t="b">
        <v>0</v>
      </c>
      <c r="AD57" t="s">
        <v>6239</v>
      </c>
      <c r="AE57" t="s">
        <v>237</v>
      </c>
      <c r="AF57" t="s">
        <v>6157</v>
      </c>
      <c r="AG57" t="s">
        <v>6224</v>
      </c>
      <c r="AI57" t="s">
        <v>6401</v>
      </c>
      <c r="AK57" t="s">
        <v>6154</v>
      </c>
      <c r="AL57">
        <v>1</v>
      </c>
      <c r="AM57" s="1">
        <v>46039</v>
      </c>
      <c r="AN57" s="6" t="str">
        <f>Students[[#This Row],[Name]]&amp;"|"&amp;LOWER(TRIM(Students[[#This Row],[Guardian_Email__c]]))</f>
        <v>Lincoln Jackson|matthew.jackson@outlook.com</v>
      </c>
      <c r="AO57">
        <f>COUNTIF(Students[Dup Key],Students[[#This Row],[Dup Key]])</f>
        <v>1</v>
      </c>
    </row>
    <row r="58" spans="1:41">
      <c r="A58">
        <v>17</v>
      </c>
      <c r="B58" s="1">
        <v>39858</v>
      </c>
      <c r="C58">
        <v>2</v>
      </c>
      <c r="D58" t="s">
        <v>52</v>
      </c>
      <c r="E58" t="s">
        <v>6141</v>
      </c>
      <c r="F58" s="1">
        <v>46092</v>
      </c>
      <c r="G58" t="s">
        <v>5740</v>
      </c>
      <c r="H58" t="s">
        <v>1005</v>
      </c>
      <c r="I58" t="s">
        <v>6402</v>
      </c>
      <c r="J58" t="s">
        <v>5209</v>
      </c>
      <c r="K58" t="s">
        <v>5106</v>
      </c>
      <c r="L58" t="s">
        <v>6403</v>
      </c>
      <c r="M58" t="s">
        <v>150</v>
      </c>
      <c r="N58" t="s">
        <v>5014</v>
      </c>
      <c r="O58" t="s">
        <v>1004</v>
      </c>
      <c r="P58" t="b">
        <v>0</v>
      </c>
      <c r="R58" t="s">
        <v>52</v>
      </c>
      <c r="S58" t="s">
        <v>6146</v>
      </c>
      <c r="T58" t="s">
        <v>6228</v>
      </c>
      <c r="U58" t="s">
        <v>6228</v>
      </c>
      <c r="V58" s="1">
        <v>46072</v>
      </c>
      <c r="W58" t="s">
        <v>5106</v>
      </c>
      <c r="X58" t="s">
        <v>6148</v>
      </c>
      <c r="Y58" t="s">
        <v>6404</v>
      </c>
      <c r="Z58" s="2">
        <v>200</v>
      </c>
      <c r="AA58" t="s">
        <v>1005</v>
      </c>
      <c r="AB58" t="s">
        <v>52</v>
      </c>
      <c r="AC58" t="b">
        <v>0</v>
      </c>
      <c r="AD58" t="s">
        <v>6150</v>
      </c>
      <c r="AE58" t="s">
        <v>237</v>
      </c>
      <c r="AF58" t="s">
        <v>6200</v>
      </c>
      <c r="AG58" t="s">
        <v>5054</v>
      </c>
      <c r="AI58" t="s">
        <v>6405</v>
      </c>
      <c r="AK58" t="s">
        <v>6154</v>
      </c>
      <c r="AL58">
        <v>1</v>
      </c>
      <c r="AN58" s="6" t="str">
        <f>Students[[#This Row],[Name]]&amp;"|"&amp;LOWER(TRIM(Students[[#This Row],[Guardian_Email__c]]))</f>
        <v>Anthony Nakamura|danielnakamura@icloud.com</v>
      </c>
      <c r="AO58">
        <f>COUNTIF(Students[Dup Key],Students[[#This Row],[Dup Key]])</f>
        <v>1</v>
      </c>
    </row>
    <row r="59" spans="1:41">
      <c r="A59">
        <v>10</v>
      </c>
      <c r="B59" s="1">
        <v>42585</v>
      </c>
      <c r="C59">
        <v>0</v>
      </c>
      <c r="D59" t="s">
        <v>52</v>
      </c>
      <c r="E59" t="s">
        <v>6141</v>
      </c>
      <c r="F59" s="1">
        <v>44988</v>
      </c>
      <c r="G59" t="s">
        <v>5275</v>
      </c>
      <c r="H59" t="s">
        <v>1034</v>
      </c>
      <c r="I59" t="s">
        <v>6406</v>
      </c>
      <c r="J59" t="s">
        <v>5093</v>
      </c>
      <c r="K59" t="s">
        <v>5111</v>
      </c>
      <c r="L59" t="s">
        <v>6407</v>
      </c>
      <c r="M59" t="s">
        <v>83</v>
      </c>
      <c r="N59" t="s">
        <v>5016</v>
      </c>
      <c r="O59" t="s">
        <v>1033</v>
      </c>
      <c r="P59" t="b">
        <v>0</v>
      </c>
      <c r="R59" t="s">
        <v>52</v>
      </c>
      <c r="S59" t="s">
        <v>6146</v>
      </c>
      <c r="T59" t="s">
        <v>6173</v>
      </c>
      <c r="U59" t="s">
        <v>6173</v>
      </c>
      <c r="W59" t="s">
        <v>5111</v>
      </c>
      <c r="X59" t="s">
        <v>6148</v>
      </c>
      <c r="Z59" s="2">
        <v>180</v>
      </c>
      <c r="AA59" t="s">
        <v>1034</v>
      </c>
      <c r="AB59" t="s">
        <v>52</v>
      </c>
      <c r="AC59" t="b">
        <v>0</v>
      </c>
      <c r="AD59" t="s">
        <v>6166</v>
      </c>
      <c r="AE59" t="s">
        <v>78</v>
      </c>
      <c r="AF59" t="s">
        <v>6157</v>
      </c>
      <c r="AG59" t="s">
        <v>5054</v>
      </c>
      <c r="AI59" t="s">
        <v>6408</v>
      </c>
      <c r="AK59" t="s">
        <v>6154</v>
      </c>
      <c r="AL59">
        <v>1</v>
      </c>
      <c r="AN59" s="6" t="str">
        <f>Students[[#This Row],[Name]]&amp;"|"&amp;LOWER(TRIM(Students[[#This Row],[Guardian_Email__c]]))</f>
        <v>Sofia Johnson|tylerjohnson79@yahoo.com</v>
      </c>
      <c r="AO59">
        <f>COUNTIF(Students[Dup Key],Students[[#This Row],[Dup Key]])</f>
        <v>2</v>
      </c>
    </row>
    <row r="60" spans="1:41">
      <c r="A60">
        <v>24</v>
      </c>
      <c r="B60" s="1">
        <v>37467</v>
      </c>
      <c r="C60">
        <v>1</v>
      </c>
      <c r="D60" t="s">
        <v>52</v>
      </c>
      <c r="E60" t="s">
        <v>6141</v>
      </c>
      <c r="F60" s="1">
        <v>45480</v>
      </c>
      <c r="G60" t="s">
        <v>5209</v>
      </c>
      <c r="H60" t="s">
        <v>1048</v>
      </c>
      <c r="M60" t="s">
        <v>83</v>
      </c>
      <c r="N60" t="s">
        <v>5016</v>
      </c>
      <c r="O60" t="s">
        <v>1047</v>
      </c>
      <c r="P60" t="b">
        <v>0</v>
      </c>
      <c r="R60" t="s">
        <v>52</v>
      </c>
      <c r="S60" t="s">
        <v>6146</v>
      </c>
      <c r="T60" t="s">
        <v>6173</v>
      </c>
      <c r="U60" t="s">
        <v>6173</v>
      </c>
      <c r="V60" s="1">
        <v>46279</v>
      </c>
      <c r="W60" t="s">
        <v>5143</v>
      </c>
      <c r="X60" t="s">
        <v>6148</v>
      </c>
      <c r="Z60" s="2">
        <v>160</v>
      </c>
      <c r="AA60" t="s">
        <v>1048</v>
      </c>
      <c r="AB60" t="s">
        <v>52</v>
      </c>
      <c r="AC60" t="b">
        <v>0</v>
      </c>
      <c r="AD60" t="s">
        <v>6166</v>
      </c>
      <c r="AE60" t="s">
        <v>461</v>
      </c>
      <c r="AF60" t="s">
        <v>6157</v>
      </c>
      <c r="AG60" t="s">
        <v>5054</v>
      </c>
      <c r="AH60" t="s">
        <v>6409</v>
      </c>
      <c r="AI60" t="s">
        <v>6410</v>
      </c>
      <c r="AJ60" t="s">
        <v>6411</v>
      </c>
      <c r="AK60" t="s">
        <v>6154</v>
      </c>
      <c r="AL60">
        <v>1</v>
      </c>
      <c r="AN60" s="6" t="str">
        <f>Students[[#This Row],[Name]]&amp;"|"&amp;LOWER(TRIM(Students[[#This Row],[Guardian_Email__c]]))</f>
        <v>Omar Clark|</v>
      </c>
      <c r="AO60">
        <f>COUNTIF(Students[Dup Key],Students[[#This Row],[Dup Key]])</f>
        <v>1</v>
      </c>
    </row>
    <row r="61" spans="1:41">
      <c r="A61">
        <v>10</v>
      </c>
      <c r="B61" s="1">
        <v>42449</v>
      </c>
      <c r="C61">
        <v>0</v>
      </c>
      <c r="D61" t="s">
        <v>52</v>
      </c>
      <c r="E61" t="s">
        <v>6141</v>
      </c>
      <c r="F61" s="1">
        <v>45094</v>
      </c>
      <c r="G61" t="s">
        <v>5158</v>
      </c>
      <c r="H61" t="s">
        <v>1056</v>
      </c>
      <c r="I61" t="s">
        <v>6412</v>
      </c>
      <c r="J61" t="s">
        <v>6413</v>
      </c>
      <c r="K61" t="s">
        <v>5243</v>
      </c>
      <c r="L61" t="s">
        <v>6414</v>
      </c>
      <c r="M61" t="s">
        <v>63</v>
      </c>
      <c r="N61" t="s">
        <v>5018</v>
      </c>
      <c r="O61" t="s">
        <v>1055</v>
      </c>
      <c r="P61" t="b">
        <v>0</v>
      </c>
      <c r="R61" t="s">
        <v>52</v>
      </c>
      <c r="S61" t="s">
        <v>6146</v>
      </c>
      <c r="T61" t="s">
        <v>6173</v>
      </c>
      <c r="U61" t="s">
        <v>6173</v>
      </c>
      <c r="W61" t="s">
        <v>5243</v>
      </c>
      <c r="X61" t="s">
        <v>6189</v>
      </c>
      <c r="Z61" s="2">
        <v>160</v>
      </c>
      <c r="AA61" t="s">
        <v>1056</v>
      </c>
      <c r="AB61" t="s">
        <v>52</v>
      </c>
      <c r="AC61" t="b">
        <v>0</v>
      </c>
      <c r="AD61" t="s">
        <v>6174</v>
      </c>
      <c r="AE61" t="s">
        <v>78</v>
      </c>
      <c r="AF61" t="s">
        <v>6157</v>
      </c>
      <c r="AG61" t="s">
        <v>5054</v>
      </c>
      <c r="AI61" t="s">
        <v>6415</v>
      </c>
      <c r="AK61" t="s">
        <v>6154</v>
      </c>
      <c r="AL61">
        <v>0.5</v>
      </c>
      <c r="AN61" s="6" t="str">
        <f>Students[[#This Row],[Name]]&amp;"|"&amp;LOWER(TRIM(Students[[#This Row],[Guardian_Email__c]]))</f>
        <v>Miles Jones|wyattjones@yahoo.com</v>
      </c>
      <c r="AO61">
        <f>COUNTIF(Students[Dup Key],Students[[#This Row],[Dup Key]])</f>
        <v>1</v>
      </c>
    </row>
    <row r="62" spans="1:41">
      <c r="A62">
        <v>10</v>
      </c>
      <c r="B62" s="1">
        <v>42559</v>
      </c>
      <c r="C62">
        <v>1</v>
      </c>
      <c r="D62" t="s">
        <v>52</v>
      </c>
      <c r="E62" t="s">
        <v>6141</v>
      </c>
      <c r="F62" s="1">
        <v>45429</v>
      </c>
      <c r="G62" t="s">
        <v>5294</v>
      </c>
      <c r="H62" t="s">
        <v>1081</v>
      </c>
      <c r="I62" t="s">
        <v>6416</v>
      </c>
      <c r="J62" t="s">
        <v>5125</v>
      </c>
      <c r="K62" t="s">
        <v>5072</v>
      </c>
      <c r="L62" t="s">
        <v>6417</v>
      </c>
      <c r="M62" t="s">
        <v>83</v>
      </c>
      <c r="N62" t="s">
        <v>5016</v>
      </c>
      <c r="O62" t="s">
        <v>1080</v>
      </c>
      <c r="P62" t="b">
        <v>0</v>
      </c>
      <c r="R62" t="s">
        <v>52</v>
      </c>
      <c r="S62" t="s">
        <v>6146</v>
      </c>
      <c r="T62" t="s">
        <v>6173</v>
      </c>
      <c r="U62" t="s">
        <v>6173</v>
      </c>
      <c r="V62" s="1">
        <v>46040</v>
      </c>
      <c r="W62" t="s">
        <v>5072</v>
      </c>
      <c r="X62" t="s">
        <v>6148</v>
      </c>
      <c r="Z62" s="2">
        <v>220</v>
      </c>
      <c r="AA62" t="s">
        <v>1081</v>
      </c>
      <c r="AB62" t="s">
        <v>52</v>
      </c>
      <c r="AC62" t="b">
        <v>0</v>
      </c>
      <c r="AD62" t="s">
        <v>6169</v>
      </c>
      <c r="AE62" t="s">
        <v>58</v>
      </c>
      <c r="AF62" t="s">
        <v>6200</v>
      </c>
      <c r="AG62" t="s">
        <v>5054</v>
      </c>
      <c r="AI62" t="s">
        <v>6418</v>
      </c>
      <c r="AK62" t="s">
        <v>6154</v>
      </c>
      <c r="AL62">
        <v>1</v>
      </c>
      <c r="AN62" s="6" t="str">
        <f>Students[[#This Row],[Name]]&amp;"|"&amp;LOWER(TRIM(Students[[#This Row],[Guardian_Email__c]]))</f>
        <v>Jackson Sullivan|everly.sullivan@hotmail.com</v>
      </c>
      <c r="AO62">
        <f>COUNTIF(Students[Dup Key],Students[[#This Row],[Dup Key]])</f>
        <v>1</v>
      </c>
    </row>
    <row r="63" spans="1:41">
      <c r="A63">
        <v>15</v>
      </c>
      <c r="B63" s="1">
        <v>40536</v>
      </c>
      <c r="C63">
        <v>1</v>
      </c>
      <c r="D63" t="s">
        <v>52</v>
      </c>
      <c r="E63" t="s">
        <v>6141</v>
      </c>
      <c r="F63" s="1">
        <v>46160</v>
      </c>
      <c r="G63" t="s">
        <v>5505</v>
      </c>
      <c r="H63" t="s">
        <v>1104</v>
      </c>
      <c r="I63" t="s">
        <v>6419</v>
      </c>
      <c r="J63" t="s">
        <v>5740</v>
      </c>
      <c r="K63" t="s">
        <v>5640</v>
      </c>
      <c r="L63" t="s">
        <v>6420</v>
      </c>
      <c r="M63" t="s">
        <v>83</v>
      </c>
      <c r="N63" t="s">
        <v>5016</v>
      </c>
      <c r="O63" t="s">
        <v>1103</v>
      </c>
      <c r="P63" t="b">
        <v>0</v>
      </c>
      <c r="R63" t="s">
        <v>52</v>
      </c>
      <c r="S63" t="s">
        <v>6146</v>
      </c>
      <c r="T63" t="s">
        <v>6228</v>
      </c>
      <c r="U63" t="s">
        <v>6228</v>
      </c>
      <c r="V63" s="1">
        <v>46165</v>
      </c>
      <c r="W63" t="s">
        <v>5640</v>
      </c>
      <c r="X63" t="s">
        <v>6189</v>
      </c>
      <c r="Y63" t="s">
        <v>6421</v>
      </c>
      <c r="Z63" s="2">
        <v>200</v>
      </c>
      <c r="AA63" t="s">
        <v>1104</v>
      </c>
      <c r="AB63" t="s">
        <v>52</v>
      </c>
      <c r="AC63" t="b">
        <v>0</v>
      </c>
      <c r="AD63" t="s">
        <v>6174</v>
      </c>
      <c r="AE63" t="s">
        <v>58</v>
      </c>
      <c r="AF63" t="s">
        <v>6157</v>
      </c>
      <c r="AG63" t="s">
        <v>5054</v>
      </c>
      <c r="AI63" t="s">
        <v>6422</v>
      </c>
      <c r="AK63" t="s">
        <v>6154</v>
      </c>
      <c r="AL63">
        <v>0.5</v>
      </c>
      <c r="AN63" s="6" t="str">
        <f>Students[[#This Row],[Name]]&amp;"|"&amp;LOWER(TRIM(Students[[#This Row],[Guardian_Email__c]]))</f>
        <v>Evelyn Robinson|yusufrobinson@yahoo.com</v>
      </c>
      <c r="AO63">
        <f>COUNTIF(Students[Dup Key],Students[[#This Row],[Dup Key]])</f>
        <v>1</v>
      </c>
    </row>
    <row r="64" spans="1:41">
      <c r="A64">
        <v>12</v>
      </c>
      <c r="B64" s="1">
        <v>41894</v>
      </c>
      <c r="C64">
        <v>0</v>
      </c>
      <c r="D64" t="s">
        <v>52</v>
      </c>
      <c r="E64" t="s">
        <v>6141</v>
      </c>
      <c r="F64" s="1">
        <v>45772</v>
      </c>
      <c r="G64" t="s">
        <v>6391</v>
      </c>
      <c r="H64" t="s">
        <v>1115</v>
      </c>
      <c r="I64" t="s">
        <v>6423</v>
      </c>
      <c r="J64" t="s">
        <v>5114</v>
      </c>
      <c r="K64" t="s">
        <v>5278</v>
      </c>
      <c r="L64" t="s">
        <v>6424</v>
      </c>
      <c r="M64" t="s">
        <v>63</v>
      </c>
      <c r="N64" t="s">
        <v>5018</v>
      </c>
      <c r="O64" t="s">
        <v>1114</v>
      </c>
      <c r="P64" t="b">
        <v>0</v>
      </c>
      <c r="R64" t="s">
        <v>52</v>
      </c>
      <c r="S64" t="s">
        <v>6146</v>
      </c>
      <c r="T64" t="s">
        <v>6173</v>
      </c>
      <c r="U64" t="s">
        <v>6173</v>
      </c>
      <c r="W64" t="s">
        <v>5278</v>
      </c>
      <c r="X64" t="s">
        <v>6148</v>
      </c>
      <c r="Z64" s="2">
        <v>240</v>
      </c>
      <c r="AA64" t="s">
        <v>1115</v>
      </c>
      <c r="AB64" t="s">
        <v>52</v>
      </c>
      <c r="AC64" t="b">
        <v>0</v>
      </c>
      <c r="AD64" t="s">
        <v>6239</v>
      </c>
      <c r="AE64" t="s">
        <v>392</v>
      </c>
      <c r="AF64" t="s">
        <v>6151</v>
      </c>
      <c r="AG64" t="s">
        <v>6152</v>
      </c>
      <c r="AI64" t="s">
        <v>6425</v>
      </c>
      <c r="AK64" t="s">
        <v>6154</v>
      </c>
      <c r="AL64">
        <v>1</v>
      </c>
      <c r="AN64" s="6" t="str">
        <f>Students[[#This Row],[Name]]&amp;"|"&amp;LOWER(TRIM(Students[[#This Row],[Guardian_Email__c]]))</f>
        <v>Grace Harris|aharris@icloud.com</v>
      </c>
      <c r="AO64">
        <f>COUNTIF(Students[Dup Key],Students[[#This Row],[Dup Key]])</f>
        <v>1</v>
      </c>
    </row>
    <row r="65" spans="1:41">
      <c r="A65">
        <v>15</v>
      </c>
      <c r="B65" s="1">
        <v>40473</v>
      </c>
      <c r="C65">
        <v>0</v>
      </c>
      <c r="D65" t="s">
        <v>52</v>
      </c>
      <c r="E65" t="s">
        <v>6141</v>
      </c>
      <c r="F65" s="1">
        <v>44949</v>
      </c>
      <c r="G65" t="s">
        <v>5109</v>
      </c>
      <c r="H65" t="s">
        <v>1135</v>
      </c>
      <c r="I65" t="s">
        <v>6426</v>
      </c>
      <c r="J65" t="s">
        <v>5493</v>
      </c>
      <c r="K65" t="s">
        <v>5243</v>
      </c>
      <c r="L65" t="s">
        <v>6427</v>
      </c>
      <c r="M65" t="s">
        <v>83</v>
      </c>
      <c r="N65" t="s">
        <v>5016</v>
      </c>
      <c r="O65" t="s">
        <v>1134</v>
      </c>
      <c r="P65" t="b">
        <v>0</v>
      </c>
      <c r="R65" t="s">
        <v>52</v>
      </c>
      <c r="S65" t="s">
        <v>6146</v>
      </c>
      <c r="T65" t="s">
        <v>6228</v>
      </c>
      <c r="U65" t="s">
        <v>6228</v>
      </c>
      <c r="W65" t="s">
        <v>5243</v>
      </c>
      <c r="X65" t="s">
        <v>6148</v>
      </c>
      <c r="Y65" t="s">
        <v>6428</v>
      </c>
      <c r="Z65" s="2">
        <v>180</v>
      </c>
      <c r="AA65" t="s">
        <v>1135</v>
      </c>
      <c r="AB65" t="s">
        <v>52</v>
      </c>
      <c r="AC65" t="b">
        <v>0</v>
      </c>
      <c r="AD65" t="s">
        <v>6239</v>
      </c>
      <c r="AE65" t="s">
        <v>284</v>
      </c>
      <c r="AF65" t="s">
        <v>6151</v>
      </c>
      <c r="AG65" t="s">
        <v>5054</v>
      </c>
      <c r="AI65" t="s">
        <v>6429</v>
      </c>
      <c r="AK65" t="s">
        <v>6154</v>
      </c>
      <c r="AL65">
        <v>1</v>
      </c>
      <c r="AN65" s="6" t="str">
        <f>Students[[#This Row],[Name]]&amp;"|"&amp;LOWER(TRIM(Students[[#This Row],[Guardian_Email__c]]))</f>
        <v>Elijah Jones|ezra.jones@gmail.com</v>
      </c>
      <c r="AO65">
        <f>COUNTIF(Students[Dup Key],Students[[#This Row],[Dup Key]])</f>
        <v>1</v>
      </c>
    </row>
    <row r="66" spans="1:41">
      <c r="A66">
        <v>13</v>
      </c>
      <c r="B66" s="1">
        <v>41557</v>
      </c>
      <c r="C66">
        <v>0</v>
      </c>
      <c r="D66" t="s">
        <v>52</v>
      </c>
      <c r="E66" t="s">
        <v>6141</v>
      </c>
      <c r="F66" s="1">
        <v>45824</v>
      </c>
      <c r="G66" t="s">
        <v>5836</v>
      </c>
      <c r="H66" t="s">
        <v>6430</v>
      </c>
      <c r="I66" t="s">
        <v>6431</v>
      </c>
      <c r="J66" t="s">
        <v>5499</v>
      </c>
      <c r="K66" t="s">
        <v>5100</v>
      </c>
      <c r="L66" t="s">
        <v>6432</v>
      </c>
      <c r="M66" t="s">
        <v>83</v>
      </c>
      <c r="N66" t="s">
        <v>5016</v>
      </c>
      <c r="O66" t="s">
        <v>6433</v>
      </c>
      <c r="P66" t="b">
        <v>0</v>
      </c>
      <c r="R66" t="s">
        <v>52</v>
      </c>
      <c r="S66" t="s">
        <v>6223</v>
      </c>
      <c r="T66" t="s">
        <v>6228</v>
      </c>
      <c r="U66" t="s">
        <v>6228</v>
      </c>
      <c r="W66" t="s">
        <v>5100</v>
      </c>
      <c r="X66" t="s">
        <v>6189</v>
      </c>
      <c r="Z66" s="2">
        <v>240</v>
      </c>
      <c r="AA66" t="s">
        <v>6430</v>
      </c>
      <c r="AB66" t="s">
        <v>52</v>
      </c>
      <c r="AC66" t="b">
        <v>0</v>
      </c>
      <c r="AD66" t="s">
        <v>6166</v>
      </c>
      <c r="AE66" t="s">
        <v>58</v>
      </c>
      <c r="AF66" t="s">
        <v>6200</v>
      </c>
      <c r="AG66" t="s">
        <v>6224</v>
      </c>
      <c r="AI66" t="s">
        <v>6434</v>
      </c>
      <c r="AK66" t="s">
        <v>6154</v>
      </c>
      <c r="AL66">
        <v>0.5</v>
      </c>
      <c r="AM66" s="1">
        <v>46121</v>
      </c>
      <c r="AN66" s="6" t="str">
        <f>Students[[#This Row],[Name]]&amp;"|"&amp;LOWER(TRIM(Students[[#This Row],[Guardian_Email__c]]))</f>
        <v>Brooklyn Taylor|ataylor@icloud.com</v>
      </c>
      <c r="AO66">
        <f>COUNTIF(Students[Dup Key],Students[[#This Row],[Dup Key]])</f>
        <v>1</v>
      </c>
    </row>
    <row r="67" spans="1:41">
      <c r="A67">
        <v>9</v>
      </c>
      <c r="B67" s="1">
        <v>42968</v>
      </c>
      <c r="C67">
        <v>2</v>
      </c>
      <c r="D67" t="s">
        <v>52</v>
      </c>
      <c r="E67" t="s">
        <v>6141</v>
      </c>
      <c r="F67" s="1">
        <v>45554</v>
      </c>
      <c r="G67" t="s">
        <v>5209</v>
      </c>
      <c r="H67" t="s">
        <v>1143</v>
      </c>
      <c r="I67" t="s">
        <v>6435</v>
      </c>
      <c r="J67" t="s">
        <v>5877</v>
      </c>
      <c r="K67" t="s">
        <v>5060</v>
      </c>
      <c r="L67" t="s">
        <v>6436</v>
      </c>
      <c r="M67" t="s">
        <v>63</v>
      </c>
      <c r="N67" t="s">
        <v>5018</v>
      </c>
      <c r="O67" t="s">
        <v>1142</v>
      </c>
      <c r="P67" t="b">
        <v>0</v>
      </c>
      <c r="R67" t="s">
        <v>52</v>
      </c>
      <c r="S67" t="s">
        <v>6146</v>
      </c>
      <c r="T67" t="s">
        <v>6173</v>
      </c>
      <c r="U67" t="s">
        <v>6173</v>
      </c>
      <c r="V67" s="1">
        <v>46220</v>
      </c>
      <c r="W67" t="s">
        <v>5060</v>
      </c>
      <c r="X67" t="s">
        <v>6148</v>
      </c>
      <c r="Z67" s="2">
        <v>220</v>
      </c>
      <c r="AA67" t="s">
        <v>1143</v>
      </c>
      <c r="AB67" t="s">
        <v>52</v>
      </c>
      <c r="AC67" t="b">
        <v>0</v>
      </c>
      <c r="AD67" t="s">
        <v>6169</v>
      </c>
      <c r="AE67" t="s">
        <v>263</v>
      </c>
      <c r="AF67" t="s">
        <v>6200</v>
      </c>
      <c r="AG67" t="s">
        <v>5054</v>
      </c>
      <c r="AI67" t="s">
        <v>6437</v>
      </c>
      <c r="AK67" t="s">
        <v>6154</v>
      </c>
      <c r="AL67">
        <v>1</v>
      </c>
      <c r="AN67" s="6" t="str">
        <f>Students[[#This Row],[Name]]&amp;"|"&amp;LOWER(TRIM(Students[[#This Row],[Guardian_Email__c]]))</f>
        <v>Omar Smith|danielsmith26@hotmail.com</v>
      </c>
      <c r="AO67">
        <f>COUNTIF(Students[Dup Key],Students[[#This Row],[Dup Key]])</f>
        <v>1</v>
      </c>
    </row>
    <row r="68" spans="1:41">
      <c r="A68">
        <v>13</v>
      </c>
      <c r="B68" s="1">
        <v>41317</v>
      </c>
      <c r="C68">
        <v>1</v>
      </c>
      <c r="D68" t="s">
        <v>52</v>
      </c>
      <c r="E68" t="s">
        <v>6141</v>
      </c>
      <c r="F68" s="1">
        <v>45842</v>
      </c>
      <c r="G68" t="s">
        <v>5141</v>
      </c>
      <c r="H68" t="s">
        <v>1169</v>
      </c>
      <c r="I68" t="s">
        <v>6438</v>
      </c>
      <c r="J68" t="s">
        <v>6155</v>
      </c>
      <c r="K68" t="s">
        <v>5116</v>
      </c>
      <c r="L68" t="s">
        <v>6439</v>
      </c>
      <c r="M68" t="s">
        <v>150</v>
      </c>
      <c r="N68" t="s">
        <v>5014</v>
      </c>
      <c r="O68" t="s">
        <v>1168</v>
      </c>
      <c r="P68" t="b">
        <v>0</v>
      </c>
      <c r="R68" t="s">
        <v>52</v>
      </c>
      <c r="S68" t="s">
        <v>6146</v>
      </c>
      <c r="T68" t="s">
        <v>6173</v>
      </c>
      <c r="U68" t="s">
        <v>6173</v>
      </c>
      <c r="V68" s="1">
        <v>46135</v>
      </c>
      <c r="W68" t="s">
        <v>5116</v>
      </c>
      <c r="X68" t="s">
        <v>6148</v>
      </c>
      <c r="Y68" t="s">
        <v>6440</v>
      </c>
      <c r="Z68" s="2">
        <v>220</v>
      </c>
      <c r="AA68" t="s">
        <v>1169</v>
      </c>
      <c r="AB68" t="s">
        <v>52</v>
      </c>
      <c r="AC68" t="b">
        <v>0</v>
      </c>
      <c r="AD68" t="s">
        <v>6174</v>
      </c>
      <c r="AE68" t="s">
        <v>203</v>
      </c>
      <c r="AF68" t="s">
        <v>6157</v>
      </c>
      <c r="AG68" t="s">
        <v>5054</v>
      </c>
      <c r="AI68" t="s">
        <v>6441</v>
      </c>
      <c r="AK68" t="s">
        <v>6154</v>
      </c>
      <c r="AL68">
        <v>1</v>
      </c>
      <c r="AN68" s="6" t="str">
        <f>Students[[#This Row],[Name]]&amp;"|"&amp;LOWER(TRIM(Students[[#This Row],[Guardian_Email__c]]))</f>
        <v>Ryan Lopez|ellalopez99@yahoo.com</v>
      </c>
      <c r="AO68">
        <f>COUNTIF(Students[Dup Key],Students[[#This Row],[Dup Key]])</f>
        <v>1</v>
      </c>
    </row>
    <row r="69" spans="1:41">
      <c r="A69">
        <v>31</v>
      </c>
      <c r="B69" s="1">
        <v>34634</v>
      </c>
      <c r="C69">
        <v>0</v>
      </c>
      <c r="D69" t="s">
        <v>52</v>
      </c>
      <c r="E69" t="s">
        <v>6141</v>
      </c>
      <c r="F69" s="1">
        <v>46234</v>
      </c>
      <c r="G69" t="s">
        <v>5560</v>
      </c>
      <c r="H69" t="s">
        <v>1195</v>
      </c>
      <c r="M69" t="s">
        <v>83</v>
      </c>
      <c r="N69" t="s">
        <v>5016</v>
      </c>
      <c r="O69" t="s">
        <v>1194</v>
      </c>
      <c r="P69" t="b">
        <v>0</v>
      </c>
      <c r="R69" t="s">
        <v>52</v>
      </c>
      <c r="S69" t="s">
        <v>6146</v>
      </c>
      <c r="T69" t="s">
        <v>6173</v>
      </c>
      <c r="U69" t="s">
        <v>6173</v>
      </c>
      <c r="W69" t="s">
        <v>5052</v>
      </c>
      <c r="X69" t="s">
        <v>6148</v>
      </c>
      <c r="Z69" s="2">
        <v>180</v>
      </c>
      <c r="AA69" t="s">
        <v>1195</v>
      </c>
      <c r="AB69" t="s">
        <v>52</v>
      </c>
      <c r="AC69" t="b">
        <v>0</v>
      </c>
      <c r="AD69" t="s">
        <v>6166</v>
      </c>
      <c r="AE69" t="s">
        <v>203</v>
      </c>
      <c r="AF69" t="s">
        <v>6157</v>
      </c>
      <c r="AG69" t="s">
        <v>5054</v>
      </c>
      <c r="AH69" t="s">
        <v>6442</v>
      </c>
      <c r="AI69" t="s">
        <v>6443</v>
      </c>
      <c r="AJ69" t="s">
        <v>6444</v>
      </c>
      <c r="AK69" t="s">
        <v>6154</v>
      </c>
      <c r="AL69">
        <v>1</v>
      </c>
      <c r="AN69" s="6" t="str">
        <f>Students[[#This Row],[Name]]&amp;"|"&amp;LOWER(TRIM(Students[[#This Row],[Guardian_Email__c]]))</f>
        <v>Lucas Rodriguez|</v>
      </c>
      <c r="AO69">
        <f>COUNTIF(Students[Dup Key],Students[[#This Row],[Dup Key]])</f>
        <v>1</v>
      </c>
    </row>
    <row r="70" spans="1:41">
      <c r="A70">
        <v>12</v>
      </c>
      <c r="B70" s="1">
        <v>41653</v>
      </c>
      <c r="C70">
        <v>1</v>
      </c>
      <c r="D70" t="s">
        <v>52</v>
      </c>
      <c r="E70" t="s">
        <v>6141</v>
      </c>
      <c r="F70" s="1">
        <v>46204</v>
      </c>
      <c r="G70" t="s">
        <v>5452</v>
      </c>
      <c r="H70" t="s">
        <v>1208</v>
      </c>
      <c r="I70" t="s">
        <v>6445</v>
      </c>
      <c r="J70" t="s">
        <v>5566</v>
      </c>
      <c r="K70" t="s">
        <v>5095</v>
      </c>
      <c r="L70" t="s">
        <v>6446</v>
      </c>
      <c r="M70" t="s">
        <v>63</v>
      </c>
      <c r="N70" t="s">
        <v>5018</v>
      </c>
      <c r="O70" t="s">
        <v>1207</v>
      </c>
      <c r="P70" t="b">
        <v>0</v>
      </c>
      <c r="R70" t="s">
        <v>52</v>
      </c>
      <c r="S70" t="s">
        <v>6146</v>
      </c>
      <c r="T70" t="s">
        <v>6173</v>
      </c>
      <c r="U70" t="s">
        <v>6173</v>
      </c>
      <c r="V70" s="1">
        <v>46036</v>
      </c>
      <c r="W70" t="s">
        <v>5095</v>
      </c>
      <c r="X70" t="s">
        <v>6189</v>
      </c>
      <c r="Z70" s="2">
        <v>180</v>
      </c>
      <c r="AA70" t="s">
        <v>1208</v>
      </c>
      <c r="AB70" t="s">
        <v>52</v>
      </c>
      <c r="AC70" t="b">
        <v>0</v>
      </c>
      <c r="AD70" t="s">
        <v>6150</v>
      </c>
      <c r="AE70" t="s">
        <v>392</v>
      </c>
      <c r="AF70" t="s">
        <v>6200</v>
      </c>
      <c r="AG70" t="s">
        <v>5054</v>
      </c>
      <c r="AI70" t="s">
        <v>6447</v>
      </c>
      <c r="AK70" t="s">
        <v>6154</v>
      </c>
      <c r="AL70">
        <v>0.5</v>
      </c>
      <c r="AN70" s="6" t="str">
        <f>Students[[#This Row],[Name]]&amp;"|"&amp;LOWER(TRIM(Students[[#This Row],[Guardian_Email__c]]))</f>
        <v>Nathan Novak|kennedy.novak@outlook.com</v>
      </c>
      <c r="AO70">
        <f>COUNTIF(Students[Dup Key],Students[[#This Row],[Dup Key]])</f>
        <v>1</v>
      </c>
    </row>
    <row r="71" spans="1:41">
      <c r="A71">
        <v>8</v>
      </c>
      <c r="B71" s="1">
        <v>43046</v>
      </c>
      <c r="C71">
        <v>0</v>
      </c>
      <c r="D71" t="s">
        <v>52</v>
      </c>
      <c r="E71" t="s">
        <v>6141</v>
      </c>
      <c r="F71" s="1">
        <v>45617</v>
      </c>
      <c r="G71" t="s">
        <v>5979</v>
      </c>
      <c r="H71" t="s">
        <v>1224</v>
      </c>
      <c r="I71" t="s">
        <v>6448</v>
      </c>
      <c r="J71" t="s">
        <v>5292</v>
      </c>
      <c r="K71" t="s">
        <v>5143</v>
      </c>
      <c r="L71" t="s">
        <v>6449</v>
      </c>
      <c r="M71" t="s">
        <v>63</v>
      </c>
      <c r="N71" t="s">
        <v>5018</v>
      </c>
      <c r="O71" t="s">
        <v>1223</v>
      </c>
      <c r="P71" t="b">
        <v>0</v>
      </c>
      <c r="R71" t="s">
        <v>52</v>
      </c>
      <c r="S71" t="s">
        <v>6146</v>
      </c>
      <c r="T71" t="s">
        <v>6173</v>
      </c>
      <c r="U71" t="s">
        <v>6173</v>
      </c>
      <c r="W71" t="s">
        <v>5143</v>
      </c>
      <c r="X71" t="s">
        <v>6148</v>
      </c>
      <c r="Z71" s="2">
        <v>240</v>
      </c>
      <c r="AA71" t="s">
        <v>1224</v>
      </c>
      <c r="AB71" t="s">
        <v>52</v>
      </c>
      <c r="AC71" t="b">
        <v>0</v>
      </c>
      <c r="AD71" t="s">
        <v>6174</v>
      </c>
      <c r="AE71" t="s">
        <v>237</v>
      </c>
      <c r="AF71" t="s">
        <v>6151</v>
      </c>
      <c r="AG71" t="s">
        <v>5054</v>
      </c>
      <c r="AI71" t="s">
        <v>6450</v>
      </c>
      <c r="AK71" t="s">
        <v>6154</v>
      </c>
      <c r="AL71">
        <v>1</v>
      </c>
      <c r="AN71" s="6" t="str">
        <f>Students[[#This Row],[Name]]&amp;"|"&amp;LOWER(TRIM(Students[[#This Row],[Guardian_Email__c]]))</f>
        <v>Josiah Clark|anthonyclark@icloud.com</v>
      </c>
      <c r="AO71">
        <f>COUNTIF(Students[Dup Key],Students[[#This Row],[Dup Key]])</f>
        <v>1</v>
      </c>
    </row>
    <row r="72" spans="1:41">
      <c r="A72">
        <v>14</v>
      </c>
      <c r="B72" s="1">
        <v>40997</v>
      </c>
      <c r="C72">
        <v>1</v>
      </c>
      <c r="D72" t="s">
        <v>52</v>
      </c>
      <c r="E72" t="s">
        <v>6141</v>
      </c>
      <c r="F72" s="1">
        <v>44740</v>
      </c>
      <c r="G72" t="s">
        <v>5719</v>
      </c>
      <c r="H72" t="s">
        <v>1232</v>
      </c>
      <c r="I72" t="s">
        <v>6451</v>
      </c>
      <c r="J72" t="s">
        <v>5213</v>
      </c>
      <c r="K72" t="s">
        <v>5278</v>
      </c>
      <c r="L72" t="s">
        <v>6452</v>
      </c>
      <c r="M72" t="s">
        <v>63</v>
      </c>
      <c r="N72" t="s">
        <v>5018</v>
      </c>
      <c r="O72" t="s">
        <v>1231</v>
      </c>
      <c r="P72" t="b">
        <v>0</v>
      </c>
      <c r="R72" t="s">
        <v>52</v>
      </c>
      <c r="S72" t="s">
        <v>6146</v>
      </c>
      <c r="T72" t="s">
        <v>6173</v>
      </c>
      <c r="U72" t="s">
        <v>6173</v>
      </c>
      <c r="V72" s="1">
        <v>46181</v>
      </c>
      <c r="W72" t="s">
        <v>5278</v>
      </c>
      <c r="X72" t="s">
        <v>6148</v>
      </c>
      <c r="Y72" t="s">
        <v>6453</v>
      </c>
      <c r="Z72" s="2">
        <v>220</v>
      </c>
      <c r="AA72" t="s">
        <v>1232</v>
      </c>
      <c r="AB72" t="s">
        <v>52</v>
      </c>
      <c r="AC72" t="b">
        <v>0</v>
      </c>
      <c r="AD72" t="s">
        <v>6239</v>
      </c>
      <c r="AE72" t="s">
        <v>392</v>
      </c>
      <c r="AF72" t="s">
        <v>6157</v>
      </c>
      <c r="AG72" t="s">
        <v>6152</v>
      </c>
      <c r="AI72" t="s">
        <v>6454</v>
      </c>
      <c r="AK72" t="s">
        <v>6154</v>
      </c>
      <c r="AL72">
        <v>1</v>
      </c>
      <c r="AN72" s="6" t="str">
        <f>Students[[#This Row],[Name]]&amp;"|"&amp;LOWER(TRIM(Students[[#This Row],[Guardian_Email__c]]))</f>
        <v>Skylar Harris|bellaharris@hotmail.com</v>
      </c>
      <c r="AO72">
        <f>COUNTIF(Students[Dup Key],Students[[#This Row],[Dup Key]])</f>
        <v>1</v>
      </c>
    </row>
    <row r="73" spans="1:41">
      <c r="A73">
        <v>12</v>
      </c>
      <c r="B73" s="1">
        <v>41676</v>
      </c>
      <c r="C73">
        <v>0</v>
      </c>
      <c r="D73" t="s">
        <v>52</v>
      </c>
      <c r="E73" t="s">
        <v>6141</v>
      </c>
      <c r="F73" s="1">
        <v>45390</v>
      </c>
      <c r="G73" t="s">
        <v>5499</v>
      </c>
      <c r="H73" t="s">
        <v>1249</v>
      </c>
      <c r="I73" t="s">
        <v>6455</v>
      </c>
      <c r="J73" t="s">
        <v>5499</v>
      </c>
      <c r="K73" t="s">
        <v>5252</v>
      </c>
      <c r="L73" t="s">
        <v>6456</v>
      </c>
      <c r="M73" t="s">
        <v>63</v>
      </c>
      <c r="N73" t="s">
        <v>5018</v>
      </c>
      <c r="O73" t="s">
        <v>1248</v>
      </c>
      <c r="P73" t="b">
        <v>0</v>
      </c>
      <c r="R73" t="s">
        <v>52</v>
      </c>
      <c r="S73" t="s">
        <v>6146</v>
      </c>
      <c r="T73" t="s">
        <v>6228</v>
      </c>
      <c r="U73" t="s">
        <v>6228</v>
      </c>
      <c r="W73" t="s">
        <v>5252</v>
      </c>
      <c r="X73" t="s">
        <v>6148</v>
      </c>
      <c r="Z73" s="2">
        <v>180</v>
      </c>
      <c r="AA73" t="s">
        <v>1249</v>
      </c>
      <c r="AB73" t="s">
        <v>52</v>
      </c>
      <c r="AC73" t="b">
        <v>0</v>
      </c>
      <c r="AD73" t="s">
        <v>6150</v>
      </c>
      <c r="AE73" t="s">
        <v>392</v>
      </c>
      <c r="AF73" t="s">
        <v>6151</v>
      </c>
      <c r="AG73" t="s">
        <v>5054</v>
      </c>
      <c r="AI73" t="s">
        <v>6457</v>
      </c>
      <c r="AK73" t="s">
        <v>6154</v>
      </c>
      <c r="AL73">
        <v>1</v>
      </c>
      <c r="AN73" s="6" t="str">
        <f>Students[[#This Row],[Name]]&amp;"|"&amp;LOWER(TRIM(Students[[#This Row],[Guardian_Email__c]]))</f>
        <v>Gabriel Baker|brooklyn.baker@outlook.com</v>
      </c>
      <c r="AO73">
        <f>COUNTIF(Students[Dup Key],Students[[#This Row],[Dup Key]])</f>
        <v>1</v>
      </c>
    </row>
    <row r="74" spans="1:41">
      <c r="A74">
        <v>12</v>
      </c>
      <c r="B74" s="1">
        <v>41766</v>
      </c>
      <c r="C74">
        <v>0</v>
      </c>
      <c r="D74" t="s">
        <v>52</v>
      </c>
      <c r="E74" t="s">
        <v>6141</v>
      </c>
      <c r="F74" s="1">
        <v>45581</v>
      </c>
      <c r="G74" t="s">
        <v>6458</v>
      </c>
      <c r="H74" t="s">
        <v>1269</v>
      </c>
      <c r="I74" t="s">
        <v>6459</v>
      </c>
      <c r="J74" t="s">
        <v>5499</v>
      </c>
      <c r="K74" t="s">
        <v>5060</v>
      </c>
      <c r="L74" t="s">
        <v>6460</v>
      </c>
      <c r="M74" t="s">
        <v>63</v>
      </c>
      <c r="N74" t="s">
        <v>5018</v>
      </c>
      <c r="O74" t="s">
        <v>1268</v>
      </c>
      <c r="P74" t="b">
        <v>0</v>
      </c>
      <c r="R74" t="s">
        <v>52</v>
      </c>
      <c r="S74" t="s">
        <v>6146</v>
      </c>
      <c r="T74" t="s">
        <v>6228</v>
      </c>
      <c r="U74" t="s">
        <v>6228</v>
      </c>
      <c r="W74" t="s">
        <v>5060</v>
      </c>
      <c r="X74" t="s">
        <v>6148</v>
      </c>
      <c r="Z74" s="2">
        <v>200</v>
      </c>
      <c r="AA74" t="s">
        <v>1269</v>
      </c>
      <c r="AB74" t="s">
        <v>52</v>
      </c>
      <c r="AC74" t="b">
        <v>0</v>
      </c>
      <c r="AD74" t="s">
        <v>6193</v>
      </c>
      <c r="AE74" t="s">
        <v>147</v>
      </c>
      <c r="AF74" t="s">
        <v>6157</v>
      </c>
      <c r="AG74" t="s">
        <v>5054</v>
      </c>
      <c r="AI74" t="s">
        <v>6461</v>
      </c>
      <c r="AK74" t="s">
        <v>6154</v>
      </c>
      <c r="AL74">
        <v>1</v>
      </c>
      <c r="AN74" s="6" t="str">
        <f>Students[[#This Row],[Name]]&amp;"|"&amp;LOWER(TRIM(Students[[#This Row],[Guardian_Email__c]]))</f>
        <v>Emma Smith|leosmith@gmail.com</v>
      </c>
      <c r="AO74">
        <f>COUNTIF(Students[Dup Key],Students[[#This Row],[Dup Key]])</f>
        <v>1</v>
      </c>
    </row>
    <row r="75" spans="1:41">
      <c r="A75">
        <v>9</v>
      </c>
      <c r="B75" s="1">
        <v>42955</v>
      </c>
      <c r="C75">
        <v>1</v>
      </c>
      <c r="D75" t="s">
        <v>52</v>
      </c>
      <c r="E75" t="s">
        <v>6141</v>
      </c>
      <c r="F75" s="1">
        <v>45217</v>
      </c>
      <c r="G75" t="s">
        <v>5225</v>
      </c>
      <c r="H75" t="s">
        <v>1283</v>
      </c>
      <c r="I75" t="s">
        <v>6462</v>
      </c>
      <c r="J75" t="s">
        <v>6463</v>
      </c>
      <c r="K75" t="s">
        <v>5067</v>
      </c>
      <c r="L75" t="s">
        <v>6464</v>
      </c>
      <c r="M75" t="s">
        <v>83</v>
      </c>
      <c r="N75" t="s">
        <v>5016</v>
      </c>
      <c r="O75" t="s">
        <v>1282</v>
      </c>
      <c r="P75" t="b">
        <v>0</v>
      </c>
      <c r="R75" t="s">
        <v>52</v>
      </c>
      <c r="S75" t="s">
        <v>6146</v>
      </c>
      <c r="T75" t="s">
        <v>6173</v>
      </c>
      <c r="U75" t="s">
        <v>6173</v>
      </c>
      <c r="V75" s="1">
        <v>46228</v>
      </c>
      <c r="W75" t="s">
        <v>5067</v>
      </c>
      <c r="X75" t="s">
        <v>6189</v>
      </c>
      <c r="Z75" s="2">
        <v>200</v>
      </c>
      <c r="AA75" t="s">
        <v>1283</v>
      </c>
      <c r="AB75" t="s">
        <v>52</v>
      </c>
      <c r="AC75" t="b">
        <v>0</v>
      </c>
      <c r="AD75" t="s">
        <v>6239</v>
      </c>
      <c r="AE75" t="s">
        <v>284</v>
      </c>
      <c r="AF75" t="s">
        <v>6157</v>
      </c>
      <c r="AG75" t="s">
        <v>5054</v>
      </c>
      <c r="AI75" t="s">
        <v>6465</v>
      </c>
      <c r="AK75" t="s">
        <v>6154</v>
      </c>
      <c r="AL75">
        <v>0.5</v>
      </c>
      <c r="AN75" s="6" t="str">
        <f>Students[[#This Row],[Name]]&amp;"|"&amp;LOWER(TRIM(Students[[#This Row],[Guardian_Email__c]]))</f>
        <v>Kai Mitchell|omitchell@icloud.com</v>
      </c>
      <c r="AO75">
        <f>COUNTIF(Students[Dup Key],Students[[#This Row],[Dup Key]])</f>
        <v>1</v>
      </c>
    </row>
    <row r="76" spans="1:41">
      <c r="A76">
        <v>11</v>
      </c>
      <c r="B76" s="1">
        <v>42085</v>
      </c>
      <c r="C76">
        <v>1</v>
      </c>
      <c r="D76" t="s">
        <v>52</v>
      </c>
      <c r="E76" t="s">
        <v>6141</v>
      </c>
      <c r="F76" s="1">
        <v>44812</v>
      </c>
      <c r="G76" t="s">
        <v>6364</v>
      </c>
      <c r="H76" t="s">
        <v>1294</v>
      </c>
      <c r="I76" t="s">
        <v>6466</v>
      </c>
      <c r="J76" t="s">
        <v>5275</v>
      </c>
      <c r="K76" t="s">
        <v>5792</v>
      </c>
      <c r="L76" t="s">
        <v>6467</v>
      </c>
      <c r="M76" t="s">
        <v>63</v>
      </c>
      <c r="N76" t="s">
        <v>5018</v>
      </c>
      <c r="O76" t="s">
        <v>1293</v>
      </c>
      <c r="P76" t="b">
        <v>0</v>
      </c>
      <c r="R76" t="s">
        <v>52</v>
      </c>
      <c r="S76" t="s">
        <v>6146</v>
      </c>
      <c r="T76" t="s">
        <v>6228</v>
      </c>
      <c r="U76" t="s">
        <v>6228</v>
      </c>
      <c r="V76" s="1">
        <v>46198</v>
      </c>
      <c r="W76" t="s">
        <v>5792</v>
      </c>
      <c r="X76" t="s">
        <v>6148</v>
      </c>
      <c r="Z76" s="2">
        <v>160</v>
      </c>
      <c r="AA76" t="s">
        <v>1294</v>
      </c>
      <c r="AB76" t="s">
        <v>52</v>
      </c>
      <c r="AC76" t="b">
        <v>0</v>
      </c>
      <c r="AD76" t="s">
        <v>6193</v>
      </c>
      <c r="AE76" t="s">
        <v>527</v>
      </c>
      <c r="AF76" t="s">
        <v>6157</v>
      </c>
      <c r="AG76" t="s">
        <v>5054</v>
      </c>
      <c r="AI76" t="s">
        <v>6468</v>
      </c>
      <c r="AK76" t="s">
        <v>6154</v>
      </c>
      <c r="AL76">
        <v>1</v>
      </c>
      <c r="AN76" s="6" t="str">
        <f>Students[[#This Row],[Name]]&amp;"|"&amp;LOWER(TRIM(Students[[#This Row],[Guardian_Email__c]]))</f>
        <v>Everly Roberts|laylaroberts22@gmail.com</v>
      </c>
      <c r="AO76">
        <f>COUNTIF(Students[Dup Key],Students[[#This Row],[Dup Key]])</f>
        <v>1</v>
      </c>
    </row>
    <row r="77" spans="1:41">
      <c r="A77">
        <v>9</v>
      </c>
      <c r="B77" s="1">
        <v>42713</v>
      </c>
      <c r="C77">
        <v>1</v>
      </c>
      <c r="D77" t="s">
        <v>52</v>
      </c>
      <c r="E77" t="s">
        <v>6141</v>
      </c>
      <c r="F77" s="1">
        <v>44978</v>
      </c>
      <c r="G77" t="s">
        <v>5219</v>
      </c>
      <c r="H77" t="s">
        <v>1308</v>
      </c>
      <c r="I77" t="s">
        <v>6469</v>
      </c>
      <c r="J77" t="s">
        <v>5229</v>
      </c>
      <c r="K77" t="s">
        <v>5763</v>
      </c>
      <c r="L77" t="s">
        <v>6470</v>
      </c>
      <c r="M77" t="s">
        <v>83</v>
      </c>
      <c r="N77" t="s">
        <v>5016</v>
      </c>
      <c r="O77" t="s">
        <v>1307</v>
      </c>
      <c r="P77" t="b">
        <v>0</v>
      </c>
      <c r="R77" t="s">
        <v>2992</v>
      </c>
      <c r="S77" t="s">
        <v>6471</v>
      </c>
      <c r="T77" t="s">
        <v>5251</v>
      </c>
      <c r="U77" t="s">
        <v>5251</v>
      </c>
      <c r="V77" s="1">
        <v>46217</v>
      </c>
      <c r="W77" t="s">
        <v>5763</v>
      </c>
      <c r="X77" t="s">
        <v>6189</v>
      </c>
      <c r="Z77" s="2">
        <v>240</v>
      </c>
      <c r="AA77" t="s">
        <v>1308</v>
      </c>
      <c r="AB77" t="s">
        <v>52</v>
      </c>
      <c r="AC77" t="b">
        <v>0</v>
      </c>
      <c r="AD77" t="s">
        <v>6169</v>
      </c>
      <c r="AE77" t="s">
        <v>650</v>
      </c>
      <c r="AF77" t="s">
        <v>6200</v>
      </c>
      <c r="AG77" t="s">
        <v>6152</v>
      </c>
      <c r="AI77" t="s">
        <v>6472</v>
      </c>
      <c r="AK77" t="s">
        <v>6471</v>
      </c>
      <c r="AL77">
        <v>0.5</v>
      </c>
      <c r="AN77" s="6" t="str">
        <f>Students[[#This Row],[Name]]&amp;"|"&amp;LOWER(TRIM(Students[[#This Row],[Guardian_Email__c]]))</f>
        <v>Adrian Chen|camilachen@outlook.com</v>
      </c>
      <c r="AO77">
        <f>COUNTIF(Students[Dup Key],Students[[#This Row],[Dup Key]])</f>
        <v>1</v>
      </c>
    </row>
    <row r="78" spans="1:41">
      <c r="A78">
        <v>12</v>
      </c>
      <c r="B78" s="1">
        <v>41723</v>
      </c>
      <c r="C78">
        <v>1</v>
      </c>
      <c r="D78" t="s">
        <v>52</v>
      </c>
      <c r="E78" t="s">
        <v>6141</v>
      </c>
      <c r="F78" s="1">
        <v>46392</v>
      </c>
      <c r="G78" t="s">
        <v>5572</v>
      </c>
      <c r="H78" t="s">
        <v>1331</v>
      </c>
      <c r="I78" t="s">
        <v>6473</v>
      </c>
      <c r="J78" t="s">
        <v>6474</v>
      </c>
      <c r="K78" t="s">
        <v>5294</v>
      </c>
      <c r="L78" t="s">
        <v>6475</v>
      </c>
      <c r="M78" t="s">
        <v>83</v>
      </c>
      <c r="N78" t="s">
        <v>5016</v>
      </c>
      <c r="O78" t="s">
        <v>1330</v>
      </c>
      <c r="P78" t="b">
        <v>0</v>
      </c>
      <c r="R78" t="s">
        <v>52</v>
      </c>
      <c r="S78" t="s">
        <v>6146</v>
      </c>
      <c r="T78" t="s">
        <v>6173</v>
      </c>
      <c r="U78" t="s">
        <v>6173</v>
      </c>
      <c r="V78" s="1">
        <v>46239</v>
      </c>
      <c r="W78" t="s">
        <v>5294</v>
      </c>
      <c r="X78" t="s">
        <v>6189</v>
      </c>
      <c r="Z78" s="2">
        <v>180</v>
      </c>
      <c r="AA78" t="s">
        <v>1331</v>
      </c>
      <c r="AB78" t="s">
        <v>52</v>
      </c>
      <c r="AC78" t="b">
        <v>0</v>
      </c>
      <c r="AD78" t="s">
        <v>6239</v>
      </c>
      <c r="AE78" t="s">
        <v>284</v>
      </c>
      <c r="AF78" t="s">
        <v>6151</v>
      </c>
      <c r="AG78" t="s">
        <v>5054</v>
      </c>
      <c r="AI78" t="s">
        <v>6476</v>
      </c>
      <c r="AK78" t="s">
        <v>6154</v>
      </c>
      <c r="AL78">
        <v>0.5</v>
      </c>
      <c r="AN78" s="6" t="str">
        <f>Students[[#This Row],[Name]]&amp;"|"&amp;LOWER(TRIM(Students[[#This Row],[Guardian_Email__c]]))</f>
        <v>Matthew Jackson|kennedyjackson@icloud.com</v>
      </c>
      <c r="AO78">
        <f>COUNTIF(Students[Dup Key],Students[[#This Row],[Dup Key]])</f>
        <v>1</v>
      </c>
    </row>
    <row r="79" spans="1:41">
      <c r="A79">
        <v>7</v>
      </c>
      <c r="B79" s="1">
        <v>43541</v>
      </c>
      <c r="C79">
        <v>0</v>
      </c>
      <c r="D79" t="s">
        <v>52</v>
      </c>
      <c r="E79" t="s">
        <v>6141</v>
      </c>
      <c r="F79" s="1">
        <v>45464</v>
      </c>
      <c r="G79" t="s">
        <v>6477</v>
      </c>
      <c r="H79" t="s">
        <v>1358</v>
      </c>
      <c r="I79" t="s">
        <v>6478</v>
      </c>
      <c r="J79" t="s">
        <v>5420</v>
      </c>
      <c r="K79" t="s">
        <v>5222</v>
      </c>
      <c r="L79" t="s">
        <v>6479</v>
      </c>
      <c r="M79" t="s">
        <v>63</v>
      </c>
      <c r="N79" t="s">
        <v>5018</v>
      </c>
      <c r="O79" t="s">
        <v>1357</v>
      </c>
      <c r="P79" t="b">
        <v>0</v>
      </c>
      <c r="R79" t="s">
        <v>52</v>
      </c>
      <c r="S79" t="s">
        <v>6146</v>
      </c>
      <c r="T79" t="s">
        <v>6228</v>
      </c>
      <c r="U79" t="s">
        <v>6228</v>
      </c>
      <c r="W79" t="s">
        <v>5222</v>
      </c>
      <c r="X79" t="s">
        <v>6189</v>
      </c>
      <c r="Z79" s="2">
        <v>220</v>
      </c>
      <c r="AA79" t="s">
        <v>1358</v>
      </c>
      <c r="AB79" t="s">
        <v>52</v>
      </c>
      <c r="AC79" t="b">
        <v>0</v>
      </c>
      <c r="AD79" t="s">
        <v>6166</v>
      </c>
      <c r="AE79" t="s">
        <v>147</v>
      </c>
      <c r="AF79" t="s">
        <v>6200</v>
      </c>
      <c r="AG79" t="s">
        <v>5054</v>
      </c>
      <c r="AI79" t="s">
        <v>6480</v>
      </c>
      <c r="AK79" t="s">
        <v>6154</v>
      </c>
      <c r="AL79">
        <v>0.5</v>
      </c>
      <c r="AN79" s="6" t="str">
        <f>Students[[#This Row],[Name]]&amp;"|"&amp;LOWER(TRIM(Students[[#This Row],[Guardian_Email__c]]))</f>
        <v>Brandon Byrne|sbyrne@icloud.com</v>
      </c>
      <c r="AO79">
        <f>COUNTIF(Students[Dup Key],Students[[#This Row],[Dup Key]])</f>
        <v>1</v>
      </c>
    </row>
    <row r="80" spans="1:41">
      <c r="A80">
        <v>12</v>
      </c>
      <c r="B80" s="1">
        <v>41641</v>
      </c>
      <c r="C80">
        <v>0</v>
      </c>
      <c r="D80" t="s">
        <v>52</v>
      </c>
      <c r="E80" t="s">
        <v>6141</v>
      </c>
      <c r="F80" s="1">
        <v>45042</v>
      </c>
      <c r="G80" t="s">
        <v>5877</v>
      </c>
      <c r="H80" t="s">
        <v>1378</v>
      </c>
      <c r="I80" t="s">
        <v>6481</v>
      </c>
      <c r="J80" t="s">
        <v>5219</v>
      </c>
      <c r="K80" t="s">
        <v>5222</v>
      </c>
      <c r="L80" t="s">
        <v>6482</v>
      </c>
      <c r="M80" t="s">
        <v>63</v>
      </c>
      <c r="N80" t="s">
        <v>5018</v>
      </c>
      <c r="O80" t="s">
        <v>1377</v>
      </c>
      <c r="P80" t="b">
        <v>0</v>
      </c>
      <c r="R80" t="s">
        <v>52</v>
      </c>
      <c r="S80" t="s">
        <v>6146</v>
      </c>
      <c r="T80" t="s">
        <v>6173</v>
      </c>
      <c r="U80" t="s">
        <v>6173</v>
      </c>
      <c r="W80" t="s">
        <v>5222</v>
      </c>
      <c r="X80" t="s">
        <v>6189</v>
      </c>
      <c r="Z80" s="2">
        <v>160</v>
      </c>
      <c r="AA80" t="s">
        <v>1378</v>
      </c>
      <c r="AB80" t="s">
        <v>52</v>
      </c>
      <c r="AC80" t="b">
        <v>0</v>
      </c>
      <c r="AD80" t="s">
        <v>6239</v>
      </c>
      <c r="AE80" t="s">
        <v>203</v>
      </c>
      <c r="AF80" t="s">
        <v>6157</v>
      </c>
      <c r="AG80" t="s">
        <v>5054</v>
      </c>
      <c r="AI80" t="s">
        <v>6483</v>
      </c>
      <c r="AK80" t="s">
        <v>6154</v>
      </c>
      <c r="AL80">
        <v>0.5</v>
      </c>
      <c r="AN80" s="6" t="str">
        <f>Students[[#This Row],[Name]]&amp;"|"&amp;LOWER(TRIM(Students[[#This Row],[Guardian_Email__c]]))</f>
        <v>Tyler Byrne|cbyrne@hotmail.com</v>
      </c>
      <c r="AO80">
        <f>COUNTIF(Students[Dup Key],Students[[#This Row],[Dup Key]])</f>
        <v>1</v>
      </c>
    </row>
    <row r="81" spans="1:41">
      <c r="A81">
        <v>9</v>
      </c>
      <c r="B81" s="1">
        <v>42973</v>
      </c>
      <c r="C81">
        <v>0</v>
      </c>
      <c r="D81" t="s">
        <v>52</v>
      </c>
      <c r="E81" t="s">
        <v>6141</v>
      </c>
      <c r="F81" s="1">
        <v>45818</v>
      </c>
      <c r="G81" t="s">
        <v>5592</v>
      </c>
      <c r="H81" t="s">
        <v>6484</v>
      </c>
      <c r="I81" t="s">
        <v>6485</v>
      </c>
      <c r="J81" t="s">
        <v>5047</v>
      </c>
      <c r="K81" t="s">
        <v>5052</v>
      </c>
      <c r="L81" t="s">
        <v>6486</v>
      </c>
      <c r="M81" t="s">
        <v>150</v>
      </c>
      <c r="N81" t="s">
        <v>5014</v>
      </c>
      <c r="O81" t="s">
        <v>6487</v>
      </c>
      <c r="P81" t="b">
        <v>0</v>
      </c>
      <c r="R81" t="s">
        <v>52</v>
      </c>
      <c r="S81" t="s">
        <v>6223</v>
      </c>
      <c r="T81" t="s">
        <v>6173</v>
      </c>
      <c r="U81" t="s">
        <v>6173</v>
      </c>
      <c r="W81" t="s">
        <v>5052</v>
      </c>
      <c r="X81" t="s">
        <v>6148</v>
      </c>
      <c r="Z81" s="2">
        <v>160</v>
      </c>
      <c r="AA81" t="s">
        <v>6484</v>
      </c>
      <c r="AB81" t="s">
        <v>52</v>
      </c>
      <c r="AC81" t="b">
        <v>0</v>
      </c>
      <c r="AD81" t="s">
        <v>6174</v>
      </c>
      <c r="AE81" t="s">
        <v>461</v>
      </c>
      <c r="AF81" t="s">
        <v>6157</v>
      </c>
      <c r="AG81" t="s">
        <v>6224</v>
      </c>
      <c r="AI81" t="s">
        <v>6488</v>
      </c>
      <c r="AK81" t="s">
        <v>6154</v>
      </c>
      <c r="AL81">
        <v>1</v>
      </c>
      <c r="AM81" s="1">
        <v>46161</v>
      </c>
      <c r="AN81" s="6" t="str">
        <f>Students[[#This Row],[Name]]&amp;"|"&amp;LOWER(TRIM(Students[[#This Row],[Guardian_Email__c]]))</f>
        <v>Harper Rodriguez|gabriel.rodriguez@hotmail.com</v>
      </c>
      <c r="AO81">
        <f>COUNTIF(Students[Dup Key],Students[[#This Row],[Dup Key]])</f>
        <v>1</v>
      </c>
    </row>
    <row r="82" spans="1:41">
      <c r="A82">
        <v>31</v>
      </c>
      <c r="B82" s="1">
        <v>34730</v>
      </c>
      <c r="C82">
        <v>3</v>
      </c>
      <c r="D82" t="s">
        <v>52</v>
      </c>
      <c r="E82" t="s">
        <v>6141</v>
      </c>
      <c r="F82" s="1">
        <v>45688</v>
      </c>
      <c r="G82" t="s">
        <v>6334</v>
      </c>
      <c r="H82" t="s">
        <v>1391</v>
      </c>
      <c r="M82" t="s">
        <v>63</v>
      </c>
      <c r="N82" t="s">
        <v>5018</v>
      </c>
      <c r="O82" t="s">
        <v>1390</v>
      </c>
      <c r="P82" t="b">
        <v>0</v>
      </c>
      <c r="R82" t="s">
        <v>52</v>
      </c>
      <c r="S82" t="s">
        <v>6146</v>
      </c>
      <c r="T82" t="s">
        <v>6489</v>
      </c>
      <c r="U82" t="s">
        <v>6489</v>
      </c>
      <c r="V82" s="1">
        <v>46263</v>
      </c>
      <c r="W82" t="s">
        <v>5461</v>
      </c>
      <c r="X82" t="s">
        <v>6189</v>
      </c>
      <c r="Z82" s="2">
        <v>160</v>
      </c>
      <c r="AA82" t="s">
        <v>1391</v>
      </c>
      <c r="AB82" t="s">
        <v>52</v>
      </c>
      <c r="AC82" t="b">
        <v>0</v>
      </c>
      <c r="AD82" t="s">
        <v>6174</v>
      </c>
      <c r="AE82" t="s">
        <v>237</v>
      </c>
      <c r="AF82" t="s">
        <v>6151</v>
      </c>
      <c r="AG82" t="s">
        <v>6152</v>
      </c>
      <c r="AH82" t="s">
        <v>6490</v>
      </c>
      <c r="AI82" t="s">
        <v>6491</v>
      </c>
      <c r="AJ82" t="s">
        <v>6492</v>
      </c>
      <c r="AK82" t="s">
        <v>6154</v>
      </c>
      <c r="AL82">
        <v>0.5</v>
      </c>
      <c r="AN82" s="6" t="str">
        <f>Students[[#This Row],[Name]]&amp;"|"&amp;LOWER(TRIM(Students[[#This Row],[Guardian_Email__c]]))</f>
        <v>Anna Thomas|</v>
      </c>
      <c r="AO82">
        <f>COUNTIF(Students[Dup Key],Students[[#This Row],[Dup Key]])</f>
        <v>1</v>
      </c>
    </row>
    <row r="83" spans="1:41">
      <c r="A83">
        <v>12</v>
      </c>
      <c r="B83" s="1">
        <v>41893</v>
      </c>
      <c r="C83">
        <v>0</v>
      </c>
      <c r="D83" t="s">
        <v>52</v>
      </c>
      <c r="E83" t="s">
        <v>6141</v>
      </c>
      <c r="F83" s="1">
        <v>46156</v>
      </c>
      <c r="G83" t="s">
        <v>6067</v>
      </c>
      <c r="H83" t="s">
        <v>6493</v>
      </c>
      <c r="I83" t="s">
        <v>6494</v>
      </c>
      <c r="J83" t="s">
        <v>5698</v>
      </c>
      <c r="K83" t="s">
        <v>5448</v>
      </c>
      <c r="L83" t="s">
        <v>6495</v>
      </c>
      <c r="M83" t="s">
        <v>150</v>
      </c>
      <c r="N83" t="s">
        <v>5014</v>
      </c>
      <c r="O83" t="s">
        <v>6496</v>
      </c>
      <c r="P83" t="b">
        <v>0</v>
      </c>
      <c r="R83" t="s">
        <v>52</v>
      </c>
      <c r="S83" t="s">
        <v>6223</v>
      </c>
      <c r="T83" t="s">
        <v>6173</v>
      </c>
      <c r="U83" t="s">
        <v>6173</v>
      </c>
      <c r="W83" t="s">
        <v>5448</v>
      </c>
      <c r="X83" t="s">
        <v>6148</v>
      </c>
      <c r="Z83" s="2">
        <v>220</v>
      </c>
      <c r="AA83" t="s">
        <v>6493</v>
      </c>
      <c r="AB83" t="s">
        <v>52</v>
      </c>
      <c r="AC83" t="b">
        <v>0</v>
      </c>
      <c r="AD83" t="s">
        <v>6174</v>
      </c>
      <c r="AE83" t="s">
        <v>58</v>
      </c>
      <c r="AF83" t="s">
        <v>6200</v>
      </c>
      <c r="AG83" t="s">
        <v>6224</v>
      </c>
      <c r="AI83" t="s">
        <v>6497</v>
      </c>
      <c r="AK83" t="s">
        <v>6154</v>
      </c>
      <c r="AL83">
        <v>1</v>
      </c>
      <c r="AM83" s="1">
        <v>46276</v>
      </c>
      <c r="AN83" s="6" t="str">
        <f>Students[[#This Row],[Name]]&amp;"|"&amp;LOWER(TRIM(Students[[#This Row],[Guardian_Email__c]]))</f>
        <v>Xavier King|yusuf.king@icloud.com</v>
      </c>
      <c r="AO83">
        <f>COUNTIF(Students[Dup Key],Students[[#This Row],[Dup Key]])</f>
        <v>1</v>
      </c>
    </row>
    <row r="84" spans="1:41">
      <c r="A84">
        <v>11</v>
      </c>
      <c r="B84" s="1">
        <v>42248</v>
      </c>
      <c r="C84">
        <v>2</v>
      </c>
      <c r="D84" t="s">
        <v>52</v>
      </c>
      <c r="E84" t="s">
        <v>6141</v>
      </c>
      <c r="F84" s="1">
        <v>45593</v>
      </c>
      <c r="G84" t="s">
        <v>5431</v>
      </c>
      <c r="H84" t="s">
        <v>1420</v>
      </c>
      <c r="I84" t="s">
        <v>6498</v>
      </c>
      <c r="J84" t="s">
        <v>5103</v>
      </c>
      <c r="K84" t="s">
        <v>5569</v>
      </c>
      <c r="L84" t="s">
        <v>6499</v>
      </c>
      <c r="M84" t="s">
        <v>63</v>
      </c>
      <c r="N84" t="s">
        <v>5018</v>
      </c>
      <c r="O84" t="s">
        <v>1419</v>
      </c>
      <c r="P84" t="b">
        <v>0</v>
      </c>
      <c r="R84" t="s">
        <v>52</v>
      </c>
      <c r="S84" t="s">
        <v>6146</v>
      </c>
      <c r="T84" t="s">
        <v>6500</v>
      </c>
      <c r="U84" t="s">
        <v>6500</v>
      </c>
      <c r="V84" s="1">
        <v>46233</v>
      </c>
      <c r="W84" t="s">
        <v>5569</v>
      </c>
      <c r="X84" t="s">
        <v>6189</v>
      </c>
      <c r="Z84" s="2">
        <v>180</v>
      </c>
      <c r="AA84" t="s">
        <v>1420</v>
      </c>
      <c r="AB84" t="s">
        <v>52</v>
      </c>
      <c r="AC84" t="b">
        <v>0</v>
      </c>
      <c r="AD84" t="s">
        <v>6166</v>
      </c>
      <c r="AE84" t="s">
        <v>284</v>
      </c>
      <c r="AF84" t="s">
        <v>6200</v>
      </c>
      <c r="AG84" t="s">
        <v>5054</v>
      </c>
      <c r="AI84" t="s">
        <v>6501</v>
      </c>
      <c r="AK84" t="s">
        <v>6154</v>
      </c>
      <c r="AL84">
        <v>0.5</v>
      </c>
      <c r="AN84" s="6" t="str">
        <f>Students[[#This Row],[Name]]&amp;"|"&amp;LOWER(TRIM(Students[[#This Row],[Guardian_Email__c]]))</f>
        <v>Naomi Kowalski|lkowalski@yahoo.com</v>
      </c>
      <c r="AO84">
        <f>COUNTIF(Students[Dup Key],Students[[#This Row],[Dup Key]])</f>
        <v>1</v>
      </c>
    </row>
    <row r="85" spans="1:41">
      <c r="A85">
        <v>12</v>
      </c>
      <c r="B85" s="1">
        <v>41865</v>
      </c>
      <c r="C85">
        <v>0</v>
      </c>
      <c r="D85" t="s">
        <v>52</v>
      </c>
      <c r="E85" t="s">
        <v>6141</v>
      </c>
      <c r="F85" s="1">
        <v>45360</v>
      </c>
      <c r="G85" t="s">
        <v>5800</v>
      </c>
      <c r="H85" t="s">
        <v>1443</v>
      </c>
      <c r="I85" t="s">
        <v>6502</v>
      </c>
      <c r="J85" t="s">
        <v>6035</v>
      </c>
      <c r="K85" t="s">
        <v>5128</v>
      </c>
      <c r="L85" t="s">
        <v>6503</v>
      </c>
      <c r="M85" t="s">
        <v>63</v>
      </c>
      <c r="N85" t="s">
        <v>5018</v>
      </c>
      <c r="O85" t="s">
        <v>1442</v>
      </c>
      <c r="P85" t="b">
        <v>0</v>
      </c>
      <c r="R85" t="s">
        <v>52</v>
      </c>
      <c r="S85" t="s">
        <v>6146</v>
      </c>
      <c r="T85" t="s">
        <v>6500</v>
      </c>
      <c r="U85" t="s">
        <v>6500</v>
      </c>
      <c r="W85" t="s">
        <v>5128</v>
      </c>
      <c r="X85" t="s">
        <v>6148</v>
      </c>
      <c r="Z85" s="2">
        <v>200</v>
      </c>
      <c r="AA85" t="s">
        <v>1443</v>
      </c>
      <c r="AB85" t="s">
        <v>52</v>
      </c>
      <c r="AC85" t="b">
        <v>0</v>
      </c>
      <c r="AD85" t="s">
        <v>6174</v>
      </c>
      <c r="AE85" t="s">
        <v>58</v>
      </c>
      <c r="AF85" t="s">
        <v>6151</v>
      </c>
      <c r="AG85" t="s">
        <v>5054</v>
      </c>
      <c r="AI85" t="s">
        <v>6504</v>
      </c>
      <c r="AK85" t="s">
        <v>6154</v>
      </c>
      <c r="AL85">
        <v>1</v>
      </c>
      <c r="AN85" s="6" t="str">
        <f>Students[[#This Row],[Name]]&amp;"|"&amp;LOWER(TRIM(Students[[#This Row],[Guardian_Email__c]]))</f>
        <v>Riley Silva|milessilva@yahoo.com</v>
      </c>
      <c r="AO85">
        <f>COUNTIF(Students[Dup Key],Students[[#This Row],[Dup Key]])</f>
        <v>1</v>
      </c>
    </row>
    <row r="86" spans="1:41">
      <c r="A86">
        <v>10</v>
      </c>
      <c r="B86" s="1">
        <v>42300</v>
      </c>
      <c r="C86">
        <v>0</v>
      </c>
      <c r="D86" t="s">
        <v>52</v>
      </c>
      <c r="E86" t="s">
        <v>6141</v>
      </c>
      <c r="F86" s="1">
        <v>45561</v>
      </c>
      <c r="G86" t="s">
        <v>5182</v>
      </c>
      <c r="H86" t="s">
        <v>6505</v>
      </c>
      <c r="I86" t="s">
        <v>6506</v>
      </c>
      <c r="J86" t="s">
        <v>5175</v>
      </c>
      <c r="K86" t="s">
        <v>5090</v>
      </c>
      <c r="L86" t="s">
        <v>6507</v>
      </c>
      <c r="M86" t="s">
        <v>83</v>
      </c>
      <c r="N86" t="s">
        <v>5016</v>
      </c>
      <c r="O86" t="s">
        <v>6508</v>
      </c>
      <c r="P86" t="b">
        <v>0</v>
      </c>
      <c r="R86" t="s">
        <v>52</v>
      </c>
      <c r="S86" t="s">
        <v>6223</v>
      </c>
      <c r="T86" t="s">
        <v>6500</v>
      </c>
      <c r="U86" t="s">
        <v>6500</v>
      </c>
      <c r="W86" t="s">
        <v>5090</v>
      </c>
      <c r="X86" t="s">
        <v>6148</v>
      </c>
      <c r="Z86" s="2">
        <v>200</v>
      </c>
      <c r="AA86" t="s">
        <v>6505</v>
      </c>
      <c r="AB86" t="s">
        <v>52</v>
      </c>
      <c r="AC86" t="b">
        <v>0</v>
      </c>
      <c r="AD86" t="s">
        <v>6174</v>
      </c>
      <c r="AE86" t="s">
        <v>203</v>
      </c>
      <c r="AF86" t="s">
        <v>6157</v>
      </c>
      <c r="AG86" t="s">
        <v>6224</v>
      </c>
      <c r="AI86" t="s">
        <v>6509</v>
      </c>
      <c r="AK86" t="s">
        <v>6154</v>
      </c>
      <c r="AL86">
        <v>1</v>
      </c>
      <c r="AM86" s="1">
        <v>45721</v>
      </c>
      <c r="AN86" s="6" t="str">
        <f>Students[[#This Row],[Name]]&amp;"|"&amp;LOWER(TRIM(Students[[#This Row],[Guardian_Email__c]]))</f>
        <v>Valentina Hernandez|ehernandez@icloud.com</v>
      </c>
      <c r="AO86">
        <f>COUNTIF(Students[Dup Key],Students[[#This Row],[Dup Key]])</f>
        <v>1</v>
      </c>
    </row>
    <row r="87" spans="1:41">
      <c r="A87">
        <v>10</v>
      </c>
      <c r="B87" s="1">
        <v>42575</v>
      </c>
      <c r="C87">
        <v>1</v>
      </c>
      <c r="D87" t="s">
        <v>52</v>
      </c>
      <c r="E87" t="s">
        <v>6141</v>
      </c>
      <c r="F87" s="1">
        <v>45640</v>
      </c>
      <c r="G87" t="s">
        <v>5294</v>
      </c>
      <c r="H87" t="s">
        <v>1460</v>
      </c>
      <c r="I87" t="s">
        <v>6510</v>
      </c>
      <c r="J87" t="s">
        <v>5966</v>
      </c>
      <c r="K87" t="s">
        <v>5141</v>
      </c>
      <c r="L87" t="s">
        <v>6511</v>
      </c>
      <c r="M87" t="s">
        <v>83</v>
      </c>
      <c r="N87" t="s">
        <v>5016</v>
      </c>
      <c r="O87" t="s">
        <v>1459</v>
      </c>
      <c r="P87" t="b">
        <v>0</v>
      </c>
      <c r="R87" t="s">
        <v>52</v>
      </c>
      <c r="S87" t="s">
        <v>6146</v>
      </c>
      <c r="T87" t="s">
        <v>6500</v>
      </c>
      <c r="U87" t="s">
        <v>6500</v>
      </c>
      <c r="V87" s="1">
        <v>46109</v>
      </c>
      <c r="W87" t="s">
        <v>5141</v>
      </c>
      <c r="X87" t="s">
        <v>6148</v>
      </c>
      <c r="Z87" s="2">
        <v>240</v>
      </c>
      <c r="AA87" t="s">
        <v>1460</v>
      </c>
      <c r="AB87" t="s">
        <v>52</v>
      </c>
      <c r="AC87" t="b">
        <v>0</v>
      </c>
      <c r="AD87" t="s">
        <v>6174</v>
      </c>
      <c r="AE87" t="s">
        <v>237</v>
      </c>
      <c r="AF87" t="s">
        <v>6151</v>
      </c>
      <c r="AG87" t="s">
        <v>5054</v>
      </c>
      <c r="AI87" t="s">
        <v>6512</v>
      </c>
      <c r="AK87" t="s">
        <v>6154</v>
      </c>
      <c r="AL87">
        <v>1</v>
      </c>
      <c r="AN87" s="6" t="str">
        <f>Students[[#This Row],[Name]]&amp;"|"&amp;LOWER(TRIM(Students[[#This Row],[Guardian_Email__c]]))</f>
        <v>Jackson Ryan|loganryan47@hotmail.com</v>
      </c>
      <c r="AO87">
        <f>COUNTIF(Students[Dup Key],Students[[#This Row],[Dup Key]])</f>
        <v>1</v>
      </c>
    </row>
    <row r="88" spans="1:41">
      <c r="A88">
        <v>10</v>
      </c>
      <c r="B88" s="1">
        <v>42589</v>
      </c>
      <c r="C88">
        <v>1</v>
      </c>
      <c r="D88" t="s">
        <v>52</v>
      </c>
      <c r="E88" t="s">
        <v>6141</v>
      </c>
      <c r="F88" s="1">
        <v>45167</v>
      </c>
      <c r="G88" t="s">
        <v>5323</v>
      </c>
      <c r="H88" t="s">
        <v>1486</v>
      </c>
      <c r="I88" t="s">
        <v>6513</v>
      </c>
      <c r="J88" t="s">
        <v>5070</v>
      </c>
      <c r="K88" t="s">
        <v>5077</v>
      </c>
      <c r="L88" t="s">
        <v>6514</v>
      </c>
      <c r="M88" t="s">
        <v>63</v>
      </c>
      <c r="N88" t="s">
        <v>5018</v>
      </c>
      <c r="O88" t="s">
        <v>1485</v>
      </c>
      <c r="P88" t="b">
        <v>0</v>
      </c>
      <c r="R88" t="s">
        <v>52</v>
      </c>
      <c r="S88" t="s">
        <v>6146</v>
      </c>
      <c r="T88" t="s">
        <v>6500</v>
      </c>
      <c r="U88" t="s">
        <v>6500</v>
      </c>
      <c r="V88" s="1">
        <v>46084</v>
      </c>
      <c r="W88" t="s">
        <v>5077</v>
      </c>
      <c r="X88" t="s">
        <v>6189</v>
      </c>
      <c r="Z88" s="2">
        <v>240</v>
      </c>
      <c r="AA88" t="s">
        <v>1486</v>
      </c>
      <c r="AB88" t="s">
        <v>52</v>
      </c>
      <c r="AC88" t="b">
        <v>0</v>
      </c>
      <c r="AD88" t="s">
        <v>6239</v>
      </c>
      <c r="AE88" t="s">
        <v>58</v>
      </c>
      <c r="AF88" t="s">
        <v>6157</v>
      </c>
      <c r="AG88" t="s">
        <v>5054</v>
      </c>
      <c r="AI88" t="s">
        <v>6515</v>
      </c>
      <c r="AK88" t="s">
        <v>6154</v>
      </c>
      <c r="AL88">
        <v>0.5</v>
      </c>
      <c r="AN88" s="6" t="str">
        <f>Students[[#This Row],[Name]]&amp;"|"&amp;LOWER(TRIM(Students[[#This Row],[Guardian_Email__c]]))</f>
        <v>Malachi Torres|brandontorres@gmail.com</v>
      </c>
      <c r="AO88">
        <f>COUNTIF(Students[Dup Key],Students[[#This Row],[Dup Key]])</f>
        <v>1</v>
      </c>
    </row>
    <row r="89" spans="1:41">
      <c r="A89">
        <v>14</v>
      </c>
      <c r="B89" s="1">
        <v>40890</v>
      </c>
      <c r="C89">
        <v>1</v>
      </c>
      <c r="D89" t="s">
        <v>52</v>
      </c>
      <c r="E89" t="s">
        <v>6141</v>
      </c>
      <c r="F89" s="1">
        <v>45710</v>
      </c>
      <c r="G89" t="s">
        <v>5763</v>
      </c>
      <c r="H89" t="s">
        <v>1515</v>
      </c>
      <c r="I89" t="s">
        <v>6516</v>
      </c>
      <c r="J89" t="s">
        <v>5158</v>
      </c>
      <c r="K89" t="s">
        <v>5067</v>
      </c>
      <c r="L89" t="s">
        <v>6517</v>
      </c>
      <c r="M89" t="s">
        <v>83</v>
      </c>
      <c r="N89" t="s">
        <v>5016</v>
      </c>
      <c r="O89" t="s">
        <v>1514</v>
      </c>
      <c r="P89" t="b">
        <v>0</v>
      </c>
      <c r="R89" t="s">
        <v>52</v>
      </c>
      <c r="S89" t="s">
        <v>6146</v>
      </c>
      <c r="T89" t="s">
        <v>6228</v>
      </c>
      <c r="U89" t="s">
        <v>6228</v>
      </c>
      <c r="V89" s="1">
        <v>46079</v>
      </c>
      <c r="W89" t="s">
        <v>5067</v>
      </c>
      <c r="X89" t="s">
        <v>6148</v>
      </c>
      <c r="Y89" t="s">
        <v>6518</v>
      </c>
      <c r="Z89" s="2">
        <v>200</v>
      </c>
      <c r="AA89" t="s">
        <v>1515</v>
      </c>
      <c r="AB89" t="s">
        <v>52</v>
      </c>
      <c r="AC89" t="b">
        <v>0</v>
      </c>
      <c r="AD89" t="s">
        <v>6150</v>
      </c>
      <c r="AE89" t="s">
        <v>107</v>
      </c>
      <c r="AF89" t="s">
        <v>6200</v>
      </c>
      <c r="AG89" t="s">
        <v>5054</v>
      </c>
      <c r="AI89" t="s">
        <v>6519</v>
      </c>
      <c r="AK89" t="s">
        <v>6154</v>
      </c>
      <c r="AL89">
        <v>1</v>
      </c>
      <c r="AN89" s="6" t="str">
        <f>Students[[#This Row],[Name]]&amp;"|"&amp;LOWER(TRIM(Students[[#This Row],[Guardian_Email__c]]))</f>
        <v>Chen Mitchell|skylarmitchell@yahoo.com</v>
      </c>
      <c r="AO89">
        <f>COUNTIF(Students[Dup Key],Students[[#This Row],[Dup Key]])</f>
        <v>1</v>
      </c>
    </row>
    <row r="90" spans="1:41">
      <c r="A90">
        <v>60</v>
      </c>
      <c r="B90" s="1">
        <v>24275</v>
      </c>
      <c r="C90">
        <v>1</v>
      </c>
      <c r="D90" t="s">
        <v>52</v>
      </c>
      <c r="E90" t="s">
        <v>6141</v>
      </c>
      <c r="F90" s="1">
        <v>45590</v>
      </c>
      <c r="G90" t="s">
        <v>5452</v>
      </c>
      <c r="H90" t="s">
        <v>1533</v>
      </c>
      <c r="M90" t="s">
        <v>63</v>
      </c>
      <c r="N90" t="s">
        <v>5018</v>
      </c>
      <c r="O90" t="s">
        <v>1532</v>
      </c>
      <c r="P90" t="b">
        <v>0</v>
      </c>
      <c r="R90" t="s">
        <v>52</v>
      </c>
      <c r="S90" t="s">
        <v>6146</v>
      </c>
      <c r="T90" t="s">
        <v>6500</v>
      </c>
      <c r="U90" t="s">
        <v>6500</v>
      </c>
      <c r="V90" s="1">
        <v>46175</v>
      </c>
      <c r="W90" t="s">
        <v>5133</v>
      </c>
      <c r="X90" t="s">
        <v>6148</v>
      </c>
      <c r="Z90" s="2">
        <v>160</v>
      </c>
      <c r="AA90" t="s">
        <v>1533</v>
      </c>
      <c r="AB90" t="s">
        <v>52</v>
      </c>
      <c r="AC90" t="b">
        <v>0</v>
      </c>
      <c r="AD90" t="s">
        <v>6150</v>
      </c>
      <c r="AE90" t="s">
        <v>461</v>
      </c>
      <c r="AF90" t="s">
        <v>6151</v>
      </c>
      <c r="AG90" t="s">
        <v>5054</v>
      </c>
      <c r="AH90" t="s">
        <v>6520</v>
      </c>
      <c r="AI90" t="s">
        <v>6521</v>
      </c>
      <c r="AJ90" t="s">
        <v>6522</v>
      </c>
      <c r="AK90" t="s">
        <v>6154</v>
      </c>
      <c r="AL90">
        <v>1</v>
      </c>
      <c r="AN90" s="6" t="str">
        <f>Students[[#This Row],[Name]]&amp;"|"&amp;LOWER(TRIM(Students[[#This Row],[Guardian_Email__c]]))</f>
        <v>Nathan Perez|</v>
      </c>
      <c r="AO90">
        <f>COUNTIF(Students[Dup Key],Students[[#This Row],[Dup Key]])</f>
        <v>1</v>
      </c>
    </row>
    <row r="91" spans="1:41">
      <c r="A91">
        <v>13</v>
      </c>
      <c r="B91" s="1">
        <v>41252</v>
      </c>
      <c r="C91">
        <v>0</v>
      </c>
      <c r="D91" t="s">
        <v>52</v>
      </c>
      <c r="E91" t="s">
        <v>6141</v>
      </c>
      <c r="F91" s="1">
        <v>45416</v>
      </c>
      <c r="G91" t="s">
        <v>5669</v>
      </c>
      <c r="H91" t="s">
        <v>1562</v>
      </c>
      <c r="I91" t="s">
        <v>6523</v>
      </c>
      <c r="J91" t="s">
        <v>5204</v>
      </c>
      <c r="K91" t="s">
        <v>5392</v>
      </c>
      <c r="L91" t="s">
        <v>6524</v>
      </c>
      <c r="M91" t="s">
        <v>83</v>
      </c>
      <c r="N91" t="s">
        <v>5016</v>
      </c>
      <c r="O91" t="s">
        <v>1561</v>
      </c>
      <c r="P91" t="b">
        <v>0</v>
      </c>
      <c r="R91" t="s">
        <v>52</v>
      </c>
      <c r="S91" t="s">
        <v>6146</v>
      </c>
      <c r="T91" t="s">
        <v>6173</v>
      </c>
      <c r="U91" t="s">
        <v>6173</v>
      </c>
      <c r="W91" t="s">
        <v>5392</v>
      </c>
      <c r="X91" t="s">
        <v>6148</v>
      </c>
      <c r="Y91" t="s">
        <v>6525</v>
      </c>
      <c r="Z91" s="2">
        <v>200</v>
      </c>
      <c r="AA91" t="s">
        <v>1562</v>
      </c>
      <c r="AB91" t="s">
        <v>52</v>
      </c>
      <c r="AC91" t="b">
        <v>0</v>
      </c>
      <c r="AD91" t="s">
        <v>6169</v>
      </c>
      <c r="AE91" t="s">
        <v>263</v>
      </c>
      <c r="AF91" t="s">
        <v>6157</v>
      </c>
      <c r="AG91" t="s">
        <v>5054</v>
      </c>
      <c r="AI91" t="s">
        <v>6526</v>
      </c>
      <c r="AK91" t="s">
        <v>6154</v>
      </c>
      <c r="AL91">
        <v>1</v>
      </c>
      <c r="AN91" s="6" t="str">
        <f>Students[[#This Row],[Name]]&amp;"|"&amp;LOWER(TRIM(Students[[#This Row],[Guardian_Email__c]]))</f>
        <v>Theo Anderson|handerson@hotmail.com</v>
      </c>
      <c r="AO91">
        <f>COUNTIF(Students[Dup Key],Students[[#This Row],[Dup Key]])</f>
        <v>1</v>
      </c>
    </row>
    <row r="92" spans="1:41">
      <c r="A92">
        <v>12</v>
      </c>
      <c r="B92" s="1">
        <v>41770</v>
      </c>
      <c r="C92">
        <v>1</v>
      </c>
      <c r="D92" t="s">
        <v>52</v>
      </c>
      <c r="E92" t="s">
        <v>6141</v>
      </c>
      <c r="F92" s="1">
        <v>46061</v>
      </c>
      <c r="G92" t="s">
        <v>6376</v>
      </c>
      <c r="H92" t="s">
        <v>1579</v>
      </c>
      <c r="I92" t="s">
        <v>6527</v>
      </c>
      <c r="J92" t="s">
        <v>5240</v>
      </c>
      <c r="K92" t="s">
        <v>5201</v>
      </c>
      <c r="L92" t="s">
        <v>6528</v>
      </c>
      <c r="M92" t="s">
        <v>83</v>
      </c>
      <c r="N92" t="s">
        <v>5016</v>
      </c>
      <c r="O92" t="s">
        <v>1578</v>
      </c>
      <c r="P92" t="b">
        <v>0</v>
      </c>
      <c r="R92" t="s">
        <v>52</v>
      </c>
      <c r="S92" t="s">
        <v>6146</v>
      </c>
      <c r="T92" t="s">
        <v>6173</v>
      </c>
      <c r="U92" t="s">
        <v>6173</v>
      </c>
      <c r="V92" s="1">
        <v>46194</v>
      </c>
      <c r="W92" t="s">
        <v>5201</v>
      </c>
      <c r="X92" t="s">
        <v>6148</v>
      </c>
      <c r="Z92" s="2">
        <v>180</v>
      </c>
      <c r="AA92" t="s">
        <v>1579</v>
      </c>
      <c r="AB92" t="s">
        <v>52</v>
      </c>
      <c r="AC92" t="b">
        <v>0</v>
      </c>
      <c r="AD92" t="s">
        <v>6166</v>
      </c>
      <c r="AE92" t="s">
        <v>107</v>
      </c>
      <c r="AF92" t="s">
        <v>6200</v>
      </c>
      <c r="AG92" t="s">
        <v>6152</v>
      </c>
      <c r="AI92" t="s">
        <v>6529</v>
      </c>
      <c r="AK92" t="s">
        <v>6154</v>
      </c>
      <c r="AL92">
        <v>1</v>
      </c>
      <c r="AN92" s="6" t="str">
        <f>Students[[#This Row],[Name]]&amp;"|"&amp;LOWER(TRIM(Students[[#This Row],[Guardian_Email__c]]))</f>
        <v>Marcus Davis|aria.davis@hotmail.com</v>
      </c>
      <c r="AO92">
        <f>COUNTIF(Students[Dup Key],Students[[#This Row],[Dup Key]])</f>
        <v>1</v>
      </c>
    </row>
    <row r="93" spans="1:41">
      <c r="A93">
        <v>12</v>
      </c>
      <c r="B93" s="1">
        <v>41728</v>
      </c>
      <c r="C93">
        <v>0</v>
      </c>
      <c r="D93" t="s">
        <v>52</v>
      </c>
      <c r="E93" t="s">
        <v>6141</v>
      </c>
      <c r="F93" s="1">
        <v>45349</v>
      </c>
      <c r="G93" t="s">
        <v>5866</v>
      </c>
      <c r="H93" t="s">
        <v>6530</v>
      </c>
      <c r="I93" t="s">
        <v>6531</v>
      </c>
      <c r="J93" t="s">
        <v>5070</v>
      </c>
      <c r="K93" t="s">
        <v>5542</v>
      </c>
      <c r="L93" t="s">
        <v>6532</v>
      </c>
      <c r="M93" t="s">
        <v>150</v>
      </c>
      <c r="N93" t="s">
        <v>5014</v>
      </c>
      <c r="O93" t="s">
        <v>6533</v>
      </c>
      <c r="P93" t="b">
        <v>0</v>
      </c>
      <c r="R93" t="s">
        <v>52</v>
      </c>
      <c r="S93" t="s">
        <v>6223</v>
      </c>
      <c r="T93" t="s">
        <v>6173</v>
      </c>
      <c r="U93" t="s">
        <v>6173</v>
      </c>
      <c r="W93" t="s">
        <v>5542</v>
      </c>
      <c r="X93" t="s">
        <v>6148</v>
      </c>
      <c r="Z93" s="2">
        <v>160</v>
      </c>
      <c r="AA93" t="s">
        <v>6530</v>
      </c>
      <c r="AB93" t="s">
        <v>52</v>
      </c>
      <c r="AC93" t="b">
        <v>0</v>
      </c>
      <c r="AD93" t="s">
        <v>6239</v>
      </c>
      <c r="AE93" t="s">
        <v>650</v>
      </c>
      <c r="AF93" t="s">
        <v>6151</v>
      </c>
      <c r="AG93" t="s">
        <v>6224</v>
      </c>
      <c r="AI93" t="s">
        <v>6534</v>
      </c>
      <c r="AK93" t="s">
        <v>6154</v>
      </c>
      <c r="AL93">
        <v>1</v>
      </c>
      <c r="AM93" s="1">
        <v>45840</v>
      </c>
      <c r="AN93" s="6" t="str">
        <f>Students[[#This Row],[Name]]&amp;"|"&amp;LOWER(TRIM(Students[[#This Row],[Guardian_Email__c]]))</f>
        <v>Nova Ahmed|jonahahmed92@hotmail.com</v>
      </c>
      <c r="AO93">
        <f>COUNTIF(Students[Dup Key],Students[[#This Row],[Dup Key]])</f>
        <v>1</v>
      </c>
    </row>
    <row r="94" spans="1:41">
      <c r="A94">
        <v>11</v>
      </c>
      <c r="B94" s="1">
        <v>42037</v>
      </c>
      <c r="C94">
        <v>2</v>
      </c>
      <c r="D94" t="s">
        <v>52</v>
      </c>
      <c r="E94" t="s">
        <v>6141</v>
      </c>
      <c r="F94" s="1">
        <v>44806</v>
      </c>
      <c r="G94" t="s">
        <v>5636</v>
      </c>
      <c r="H94" t="s">
        <v>1590</v>
      </c>
      <c r="I94" t="s">
        <v>6535</v>
      </c>
      <c r="J94" t="s">
        <v>5370</v>
      </c>
      <c r="K94" t="s">
        <v>5339</v>
      </c>
      <c r="L94" t="s">
        <v>6536</v>
      </c>
      <c r="M94" t="s">
        <v>63</v>
      </c>
      <c r="N94" t="s">
        <v>5018</v>
      </c>
      <c r="O94" t="s">
        <v>1589</v>
      </c>
      <c r="P94" t="b">
        <v>0</v>
      </c>
      <c r="R94" t="s">
        <v>52</v>
      </c>
      <c r="S94" t="s">
        <v>6146</v>
      </c>
      <c r="T94" t="s">
        <v>6173</v>
      </c>
      <c r="U94" t="s">
        <v>6173</v>
      </c>
      <c r="V94" s="1">
        <v>46261</v>
      </c>
      <c r="W94" t="s">
        <v>5339</v>
      </c>
      <c r="X94" t="s">
        <v>6148</v>
      </c>
      <c r="Z94" s="2">
        <v>200</v>
      </c>
      <c r="AA94" t="s">
        <v>1590</v>
      </c>
      <c r="AB94" t="s">
        <v>52</v>
      </c>
      <c r="AC94" t="b">
        <v>0</v>
      </c>
      <c r="AD94" t="s">
        <v>6193</v>
      </c>
      <c r="AE94" t="s">
        <v>107</v>
      </c>
      <c r="AF94" t="s">
        <v>6200</v>
      </c>
      <c r="AG94" t="s">
        <v>5054</v>
      </c>
      <c r="AI94" t="s">
        <v>6537</v>
      </c>
      <c r="AK94" t="s">
        <v>6154</v>
      </c>
      <c r="AL94">
        <v>1</v>
      </c>
      <c r="AN94" s="6" t="str">
        <f>Students[[#This Row],[Name]]&amp;"|"&amp;LOWER(TRIM(Students[[#This Row],[Guardian_Email__c]]))</f>
        <v>Scarlett Scott|fatima.scott@outlook.com</v>
      </c>
      <c r="AO94">
        <f>COUNTIF(Students[Dup Key],Students[[#This Row],[Dup Key]])</f>
        <v>1</v>
      </c>
    </row>
    <row r="95" spans="1:41">
      <c r="A95">
        <v>9</v>
      </c>
      <c r="B95" s="1">
        <v>42957</v>
      </c>
      <c r="C95">
        <v>0</v>
      </c>
      <c r="D95" t="s">
        <v>52</v>
      </c>
      <c r="E95" t="s">
        <v>6141</v>
      </c>
      <c r="F95" s="1">
        <v>45290</v>
      </c>
      <c r="G95" t="s">
        <v>5187</v>
      </c>
      <c r="H95" t="s">
        <v>1610</v>
      </c>
      <c r="I95" t="s">
        <v>6538</v>
      </c>
      <c r="J95" t="s">
        <v>6162</v>
      </c>
      <c r="K95" t="s">
        <v>5067</v>
      </c>
      <c r="L95" t="s">
        <v>6539</v>
      </c>
      <c r="M95" t="s">
        <v>150</v>
      </c>
      <c r="N95" t="s">
        <v>5014</v>
      </c>
      <c r="O95" t="s">
        <v>1609</v>
      </c>
      <c r="P95" t="b">
        <v>0</v>
      </c>
      <c r="R95" t="s">
        <v>52</v>
      </c>
      <c r="S95" t="s">
        <v>6146</v>
      </c>
      <c r="T95" t="s">
        <v>6173</v>
      </c>
      <c r="U95" t="s">
        <v>6173</v>
      </c>
      <c r="W95" t="s">
        <v>5067</v>
      </c>
      <c r="X95" t="s">
        <v>6148</v>
      </c>
      <c r="Z95" s="2">
        <v>160</v>
      </c>
      <c r="AA95" t="s">
        <v>1610</v>
      </c>
      <c r="AB95" t="s">
        <v>52</v>
      </c>
      <c r="AC95" t="b">
        <v>0</v>
      </c>
      <c r="AD95" t="s">
        <v>6150</v>
      </c>
      <c r="AE95" t="s">
        <v>263</v>
      </c>
      <c r="AF95" t="s">
        <v>6157</v>
      </c>
      <c r="AG95" t="s">
        <v>6152</v>
      </c>
      <c r="AI95" t="s">
        <v>6540</v>
      </c>
      <c r="AK95" t="s">
        <v>6154</v>
      </c>
      <c r="AL95">
        <v>1</v>
      </c>
      <c r="AN95" s="6" t="str">
        <f>Students[[#This Row],[Name]]&amp;"|"&amp;LOWER(TRIM(Students[[#This Row],[Guardian_Email__c]]))</f>
        <v>Lily Mitchell|ryanmitchell@outlook.com</v>
      </c>
      <c r="AO95">
        <f>COUNTIF(Students[Dup Key],Students[[#This Row],[Dup Key]])</f>
        <v>1</v>
      </c>
    </row>
    <row r="96" spans="1:41">
      <c r="A96">
        <v>8</v>
      </c>
      <c r="B96" s="1">
        <v>43347</v>
      </c>
      <c r="C96">
        <v>0</v>
      </c>
      <c r="D96" t="s">
        <v>52</v>
      </c>
      <c r="E96" t="s">
        <v>6141</v>
      </c>
      <c r="F96" s="1">
        <v>44677</v>
      </c>
      <c r="G96" t="s">
        <v>5354</v>
      </c>
      <c r="H96" t="s">
        <v>1618</v>
      </c>
      <c r="I96" t="s">
        <v>6541</v>
      </c>
      <c r="J96" t="s">
        <v>5505</v>
      </c>
      <c r="K96" t="s">
        <v>5095</v>
      </c>
      <c r="L96" t="s">
        <v>6542</v>
      </c>
      <c r="M96" t="s">
        <v>63</v>
      </c>
      <c r="N96" t="s">
        <v>5018</v>
      </c>
      <c r="O96" t="s">
        <v>1617</v>
      </c>
      <c r="P96" t="b">
        <v>0</v>
      </c>
      <c r="R96" t="s">
        <v>52</v>
      </c>
      <c r="S96" t="s">
        <v>6146</v>
      </c>
      <c r="T96" t="s">
        <v>6173</v>
      </c>
      <c r="U96" t="s">
        <v>6173</v>
      </c>
      <c r="W96" t="s">
        <v>5095</v>
      </c>
      <c r="X96" t="s">
        <v>6148</v>
      </c>
      <c r="Z96" s="2">
        <v>200</v>
      </c>
      <c r="AA96" t="s">
        <v>1618</v>
      </c>
      <c r="AB96" t="s">
        <v>52</v>
      </c>
      <c r="AC96" t="b">
        <v>0</v>
      </c>
      <c r="AD96" t="s">
        <v>6150</v>
      </c>
      <c r="AE96" t="s">
        <v>147</v>
      </c>
      <c r="AF96" t="s">
        <v>6157</v>
      </c>
      <c r="AG96" t="s">
        <v>5054</v>
      </c>
      <c r="AI96" t="s">
        <v>6543</v>
      </c>
      <c r="AK96" t="s">
        <v>6154</v>
      </c>
      <c r="AL96">
        <v>1</v>
      </c>
      <c r="AN96" s="6" t="str">
        <f>Students[[#This Row],[Name]]&amp;"|"&amp;LOWER(TRIM(Students[[#This Row],[Guardian_Email__c]]))</f>
        <v>Isaac Novak|micahnovak88@icloud.com</v>
      </c>
      <c r="AO96">
        <f>COUNTIF(Students[Dup Key],Students[[#This Row],[Dup Key]])</f>
        <v>1</v>
      </c>
    </row>
    <row r="97" spans="1:41">
      <c r="A97">
        <v>38</v>
      </c>
      <c r="B97" s="1">
        <v>32322</v>
      </c>
      <c r="C97">
        <v>1</v>
      </c>
      <c r="D97" t="s">
        <v>52</v>
      </c>
      <c r="E97" t="s">
        <v>6141</v>
      </c>
      <c r="F97" s="1">
        <v>45188</v>
      </c>
      <c r="G97" t="s">
        <v>5219</v>
      </c>
      <c r="H97" t="s">
        <v>1626</v>
      </c>
      <c r="M97" t="s">
        <v>63</v>
      </c>
      <c r="N97" t="s">
        <v>5018</v>
      </c>
      <c r="O97" t="s">
        <v>1625</v>
      </c>
      <c r="P97" t="b">
        <v>0</v>
      </c>
      <c r="R97" t="s">
        <v>6544</v>
      </c>
      <c r="S97" t="s">
        <v>6545</v>
      </c>
      <c r="T97" t="s">
        <v>6228</v>
      </c>
      <c r="U97" t="s">
        <v>6228</v>
      </c>
      <c r="V97" s="1">
        <v>46102</v>
      </c>
      <c r="W97" t="s">
        <v>5083</v>
      </c>
      <c r="X97" t="s">
        <v>6189</v>
      </c>
      <c r="Z97" s="2">
        <v>180</v>
      </c>
      <c r="AA97" t="s">
        <v>1626</v>
      </c>
      <c r="AB97" t="s">
        <v>52</v>
      </c>
      <c r="AC97" t="b">
        <v>0</v>
      </c>
      <c r="AD97" t="s">
        <v>6239</v>
      </c>
      <c r="AE97" t="s">
        <v>461</v>
      </c>
      <c r="AF97" t="s">
        <v>6200</v>
      </c>
      <c r="AG97" t="s">
        <v>5054</v>
      </c>
      <c r="AH97" t="s">
        <v>6546</v>
      </c>
      <c r="AI97" t="s">
        <v>6547</v>
      </c>
      <c r="AJ97" t="s">
        <v>6548</v>
      </c>
      <c r="AK97" t="s">
        <v>6154</v>
      </c>
      <c r="AL97">
        <v>0.5</v>
      </c>
      <c r="AN97" s="6" t="str">
        <f>Students[[#This Row],[Name]]&amp;"|"&amp;LOWER(TRIM(Students[[#This Row],[Guardian_Email__c]]))</f>
        <v>Adrian Lewis|</v>
      </c>
      <c r="AO97">
        <f>COUNTIF(Students[Dup Key],Students[[#This Row],[Dup Key]])</f>
        <v>1</v>
      </c>
    </row>
    <row r="98" spans="1:41">
      <c r="A98">
        <v>11</v>
      </c>
      <c r="B98" s="1">
        <v>42011</v>
      </c>
      <c r="C98">
        <v>2</v>
      </c>
      <c r="D98" t="s">
        <v>52</v>
      </c>
      <c r="E98" t="s">
        <v>6141</v>
      </c>
      <c r="F98" s="1">
        <v>44663</v>
      </c>
      <c r="G98" t="s">
        <v>5747</v>
      </c>
      <c r="H98" t="s">
        <v>1643</v>
      </c>
      <c r="I98" t="s">
        <v>6549</v>
      </c>
      <c r="J98" t="s">
        <v>5080</v>
      </c>
      <c r="K98" t="s">
        <v>5161</v>
      </c>
      <c r="L98" t="s">
        <v>6550</v>
      </c>
      <c r="M98" t="s">
        <v>150</v>
      </c>
      <c r="N98" t="s">
        <v>5014</v>
      </c>
      <c r="O98" t="s">
        <v>1642</v>
      </c>
      <c r="P98" t="b">
        <v>0</v>
      </c>
      <c r="R98" t="s">
        <v>52</v>
      </c>
      <c r="S98" t="s">
        <v>6146</v>
      </c>
      <c r="T98" t="s">
        <v>6228</v>
      </c>
      <c r="U98" t="s">
        <v>6228</v>
      </c>
      <c r="V98" s="1">
        <v>46263</v>
      </c>
      <c r="W98" t="s">
        <v>5161</v>
      </c>
      <c r="X98" t="s">
        <v>6148</v>
      </c>
      <c r="Z98" s="2">
        <v>200</v>
      </c>
      <c r="AA98" t="s">
        <v>1643</v>
      </c>
      <c r="AB98" t="s">
        <v>52</v>
      </c>
      <c r="AC98" t="b">
        <v>0</v>
      </c>
      <c r="AD98" t="s">
        <v>6193</v>
      </c>
      <c r="AE98" t="s">
        <v>461</v>
      </c>
      <c r="AF98" t="s">
        <v>6151</v>
      </c>
      <c r="AG98" t="s">
        <v>5054</v>
      </c>
      <c r="AI98" t="s">
        <v>6551</v>
      </c>
      <c r="AK98" t="s">
        <v>6154</v>
      </c>
      <c r="AL98">
        <v>1</v>
      </c>
      <c r="AN98" s="6" t="str">
        <f>Students[[#This Row],[Name]]&amp;"|"&amp;LOWER(TRIM(Students[[#This Row],[Guardian_Email__c]]))</f>
        <v>Chloe Allen|claireallen@gmail.com</v>
      </c>
      <c r="AO98">
        <f>COUNTIF(Students[Dup Key],Students[[#This Row],[Dup Key]])</f>
        <v>1</v>
      </c>
    </row>
    <row r="99" spans="1:41">
      <c r="A99">
        <v>11</v>
      </c>
      <c r="B99" s="1">
        <v>42249</v>
      </c>
      <c r="C99">
        <v>0</v>
      </c>
      <c r="D99" t="s">
        <v>52</v>
      </c>
      <c r="E99" t="s">
        <v>6141</v>
      </c>
      <c r="F99" s="1">
        <v>44834</v>
      </c>
      <c r="G99" t="s">
        <v>5408</v>
      </c>
      <c r="H99" t="s">
        <v>1666</v>
      </c>
      <c r="I99" t="s">
        <v>6552</v>
      </c>
      <c r="J99" t="s">
        <v>5182</v>
      </c>
      <c r="K99" t="s">
        <v>5133</v>
      </c>
      <c r="L99" t="s">
        <v>6553</v>
      </c>
      <c r="M99" t="s">
        <v>63</v>
      </c>
      <c r="N99" t="s">
        <v>5018</v>
      </c>
      <c r="O99" t="s">
        <v>1665</v>
      </c>
      <c r="P99" t="b">
        <v>0</v>
      </c>
      <c r="R99" t="s">
        <v>52</v>
      </c>
      <c r="S99" t="s">
        <v>6146</v>
      </c>
      <c r="T99" t="s">
        <v>6173</v>
      </c>
      <c r="U99" t="s">
        <v>6173</v>
      </c>
      <c r="W99" t="s">
        <v>5133</v>
      </c>
      <c r="X99" t="s">
        <v>6189</v>
      </c>
      <c r="Z99" s="2">
        <v>160</v>
      </c>
      <c r="AA99" t="s">
        <v>1666</v>
      </c>
      <c r="AB99" t="s">
        <v>52</v>
      </c>
      <c r="AC99" t="b">
        <v>0</v>
      </c>
      <c r="AD99" t="s">
        <v>6174</v>
      </c>
      <c r="AE99" t="s">
        <v>284</v>
      </c>
      <c r="AF99" t="s">
        <v>6200</v>
      </c>
      <c r="AG99" t="s">
        <v>5054</v>
      </c>
      <c r="AI99" t="s">
        <v>6554</v>
      </c>
      <c r="AK99" t="s">
        <v>6154</v>
      </c>
      <c r="AL99">
        <v>0.5</v>
      </c>
      <c r="AN99" s="6" t="str">
        <f>Students[[#This Row],[Name]]&amp;"|"&amp;LOWER(TRIM(Students[[#This Row],[Guardian_Email__c]]))</f>
        <v>Hazel Perez|violet.perez@outlook.com</v>
      </c>
      <c r="AO99">
        <f>COUNTIF(Students[Dup Key],Students[[#This Row],[Dup Key]])</f>
        <v>1</v>
      </c>
    </row>
    <row r="100" spans="1:41">
      <c r="A100">
        <v>8</v>
      </c>
      <c r="B100" s="1">
        <v>43161</v>
      </c>
      <c r="C100">
        <v>1</v>
      </c>
      <c r="D100" t="s">
        <v>52</v>
      </c>
      <c r="E100" t="s">
        <v>6141</v>
      </c>
      <c r="F100" s="1">
        <v>44608</v>
      </c>
      <c r="G100" t="s">
        <v>5136</v>
      </c>
      <c r="H100" t="s">
        <v>1695</v>
      </c>
      <c r="I100" t="s">
        <v>6555</v>
      </c>
      <c r="J100" t="s">
        <v>5682</v>
      </c>
      <c r="K100" t="s">
        <v>5256</v>
      </c>
      <c r="L100" t="s">
        <v>6556</v>
      </c>
      <c r="M100" t="s">
        <v>63</v>
      </c>
      <c r="N100" t="s">
        <v>5018</v>
      </c>
      <c r="O100" t="s">
        <v>1694</v>
      </c>
      <c r="P100" t="b">
        <v>0</v>
      </c>
      <c r="R100" t="s">
        <v>52</v>
      </c>
      <c r="S100" t="s">
        <v>6146</v>
      </c>
      <c r="T100" t="s">
        <v>6173</v>
      </c>
      <c r="U100" t="s">
        <v>6173</v>
      </c>
      <c r="V100" s="1">
        <v>46080</v>
      </c>
      <c r="W100" t="s">
        <v>5256</v>
      </c>
      <c r="X100" t="s">
        <v>6189</v>
      </c>
      <c r="Z100" s="2">
        <v>240</v>
      </c>
      <c r="AA100" t="s">
        <v>1695</v>
      </c>
      <c r="AB100" t="s">
        <v>52</v>
      </c>
      <c r="AC100" t="b">
        <v>0</v>
      </c>
      <c r="AD100" t="s">
        <v>6174</v>
      </c>
      <c r="AE100" t="s">
        <v>461</v>
      </c>
      <c r="AF100" t="s">
        <v>6200</v>
      </c>
      <c r="AG100" t="s">
        <v>5054</v>
      </c>
      <c r="AI100" t="s">
        <v>6557</v>
      </c>
      <c r="AK100" t="s">
        <v>6154</v>
      </c>
      <c r="AL100">
        <v>0.5</v>
      </c>
      <c r="AN100" s="6" t="str">
        <f>Students[[#This Row],[Name]]&amp;"|"&amp;LOWER(TRIM(Students[[#This Row],[Guardian_Email__c]]))</f>
        <v>Jamal Sanchez|milessanchez38@outlook.com</v>
      </c>
      <c r="AO100">
        <f>COUNTIF(Students[Dup Key],Students[[#This Row],[Dup Key]])</f>
        <v>1</v>
      </c>
    </row>
    <row r="101" spans="1:41">
      <c r="A101">
        <v>6</v>
      </c>
      <c r="B101" s="1">
        <v>43753</v>
      </c>
      <c r="C101">
        <v>0</v>
      </c>
      <c r="D101" t="s">
        <v>52</v>
      </c>
      <c r="E101" t="s">
        <v>6141</v>
      </c>
      <c r="F101" s="1">
        <v>46115</v>
      </c>
      <c r="G101" t="s">
        <v>5979</v>
      </c>
      <c r="H101" t="s">
        <v>6558</v>
      </c>
      <c r="I101" t="s">
        <v>6559</v>
      </c>
      <c r="J101" t="s">
        <v>5526</v>
      </c>
      <c r="K101" t="s">
        <v>5083</v>
      </c>
      <c r="L101" t="s">
        <v>6560</v>
      </c>
      <c r="M101" t="s">
        <v>63</v>
      </c>
      <c r="N101" t="s">
        <v>5018</v>
      </c>
      <c r="O101" t="s">
        <v>6561</v>
      </c>
      <c r="P101" t="b">
        <v>0</v>
      </c>
      <c r="R101" t="s">
        <v>52</v>
      </c>
      <c r="S101" t="s">
        <v>6223</v>
      </c>
      <c r="T101" t="s">
        <v>6173</v>
      </c>
      <c r="U101" t="s">
        <v>6173</v>
      </c>
      <c r="W101" t="s">
        <v>5083</v>
      </c>
      <c r="X101" t="s">
        <v>6189</v>
      </c>
      <c r="Z101" s="2">
        <v>200</v>
      </c>
      <c r="AA101" t="s">
        <v>6558</v>
      </c>
      <c r="AB101" t="s">
        <v>52</v>
      </c>
      <c r="AC101" t="b">
        <v>0</v>
      </c>
      <c r="AD101" t="s">
        <v>6193</v>
      </c>
      <c r="AE101" t="s">
        <v>58</v>
      </c>
      <c r="AF101" t="s">
        <v>6157</v>
      </c>
      <c r="AG101" t="s">
        <v>6224</v>
      </c>
      <c r="AI101" t="s">
        <v>6562</v>
      </c>
      <c r="AK101" t="s">
        <v>6154</v>
      </c>
      <c r="AL101">
        <v>0.5</v>
      </c>
      <c r="AM101" s="1">
        <v>46191</v>
      </c>
      <c r="AN101" s="6" t="str">
        <f>Students[[#This Row],[Name]]&amp;"|"&amp;LOWER(TRIM(Students[[#This Row],[Guardian_Email__c]]))</f>
        <v>Josiah Lewis|valentina.lewis@yahoo.com</v>
      </c>
      <c r="AO101">
        <f>COUNTIF(Students[Dup Key],Students[[#This Row],[Dup Key]])</f>
        <v>1</v>
      </c>
    </row>
    <row r="102" spans="1:41">
      <c r="A102">
        <v>7</v>
      </c>
      <c r="B102" s="1">
        <v>43477</v>
      </c>
      <c r="C102">
        <v>2</v>
      </c>
      <c r="D102" t="s">
        <v>52</v>
      </c>
      <c r="E102" t="s">
        <v>6141</v>
      </c>
      <c r="F102" s="1">
        <v>45333</v>
      </c>
      <c r="G102" t="s">
        <v>5125</v>
      </c>
      <c r="H102" t="s">
        <v>1715</v>
      </c>
      <c r="I102" t="s">
        <v>6563</v>
      </c>
      <c r="J102" t="s">
        <v>5408</v>
      </c>
      <c r="K102" t="s">
        <v>5535</v>
      </c>
      <c r="L102" t="s">
        <v>6564</v>
      </c>
      <c r="M102" t="s">
        <v>83</v>
      </c>
      <c r="N102" t="s">
        <v>5016</v>
      </c>
      <c r="O102" t="s">
        <v>1714</v>
      </c>
      <c r="P102" t="b">
        <v>0</v>
      </c>
      <c r="R102" t="s">
        <v>52</v>
      </c>
      <c r="S102" t="s">
        <v>6146</v>
      </c>
      <c r="T102" t="s">
        <v>6173</v>
      </c>
      <c r="U102" t="s">
        <v>6173</v>
      </c>
      <c r="V102" s="1">
        <v>46144</v>
      </c>
      <c r="W102" t="s">
        <v>5535</v>
      </c>
      <c r="X102" t="s">
        <v>6148</v>
      </c>
      <c r="Z102" s="2">
        <v>220</v>
      </c>
      <c r="AA102" t="s">
        <v>1715</v>
      </c>
      <c r="AB102" t="s">
        <v>52</v>
      </c>
      <c r="AC102" t="b">
        <v>0</v>
      </c>
      <c r="AD102" t="s">
        <v>6166</v>
      </c>
      <c r="AE102" t="s">
        <v>527</v>
      </c>
      <c r="AF102" t="s">
        <v>6200</v>
      </c>
      <c r="AG102" t="s">
        <v>5054</v>
      </c>
      <c r="AI102" t="s">
        <v>6565</v>
      </c>
      <c r="AK102" t="s">
        <v>6154</v>
      </c>
      <c r="AL102">
        <v>1</v>
      </c>
      <c r="AN102" s="6" t="str">
        <f>Students[[#This Row],[Name]]&amp;"|"&amp;LOWER(TRIM(Students[[#This Row],[Guardian_Email__c]]))</f>
        <v>Savannah Campbell|skylar.campbell@outlook.com</v>
      </c>
      <c r="AO102">
        <f>COUNTIF(Students[Dup Key],Students[[#This Row],[Dup Key]])</f>
        <v>1</v>
      </c>
    </row>
    <row r="103" spans="1:41">
      <c r="A103">
        <v>61</v>
      </c>
      <c r="B103" s="1">
        <v>24018</v>
      </c>
      <c r="C103">
        <v>1</v>
      </c>
      <c r="D103" t="s">
        <v>52</v>
      </c>
      <c r="E103" t="s">
        <v>6141</v>
      </c>
      <c r="F103" s="1">
        <v>46269</v>
      </c>
      <c r="G103" t="s">
        <v>5199</v>
      </c>
      <c r="H103" t="s">
        <v>1729</v>
      </c>
      <c r="M103" t="s">
        <v>63</v>
      </c>
      <c r="N103" t="s">
        <v>5018</v>
      </c>
      <c r="O103" t="s">
        <v>1728</v>
      </c>
      <c r="P103" t="b">
        <v>0</v>
      </c>
      <c r="R103" t="s">
        <v>52</v>
      </c>
      <c r="S103" t="s">
        <v>6146</v>
      </c>
      <c r="T103" t="s">
        <v>6173</v>
      </c>
      <c r="U103" t="s">
        <v>6173</v>
      </c>
      <c r="V103" s="1">
        <v>46261</v>
      </c>
      <c r="W103" t="s">
        <v>5278</v>
      </c>
      <c r="X103" t="s">
        <v>6189</v>
      </c>
      <c r="Z103" s="2">
        <v>220</v>
      </c>
      <c r="AA103" t="s">
        <v>1729</v>
      </c>
      <c r="AB103" t="s">
        <v>52</v>
      </c>
      <c r="AC103" t="b">
        <v>0</v>
      </c>
      <c r="AD103" t="s">
        <v>6193</v>
      </c>
      <c r="AE103" t="s">
        <v>237</v>
      </c>
      <c r="AF103" t="s">
        <v>6200</v>
      </c>
      <c r="AG103" t="s">
        <v>5054</v>
      </c>
      <c r="AH103" t="s">
        <v>6566</v>
      </c>
      <c r="AI103" t="s">
        <v>6567</v>
      </c>
      <c r="AJ103" t="s">
        <v>6568</v>
      </c>
      <c r="AK103" t="s">
        <v>6154</v>
      </c>
      <c r="AL103">
        <v>0.5</v>
      </c>
      <c r="AN103" s="6" t="str">
        <f>Students[[#This Row],[Name]]&amp;"|"&amp;LOWER(TRIM(Students[[#This Row],[Guardian_Email__c]]))</f>
        <v>Logan Harris|</v>
      </c>
      <c r="AO103">
        <f>COUNTIF(Students[Dup Key],Students[[#This Row],[Dup Key]])</f>
        <v>2</v>
      </c>
    </row>
    <row r="104" spans="1:41">
      <c r="A104">
        <v>8</v>
      </c>
      <c r="B104" s="1">
        <v>43156</v>
      </c>
      <c r="C104">
        <v>0</v>
      </c>
      <c r="D104" t="s">
        <v>52</v>
      </c>
      <c r="E104" t="s">
        <v>6141</v>
      </c>
      <c r="F104" s="1">
        <v>45626</v>
      </c>
      <c r="G104" t="s">
        <v>6569</v>
      </c>
      <c r="H104" t="s">
        <v>1740</v>
      </c>
      <c r="I104" t="s">
        <v>6570</v>
      </c>
      <c r="J104" t="s">
        <v>6142</v>
      </c>
      <c r="K104" t="s">
        <v>6187</v>
      </c>
      <c r="L104" t="s">
        <v>6571</v>
      </c>
      <c r="M104" t="s">
        <v>83</v>
      </c>
      <c r="N104" t="s">
        <v>5016</v>
      </c>
      <c r="O104" t="s">
        <v>1739</v>
      </c>
      <c r="P104" t="b">
        <v>0</v>
      </c>
      <c r="R104" t="s">
        <v>52</v>
      </c>
      <c r="S104" t="s">
        <v>6146</v>
      </c>
      <c r="T104" t="s">
        <v>6228</v>
      </c>
      <c r="U104" t="s">
        <v>6228</v>
      </c>
      <c r="W104" t="s">
        <v>6187</v>
      </c>
      <c r="X104" t="s">
        <v>6148</v>
      </c>
      <c r="Z104" s="2">
        <v>200</v>
      </c>
      <c r="AA104" t="s">
        <v>1740</v>
      </c>
      <c r="AB104" t="s">
        <v>52</v>
      </c>
      <c r="AC104" t="b">
        <v>0</v>
      </c>
      <c r="AD104" t="s">
        <v>6150</v>
      </c>
      <c r="AE104" t="s">
        <v>237</v>
      </c>
      <c r="AF104" t="s">
        <v>6200</v>
      </c>
      <c r="AG104" t="s">
        <v>6152</v>
      </c>
      <c r="AI104" t="s">
        <v>6572</v>
      </c>
      <c r="AK104" t="s">
        <v>6154</v>
      </c>
      <c r="AL104">
        <v>1</v>
      </c>
      <c r="AN104" s="6" t="str">
        <f>Students[[#This Row],[Name]]&amp;"|"&amp;LOWER(TRIM(Students[[#This Row],[Guardian_Email__c]]))</f>
        <v>Dylan Wright|scarlett.wright@outlook.com</v>
      </c>
      <c r="AO104">
        <f>COUNTIF(Students[Dup Key],Students[[#This Row],[Dup Key]])</f>
        <v>1</v>
      </c>
    </row>
    <row r="105" spans="1:41">
      <c r="A105">
        <v>14</v>
      </c>
      <c r="B105" s="1">
        <v>41008</v>
      </c>
      <c r="C105">
        <v>0</v>
      </c>
      <c r="D105" t="s">
        <v>52</v>
      </c>
      <c r="E105" t="s">
        <v>6141</v>
      </c>
      <c r="F105" s="1">
        <v>45685</v>
      </c>
      <c r="G105" t="s">
        <v>6311</v>
      </c>
      <c r="H105" t="s">
        <v>1751</v>
      </c>
      <c r="I105" t="s">
        <v>6573</v>
      </c>
      <c r="J105" t="s">
        <v>6376</v>
      </c>
      <c r="K105" t="s">
        <v>5378</v>
      </c>
      <c r="L105" t="s">
        <v>6574</v>
      </c>
      <c r="M105" t="s">
        <v>83</v>
      </c>
      <c r="N105" t="s">
        <v>5016</v>
      </c>
      <c r="O105" t="s">
        <v>1750</v>
      </c>
      <c r="P105" t="b">
        <v>0</v>
      </c>
      <c r="R105" t="s">
        <v>52</v>
      </c>
      <c r="S105" t="s">
        <v>6146</v>
      </c>
      <c r="T105" t="s">
        <v>6228</v>
      </c>
      <c r="U105" t="s">
        <v>6228</v>
      </c>
      <c r="W105" t="s">
        <v>5378</v>
      </c>
      <c r="X105" t="s">
        <v>6148</v>
      </c>
      <c r="Y105" t="s">
        <v>6575</v>
      </c>
      <c r="Z105" s="2">
        <v>160</v>
      </c>
      <c r="AA105" t="s">
        <v>1751</v>
      </c>
      <c r="AB105" t="s">
        <v>52</v>
      </c>
      <c r="AC105" t="b">
        <v>0</v>
      </c>
      <c r="AD105" t="s">
        <v>6169</v>
      </c>
      <c r="AE105" t="s">
        <v>392</v>
      </c>
      <c r="AF105" t="s">
        <v>6157</v>
      </c>
      <c r="AG105" t="s">
        <v>5054</v>
      </c>
      <c r="AI105" t="s">
        <v>6576</v>
      </c>
      <c r="AK105" t="s">
        <v>6154</v>
      </c>
      <c r="AL105">
        <v>1</v>
      </c>
      <c r="AN105" s="6" t="str">
        <f>Students[[#This Row],[Name]]&amp;"|"&amp;LOWER(TRIM(Students[[#This Row],[Guardian_Email__c]]))</f>
        <v>Bella Martin|brooklynmartin@gmail.com</v>
      </c>
      <c r="AO105">
        <f>COUNTIF(Students[Dup Key],Students[[#This Row],[Dup Key]])</f>
        <v>1</v>
      </c>
    </row>
    <row r="106" spans="1:41">
      <c r="A106">
        <v>24</v>
      </c>
      <c r="B106" s="1">
        <v>37288</v>
      </c>
      <c r="C106">
        <v>1</v>
      </c>
      <c r="D106" t="s">
        <v>52</v>
      </c>
      <c r="E106" t="s">
        <v>6141</v>
      </c>
      <c r="F106" s="1">
        <v>44667</v>
      </c>
      <c r="G106" t="s">
        <v>5235</v>
      </c>
      <c r="H106" t="s">
        <v>1768</v>
      </c>
      <c r="M106" t="s">
        <v>63</v>
      </c>
      <c r="N106" t="s">
        <v>5018</v>
      </c>
      <c r="O106" t="s">
        <v>1767</v>
      </c>
      <c r="P106" t="b">
        <v>0</v>
      </c>
      <c r="R106" t="s">
        <v>52</v>
      </c>
      <c r="S106" t="s">
        <v>6146</v>
      </c>
      <c r="T106" t="s">
        <v>6228</v>
      </c>
      <c r="U106" t="s">
        <v>6228</v>
      </c>
      <c r="V106" s="1">
        <v>46129</v>
      </c>
      <c r="W106" t="s">
        <v>5222</v>
      </c>
      <c r="X106" t="s">
        <v>6148</v>
      </c>
      <c r="Z106" s="2">
        <v>160</v>
      </c>
      <c r="AA106" t="s">
        <v>1768</v>
      </c>
      <c r="AB106" t="s">
        <v>52</v>
      </c>
      <c r="AC106" t="b">
        <v>0</v>
      </c>
      <c r="AD106" t="s">
        <v>6174</v>
      </c>
      <c r="AE106" t="s">
        <v>650</v>
      </c>
      <c r="AF106" t="s">
        <v>6157</v>
      </c>
      <c r="AG106" t="s">
        <v>5054</v>
      </c>
      <c r="AH106" t="s">
        <v>6577</v>
      </c>
      <c r="AI106" t="s">
        <v>6578</v>
      </c>
      <c r="AJ106" t="s">
        <v>6579</v>
      </c>
      <c r="AK106" t="s">
        <v>6154</v>
      </c>
      <c r="AL106">
        <v>1</v>
      </c>
      <c r="AN106" s="6" t="str">
        <f>Students[[#This Row],[Name]]&amp;"|"&amp;LOWER(TRIM(Students[[#This Row],[Guardian_Email__c]]))</f>
        <v>Aiden Byrne|</v>
      </c>
      <c r="AO106">
        <f>COUNTIF(Students[Dup Key],Students[[#This Row],[Dup Key]])</f>
        <v>1</v>
      </c>
    </row>
    <row r="107" spans="1:41">
      <c r="A107">
        <v>8</v>
      </c>
      <c r="B107" s="1">
        <v>43028</v>
      </c>
      <c r="C107">
        <v>0</v>
      </c>
      <c r="D107" t="s">
        <v>52</v>
      </c>
      <c r="E107" t="s">
        <v>6141</v>
      </c>
      <c r="F107" s="1">
        <v>44838</v>
      </c>
      <c r="G107" t="s">
        <v>5370</v>
      </c>
      <c r="H107" t="s">
        <v>1785</v>
      </c>
      <c r="I107" t="s">
        <v>6580</v>
      </c>
      <c r="J107" t="s">
        <v>5187</v>
      </c>
      <c r="K107" t="s">
        <v>5161</v>
      </c>
      <c r="L107" t="s">
        <v>6581</v>
      </c>
      <c r="M107" t="s">
        <v>150</v>
      </c>
      <c r="N107" t="s">
        <v>5014</v>
      </c>
      <c r="O107" t="s">
        <v>1784</v>
      </c>
      <c r="P107" t="b">
        <v>0</v>
      </c>
      <c r="R107" t="s">
        <v>52</v>
      </c>
      <c r="S107" t="s">
        <v>6146</v>
      </c>
      <c r="T107" t="s">
        <v>6173</v>
      </c>
      <c r="U107" t="s">
        <v>6173</v>
      </c>
      <c r="W107" t="s">
        <v>5161</v>
      </c>
      <c r="X107" t="s">
        <v>6189</v>
      </c>
      <c r="Z107" s="2">
        <v>200</v>
      </c>
      <c r="AA107" t="s">
        <v>1785</v>
      </c>
      <c r="AB107" t="s">
        <v>52</v>
      </c>
      <c r="AC107" t="b">
        <v>0</v>
      </c>
      <c r="AD107" t="s">
        <v>6150</v>
      </c>
      <c r="AE107" t="s">
        <v>203</v>
      </c>
      <c r="AF107" t="s">
        <v>6157</v>
      </c>
      <c r="AG107" t="s">
        <v>5054</v>
      </c>
      <c r="AI107" t="s">
        <v>6582</v>
      </c>
      <c r="AK107" t="s">
        <v>6154</v>
      </c>
      <c r="AL107">
        <v>0.5</v>
      </c>
      <c r="AN107" s="6" t="str">
        <f>Students[[#This Row],[Name]]&amp;"|"&amp;LOWER(TRIM(Students[[#This Row],[Guardian_Email__c]]))</f>
        <v>Julian Allen|ryanallen78@hotmail.com</v>
      </c>
      <c r="AO107">
        <f>COUNTIF(Students[Dup Key],Students[[#This Row],[Dup Key]])</f>
        <v>1</v>
      </c>
    </row>
    <row r="108" spans="1:41">
      <c r="A108">
        <v>14</v>
      </c>
      <c r="B108" s="1">
        <v>40911</v>
      </c>
      <c r="C108">
        <v>0</v>
      </c>
      <c r="D108" t="s">
        <v>52</v>
      </c>
      <c r="E108" t="s">
        <v>6141</v>
      </c>
      <c r="F108" s="1">
        <v>44929</v>
      </c>
      <c r="G108" t="s">
        <v>5388</v>
      </c>
      <c r="H108" t="s">
        <v>1796</v>
      </c>
      <c r="I108" t="s">
        <v>6583</v>
      </c>
      <c r="J108" t="s">
        <v>5080</v>
      </c>
      <c r="K108" t="s">
        <v>5179</v>
      </c>
      <c r="L108" t="s">
        <v>6584</v>
      </c>
      <c r="M108" t="s">
        <v>63</v>
      </c>
      <c r="N108" t="s">
        <v>5018</v>
      </c>
      <c r="O108" t="s">
        <v>1795</v>
      </c>
      <c r="P108" t="b">
        <v>0</v>
      </c>
      <c r="R108" t="s">
        <v>52</v>
      </c>
      <c r="S108" t="s">
        <v>6146</v>
      </c>
      <c r="T108" t="s">
        <v>6173</v>
      </c>
      <c r="U108" t="s">
        <v>6173</v>
      </c>
      <c r="W108" t="s">
        <v>5179</v>
      </c>
      <c r="X108" t="s">
        <v>6148</v>
      </c>
      <c r="Y108" t="s">
        <v>6585</v>
      </c>
      <c r="Z108" s="2">
        <v>180</v>
      </c>
      <c r="AA108" t="s">
        <v>1796</v>
      </c>
      <c r="AB108" t="s">
        <v>52</v>
      </c>
      <c r="AC108" t="b">
        <v>0</v>
      </c>
      <c r="AD108" t="s">
        <v>6169</v>
      </c>
      <c r="AE108" t="s">
        <v>147</v>
      </c>
      <c r="AF108" t="s">
        <v>6157</v>
      </c>
      <c r="AG108" t="s">
        <v>5054</v>
      </c>
      <c r="AI108" t="s">
        <v>6586</v>
      </c>
      <c r="AK108" t="s">
        <v>6154</v>
      </c>
      <c r="AL108">
        <v>1</v>
      </c>
      <c r="AN108" s="6" t="str">
        <f>Students[[#This Row],[Name]]&amp;"|"&amp;LOWER(TRIM(Students[[#This Row],[Guardian_Email__c]]))</f>
        <v>Ruby Moore|miles.moore@yahoo.com</v>
      </c>
      <c r="AO108">
        <f>COUNTIF(Students[Dup Key],Students[[#This Row],[Dup Key]])</f>
        <v>1</v>
      </c>
    </row>
    <row r="109" spans="1:41">
      <c r="A109">
        <v>8</v>
      </c>
      <c r="B109" s="1">
        <v>43285</v>
      </c>
      <c r="C109">
        <v>0</v>
      </c>
      <c r="D109" t="s">
        <v>52</v>
      </c>
      <c r="E109" t="s">
        <v>6141</v>
      </c>
      <c r="F109" s="1">
        <v>45000</v>
      </c>
      <c r="G109" t="s">
        <v>5047</v>
      </c>
      <c r="H109" t="s">
        <v>1819</v>
      </c>
      <c r="I109" t="s">
        <v>6587</v>
      </c>
      <c r="J109" t="s">
        <v>5193</v>
      </c>
      <c r="K109" t="s">
        <v>5601</v>
      </c>
      <c r="L109" t="s">
        <v>6588</v>
      </c>
      <c r="M109" t="s">
        <v>63</v>
      </c>
      <c r="N109" t="s">
        <v>5018</v>
      </c>
      <c r="O109" t="s">
        <v>1818</v>
      </c>
      <c r="P109" t="b">
        <v>0</v>
      </c>
      <c r="R109" t="s">
        <v>52</v>
      </c>
      <c r="S109" t="s">
        <v>6146</v>
      </c>
      <c r="T109" t="s">
        <v>6500</v>
      </c>
      <c r="U109" t="s">
        <v>6500</v>
      </c>
      <c r="W109" t="s">
        <v>5601</v>
      </c>
      <c r="X109" t="s">
        <v>6148</v>
      </c>
      <c r="Z109" s="2">
        <v>180</v>
      </c>
      <c r="AA109" t="s">
        <v>1819</v>
      </c>
      <c r="AB109" t="s">
        <v>52</v>
      </c>
      <c r="AC109" t="b">
        <v>0</v>
      </c>
      <c r="AD109" t="s">
        <v>6166</v>
      </c>
      <c r="AE109" t="s">
        <v>263</v>
      </c>
      <c r="AF109" t="s">
        <v>6151</v>
      </c>
      <c r="AG109" t="s">
        <v>5054</v>
      </c>
      <c r="AI109" t="s">
        <v>6589</v>
      </c>
      <c r="AK109" t="s">
        <v>6154</v>
      </c>
      <c r="AL109">
        <v>1</v>
      </c>
      <c r="AN109" s="6" t="str">
        <f>Students[[#This Row],[Name]]&amp;"|"&amp;LOWER(TRIM(Students[[#This Row],[Guardian_Email__c]]))</f>
        <v>Zoey Kim|ezrakim@gmail.com</v>
      </c>
      <c r="AO109">
        <f>COUNTIF(Students[Dup Key],Students[[#This Row],[Dup Key]])</f>
        <v>1</v>
      </c>
    </row>
    <row r="110" spans="1:41">
      <c r="A110">
        <v>9</v>
      </c>
      <c r="B110" s="1">
        <v>42791</v>
      </c>
      <c r="C110">
        <v>1</v>
      </c>
      <c r="D110" t="s">
        <v>52</v>
      </c>
      <c r="E110" t="s">
        <v>6141</v>
      </c>
      <c r="F110" s="1">
        <v>45180</v>
      </c>
      <c r="G110" t="s">
        <v>5146</v>
      </c>
      <c r="H110" t="s">
        <v>1833</v>
      </c>
      <c r="I110" t="s">
        <v>6590</v>
      </c>
      <c r="J110" t="s">
        <v>6061</v>
      </c>
      <c r="K110" t="s">
        <v>5216</v>
      </c>
      <c r="L110" t="s">
        <v>6591</v>
      </c>
      <c r="M110" t="s">
        <v>150</v>
      </c>
      <c r="N110" t="s">
        <v>5014</v>
      </c>
      <c r="O110" t="s">
        <v>1832</v>
      </c>
      <c r="P110" t="b">
        <v>0</v>
      </c>
      <c r="R110" t="s">
        <v>52</v>
      </c>
      <c r="S110" t="s">
        <v>6146</v>
      </c>
      <c r="T110" t="s">
        <v>6228</v>
      </c>
      <c r="U110" t="s">
        <v>6228</v>
      </c>
      <c r="V110" s="1">
        <v>46236</v>
      </c>
      <c r="W110" t="s">
        <v>5216</v>
      </c>
      <c r="X110" t="s">
        <v>6148</v>
      </c>
      <c r="Z110" s="2">
        <v>220</v>
      </c>
      <c r="AA110" t="s">
        <v>1833</v>
      </c>
      <c r="AB110" t="s">
        <v>52</v>
      </c>
      <c r="AC110" t="b">
        <v>0</v>
      </c>
      <c r="AD110" t="s">
        <v>6150</v>
      </c>
      <c r="AE110" t="s">
        <v>284</v>
      </c>
      <c r="AF110" t="s">
        <v>6157</v>
      </c>
      <c r="AG110" t="s">
        <v>5054</v>
      </c>
      <c r="AI110" t="s">
        <v>6592</v>
      </c>
      <c r="AK110" t="s">
        <v>6154</v>
      </c>
      <c r="AL110">
        <v>1</v>
      </c>
      <c r="AN110" s="6" t="str">
        <f>Students[[#This Row],[Name]]&amp;"|"&amp;LOWER(TRIM(Students[[#This Row],[Guardian_Email__c]]))</f>
        <v>Caroline Hall|annahall39@yahoo.com</v>
      </c>
      <c r="AO110">
        <f>COUNTIF(Students[Dup Key],Students[[#This Row],[Dup Key]])</f>
        <v>1</v>
      </c>
    </row>
    <row r="111" spans="1:41">
      <c r="A111">
        <v>8</v>
      </c>
      <c r="B111" s="1">
        <v>43103</v>
      </c>
      <c r="C111">
        <v>1</v>
      </c>
      <c r="D111" t="s">
        <v>52</v>
      </c>
      <c r="E111" t="s">
        <v>6141</v>
      </c>
      <c r="F111" s="1">
        <v>45279</v>
      </c>
      <c r="G111" t="s">
        <v>6197</v>
      </c>
      <c r="H111" t="s">
        <v>1859</v>
      </c>
      <c r="I111" t="s">
        <v>6593</v>
      </c>
      <c r="J111" t="s">
        <v>5388</v>
      </c>
      <c r="K111" t="s">
        <v>5272</v>
      </c>
      <c r="L111" t="s">
        <v>6594</v>
      </c>
      <c r="M111" t="s">
        <v>63</v>
      </c>
      <c r="N111" t="s">
        <v>5018</v>
      </c>
      <c r="O111" t="s">
        <v>1858</v>
      </c>
      <c r="P111" t="b">
        <v>0</v>
      </c>
      <c r="R111" t="s">
        <v>52</v>
      </c>
      <c r="S111" t="s">
        <v>6146</v>
      </c>
      <c r="T111" t="s">
        <v>6228</v>
      </c>
      <c r="U111" t="s">
        <v>6228</v>
      </c>
      <c r="V111" s="1">
        <v>46043</v>
      </c>
      <c r="W111" t="s">
        <v>5272</v>
      </c>
      <c r="X111" t="s">
        <v>6189</v>
      </c>
      <c r="Z111" s="2">
        <v>220</v>
      </c>
      <c r="AA111" t="s">
        <v>1859</v>
      </c>
      <c r="AB111" t="s">
        <v>52</v>
      </c>
      <c r="AC111" t="b">
        <v>0</v>
      </c>
      <c r="AD111" t="s">
        <v>6166</v>
      </c>
      <c r="AE111" t="s">
        <v>650</v>
      </c>
      <c r="AF111" t="s">
        <v>6157</v>
      </c>
      <c r="AG111" t="s">
        <v>5054</v>
      </c>
      <c r="AI111" t="s">
        <v>6595</v>
      </c>
      <c r="AK111" t="s">
        <v>6154</v>
      </c>
      <c r="AL111">
        <v>0.5</v>
      </c>
      <c r="AN111" s="6" t="str">
        <f>Students[[#This Row],[Name]]&amp;"|"&amp;LOWER(TRIM(Students[[#This Row],[Guardian_Email__c]]))</f>
        <v>Audrey Nelson|riley.nelson@icloud.com</v>
      </c>
      <c r="AO111">
        <f>COUNTIF(Students[Dup Key],Students[[#This Row],[Dup Key]])</f>
        <v>1</v>
      </c>
    </row>
    <row r="112" spans="1:41">
      <c r="A112">
        <v>15</v>
      </c>
      <c r="B112" s="1">
        <v>40773</v>
      </c>
      <c r="C112">
        <v>0</v>
      </c>
      <c r="D112" t="s">
        <v>52</v>
      </c>
      <c r="E112" t="s">
        <v>6141</v>
      </c>
      <c r="F112" s="1">
        <v>45732</v>
      </c>
      <c r="G112" t="s">
        <v>5204</v>
      </c>
      <c r="H112" t="s">
        <v>1879</v>
      </c>
      <c r="I112" t="s">
        <v>6596</v>
      </c>
      <c r="J112" t="s">
        <v>5444</v>
      </c>
      <c r="K112" t="s">
        <v>5378</v>
      </c>
      <c r="L112" t="s">
        <v>6597</v>
      </c>
      <c r="M112" t="s">
        <v>63</v>
      </c>
      <c r="N112" t="s">
        <v>5018</v>
      </c>
      <c r="O112" t="s">
        <v>1878</v>
      </c>
      <c r="P112" t="b">
        <v>0</v>
      </c>
      <c r="R112" t="s">
        <v>52</v>
      </c>
      <c r="S112" t="s">
        <v>6146</v>
      </c>
      <c r="T112" t="s">
        <v>6500</v>
      </c>
      <c r="U112" t="s">
        <v>6500</v>
      </c>
      <c r="W112" t="s">
        <v>5378</v>
      </c>
      <c r="X112" t="s">
        <v>6148</v>
      </c>
      <c r="Y112" t="s">
        <v>6598</v>
      </c>
      <c r="Z112" s="2">
        <v>240</v>
      </c>
      <c r="AA112" t="s">
        <v>1879</v>
      </c>
      <c r="AB112" t="s">
        <v>52</v>
      </c>
      <c r="AC112" t="b">
        <v>0</v>
      </c>
      <c r="AD112" t="s">
        <v>6174</v>
      </c>
      <c r="AE112" t="s">
        <v>392</v>
      </c>
      <c r="AF112" t="s">
        <v>6157</v>
      </c>
      <c r="AG112" t="s">
        <v>6152</v>
      </c>
      <c r="AI112" t="s">
        <v>6599</v>
      </c>
      <c r="AK112" t="s">
        <v>6154</v>
      </c>
      <c r="AL112">
        <v>1</v>
      </c>
      <c r="AN112" s="6" t="str">
        <f>Students[[#This Row],[Name]]&amp;"|"&amp;LOWER(TRIM(Students[[#This Row],[Guardian_Email__c]]))</f>
        <v>Penelope Martin|abigailmartin@yahoo.com</v>
      </c>
      <c r="AO112">
        <f>COUNTIF(Students[Dup Key],Students[[#This Row],[Dup Key]])</f>
        <v>1</v>
      </c>
    </row>
    <row r="113" spans="1:41">
      <c r="A113">
        <v>12</v>
      </c>
      <c r="B113" s="1">
        <v>41789</v>
      </c>
      <c r="C113">
        <v>0</v>
      </c>
      <c r="D113" t="s">
        <v>52</v>
      </c>
      <c r="E113" t="s">
        <v>6141</v>
      </c>
      <c r="F113" s="1">
        <v>44777</v>
      </c>
      <c r="G113" t="s">
        <v>6413</v>
      </c>
      <c r="H113" t="s">
        <v>1887</v>
      </c>
      <c r="I113" t="s">
        <v>6600</v>
      </c>
      <c r="J113" t="s">
        <v>5610</v>
      </c>
      <c r="K113" t="s">
        <v>6601</v>
      </c>
      <c r="L113" t="s">
        <v>6602</v>
      </c>
      <c r="M113" t="s">
        <v>63</v>
      </c>
      <c r="N113" t="s">
        <v>5018</v>
      </c>
      <c r="O113" t="s">
        <v>1886</v>
      </c>
      <c r="P113" t="b">
        <v>0</v>
      </c>
      <c r="R113" t="s">
        <v>52</v>
      </c>
      <c r="S113" t="s">
        <v>6146</v>
      </c>
      <c r="T113" t="s">
        <v>6500</v>
      </c>
      <c r="U113" t="s">
        <v>6500</v>
      </c>
      <c r="W113" t="s">
        <v>6601</v>
      </c>
      <c r="X113" t="s">
        <v>6189</v>
      </c>
      <c r="Z113" s="2">
        <v>180</v>
      </c>
      <c r="AA113" t="s">
        <v>1887</v>
      </c>
      <c r="AB113" t="s">
        <v>52</v>
      </c>
      <c r="AC113" t="b">
        <v>0</v>
      </c>
      <c r="AD113" t="s">
        <v>6150</v>
      </c>
      <c r="AE113" t="s">
        <v>392</v>
      </c>
      <c r="AF113" t="s">
        <v>6151</v>
      </c>
      <c r="AG113" t="s">
        <v>5054</v>
      </c>
      <c r="AI113" t="s">
        <v>6603</v>
      </c>
      <c r="AK113" t="s">
        <v>6154</v>
      </c>
      <c r="AL113">
        <v>0.5</v>
      </c>
      <c r="AN113" s="6" t="str">
        <f>Students[[#This Row],[Name]]&amp;"|"&amp;LOWER(TRIM(Students[[#This Row],[Guardian_Email__c]]))</f>
        <v>Maria Martinez|amartinez@gmail.com</v>
      </c>
      <c r="AO113">
        <f>COUNTIF(Students[Dup Key],Students[[#This Row],[Dup Key]])</f>
        <v>1</v>
      </c>
    </row>
    <row r="114" spans="1:41">
      <c r="A114">
        <v>16</v>
      </c>
      <c r="B114" s="1">
        <v>40275</v>
      </c>
      <c r="C114">
        <v>0</v>
      </c>
      <c r="D114" t="s">
        <v>52</v>
      </c>
      <c r="E114" t="s">
        <v>6141</v>
      </c>
      <c r="F114" s="1">
        <v>45153</v>
      </c>
      <c r="G114" t="s">
        <v>5842</v>
      </c>
      <c r="H114" t="s">
        <v>1895</v>
      </c>
      <c r="I114" t="s">
        <v>6604</v>
      </c>
      <c r="J114" t="s">
        <v>5921</v>
      </c>
      <c r="K114" t="s">
        <v>5441</v>
      </c>
      <c r="L114" t="s">
        <v>6605</v>
      </c>
      <c r="M114" t="s">
        <v>83</v>
      </c>
      <c r="N114" t="s">
        <v>5016</v>
      </c>
      <c r="O114" t="s">
        <v>1894</v>
      </c>
      <c r="P114" t="b">
        <v>0</v>
      </c>
      <c r="R114" t="s">
        <v>52</v>
      </c>
      <c r="S114" t="s">
        <v>6146</v>
      </c>
      <c r="T114" t="s">
        <v>6500</v>
      </c>
      <c r="U114" t="s">
        <v>6500</v>
      </c>
      <c r="W114" t="s">
        <v>5441</v>
      </c>
      <c r="X114" t="s">
        <v>6189</v>
      </c>
      <c r="Y114" t="s">
        <v>6606</v>
      </c>
      <c r="Z114" s="2">
        <v>200</v>
      </c>
      <c r="AA114" t="s">
        <v>1895</v>
      </c>
      <c r="AB114" t="s">
        <v>52</v>
      </c>
      <c r="AC114" t="b">
        <v>0</v>
      </c>
      <c r="AD114" t="s">
        <v>6166</v>
      </c>
      <c r="AE114" t="s">
        <v>650</v>
      </c>
      <c r="AF114" t="s">
        <v>6200</v>
      </c>
      <c r="AG114" t="s">
        <v>5054</v>
      </c>
      <c r="AI114" t="s">
        <v>6607</v>
      </c>
      <c r="AK114" t="s">
        <v>6154</v>
      </c>
      <c r="AL114">
        <v>0.5</v>
      </c>
      <c r="AN114" s="6" t="str">
        <f>Students[[#This Row],[Name]]&amp;"|"&amp;LOWER(TRIM(Students[[#This Row],[Guardian_Email__c]]))</f>
        <v>Mei Brown|aiden.brown@gmail.com</v>
      </c>
      <c r="AO114">
        <f>COUNTIF(Students[Dup Key],Students[[#This Row],[Dup Key]])</f>
        <v>1</v>
      </c>
    </row>
    <row r="115" spans="1:41">
      <c r="A115">
        <v>8</v>
      </c>
      <c r="B115" s="1">
        <v>43324</v>
      </c>
      <c r="C115">
        <v>1</v>
      </c>
      <c r="D115" t="s">
        <v>52</v>
      </c>
      <c r="E115" t="s">
        <v>6141</v>
      </c>
      <c r="F115" s="1">
        <v>45060</v>
      </c>
      <c r="G115" t="s">
        <v>5345</v>
      </c>
      <c r="H115" t="s">
        <v>1906</v>
      </c>
      <c r="I115" t="s">
        <v>6608</v>
      </c>
      <c r="J115" t="s">
        <v>6233</v>
      </c>
      <c r="K115" t="s">
        <v>5128</v>
      </c>
      <c r="L115" t="s">
        <v>6609</v>
      </c>
      <c r="M115" t="s">
        <v>63</v>
      </c>
      <c r="N115" t="s">
        <v>5018</v>
      </c>
      <c r="O115" t="s">
        <v>1905</v>
      </c>
      <c r="P115" t="b">
        <v>0</v>
      </c>
      <c r="R115" t="s">
        <v>52</v>
      </c>
      <c r="S115" t="s">
        <v>6146</v>
      </c>
      <c r="T115" t="s">
        <v>6500</v>
      </c>
      <c r="U115" t="s">
        <v>6500</v>
      </c>
      <c r="V115" s="1">
        <v>46185</v>
      </c>
      <c r="W115" t="s">
        <v>5128</v>
      </c>
      <c r="X115" t="s">
        <v>6189</v>
      </c>
      <c r="Z115" s="2">
        <v>180</v>
      </c>
      <c r="AA115" t="s">
        <v>1906</v>
      </c>
      <c r="AB115" t="s">
        <v>52</v>
      </c>
      <c r="AC115" t="b">
        <v>0</v>
      </c>
      <c r="AD115" t="s">
        <v>6239</v>
      </c>
      <c r="AE115" t="s">
        <v>107</v>
      </c>
      <c r="AF115" t="s">
        <v>6151</v>
      </c>
      <c r="AG115" t="s">
        <v>5054</v>
      </c>
      <c r="AI115" t="s">
        <v>6610</v>
      </c>
      <c r="AK115" t="s">
        <v>6154</v>
      </c>
      <c r="AL115">
        <v>0.5</v>
      </c>
      <c r="AN115" s="6" t="str">
        <f>Students[[#This Row],[Name]]&amp;"|"&amp;LOWER(TRIM(Students[[#This Row],[Guardian_Email__c]]))</f>
        <v>Owen Silva|ethansilva34@yahoo.com</v>
      </c>
      <c r="AO115">
        <f>COUNTIF(Students[Dup Key],Students[[#This Row],[Dup Key]])</f>
        <v>1</v>
      </c>
    </row>
    <row r="116" spans="1:41">
      <c r="A116">
        <v>9</v>
      </c>
      <c r="B116" s="1">
        <v>42864</v>
      </c>
      <c r="C116">
        <v>0</v>
      </c>
      <c r="D116" t="s">
        <v>52</v>
      </c>
      <c r="E116" t="s">
        <v>6141</v>
      </c>
      <c r="F116" s="1">
        <v>45873</v>
      </c>
      <c r="G116" t="s">
        <v>5499</v>
      </c>
      <c r="H116" t="s">
        <v>1923</v>
      </c>
      <c r="I116" t="s">
        <v>6611</v>
      </c>
      <c r="J116" t="s">
        <v>5380</v>
      </c>
      <c r="K116" t="s">
        <v>6279</v>
      </c>
      <c r="L116" t="s">
        <v>6612</v>
      </c>
      <c r="M116" t="s">
        <v>83</v>
      </c>
      <c r="N116" t="s">
        <v>5016</v>
      </c>
      <c r="O116" t="s">
        <v>1922</v>
      </c>
      <c r="P116" t="b">
        <v>0</v>
      </c>
      <c r="R116" t="s">
        <v>52</v>
      </c>
      <c r="S116" t="s">
        <v>6146</v>
      </c>
      <c r="T116" t="s">
        <v>6228</v>
      </c>
      <c r="U116" t="s">
        <v>6228</v>
      </c>
      <c r="W116" t="s">
        <v>6279</v>
      </c>
      <c r="X116" t="s">
        <v>6148</v>
      </c>
      <c r="Z116" s="2">
        <v>160</v>
      </c>
      <c r="AA116" t="s">
        <v>1923</v>
      </c>
      <c r="AB116" t="s">
        <v>52</v>
      </c>
      <c r="AC116" t="b">
        <v>0</v>
      </c>
      <c r="AD116" t="s">
        <v>6174</v>
      </c>
      <c r="AE116" t="s">
        <v>78</v>
      </c>
      <c r="AF116" t="s">
        <v>6157</v>
      </c>
      <c r="AG116" t="s">
        <v>5054</v>
      </c>
      <c r="AI116" t="s">
        <v>6613</v>
      </c>
      <c r="AK116" t="s">
        <v>6154</v>
      </c>
      <c r="AL116">
        <v>1</v>
      </c>
      <c r="AN116" s="6" t="str">
        <f>Students[[#This Row],[Name]]&amp;"|"&amp;LOWER(TRIM(Students[[#This Row],[Guardian_Email__c]]))</f>
        <v>Gabriel Green|hgreen@gmail.com</v>
      </c>
      <c r="AO116">
        <f>COUNTIF(Students[Dup Key],Students[[#This Row],[Dup Key]])</f>
        <v>1</v>
      </c>
    </row>
    <row r="117" spans="1:41">
      <c r="A117">
        <v>10</v>
      </c>
      <c r="B117" s="1">
        <v>42337</v>
      </c>
      <c r="C117">
        <v>0</v>
      </c>
      <c r="D117" t="s">
        <v>52</v>
      </c>
      <c r="E117" t="s">
        <v>6141</v>
      </c>
      <c r="F117" s="1">
        <v>45976</v>
      </c>
      <c r="G117" t="s">
        <v>5636</v>
      </c>
      <c r="H117" t="s">
        <v>1937</v>
      </c>
      <c r="I117" t="s">
        <v>6614</v>
      </c>
      <c r="J117" t="s">
        <v>5056</v>
      </c>
      <c r="K117" t="s">
        <v>5222</v>
      </c>
      <c r="L117" t="s">
        <v>6615</v>
      </c>
      <c r="M117" t="s">
        <v>63</v>
      </c>
      <c r="N117" t="s">
        <v>5018</v>
      </c>
      <c r="O117" t="s">
        <v>1936</v>
      </c>
      <c r="P117" t="b">
        <v>0</v>
      </c>
      <c r="R117" t="s">
        <v>52</v>
      </c>
      <c r="S117" t="s">
        <v>6146</v>
      </c>
      <c r="T117" t="s">
        <v>6500</v>
      </c>
      <c r="U117" t="s">
        <v>6500</v>
      </c>
      <c r="W117" t="s">
        <v>5222</v>
      </c>
      <c r="X117" t="s">
        <v>6189</v>
      </c>
      <c r="Z117" s="2">
        <v>200</v>
      </c>
      <c r="AA117" t="s">
        <v>1937</v>
      </c>
      <c r="AB117" t="s">
        <v>52</v>
      </c>
      <c r="AC117" t="b">
        <v>0</v>
      </c>
      <c r="AD117" t="s">
        <v>6239</v>
      </c>
      <c r="AE117" t="s">
        <v>203</v>
      </c>
      <c r="AF117" t="s">
        <v>6200</v>
      </c>
      <c r="AG117" t="s">
        <v>5054</v>
      </c>
      <c r="AI117" t="s">
        <v>6616</v>
      </c>
      <c r="AK117" t="s">
        <v>6154</v>
      </c>
      <c r="AL117">
        <v>0.5</v>
      </c>
      <c r="AN117" s="6" t="str">
        <f>Students[[#This Row],[Name]]&amp;"|"&amp;LOWER(TRIM(Students[[#This Row],[Guardian_Email__c]]))</f>
        <v>Scarlett Byrne|emilybyrne68@yahoo.com</v>
      </c>
      <c r="AO117">
        <f>COUNTIF(Students[Dup Key],Students[[#This Row],[Dup Key]])</f>
        <v>1</v>
      </c>
    </row>
    <row r="118" spans="1:41">
      <c r="A118">
        <v>9</v>
      </c>
      <c r="B118" s="1">
        <v>42765</v>
      </c>
      <c r="C118">
        <v>0</v>
      </c>
      <c r="D118" t="s">
        <v>52</v>
      </c>
      <c r="E118" t="s">
        <v>6141</v>
      </c>
      <c r="F118" s="1">
        <v>45203</v>
      </c>
      <c r="G118" t="s">
        <v>6395</v>
      </c>
      <c r="H118" t="s">
        <v>1945</v>
      </c>
      <c r="I118" t="s">
        <v>6617</v>
      </c>
      <c r="J118" t="s">
        <v>6477</v>
      </c>
      <c r="K118" t="s">
        <v>5339</v>
      </c>
      <c r="L118" t="s">
        <v>6618</v>
      </c>
      <c r="M118" t="s">
        <v>63</v>
      </c>
      <c r="N118" t="s">
        <v>5018</v>
      </c>
      <c r="O118" t="s">
        <v>1944</v>
      </c>
      <c r="P118" t="b">
        <v>0</v>
      </c>
      <c r="R118" t="s">
        <v>52</v>
      </c>
      <c r="S118" t="s">
        <v>6146</v>
      </c>
      <c r="T118" t="s">
        <v>6500</v>
      </c>
      <c r="U118" t="s">
        <v>6500</v>
      </c>
      <c r="W118" t="s">
        <v>5339</v>
      </c>
      <c r="X118" t="s">
        <v>6148</v>
      </c>
      <c r="Z118" s="2">
        <v>160</v>
      </c>
      <c r="AA118" t="s">
        <v>1945</v>
      </c>
      <c r="AB118" t="s">
        <v>52</v>
      </c>
      <c r="AC118" t="b">
        <v>0</v>
      </c>
      <c r="AD118" t="s">
        <v>6150</v>
      </c>
      <c r="AE118" t="s">
        <v>237</v>
      </c>
      <c r="AF118" t="s">
        <v>6151</v>
      </c>
      <c r="AG118" t="s">
        <v>5054</v>
      </c>
      <c r="AI118" t="s">
        <v>6619</v>
      </c>
      <c r="AK118" t="s">
        <v>6154</v>
      </c>
      <c r="AL118">
        <v>1</v>
      </c>
      <c r="AN118" s="6" t="str">
        <f>Students[[#This Row],[Name]]&amp;"|"&amp;LOWER(TRIM(Students[[#This Row],[Guardian_Email__c]]))</f>
        <v>Lincoln Scott|scarlett.scott@outlook.com</v>
      </c>
      <c r="AO118">
        <f>COUNTIF(Students[Dup Key],Students[[#This Row],[Dup Key]])</f>
        <v>1</v>
      </c>
    </row>
    <row r="119" spans="1:41">
      <c r="A119">
        <v>14</v>
      </c>
      <c r="B119" s="1">
        <v>40874</v>
      </c>
      <c r="C119">
        <v>0</v>
      </c>
      <c r="D119" t="s">
        <v>52</v>
      </c>
      <c r="E119" t="s">
        <v>6141</v>
      </c>
      <c r="F119" s="1">
        <v>45065</v>
      </c>
      <c r="G119" t="s">
        <v>6413</v>
      </c>
      <c r="H119" t="s">
        <v>1965</v>
      </c>
      <c r="I119" t="s">
        <v>6620</v>
      </c>
      <c r="J119" t="s">
        <v>5636</v>
      </c>
      <c r="K119" t="s">
        <v>5052</v>
      </c>
      <c r="L119" t="s">
        <v>6621</v>
      </c>
      <c r="M119" t="s">
        <v>150</v>
      </c>
      <c r="N119" t="s">
        <v>5014</v>
      </c>
      <c r="O119" t="s">
        <v>1964</v>
      </c>
      <c r="P119" t="b">
        <v>0</v>
      </c>
      <c r="R119" t="s">
        <v>52</v>
      </c>
      <c r="S119" t="s">
        <v>6146</v>
      </c>
      <c r="T119" t="s">
        <v>6500</v>
      </c>
      <c r="U119" t="s">
        <v>6500</v>
      </c>
      <c r="W119" t="s">
        <v>5052</v>
      </c>
      <c r="X119" t="s">
        <v>6148</v>
      </c>
      <c r="Y119" t="s">
        <v>6622</v>
      </c>
      <c r="Z119" s="2">
        <v>220</v>
      </c>
      <c r="AA119" t="s">
        <v>1965</v>
      </c>
      <c r="AB119" t="s">
        <v>52</v>
      </c>
      <c r="AC119" t="b">
        <v>0</v>
      </c>
      <c r="AD119" t="s">
        <v>6150</v>
      </c>
      <c r="AE119" t="s">
        <v>284</v>
      </c>
      <c r="AF119" t="s">
        <v>6200</v>
      </c>
      <c r="AG119" t="s">
        <v>5054</v>
      </c>
      <c r="AI119" t="s">
        <v>6623</v>
      </c>
      <c r="AK119" t="s">
        <v>6154</v>
      </c>
      <c r="AL119">
        <v>1</v>
      </c>
      <c r="AN119" s="6" t="str">
        <f>Students[[#This Row],[Name]]&amp;"|"&amp;LOWER(TRIM(Students[[#This Row],[Guardian_Email__c]]))</f>
        <v>Maria Rodriguez|arodriguez@yahoo.com</v>
      </c>
      <c r="AO119">
        <f>COUNTIF(Students[Dup Key],Students[[#This Row],[Dup Key]])</f>
        <v>1</v>
      </c>
    </row>
    <row r="120" spans="1:41">
      <c r="A120">
        <v>6</v>
      </c>
      <c r="B120" s="1">
        <v>43851</v>
      </c>
      <c r="C120">
        <v>0</v>
      </c>
      <c r="D120" t="s">
        <v>52</v>
      </c>
      <c r="E120" t="s">
        <v>6141</v>
      </c>
      <c r="F120" s="1">
        <v>44725</v>
      </c>
      <c r="G120" t="s">
        <v>5414</v>
      </c>
      <c r="H120" t="s">
        <v>6624</v>
      </c>
      <c r="I120" t="s">
        <v>6625</v>
      </c>
      <c r="J120" t="s">
        <v>6334</v>
      </c>
      <c r="K120" t="s">
        <v>6626</v>
      </c>
      <c r="L120" t="s">
        <v>6627</v>
      </c>
      <c r="M120" t="s">
        <v>63</v>
      </c>
      <c r="N120" t="s">
        <v>5018</v>
      </c>
      <c r="O120" t="s">
        <v>6628</v>
      </c>
      <c r="P120" t="b">
        <v>0</v>
      </c>
      <c r="R120" t="s">
        <v>52</v>
      </c>
      <c r="S120" t="s">
        <v>6223</v>
      </c>
      <c r="T120" t="s">
        <v>6500</v>
      </c>
      <c r="U120" t="s">
        <v>6500</v>
      </c>
      <c r="W120" t="s">
        <v>6626</v>
      </c>
      <c r="X120" t="s">
        <v>6189</v>
      </c>
      <c r="Z120" s="2">
        <v>200</v>
      </c>
      <c r="AA120" t="s">
        <v>6624</v>
      </c>
      <c r="AB120" t="s">
        <v>52</v>
      </c>
      <c r="AC120" t="b">
        <v>0</v>
      </c>
      <c r="AD120" t="s">
        <v>6174</v>
      </c>
      <c r="AE120" t="s">
        <v>78</v>
      </c>
      <c r="AF120" t="s">
        <v>6151</v>
      </c>
      <c r="AG120" t="s">
        <v>6224</v>
      </c>
      <c r="AI120" t="s">
        <v>6629</v>
      </c>
      <c r="AK120" t="s">
        <v>6154</v>
      </c>
      <c r="AL120">
        <v>0.5</v>
      </c>
      <c r="AM120" s="1">
        <v>46175</v>
      </c>
      <c r="AN120" s="6" t="str">
        <f>Students[[#This Row],[Name]]&amp;"|"&amp;LOWER(TRIM(Students[[#This Row],[Guardian_Email__c]]))</f>
        <v>Rohan Nguyen|bnguyen@icloud.com</v>
      </c>
      <c r="AO120">
        <f>COUNTIF(Students[Dup Key],Students[[#This Row],[Dup Key]])</f>
        <v>1</v>
      </c>
    </row>
    <row r="121" spans="1:41">
      <c r="A121">
        <v>31</v>
      </c>
      <c r="B121" s="1">
        <v>34881</v>
      </c>
      <c r="C121">
        <v>1</v>
      </c>
      <c r="D121" t="s">
        <v>52</v>
      </c>
      <c r="E121" t="s">
        <v>6141</v>
      </c>
      <c r="F121" s="1">
        <v>44638</v>
      </c>
      <c r="G121" t="s">
        <v>5526</v>
      </c>
      <c r="H121" t="s">
        <v>1991</v>
      </c>
      <c r="M121" t="s">
        <v>83</v>
      </c>
      <c r="N121" t="s">
        <v>5016</v>
      </c>
      <c r="O121" t="s">
        <v>1990</v>
      </c>
      <c r="P121" t="b">
        <v>0</v>
      </c>
      <c r="R121" t="s">
        <v>52</v>
      </c>
      <c r="S121" t="s">
        <v>6146</v>
      </c>
      <c r="T121" t="s">
        <v>6500</v>
      </c>
      <c r="U121" t="s">
        <v>6500</v>
      </c>
      <c r="V121" s="1">
        <v>46133</v>
      </c>
      <c r="W121" t="s">
        <v>5252</v>
      </c>
      <c r="X121" t="s">
        <v>6148</v>
      </c>
      <c r="Z121" s="2">
        <v>180</v>
      </c>
      <c r="AA121" t="s">
        <v>1991</v>
      </c>
      <c r="AB121" t="s">
        <v>52</v>
      </c>
      <c r="AC121" t="b">
        <v>0</v>
      </c>
      <c r="AD121" t="s">
        <v>6166</v>
      </c>
      <c r="AE121" t="s">
        <v>461</v>
      </c>
      <c r="AF121" t="s">
        <v>6151</v>
      </c>
      <c r="AG121" t="s">
        <v>5054</v>
      </c>
      <c r="AH121" t="s">
        <v>6630</v>
      </c>
      <c r="AI121" t="s">
        <v>6631</v>
      </c>
      <c r="AJ121" t="s">
        <v>6632</v>
      </c>
      <c r="AK121" t="s">
        <v>6154</v>
      </c>
      <c r="AL121">
        <v>1</v>
      </c>
      <c r="AN121" s="6" t="str">
        <f>Students[[#This Row],[Name]]&amp;"|"&amp;LOWER(TRIM(Students[[#This Row],[Guardian_Email__c]]))</f>
        <v>Olivia Baker|</v>
      </c>
      <c r="AO121">
        <f>COUNTIF(Students[Dup Key],Students[[#This Row],[Dup Key]])</f>
        <v>1</v>
      </c>
    </row>
    <row r="122" spans="1:41">
      <c r="A122">
        <v>14</v>
      </c>
      <c r="B122" s="1">
        <v>41078</v>
      </c>
      <c r="C122">
        <v>0</v>
      </c>
      <c r="D122" t="s">
        <v>52</v>
      </c>
      <c r="E122" t="s">
        <v>6141</v>
      </c>
      <c r="F122" s="1">
        <v>45378</v>
      </c>
      <c r="G122" t="s">
        <v>5800</v>
      </c>
      <c r="H122" t="s">
        <v>6633</v>
      </c>
      <c r="I122" t="s">
        <v>6634</v>
      </c>
      <c r="J122" t="s">
        <v>5125</v>
      </c>
      <c r="K122" t="s">
        <v>5640</v>
      </c>
      <c r="L122" t="s">
        <v>6635</v>
      </c>
      <c r="M122" t="s">
        <v>63</v>
      </c>
      <c r="N122" t="s">
        <v>5018</v>
      </c>
      <c r="O122" t="s">
        <v>6636</v>
      </c>
      <c r="P122" t="b">
        <v>0</v>
      </c>
      <c r="R122" t="s">
        <v>52</v>
      </c>
      <c r="S122" t="s">
        <v>6223</v>
      </c>
      <c r="T122" t="s">
        <v>6500</v>
      </c>
      <c r="U122" t="s">
        <v>6500</v>
      </c>
      <c r="W122" t="s">
        <v>5640</v>
      </c>
      <c r="X122" t="s">
        <v>6148</v>
      </c>
      <c r="Y122" t="s">
        <v>6637</v>
      </c>
      <c r="Z122" s="2">
        <v>160</v>
      </c>
      <c r="AA122" t="s">
        <v>6633</v>
      </c>
      <c r="AB122" t="s">
        <v>52</v>
      </c>
      <c r="AC122" t="b">
        <v>0</v>
      </c>
      <c r="AD122" t="s">
        <v>6174</v>
      </c>
      <c r="AE122" t="s">
        <v>78</v>
      </c>
      <c r="AF122" t="s">
        <v>6157</v>
      </c>
      <c r="AG122" t="s">
        <v>6224</v>
      </c>
      <c r="AI122" t="s">
        <v>6638</v>
      </c>
      <c r="AK122" t="s">
        <v>6154</v>
      </c>
      <c r="AL122">
        <v>1</v>
      </c>
      <c r="AM122" s="1">
        <v>46103</v>
      </c>
      <c r="AN122" s="6" t="str">
        <f>Students[[#This Row],[Name]]&amp;"|"&amp;LOWER(TRIM(Students[[#This Row],[Guardian_Email__c]]))</f>
        <v>Riley Robinson|yrobinson@icloud.com</v>
      </c>
      <c r="AO122">
        <f>COUNTIF(Students[Dup Key],Students[[#This Row],[Dup Key]])</f>
        <v>1</v>
      </c>
    </row>
    <row r="123" spans="1:41">
      <c r="A123">
        <v>52</v>
      </c>
      <c r="B123" s="1">
        <v>27058</v>
      </c>
      <c r="C123">
        <v>0</v>
      </c>
      <c r="D123" t="s">
        <v>52</v>
      </c>
      <c r="E123" t="s">
        <v>6141</v>
      </c>
      <c r="F123" s="1">
        <v>45543</v>
      </c>
      <c r="G123" t="s">
        <v>5281</v>
      </c>
      <c r="H123" t="s">
        <v>2017</v>
      </c>
      <c r="M123" t="s">
        <v>83</v>
      </c>
      <c r="N123" t="s">
        <v>5016</v>
      </c>
      <c r="O123" t="s">
        <v>2016</v>
      </c>
      <c r="P123" t="b">
        <v>0</v>
      </c>
      <c r="R123" t="s">
        <v>52</v>
      </c>
      <c r="S123" t="s">
        <v>6146</v>
      </c>
      <c r="T123" t="s">
        <v>6500</v>
      </c>
      <c r="U123" t="s">
        <v>6500</v>
      </c>
      <c r="W123" t="s">
        <v>5792</v>
      </c>
      <c r="X123" t="s">
        <v>6189</v>
      </c>
      <c r="Z123" s="2">
        <v>160</v>
      </c>
      <c r="AA123" t="s">
        <v>2017</v>
      </c>
      <c r="AB123" t="s">
        <v>52</v>
      </c>
      <c r="AC123" t="b">
        <v>0</v>
      </c>
      <c r="AD123" t="s">
        <v>6169</v>
      </c>
      <c r="AE123" t="s">
        <v>147</v>
      </c>
      <c r="AF123" t="s">
        <v>6151</v>
      </c>
      <c r="AG123" t="s">
        <v>5054</v>
      </c>
      <c r="AH123" t="s">
        <v>6639</v>
      </c>
      <c r="AI123" t="s">
        <v>6640</v>
      </c>
      <c r="AJ123" t="s">
        <v>6641</v>
      </c>
      <c r="AK123" t="s">
        <v>6154</v>
      </c>
      <c r="AL123">
        <v>0.5</v>
      </c>
      <c r="AN123" s="6" t="str">
        <f>Students[[#This Row],[Name]]&amp;"|"&amp;LOWER(TRIM(Students[[#This Row],[Guardian_Email__c]]))</f>
        <v>Priya Roberts|</v>
      </c>
      <c r="AO123">
        <f>COUNTIF(Students[Dup Key],Students[[#This Row],[Dup Key]])</f>
        <v>1</v>
      </c>
    </row>
    <row r="124" spans="1:41">
      <c r="A124">
        <v>8</v>
      </c>
      <c r="B124" s="1">
        <v>43294</v>
      </c>
      <c r="C124">
        <v>1</v>
      </c>
      <c r="D124" t="s">
        <v>52</v>
      </c>
      <c r="E124" t="s">
        <v>6141</v>
      </c>
      <c r="F124" s="1">
        <v>45534</v>
      </c>
      <c r="G124" t="s">
        <v>5566</v>
      </c>
      <c r="H124" t="s">
        <v>2040</v>
      </c>
      <c r="I124" t="s">
        <v>6642</v>
      </c>
      <c r="J124" t="s">
        <v>5566</v>
      </c>
      <c r="K124" t="s">
        <v>5666</v>
      </c>
      <c r="L124" t="s">
        <v>6643</v>
      </c>
      <c r="M124" t="s">
        <v>63</v>
      </c>
      <c r="N124" t="s">
        <v>5018</v>
      </c>
      <c r="O124" t="s">
        <v>2039</v>
      </c>
      <c r="P124" t="b">
        <v>0</v>
      </c>
      <c r="R124" t="s">
        <v>52</v>
      </c>
      <c r="S124" t="s">
        <v>6146</v>
      </c>
      <c r="T124" t="s">
        <v>6500</v>
      </c>
      <c r="U124" t="s">
        <v>6500</v>
      </c>
      <c r="V124" s="1">
        <v>46056</v>
      </c>
      <c r="W124" t="s">
        <v>5666</v>
      </c>
      <c r="X124" t="s">
        <v>6189</v>
      </c>
      <c r="Z124" s="2">
        <v>160</v>
      </c>
      <c r="AA124" t="s">
        <v>2040</v>
      </c>
      <c r="AB124" t="s">
        <v>52</v>
      </c>
      <c r="AC124" t="b">
        <v>0</v>
      </c>
      <c r="AD124" t="s">
        <v>6239</v>
      </c>
      <c r="AE124" t="s">
        <v>237</v>
      </c>
      <c r="AF124" t="s">
        <v>6157</v>
      </c>
      <c r="AG124" t="s">
        <v>5054</v>
      </c>
      <c r="AI124" t="s">
        <v>6644</v>
      </c>
      <c r="AK124" t="s">
        <v>6154</v>
      </c>
      <c r="AL124">
        <v>0.5</v>
      </c>
      <c r="AN124" s="6" t="str">
        <f>Students[[#This Row],[Name]]&amp;"|"&amp;LOWER(TRIM(Students[[#This Row],[Guardian_Email__c]]))</f>
        <v>Lucy Dubois|aidendubois38@hotmail.com</v>
      </c>
      <c r="AO124">
        <f>COUNTIF(Students[Dup Key],Students[[#This Row],[Dup Key]])</f>
        <v>1</v>
      </c>
    </row>
    <row r="125" spans="1:41">
      <c r="A125">
        <v>10</v>
      </c>
      <c r="B125" s="1">
        <v>42483</v>
      </c>
      <c r="C125">
        <v>1</v>
      </c>
      <c r="D125" t="s">
        <v>52</v>
      </c>
      <c r="E125" t="s">
        <v>6141</v>
      </c>
      <c r="F125" s="1">
        <v>45153</v>
      </c>
      <c r="G125" t="s">
        <v>6391</v>
      </c>
      <c r="H125" t="s">
        <v>2069</v>
      </c>
      <c r="I125" t="s">
        <v>6645</v>
      </c>
      <c r="J125" t="s">
        <v>6061</v>
      </c>
      <c r="K125" t="s">
        <v>5302</v>
      </c>
      <c r="L125" t="s">
        <v>6646</v>
      </c>
      <c r="M125" t="s">
        <v>83</v>
      </c>
      <c r="N125" t="s">
        <v>5016</v>
      </c>
      <c r="O125" t="s">
        <v>2068</v>
      </c>
      <c r="P125" t="b">
        <v>0</v>
      </c>
      <c r="R125" t="s">
        <v>52</v>
      </c>
      <c r="S125" t="s">
        <v>6146</v>
      </c>
      <c r="T125" t="s">
        <v>6500</v>
      </c>
      <c r="U125" t="s">
        <v>6500</v>
      </c>
      <c r="V125" s="1">
        <v>46115</v>
      </c>
      <c r="W125" t="s">
        <v>5302</v>
      </c>
      <c r="X125" t="s">
        <v>6148</v>
      </c>
      <c r="Z125" s="2">
        <v>220</v>
      </c>
      <c r="AA125" t="s">
        <v>2069</v>
      </c>
      <c r="AB125" t="s">
        <v>52</v>
      </c>
      <c r="AC125" t="b">
        <v>0</v>
      </c>
      <c r="AD125" t="s">
        <v>6150</v>
      </c>
      <c r="AE125" t="s">
        <v>392</v>
      </c>
      <c r="AF125" t="s">
        <v>6157</v>
      </c>
      <c r="AG125" t="s">
        <v>5054</v>
      </c>
      <c r="AI125" t="s">
        <v>6647</v>
      </c>
      <c r="AK125" t="s">
        <v>6154</v>
      </c>
      <c r="AL125">
        <v>1</v>
      </c>
      <c r="AN125" s="6" t="str">
        <f>Students[[#This Row],[Name]]&amp;"|"&amp;LOWER(TRIM(Students[[#This Row],[Guardian_Email__c]]))</f>
        <v>Grace Patel|santiagopatel@icloud.com</v>
      </c>
      <c r="AO125">
        <f>COUNTIF(Students[Dup Key],Students[[#This Row],[Dup Key]])</f>
        <v>1</v>
      </c>
    </row>
    <row r="126" spans="1:41">
      <c r="A126">
        <v>31</v>
      </c>
      <c r="B126" s="1">
        <v>34892</v>
      </c>
      <c r="C126">
        <v>1</v>
      </c>
      <c r="D126" t="s">
        <v>52</v>
      </c>
      <c r="E126" t="s">
        <v>6141</v>
      </c>
      <c r="F126" s="1">
        <v>45451</v>
      </c>
      <c r="G126" t="s">
        <v>5345</v>
      </c>
      <c r="H126" t="s">
        <v>2092</v>
      </c>
      <c r="M126" t="s">
        <v>63</v>
      </c>
      <c r="N126" t="s">
        <v>5018</v>
      </c>
      <c r="O126" t="s">
        <v>2091</v>
      </c>
      <c r="P126" t="b">
        <v>0</v>
      </c>
      <c r="R126" t="s">
        <v>52</v>
      </c>
      <c r="S126" t="s">
        <v>6146</v>
      </c>
      <c r="T126" t="s">
        <v>6500</v>
      </c>
      <c r="U126" t="s">
        <v>6500</v>
      </c>
      <c r="V126" s="1">
        <v>46037</v>
      </c>
      <c r="W126" t="s">
        <v>5666</v>
      </c>
      <c r="X126" t="s">
        <v>6148</v>
      </c>
      <c r="Z126" s="2">
        <v>240</v>
      </c>
      <c r="AA126" t="s">
        <v>2092</v>
      </c>
      <c r="AB126" t="s">
        <v>52</v>
      </c>
      <c r="AC126" t="b">
        <v>0</v>
      </c>
      <c r="AD126" t="s">
        <v>6169</v>
      </c>
      <c r="AE126" t="s">
        <v>392</v>
      </c>
      <c r="AF126" t="s">
        <v>6200</v>
      </c>
      <c r="AG126" t="s">
        <v>5054</v>
      </c>
      <c r="AH126" t="s">
        <v>6648</v>
      </c>
      <c r="AI126" t="s">
        <v>6649</v>
      </c>
      <c r="AJ126" t="s">
        <v>6650</v>
      </c>
      <c r="AK126" t="s">
        <v>6154</v>
      </c>
      <c r="AL126">
        <v>1</v>
      </c>
      <c r="AN126" s="6" t="str">
        <f>Students[[#This Row],[Name]]&amp;"|"&amp;LOWER(TRIM(Students[[#This Row],[Guardian_Email__c]]))</f>
        <v>Owen Dubois|</v>
      </c>
      <c r="AO126">
        <f>COUNTIF(Students[Dup Key],Students[[#This Row],[Dup Key]])</f>
        <v>1</v>
      </c>
    </row>
    <row r="127" spans="1:41">
      <c r="A127">
        <v>7</v>
      </c>
      <c r="B127" s="1">
        <v>43564</v>
      </c>
      <c r="C127">
        <v>0</v>
      </c>
      <c r="D127" t="s">
        <v>52</v>
      </c>
      <c r="E127" t="s">
        <v>6141</v>
      </c>
      <c r="F127" s="1">
        <v>45150</v>
      </c>
      <c r="G127" t="s">
        <v>6395</v>
      </c>
      <c r="H127" t="s">
        <v>2115</v>
      </c>
      <c r="I127" t="s">
        <v>6651</v>
      </c>
      <c r="J127" t="s">
        <v>6233</v>
      </c>
      <c r="K127" t="s">
        <v>5172</v>
      </c>
      <c r="L127" t="s">
        <v>6652</v>
      </c>
      <c r="M127" t="s">
        <v>83</v>
      </c>
      <c r="N127" t="s">
        <v>5016</v>
      </c>
      <c r="O127" t="s">
        <v>2114</v>
      </c>
      <c r="P127" t="b">
        <v>0</v>
      </c>
      <c r="R127" t="s">
        <v>52</v>
      </c>
      <c r="S127" t="s">
        <v>6146</v>
      </c>
      <c r="T127" t="s">
        <v>6500</v>
      </c>
      <c r="U127" t="s">
        <v>6500</v>
      </c>
      <c r="W127" t="s">
        <v>5172</v>
      </c>
      <c r="X127" t="s">
        <v>6148</v>
      </c>
      <c r="Z127" s="2">
        <v>200</v>
      </c>
      <c r="AA127" t="s">
        <v>2115</v>
      </c>
      <c r="AB127" t="s">
        <v>52</v>
      </c>
      <c r="AC127" t="b">
        <v>0</v>
      </c>
      <c r="AD127" t="s">
        <v>6193</v>
      </c>
      <c r="AE127" t="s">
        <v>284</v>
      </c>
      <c r="AF127" t="s">
        <v>6157</v>
      </c>
      <c r="AG127" t="s">
        <v>5054</v>
      </c>
      <c r="AI127" t="s">
        <v>6653</v>
      </c>
      <c r="AK127" t="s">
        <v>6154</v>
      </c>
      <c r="AL127">
        <v>1</v>
      </c>
      <c r="AN127" s="6" t="str">
        <f>Students[[#This Row],[Name]]&amp;"|"&amp;LOWER(TRIM(Students[[#This Row],[Guardian_Email__c]]))</f>
        <v>Lincoln Garcia|cgarcia@outlook.com</v>
      </c>
      <c r="AO127">
        <f>COUNTIF(Students[Dup Key],Students[[#This Row],[Dup Key]])</f>
        <v>1</v>
      </c>
    </row>
    <row r="128" spans="1:41">
      <c r="A128">
        <v>11</v>
      </c>
      <c r="B128" s="1">
        <v>42084</v>
      </c>
      <c r="C128">
        <v>1</v>
      </c>
      <c r="D128" t="s">
        <v>52</v>
      </c>
      <c r="E128" t="s">
        <v>6141</v>
      </c>
      <c r="F128" s="1">
        <v>44902</v>
      </c>
      <c r="G128" t="s">
        <v>6654</v>
      </c>
      <c r="H128" t="s">
        <v>2123</v>
      </c>
      <c r="I128" t="s">
        <v>6655</v>
      </c>
      <c r="J128" t="s">
        <v>5979</v>
      </c>
      <c r="K128" t="s">
        <v>5179</v>
      </c>
      <c r="L128" t="s">
        <v>6656</v>
      </c>
      <c r="M128" t="s">
        <v>83</v>
      </c>
      <c r="N128" t="s">
        <v>5016</v>
      </c>
      <c r="O128" t="s">
        <v>2122</v>
      </c>
      <c r="P128" t="b">
        <v>0</v>
      </c>
      <c r="R128" t="s">
        <v>52</v>
      </c>
      <c r="S128" t="s">
        <v>6146</v>
      </c>
      <c r="T128" t="s">
        <v>6228</v>
      </c>
      <c r="U128" t="s">
        <v>6228</v>
      </c>
      <c r="V128" s="1">
        <v>46165</v>
      </c>
      <c r="W128" t="s">
        <v>5179</v>
      </c>
      <c r="X128" t="s">
        <v>6148</v>
      </c>
      <c r="Z128" s="2">
        <v>200</v>
      </c>
      <c r="AA128" t="s">
        <v>2123</v>
      </c>
      <c r="AB128" t="s">
        <v>52</v>
      </c>
      <c r="AC128" t="b">
        <v>0</v>
      </c>
      <c r="AD128" t="s">
        <v>6193</v>
      </c>
      <c r="AE128" t="s">
        <v>650</v>
      </c>
      <c r="AF128" t="s">
        <v>6200</v>
      </c>
      <c r="AG128" t="s">
        <v>5054</v>
      </c>
      <c r="AI128" t="s">
        <v>6657</v>
      </c>
      <c r="AK128" t="s">
        <v>6154</v>
      </c>
      <c r="AL128">
        <v>1</v>
      </c>
      <c r="AN128" s="6" t="str">
        <f>Students[[#This Row],[Name]]&amp;"|"&amp;LOWER(TRIM(Students[[#This Row],[Guardian_Email__c]]))</f>
        <v>Diego Moore|ariamoore@outlook.com</v>
      </c>
      <c r="AO128">
        <f>COUNTIF(Students[Dup Key],Students[[#This Row],[Dup Key]])</f>
        <v>1</v>
      </c>
    </row>
    <row r="129" spans="1:41">
      <c r="A129">
        <v>9</v>
      </c>
      <c r="B129" s="1">
        <v>42742</v>
      </c>
      <c r="C129">
        <v>1</v>
      </c>
      <c r="D129" t="s">
        <v>52</v>
      </c>
      <c r="E129" t="s">
        <v>6141</v>
      </c>
      <c r="F129" s="1">
        <v>45227</v>
      </c>
      <c r="G129" t="s">
        <v>5493</v>
      </c>
      <c r="H129" t="s">
        <v>2143</v>
      </c>
      <c r="I129" t="s">
        <v>6658</v>
      </c>
      <c r="J129" t="s">
        <v>5334</v>
      </c>
      <c r="K129" t="s">
        <v>6659</v>
      </c>
      <c r="L129" t="s">
        <v>6660</v>
      </c>
      <c r="M129" t="s">
        <v>63</v>
      </c>
      <c r="N129" t="s">
        <v>5018</v>
      </c>
      <c r="O129" t="s">
        <v>2142</v>
      </c>
      <c r="P129" t="b">
        <v>0</v>
      </c>
      <c r="R129" t="s">
        <v>52</v>
      </c>
      <c r="S129" t="s">
        <v>6146</v>
      </c>
      <c r="T129" t="s">
        <v>6500</v>
      </c>
      <c r="U129" t="s">
        <v>6500</v>
      </c>
      <c r="V129" s="1">
        <v>46196</v>
      </c>
      <c r="W129" t="s">
        <v>6659</v>
      </c>
      <c r="X129" t="s">
        <v>6148</v>
      </c>
      <c r="Z129" s="2">
        <v>160</v>
      </c>
      <c r="AA129" t="s">
        <v>2143</v>
      </c>
      <c r="AB129" t="s">
        <v>52</v>
      </c>
      <c r="AC129" t="b">
        <v>0</v>
      </c>
      <c r="AD129" t="s">
        <v>6166</v>
      </c>
      <c r="AE129" t="s">
        <v>392</v>
      </c>
      <c r="AF129" t="s">
        <v>6157</v>
      </c>
      <c r="AG129" t="s">
        <v>6152</v>
      </c>
      <c r="AI129" t="s">
        <v>6661</v>
      </c>
      <c r="AK129" t="s">
        <v>6154</v>
      </c>
      <c r="AL129">
        <v>1</v>
      </c>
      <c r="AN129" s="6" t="str">
        <f>Students[[#This Row],[Name]]&amp;"|"&amp;LOWER(TRIM(Students[[#This Row],[Guardian_Email__c]]))</f>
        <v>Levi Gonzalez|jacksongonzalez@gmail.com</v>
      </c>
      <c r="AO129">
        <f>COUNTIF(Students[Dup Key],Students[[#This Row],[Dup Key]])</f>
        <v>1</v>
      </c>
    </row>
    <row r="130" spans="1:41">
      <c r="A130">
        <v>7</v>
      </c>
      <c r="B130" s="1">
        <v>43430</v>
      </c>
      <c r="C130">
        <v>1</v>
      </c>
      <c r="D130" t="s">
        <v>52</v>
      </c>
      <c r="E130" t="s">
        <v>6141</v>
      </c>
      <c r="F130" s="1">
        <v>45864</v>
      </c>
      <c r="G130" t="s">
        <v>5294</v>
      </c>
      <c r="H130" t="s">
        <v>2166</v>
      </c>
      <c r="I130" t="s">
        <v>6662</v>
      </c>
      <c r="J130" t="s">
        <v>5380</v>
      </c>
      <c r="K130" t="s">
        <v>5116</v>
      </c>
      <c r="L130" t="s">
        <v>5424</v>
      </c>
      <c r="M130" t="s">
        <v>63</v>
      </c>
      <c r="N130" t="s">
        <v>5018</v>
      </c>
      <c r="O130" t="s">
        <v>2165</v>
      </c>
      <c r="P130" t="b">
        <v>0</v>
      </c>
      <c r="R130" t="s">
        <v>52</v>
      </c>
      <c r="S130" t="s">
        <v>6146</v>
      </c>
      <c r="T130" t="s">
        <v>6500</v>
      </c>
      <c r="U130" t="s">
        <v>6500</v>
      </c>
      <c r="V130" s="1">
        <v>46150</v>
      </c>
      <c r="W130" t="s">
        <v>5116</v>
      </c>
      <c r="X130" t="s">
        <v>6148</v>
      </c>
      <c r="Z130" s="2">
        <v>200</v>
      </c>
      <c r="AA130" t="s">
        <v>2166</v>
      </c>
      <c r="AB130" t="s">
        <v>52</v>
      </c>
      <c r="AC130" t="b">
        <v>0</v>
      </c>
      <c r="AD130" t="s">
        <v>6150</v>
      </c>
      <c r="AE130" t="s">
        <v>203</v>
      </c>
      <c r="AF130" t="s">
        <v>6157</v>
      </c>
      <c r="AG130" t="s">
        <v>5054</v>
      </c>
      <c r="AI130" t="s">
        <v>6663</v>
      </c>
      <c r="AK130" t="s">
        <v>6154</v>
      </c>
      <c r="AL130">
        <v>1</v>
      </c>
      <c r="AN130" s="6" t="str">
        <f>Students[[#This Row],[Name]]&amp;"|"&amp;LOWER(TRIM(Students[[#This Row],[Guardian_Email__c]]))</f>
        <v>Jackson Lopez|rileylopez@hotmail.com</v>
      </c>
      <c r="AO130">
        <f>COUNTIF(Students[Dup Key],Students[[#This Row],[Dup Key]])</f>
        <v>1</v>
      </c>
    </row>
    <row r="131" spans="1:41">
      <c r="A131">
        <v>38</v>
      </c>
      <c r="B131" s="1">
        <v>32297</v>
      </c>
      <c r="C131">
        <v>2</v>
      </c>
      <c r="D131" t="s">
        <v>52</v>
      </c>
      <c r="E131" t="s">
        <v>6141</v>
      </c>
      <c r="F131" s="1">
        <v>44783</v>
      </c>
      <c r="G131" t="s">
        <v>5842</v>
      </c>
      <c r="H131" t="s">
        <v>2196</v>
      </c>
      <c r="M131" t="s">
        <v>83</v>
      </c>
      <c r="N131" t="s">
        <v>5016</v>
      </c>
      <c r="O131" t="s">
        <v>2195</v>
      </c>
      <c r="P131" t="b">
        <v>0</v>
      </c>
      <c r="R131" t="s">
        <v>2992</v>
      </c>
      <c r="S131" t="s">
        <v>6664</v>
      </c>
      <c r="T131" t="s">
        <v>6500</v>
      </c>
      <c r="U131" t="s">
        <v>6500</v>
      </c>
      <c r="V131" s="1">
        <v>46181</v>
      </c>
      <c r="W131" t="s">
        <v>5461</v>
      </c>
      <c r="X131" t="s">
        <v>6148</v>
      </c>
      <c r="Z131" s="2">
        <v>220</v>
      </c>
      <c r="AA131" t="s">
        <v>2196</v>
      </c>
      <c r="AB131" t="s">
        <v>52</v>
      </c>
      <c r="AC131" t="b">
        <v>0</v>
      </c>
      <c r="AD131" t="s">
        <v>6193</v>
      </c>
      <c r="AE131" t="s">
        <v>650</v>
      </c>
      <c r="AF131" t="s">
        <v>6151</v>
      </c>
      <c r="AG131" t="s">
        <v>6152</v>
      </c>
      <c r="AH131" t="s">
        <v>6665</v>
      </c>
      <c r="AI131" t="s">
        <v>6666</v>
      </c>
      <c r="AJ131" t="s">
        <v>6667</v>
      </c>
      <c r="AK131" t="s">
        <v>6664</v>
      </c>
      <c r="AL131">
        <v>1</v>
      </c>
      <c r="AN131" s="6" t="str">
        <f>Students[[#This Row],[Name]]&amp;"|"&amp;LOWER(TRIM(Students[[#This Row],[Guardian_Email__c]]))</f>
        <v>Mei Thomas|</v>
      </c>
      <c r="AO131">
        <f>COUNTIF(Students[Dup Key],Students[[#This Row],[Dup Key]])</f>
        <v>1</v>
      </c>
    </row>
    <row r="132" spans="1:41">
      <c r="A132">
        <v>12</v>
      </c>
      <c r="B132" s="1">
        <v>41786</v>
      </c>
      <c r="C132">
        <v>0</v>
      </c>
      <c r="D132" t="s">
        <v>52</v>
      </c>
      <c r="E132" t="s">
        <v>6141</v>
      </c>
      <c r="F132" s="1">
        <v>46114</v>
      </c>
      <c r="G132" t="s">
        <v>5158</v>
      </c>
      <c r="H132" t="s">
        <v>6668</v>
      </c>
      <c r="I132" t="s">
        <v>6669</v>
      </c>
      <c r="J132" t="s">
        <v>5187</v>
      </c>
      <c r="K132" t="s">
        <v>5797</v>
      </c>
      <c r="L132" t="s">
        <v>6670</v>
      </c>
      <c r="M132" t="s">
        <v>83</v>
      </c>
      <c r="N132" t="s">
        <v>5016</v>
      </c>
      <c r="O132" t="s">
        <v>6671</v>
      </c>
      <c r="P132" t="b">
        <v>0</v>
      </c>
      <c r="R132" t="s">
        <v>52</v>
      </c>
      <c r="S132" t="s">
        <v>6223</v>
      </c>
      <c r="T132" t="s">
        <v>6500</v>
      </c>
      <c r="U132" t="s">
        <v>6500</v>
      </c>
      <c r="W132" t="s">
        <v>5797</v>
      </c>
      <c r="X132" t="s">
        <v>6148</v>
      </c>
      <c r="Z132" s="2">
        <v>160</v>
      </c>
      <c r="AA132" t="s">
        <v>6668</v>
      </c>
      <c r="AB132" t="s">
        <v>52</v>
      </c>
      <c r="AC132" t="b">
        <v>0</v>
      </c>
      <c r="AD132" t="s">
        <v>6166</v>
      </c>
      <c r="AE132" t="s">
        <v>203</v>
      </c>
      <c r="AF132" t="s">
        <v>6157</v>
      </c>
      <c r="AG132" t="s">
        <v>6224</v>
      </c>
      <c r="AI132" t="s">
        <v>6672</v>
      </c>
      <c r="AK132" t="s">
        <v>6154</v>
      </c>
      <c r="AL132">
        <v>1</v>
      </c>
      <c r="AM132" s="1">
        <v>46183</v>
      </c>
      <c r="AN132" s="6" t="str">
        <f>Students[[#This Row],[Name]]&amp;"|"&amp;LOWER(TRIM(Students[[#This Row],[Guardian_Email__c]]))</f>
        <v>Miles Young|emmayoung4@outlook.com</v>
      </c>
      <c r="AO132">
        <f>COUNTIF(Students[Dup Key],Students[[#This Row],[Dup Key]])</f>
        <v>1</v>
      </c>
    </row>
    <row r="133" spans="1:41">
      <c r="A133">
        <v>7</v>
      </c>
      <c r="B133" s="1">
        <v>43406</v>
      </c>
      <c r="C133">
        <v>0</v>
      </c>
      <c r="D133" t="s">
        <v>52</v>
      </c>
      <c r="E133" t="s">
        <v>6141</v>
      </c>
      <c r="F133" s="1">
        <v>44772</v>
      </c>
      <c r="G133" t="s">
        <v>5141</v>
      </c>
      <c r="H133" t="s">
        <v>2216</v>
      </c>
      <c r="I133" t="s">
        <v>6673</v>
      </c>
      <c r="J133" t="s">
        <v>5323</v>
      </c>
      <c r="K133" t="s">
        <v>5247</v>
      </c>
      <c r="L133" t="s">
        <v>6674</v>
      </c>
      <c r="M133" t="s">
        <v>150</v>
      </c>
      <c r="N133" t="s">
        <v>5014</v>
      </c>
      <c r="O133" t="s">
        <v>2215</v>
      </c>
      <c r="P133" t="b">
        <v>0</v>
      </c>
      <c r="R133" t="s">
        <v>52</v>
      </c>
      <c r="S133" t="s">
        <v>6146</v>
      </c>
      <c r="T133" t="s">
        <v>6500</v>
      </c>
      <c r="U133" t="s">
        <v>6500</v>
      </c>
      <c r="W133" t="s">
        <v>5247</v>
      </c>
      <c r="X133" t="s">
        <v>6189</v>
      </c>
      <c r="Z133" s="2">
        <v>220</v>
      </c>
      <c r="AA133" t="s">
        <v>2216</v>
      </c>
      <c r="AB133" t="s">
        <v>52</v>
      </c>
      <c r="AC133" t="b">
        <v>0</v>
      </c>
      <c r="AD133" t="s">
        <v>6174</v>
      </c>
      <c r="AE133" t="s">
        <v>392</v>
      </c>
      <c r="AF133" t="s">
        <v>6157</v>
      </c>
      <c r="AG133" t="s">
        <v>5054</v>
      </c>
      <c r="AI133" t="s">
        <v>6675</v>
      </c>
      <c r="AK133" t="s">
        <v>6154</v>
      </c>
      <c r="AL133">
        <v>0.5</v>
      </c>
      <c r="AN133" s="6" t="str">
        <f>Students[[#This Row],[Name]]&amp;"|"&amp;LOWER(TRIM(Students[[#This Row],[Guardian_Email__c]]))</f>
        <v>Ryan Kelly|lkelly@icloud.com</v>
      </c>
      <c r="AO133">
        <f>COUNTIF(Students[Dup Key],Students[[#This Row],[Dup Key]])</f>
        <v>1</v>
      </c>
    </row>
    <row r="134" spans="1:41">
      <c r="A134">
        <v>11</v>
      </c>
      <c r="B134" s="1">
        <v>42288</v>
      </c>
      <c r="C134">
        <v>0</v>
      </c>
      <c r="D134" t="s">
        <v>52</v>
      </c>
      <c r="E134" t="s">
        <v>6141</v>
      </c>
      <c r="F134" s="1">
        <v>45319</v>
      </c>
      <c r="G134" t="s">
        <v>5560</v>
      </c>
      <c r="H134" t="s">
        <v>2230</v>
      </c>
      <c r="I134" t="s">
        <v>6676</v>
      </c>
      <c r="J134" t="s">
        <v>5396</v>
      </c>
      <c r="K134" t="s">
        <v>5797</v>
      </c>
      <c r="L134" t="s">
        <v>6677</v>
      </c>
      <c r="M134" t="s">
        <v>63</v>
      </c>
      <c r="N134" t="s">
        <v>5018</v>
      </c>
      <c r="O134" t="s">
        <v>2229</v>
      </c>
      <c r="P134" t="b">
        <v>0</v>
      </c>
      <c r="R134" t="s">
        <v>52</v>
      </c>
      <c r="S134" t="s">
        <v>6146</v>
      </c>
      <c r="T134" t="s">
        <v>6500</v>
      </c>
      <c r="U134" t="s">
        <v>6500</v>
      </c>
      <c r="W134" t="s">
        <v>5797</v>
      </c>
      <c r="X134" t="s">
        <v>6189</v>
      </c>
      <c r="Z134" s="2">
        <v>160</v>
      </c>
      <c r="AA134" t="s">
        <v>2230</v>
      </c>
      <c r="AB134" t="s">
        <v>52</v>
      </c>
      <c r="AC134" t="b">
        <v>0</v>
      </c>
      <c r="AD134" t="s">
        <v>6150</v>
      </c>
      <c r="AE134" t="s">
        <v>527</v>
      </c>
      <c r="AF134" t="s">
        <v>6157</v>
      </c>
      <c r="AG134" t="s">
        <v>5054</v>
      </c>
      <c r="AI134" t="s">
        <v>6678</v>
      </c>
      <c r="AK134" t="s">
        <v>6154</v>
      </c>
      <c r="AL134">
        <v>0.5</v>
      </c>
      <c r="AN134" s="6" t="str">
        <f>Students[[#This Row],[Name]]&amp;"|"&amp;LOWER(TRIM(Students[[#This Row],[Guardian_Email__c]]))</f>
        <v>Lucas Young|claireyoung14@yahoo.com</v>
      </c>
      <c r="AO134">
        <f>COUNTIF(Students[Dup Key],Students[[#This Row],[Dup Key]])</f>
        <v>1</v>
      </c>
    </row>
    <row r="135" spans="1:41">
      <c r="A135">
        <v>13</v>
      </c>
      <c r="B135" s="1">
        <v>41225</v>
      </c>
      <c r="C135">
        <v>0</v>
      </c>
      <c r="D135" t="s">
        <v>52</v>
      </c>
      <c r="E135" t="s">
        <v>6141</v>
      </c>
      <c r="F135" s="1">
        <v>46033</v>
      </c>
      <c r="G135" t="s">
        <v>5275</v>
      </c>
      <c r="H135" t="s">
        <v>2241</v>
      </c>
      <c r="I135" t="s">
        <v>6679</v>
      </c>
      <c r="J135" t="s">
        <v>5526</v>
      </c>
      <c r="K135" t="s">
        <v>5133</v>
      </c>
      <c r="L135" t="s">
        <v>6680</v>
      </c>
      <c r="M135" t="s">
        <v>63</v>
      </c>
      <c r="N135" t="s">
        <v>5018</v>
      </c>
      <c r="O135" t="s">
        <v>2240</v>
      </c>
      <c r="P135" t="b">
        <v>0</v>
      </c>
      <c r="R135" t="s">
        <v>52</v>
      </c>
      <c r="S135" t="s">
        <v>6146</v>
      </c>
      <c r="T135" t="s">
        <v>6500</v>
      </c>
      <c r="U135" t="s">
        <v>6500</v>
      </c>
      <c r="W135" t="s">
        <v>5133</v>
      </c>
      <c r="X135" t="s">
        <v>6148</v>
      </c>
      <c r="Y135" t="s">
        <v>6681</v>
      </c>
      <c r="Z135" s="2">
        <v>160</v>
      </c>
      <c r="AA135" t="s">
        <v>2241</v>
      </c>
      <c r="AB135" t="s">
        <v>52</v>
      </c>
      <c r="AC135" t="b">
        <v>0</v>
      </c>
      <c r="AD135" t="s">
        <v>6150</v>
      </c>
      <c r="AE135" t="s">
        <v>237</v>
      </c>
      <c r="AF135" t="s">
        <v>6157</v>
      </c>
      <c r="AG135" t="s">
        <v>5054</v>
      </c>
      <c r="AI135" t="s">
        <v>6682</v>
      </c>
      <c r="AK135" t="s">
        <v>6154</v>
      </c>
      <c r="AL135">
        <v>1</v>
      </c>
      <c r="AN135" s="6" t="str">
        <f>Students[[#This Row],[Name]]&amp;"|"&amp;LOWER(TRIM(Students[[#This Row],[Guardian_Email__c]]))</f>
        <v>Sofia Perez|lperez@gmail.com</v>
      </c>
      <c r="AO135">
        <f>COUNTIF(Students[Dup Key],Students[[#This Row],[Dup Key]])</f>
        <v>1</v>
      </c>
    </row>
    <row r="136" spans="1:41">
      <c r="A136">
        <v>45</v>
      </c>
      <c r="B136" s="1">
        <v>29559</v>
      </c>
      <c r="C136">
        <v>0</v>
      </c>
      <c r="D136" t="s">
        <v>52</v>
      </c>
      <c r="E136" t="s">
        <v>6141</v>
      </c>
      <c r="F136" s="1">
        <v>45302</v>
      </c>
      <c r="G136" t="s">
        <v>5763</v>
      </c>
      <c r="H136" t="s">
        <v>2267</v>
      </c>
      <c r="M136" t="s">
        <v>63</v>
      </c>
      <c r="N136" t="s">
        <v>5018</v>
      </c>
      <c r="O136" t="s">
        <v>2266</v>
      </c>
      <c r="P136" t="b">
        <v>0</v>
      </c>
      <c r="R136" t="s">
        <v>52</v>
      </c>
      <c r="S136" t="s">
        <v>6146</v>
      </c>
      <c r="T136" t="s">
        <v>6228</v>
      </c>
      <c r="U136" t="s">
        <v>6228</v>
      </c>
      <c r="W136" t="s">
        <v>5072</v>
      </c>
      <c r="X136" t="s">
        <v>6148</v>
      </c>
      <c r="Z136" s="2">
        <v>160</v>
      </c>
      <c r="AA136" t="s">
        <v>2267</v>
      </c>
      <c r="AB136" t="s">
        <v>52</v>
      </c>
      <c r="AC136" t="b">
        <v>0</v>
      </c>
      <c r="AD136" t="s">
        <v>6239</v>
      </c>
      <c r="AE136" t="s">
        <v>284</v>
      </c>
      <c r="AF136" t="s">
        <v>6200</v>
      </c>
      <c r="AG136" t="s">
        <v>5054</v>
      </c>
      <c r="AH136" t="s">
        <v>6683</v>
      </c>
      <c r="AI136" t="s">
        <v>6684</v>
      </c>
      <c r="AJ136" t="s">
        <v>6685</v>
      </c>
      <c r="AK136" t="s">
        <v>6154</v>
      </c>
      <c r="AL136">
        <v>1</v>
      </c>
      <c r="AN136" s="6" t="str">
        <f>Students[[#This Row],[Name]]&amp;"|"&amp;LOWER(TRIM(Students[[#This Row],[Guardian_Email__c]]))</f>
        <v>Chen Sullivan|</v>
      </c>
      <c r="AO136">
        <f>COUNTIF(Students[Dup Key],Students[[#This Row],[Dup Key]])</f>
        <v>1</v>
      </c>
    </row>
    <row r="137" spans="1:41">
      <c r="A137">
        <v>31</v>
      </c>
      <c r="B137" s="1">
        <v>34915</v>
      </c>
      <c r="C137">
        <v>2</v>
      </c>
      <c r="D137" t="s">
        <v>52</v>
      </c>
      <c r="E137" t="s">
        <v>6141</v>
      </c>
      <c r="F137" s="1">
        <v>44754</v>
      </c>
      <c r="G137" t="s">
        <v>5493</v>
      </c>
      <c r="H137" t="s">
        <v>2278</v>
      </c>
      <c r="M137" t="s">
        <v>63</v>
      </c>
      <c r="N137" t="s">
        <v>5018</v>
      </c>
      <c r="O137" t="s">
        <v>2277</v>
      </c>
      <c r="P137" t="b">
        <v>0</v>
      </c>
      <c r="R137" t="s">
        <v>52</v>
      </c>
      <c r="S137" t="s">
        <v>6146</v>
      </c>
      <c r="T137" t="s">
        <v>6500</v>
      </c>
      <c r="U137" t="s">
        <v>6500</v>
      </c>
      <c r="V137" s="1">
        <v>46267</v>
      </c>
      <c r="W137" t="s">
        <v>5535</v>
      </c>
      <c r="X137" t="s">
        <v>6189</v>
      </c>
      <c r="Z137" s="2">
        <v>240</v>
      </c>
      <c r="AA137" t="s">
        <v>2278</v>
      </c>
      <c r="AB137" t="s">
        <v>52</v>
      </c>
      <c r="AC137" t="b">
        <v>0</v>
      </c>
      <c r="AD137" t="s">
        <v>6150</v>
      </c>
      <c r="AE137" t="s">
        <v>147</v>
      </c>
      <c r="AF137" t="s">
        <v>6200</v>
      </c>
      <c r="AG137" t="s">
        <v>5054</v>
      </c>
      <c r="AH137" t="s">
        <v>6686</v>
      </c>
      <c r="AI137" t="s">
        <v>6687</v>
      </c>
      <c r="AJ137" t="s">
        <v>6688</v>
      </c>
      <c r="AK137" t="s">
        <v>6154</v>
      </c>
      <c r="AL137">
        <v>0.5</v>
      </c>
      <c r="AN137" s="6" t="str">
        <f>Students[[#This Row],[Name]]&amp;"|"&amp;LOWER(TRIM(Students[[#This Row],[Guardian_Email__c]]))</f>
        <v>Levi Campbell|</v>
      </c>
      <c r="AO137">
        <f>COUNTIF(Students[Dup Key],Students[[#This Row],[Dup Key]])</f>
        <v>1</v>
      </c>
    </row>
    <row r="138" spans="1:41">
      <c r="A138">
        <v>11</v>
      </c>
      <c r="B138" s="1">
        <v>41980</v>
      </c>
      <c r="C138">
        <v>0</v>
      </c>
      <c r="D138" t="s">
        <v>52</v>
      </c>
      <c r="E138" t="s">
        <v>6141</v>
      </c>
      <c r="F138" s="1">
        <v>45613</v>
      </c>
      <c r="G138" t="s">
        <v>5141</v>
      </c>
      <c r="H138" t="s">
        <v>2295</v>
      </c>
      <c r="I138" t="s">
        <v>6689</v>
      </c>
      <c r="J138" t="s">
        <v>5866</v>
      </c>
      <c r="K138" t="s">
        <v>5141</v>
      </c>
      <c r="L138" t="s">
        <v>6690</v>
      </c>
      <c r="M138" t="s">
        <v>63</v>
      </c>
      <c r="N138" t="s">
        <v>5018</v>
      </c>
      <c r="O138" t="s">
        <v>2294</v>
      </c>
      <c r="P138" t="b">
        <v>0</v>
      </c>
      <c r="R138" t="s">
        <v>52</v>
      </c>
      <c r="S138" t="s">
        <v>6146</v>
      </c>
      <c r="T138" t="s">
        <v>6500</v>
      </c>
      <c r="U138" t="s">
        <v>6500</v>
      </c>
      <c r="W138" t="s">
        <v>5141</v>
      </c>
      <c r="X138" t="s">
        <v>6148</v>
      </c>
      <c r="Z138" s="2">
        <v>180</v>
      </c>
      <c r="AA138" t="s">
        <v>2295</v>
      </c>
      <c r="AB138" t="s">
        <v>52</v>
      </c>
      <c r="AC138" t="b">
        <v>0</v>
      </c>
      <c r="AD138" t="s">
        <v>6169</v>
      </c>
      <c r="AE138" t="s">
        <v>107</v>
      </c>
      <c r="AF138" t="s">
        <v>6151</v>
      </c>
      <c r="AG138" t="s">
        <v>6152</v>
      </c>
      <c r="AI138" t="s">
        <v>6691</v>
      </c>
      <c r="AK138" t="s">
        <v>6154</v>
      </c>
      <c r="AL138">
        <v>1</v>
      </c>
      <c r="AN138" s="6" t="str">
        <f>Students[[#This Row],[Name]]&amp;"|"&amp;LOWER(TRIM(Students[[#This Row],[Guardian_Email__c]]))</f>
        <v>Ryan Ryan|nova.ryan@hotmail.com</v>
      </c>
      <c r="AO138">
        <f>COUNTIF(Students[Dup Key],Students[[#This Row],[Dup Key]])</f>
        <v>1</v>
      </c>
    </row>
    <row r="139" spans="1:41">
      <c r="A139">
        <v>10</v>
      </c>
      <c r="B139" s="1">
        <v>42612</v>
      </c>
      <c r="C139">
        <v>3</v>
      </c>
      <c r="D139" t="s">
        <v>52</v>
      </c>
      <c r="E139" t="s">
        <v>6141</v>
      </c>
      <c r="F139" s="1">
        <v>46251</v>
      </c>
      <c r="G139" t="s">
        <v>5610</v>
      </c>
      <c r="H139" t="s">
        <v>2306</v>
      </c>
      <c r="I139" t="s">
        <v>6692</v>
      </c>
      <c r="J139" t="s">
        <v>5682</v>
      </c>
      <c r="K139" t="s">
        <v>6601</v>
      </c>
      <c r="L139" t="s">
        <v>6693</v>
      </c>
      <c r="M139" t="s">
        <v>63</v>
      </c>
      <c r="N139" t="s">
        <v>5018</v>
      </c>
      <c r="O139" t="s">
        <v>2305</v>
      </c>
      <c r="P139" t="b">
        <v>0</v>
      </c>
      <c r="R139" t="s">
        <v>52</v>
      </c>
      <c r="S139" t="s">
        <v>6146</v>
      </c>
      <c r="T139" t="s">
        <v>6228</v>
      </c>
      <c r="U139" t="s">
        <v>6228</v>
      </c>
      <c r="V139" s="1">
        <v>46216</v>
      </c>
      <c r="W139" t="s">
        <v>6601</v>
      </c>
      <c r="X139" t="s">
        <v>6148</v>
      </c>
      <c r="Z139" s="2">
        <v>180</v>
      </c>
      <c r="AA139" t="s">
        <v>2306</v>
      </c>
      <c r="AB139" t="s">
        <v>52</v>
      </c>
      <c r="AC139" t="b">
        <v>0</v>
      </c>
      <c r="AD139" t="s">
        <v>6174</v>
      </c>
      <c r="AE139" t="s">
        <v>527</v>
      </c>
      <c r="AF139" t="s">
        <v>6157</v>
      </c>
      <c r="AG139" t="s">
        <v>5054</v>
      </c>
      <c r="AI139" t="s">
        <v>6694</v>
      </c>
      <c r="AK139" t="s">
        <v>6154</v>
      </c>
      <c r="AL139">
        <v>1</v>
      </c>
      <c r="AN139" s="6" t="str">
        <f>Students[[#This Row],[Name]]&amp;"|"&amp;LOWER(TRIM(Students[[#This Row],[Guardian_Email__c]]))</f>
        <v>Declan Martinez|josiahmartinez16@gmail.com</v>
      </c>
      <c r="AO139">
        <f>COUNTIF(Students[Dup Key],Students[[#This Row],[Dup Key]])</f>
        <v>1</v>
      </c>
    </row>
    <row r="140" spans="1:41">
      <c r="A140">
        <v>6</v>
      </c>
      <c r="B140" s="1">
        <v>43941</v>
      </c>
      <c r="C140">
        <v>1</v>
      </c>
      <c r="D140" t="s">
        <v>52</v>
      </c>
      <c r="E140" t="s">
        <v>6141</v>
      </c>
      <c r="F140" s="1">
        <v>45265</v>
      </c>
      <c r="G140" t="s">
        <v>5719</v>
      </c>
      <c r="H140" t="s">
        <v>2329</v>
      </c>
      <c r="I140" t="s">
        <v>6695</v>
      </c>
      <c r="J140" t="s">
        <v>5943</v>
      </c>
      <c r="K140" t="s">
        <v>5601</v>
      </c>
      <c r="L140" t="s">
        <v>6696</v>
      </c>
      <c r="M140" t="s">
        <v>63</v>
      </c>
      <c r="N140" t="s">
        <v>5018</v>
      </c>
      <c r="O140" t="s">
        <v>2328</v>
      </c>
      <c r="P140" t="b">
        <v>0</v>
      </c>
      <c r="R140" t="s">
        <v>52</v>
      </c>
      <c r="S140" t="s">
        <v>6146</v>
      </c>
      <c r="T140" t="s">
        <v>6500</v>
      </c>
      <c r="U140" t="s">
        <v>6500</v>
      </c>
      <c r="V140" s="1">
        <v>46188</v>
      </c>
      <c r="W140" t="s">
        <v>5601</v>
      </c>
      <c r="X140" t="s">
        <v>6148</v>
      </c>
      <c r="Z140" s="2">
        <v>240</v>
      </c>
      <c r="AA140" t="s">
        <v>2329</v>
      </c>
      <c r="AB140" t="s">
        <v>52</v>
      </c>
      <c r="AC140" t="b">
        <v>0</v>
      </c>
      <c r="AD140" t="s">
        <v>6239</v>
      </c>
      <c r="AE140" t="s">
        <v>527</v>
      </c>
      <c r="AF140" t="s">
        <v>6157</v>
      </c>
      <c r="AG140" t="s">
        <v>5054</v>
      </c>
      <c r="AI140" t="s">
        <v>6697</v>
      </c>
      <c r="AK140" t="s">
        <v>6154</v>
      </c>
      <c r="AL140">
        <v>1</v>
      </c>
      <c r="AN140" s="6" t="str">
        <f>Students[[#This Row],[Name]]&amp;"|"&amp;LOWER(TRIM(Students[[#This Row],[Guardian_Email__c]]))</f>
        <v>Skylar Kim|danielkim@outlook.com</v>
      </c>
      <c r="AO140">
        <f>COUNTIF(Students[Dup Key],Students[[#This Row],[Dup Key]])</f>
        <v>1</v>
      </c>
    </row>
    <row r="141" spans="1:41">
      <c r="A141">
        <v>12</v>
      </c>
      <c r="B141" s="1">
        <v>41839</v>
      </c>
      <c r="C141">
        <v>0</v>
      </c>
      <c r="D141" t="s">
        <v>52</v>
      </c>
      <c r="E141" t="s">
        <v>6141</v>
      </c>
      <c r="F141" s="1">
        <v>44910</v>
      </c>
      <c r="G141" t="s">
        <v>5505</v>
      </c>
      <c r="H141" t="s">
        <v>2349</v>
      </c>
      <c r="I141" t="s">
        <v>6698</v>
      </c>
      <c r="J141" t="s">
        <v>5444</v>
      </c>
      <c r="K141" t="s">
        <v>5679</v>
      </c>
      <c r="L141" t="s">
        <v>6699</v>
      </c>
      <c r="M141" t="s">
        <v>83</v>
      </c>
      <c r="N141" t="s">
        <v>5016</v>
      </c>
      <c r="O141" t="s">
        <v>2348</v>
      </c>
      <c r="P141" t="b">
        <v>0</v>
      </c>
      <c r="R141" t="s">
        <v>52</v>
      </c>
      <c r="S141" t="s">
        <v>6146</v>
      </c>
      <c r="T141" t="s">
        <v>6228</v>
      </c>
      <c r="U141" t="s">
        <v>6228</v>
      </c>
      <c r="W141" t="s">
        <v>5679</v>
      </c>
      <c r="X141" t="s">
        <v>6148</v>
      </c>
      <c r="Z141" s="2">
        <v>180</v>
      </c>
      <c r="AA141" t="s">
        <v>2349</v>
      </c>
      <c r="AB141" t="s">
        <v>52</v>
      </c>
      <c r="AC141" t="b">
        <v>0</v>
      </c>
      <c r="AD141" t="s">
        <v>6193</v>
      </c>
      <c r="AE141" t="s">
        <v>237</v>
      </c>
      <c r="AF141" t="s">
        <v>6157</v>
      </c>
      <c r="AG141" t="s">
        <v>5054</v>
      </c>
      <c r="AI141" t="s">
        <v>6700</v>
      </c>
      <c r="AK141" t="s">
        <v>6154</v>
      </c>
      <c r="AL141">
        <v>1</v>
      </c>
      <c r="AN141" s="6" t="str">
        <f>Students[[#This Row],[Name]]&amp;"|"&amp;LOWER(TRIM(Students[[#This Row],[Guardian_Email__c]]))</f>
        <v>Evelyn Lee|emilylee@icloud.com</v>
      </c>
      <c r="AO141">
        <f>COUNTIF(Students[Dup Key],Students[[#This Row],[Dup Key]])</f>
        <v>1</v>
      </c>
    </row>
    <row r="142" spans="1:41">
      <c r="A142">
        <v>7</v>
      </c>
      <c r="B142" s="1">
        <v>43392</v>
      </c>
      <c r="C142">
        <v>0</v>
      </c>
      <c r="D142" t="s">
        <v>52</v>
      </c>
      <c r="E142" t="s">
        <v>6141</v>
      </c>
      <c r="F142" s="1">
        <v>46008</v>
      </c>
      <c r="G142" t="s">
        <v>5098</v>
      </c>
      <c r="H142" t="s">
        <v>2357</v>
      </c>
      <c r="I142" t="s">
        <v>6701</v>
      </c>
      <c r="J142" t="s">
        <v>5235</v>
      </c>
      <c r="K142" t="s">
        <v>5535</v>
      </c>
      <c r="L142" t="s">
        <v>6702</v>
      </c>
      <c r="M142" t="s">
        <v>63</v>
      </c>
      <c r="N142" t="s">
        <v>5018</v>
      </c>
      <c r="O142" t="s">
        <v>2356</v>
      </c>
      <c r="P142" t="b">
        <v>0</v>
      </c>
      <c r="R142" t="s">
        <v>52</v>
      </c>
      <c r="S142" t="s">
        <v>6146</v>
      </c>
      <c r="T142" t="s">
        <v>6228</v>
      </c>
      <c r="U142" t="s">
        <v>6228</v>
      </c>
      <c r="W142" t="s">
        <v>5535</v>
      </c>
      <c r="X142" t="s">
        <v>6148</v>
      </c>
      <c r="Z142" s="2">
        <v>240</v>
      </c>
      <c r="AA142" t="s">
        <v>2357</v>
      </c>
      <c r="AB142" t="s">
        <v>52</v>
      </c>
      <c r="AC142" t="b">
        <v>0</v>
      </c>
      <c r="AD142" t="s">
        <v>6239</v>
      </c>
      <c r="AE142" t="s">
        <v>392</v>
      </c>
      <c r="AF142" t="s">
        <v>6157</v>
      </c>
      <c r="AG142" t="s">
        <v>5054</v>
      </c>
      <c r="AI142" t="s">
        <v>6703</v>
      </c>
      <c r="AK142" t="s">
        <v>6154</v>
      </c>
      <c r="AL142">
        <v>1</v>
      </c>
      <c r="AN142" s="6" t="str">
        <f>Students[[#This Row],[Name]]&amp;"|"&amp;LOWER(TRIM(Students[[#This Row],[Guardian_Email__c]]))</f>
        <v>Emily Campbell|elijahcampbell@hotmail.com</v>
      </c>
      <c r="AO142">
        <f>COUNTIF(Students[Dup Key],Students[[#This Row],[Dup Key]])</f>
        <v>1</v>
      </c>
    </row>
    <row r="143" spans="1:41">
      <c r="A143">
        <v>12</v>
      </c>
      <c r="B143" s="1">
        <v>41731</v>
      </c>
      <c r="C143">
        <v>1</v>
      </c>
      <c r="D143" t="s">
        <v>52</v>
      </c>
      <c r="E143" t="s">
        <v>6141</v>
      </c>
      <c r="F143" s="1">
        <v>45100</v>
      </c>
      <c r="G143" t="s">
        <v>5146</v>
      </c>
      <c r="H143" t="s">
        <v>2386</v>
      </c>
      <c r="I143" t="s">
        <v>6704</v>
      </c>
      <c r="J143" t="s">
        <v>5240</v>
      </c>
      <c r="K143" t="s">
        <v>5222</v>
      </c>
      <c r="L143" t="s">
        <v>6705</v>
      </c>
      <c r="M143" t="s">
        <v>63</v>
      </c>
      <c r="N143" t="s">
        <v>5018</v>
      </c>
      <c r="O143" t="s">
        <v>2385</v>
      </c>
      <c r="P143" t="b">
        <v>0</v>
      </c>
      <c r="R143" t="s">
        <v>52</v>
      </c>
      <c r="S143" t="s">
        <v>6146</v>
      </c>
      <c r="T143" t="s">
        <v>6228</v>
      </c>
      <c r="U143" t="s">
        <v>6228</v>
      </c>
      <c r="V143" s="1">
        <v>46251</v>
      </c>
      <c r="W143" t="s">
        <v>5222</v>
      </c>
      <c r="X143" t="s">
        <v>6148</v>
      </c>
      <c r="Z143" s="2">
        <v>160</v>
      </c>
      <c r="AA143" t="s">
        <v>2386</v>
      </c>
      <c r="AB143" t="s">
        <v>52</v>
      </c>
      <c r="AC143" t="b">
        <v>0</v>
      </c>
      <c r="AD143" t="s">
        <v>6150</v>
      </c>
      <c r="AE143" t="s">
        <v>650</v>
      </c>
      <c r="AF143" t="s">
        <v>6157</v>
      </c>
      <c r="AG143" t="s">
        <v>5054</v>
      </c>
      <c r="AI143" t="s">
        <v>6706</v>
      </c>
      <c r="AK143" t="s">
        <v>6154</v>
      </c>
      <c r="AL143">
        <v>1</v>
      </c>
      <c r="AN143" s="6" t="str">
        <f>Students[[#This Row],[Name]]&amp;"|"&amp;LOWER(TRIM(Students[[#This Row],[Guardian_Email__c]]))</f>
        <v>Caroline Byrne|ebyrne@icloud.com</v>
      </c>
      <c r="AO143">
        <f>COUNTIF(Students[Dup Key],Students[[#This Row],[Dup Key]])</f>
        <v>1</v>
      </c>
    </row>
    <row r="144" spans="1:41">
      <c r="A144">
        <v>7</v>
      </c>
      <c r="B144" s="1">
        <v>43555</v>
      </c>
      <c r="C144">
        <v>0</v>
      </c>
      <c r="D144" t="s">
        <v>52</v>
      </c>
      <c r="E144" t="s">
        <v>6141</v>
      </c>
      <c r="F144" s="1">
        <v>44933</v>
      </c>
      <c r="G144" t="s">
        <v>6474</v>
      </c>
      <c r="H144" t="s">
        <v>2415</v>
      </c>
      <c r="I144" t="s">
        <v>6707</v>
      </c>
      <c r="J144" t="s">
        <v>6708</v>
      </c>
      <c r="K144" t="s">
        <v>5148</v>
      </c>
      <c r="L144" t="s">
        <v>6709</v>
      </c>
      <c r="M144" t="s">
        <v>150</v>
      </c>
      <c r="N144" t="s">
        <v>5014</v>
      </c>
      <c r="O144" t="s">
        <v>2414</v>
      </c>
      <c r="P144" t="b">
        <v>0</v>
      </c>
      <c r="R144" t="s">
        <v>52</v>
      </c>
      <c r="S144" t="s">
        <v>6146</v>
      </c>
      <c r="T144" t="s">
        <v>6228</v>
      </c>
      <c r="U144" t="s">
        <v>6228</v>
      </c>
      <c r="W144" t="s">
        <v>5148</v>
      </c>
      <c r="X144" t="s">
        <v>6148</v>
      </c>
      <c r="Z144" s="2">
        <v>180</v>
      </c>
      <c r="AA144" t="s">
        <v>2415</v>
      </c>
      <c r="AB144" t="s">
        <v>52</v>
      </c>
      <c r="AC144" t="b">
        <v>0</v>
      </c>
      <c r="AD144" t="s">
        <v>6166</v>
      </c>
      <c r="AE144" t="s">
        <v>263</v>
      </c>
      <c r="AF144" t="s">
        <v>6151</v>
      </c>
      <c r="AG144" t="s">
        <v>5054</v>
      </c>
      <c r="AI144" t="s">
        <v>6710</v>
      </c>
      <c r="AK144" t="s">
        <v>6154</v>
      </c>
      <c r="AL144">
        <v>1</v>
      </c>
      <c r="AN144" s="6" t="str">
        <f>Students[[#This Row],[Name]]&amp;"|"&amp;LOWER(TRIM(Students[[#This Row],[Guardian_Email__c]]))</f>
        <v>Amelia Okafor|aokafor@yahoo.com</v>
      </c>
      <c r="AO144">
        <f>COUNTIF(Students[Dup Key],Students[[#This Row],[Dup Key]])</f>
        <v>1</v>
      </c>
    </row>
    <row r="145" spans="1:41">
      <c r="A145">
        <v>6</v>
      </c>
      <c r="B145" s="1">
        <v>44030</v>
      </c>
      <c r="C145">
        <v>0</v>
      </c>
      <c r="D145" t="s">
        <v>52</v>
      </c>
      <c r="E145" t="s">
        <v>6141</v>
      </c>
      <c r="F145" s="1">
        <v>44907</v>
      </c>
      <c r="G145" t="s">
        <v>5131</v>
      </c>
      <c r="H145" t="s">
        <v>2423</v>
      </c>
      <c r="I145" t="s">
        <v>6711</v>
      </c>
      <c r="J145" t="s">
        <v>6474</v>
      </c>
      <c r="K145" t="s">
        <v>5148</v>
      </c>
      <c r="L145" t="s">
        <v>6712</v>
      </c>
      <c r="M145" t="s">
        <v>150</v>
      </c>
      <c r="N145" t="s">
        <v>5014</v>
      </c>
      <c r="O145" t="s">
        <v>2422</v>
      </c>
      <c r="P145" t="b">
        <v>0</v>
      </c>
      <c r="R145" t="s">
        <v>52</v>
      </c>
      <c r="S145" t="s">
        <v>6146</v>
      </c>
      <c r="T145" t="s">
        <v>6500</v>
      </c>
      <c r="U145" t="s">
        <v>6500</v>
      </c>
      <c r="W145" t="s">
        <v>5148</v>
      </c>
      <c r="X145" t="s">
        <v>6148</v>
      </c>
      <c r="Z145" s="2">
        <v>200</v>
      </c>
      <c r="AA145" t="s">
        <v>2423</v>
      </c>
      <c r="AB145" t="s">
        <v>52</v>
      </c>
      <c r="AC145" t="b">
        <v>0</v>
      </c>
      <c r="AD145" t="s">
        <v>6150</v>
      </c>
      <c r="AE145" t="s">
        <v>527</v>
      </c>
      <c r="AF145" t="s">
        <v>6157</v>
      </c>
      <c r="AG145" t="s">
        <v>5054</v>
      </c>
      <c r="AI145" t="s">
        <v>6713</v>
      </c>
      <c r="AK145" t="s">
        <v>6154</v>
      </c>
      <c r="AL145">
        <v>1</v>
      </c>
      <c r="AN145" s="6" t="str">
        <f>Students[[#This Row],[Name]]&amp;"|"&amp;LOWER(TRIM(Students[[#This Row],[Guardian_Email__c]]))</f>
        <v>Leo Okafor|nova.okafor@icloud.com</v>
      </c>
      <c r="AO145">
        <f>COUNTIF(Students[Dup Key],Students[[#This Row],[Dup Key]])</f>
        <v>1</v>
      </c>
    </row>
    <row r="146" spans="1:41">
      <c r="A146">
        <v>16</v>
      </c>
      <c r="B146" s="1">
        <v>40312</v>
      </c>
      <c r="C146">
        <v>0</v>
      </c>
      <c r="D146" t="s">
        <v>52</v>
      </c>
      <c r="E146" t="s">
        <v>6141</v>
      </c>
      <c r="F146" s="1">
        <v>45043</v>
      </c>
      <c r="G146" t="s">
        <v>5103</v>
      </c>
      <c r="H146" t="s">
        <v>6714</v>
      </c>
      <c r="I146" t="s">
        <v>6715</v>
      </c>
      <c r="J146" t="s">
        <v>5209</v>
      </c>
      <c r="K146" t="s">
        <v>5763</v>
      </c>
      <c r="L146" t="s">
        <v>6716</v>
      </c>
      <c r="M146" t="s">
        <v>83</v>
      </c>
      <c r="N146" t="s">
        <v>5016</v>
      </c>
      <c r="O146" t="s">
        <v>6717</v>
      </c>
      <c r="P146" t="b">
        <v>0</v>
      </c>
      <c r="R146" t="s">
        <v>52</v>
      </c>
      <c r="S146" t="s">
        <v>6223</v>
      </c>
      <c r="T146" t="s">
        <v>6228</v>
      </c>
      <c r="U146" t="s">
        <v>6228</v>
      </c>
      <c r="W146" t="s">
        <v>5763</v>
      </c>
      <c r="X146" t="s">
        <v>6189</v>
      </c>
      <c r="Y146" t="s">
        <v>6718</v>
      </c>
      <c r="Z146" s="2">
        <v>180</v>
      </c>
      <c r="AA146" t="s">
        <v>6714</v>
      </c>
      <c r="AB146" t="s">
        <v>52</v>
      </c>
      <c r="AC146" t="b">
        <v>0</v>
      </c>
      <c r="AD146" t="s">
        <v>6166</v>
      </c>
      <c r="AE146" t="s">
        <v>237</v>
      </c>
      <c r="AF146" t="s">
        <v>6200</v>
      </c>
      <c r="AG146" t="s">
        <v>6224</v>
      </c>
      <c r="AI146" t="s">
        <v>6719</v>
      </c>
      <c r="AK146" t="s">
        <v>6154</v>
      </c>
      <c r="AL146">
        <v>0.5</v>
      </c>
      <c r="AM146" s="1">
        <v>46278</v>
      </c>
      <c r="AN146" s="6" t="str">
        <f>Students[[#This Row],[Name]]&amp;"|"&amp;LOWER(TRIM(Students[[#This Row],[Guardian_Email__c]]))</f>
        <v>Charlotte Chen|ruby.chen@hotmail.com</v>
      </c>
      <c r="AO146">
        <f>COUNTIF(Students[Dup Key],Students[[#This Row],[Dup Key]])</f>
        <v>1</v>
      </c>
    </row>
    <row r="147" spans="1:41">
      <c r="A147">
        <v>11</v>
      </c>
      <c r="B147" s="1">
        <v>42169</v>
      </c>
      <c r="C147">
        <v>0</v>
      </c>
      <c r="D147" t="s">
        <v>52</v>
      </c>
      <c r="E147" t="s">
        <v>6141</v>
      </c>
      <c r="F147" s="1">
        <v>45007</v>
      </c>
      <c r="G147" t="s">
        <v>6233</v>
      </c>
      <c r="H147" t="s">
        <v>2431</v>
      </c>
      <c r="I147" t="s">
        <v>6720</v>
      </c>
      <c r="J147" t="s">
        <v>5213</v>
      </c>
      <c r="K147" t="s">
        <v>5601</v>
      </c>
      <c r="L147" t="s">
        <v>6721</v>
      </c>
      <c r="M147" t="s">
        <v>83</v>
      </c>
      <c r="N147" t="s">
        <v>5016</v>
      </c>
      <c r="O147" t="s">
        <v>2430</v>
      </c>
      <c r="P147" t="b">
        <v>0</v>
      </c>
      <c r="R147" t="s">
        <v>52</v>
      </c>
      <c r="S147" t="s">
        <v>6146</v>
      </c>
      <c r="T147" t="s">
        <v>6228</v>
      </c>
      <c r="U147" t="s">
        <v>6228</v>
      </c>
      <c r="W147" t="s">
        <v>5601</v>
      </c>
      <c r="X147" t="s">
        <v>6148</v>
      </c>
      <c r="Z147" s="2">
        <v>240</v>
      </c>
      <c r="AA147" t="s">
        <v>2431</v>
      </c>
      <c r="AB147" t="s">
        <v>52</v>
      </c>
      <c r="AC147" t="b">
        <v>0</v>
      </c>
      <c r="AD147" t="s">
        <v>6239</v>
      </c>
      <c r="AE147" t="s">
        <v>107</v>
      </c>
      <c r="AF147" t="s">
        <v>6157</v>
      </c>
      <c r="AG147" t="s">
        <v>5054</v>
      </c>
      <c r="AI147" t="s">
        <v>6722</v>
      </c>
      <c r="AK147" t="s">
        <v>6154</v>
      </c>
      <c r="AL147">
        <v>1</v>
      </c>
      <c r="AN147" s="6" t="str">
        <f>Students[[#This Row],[Name]]&amp;"|"&amp;LOWER(TRIM(Students[[#This Row],[Guardian_Email__c]]))</f>
        <v>Daniel Kim|kaikim@gmail.com</v>
      </c>
      <c r="AO147">
        <f>COUNTIF(Students[Dup Key],Students[[#This Row],[Dup Key]])</f>
        <v>1</v>
      </c>
    </row>
    <row r="148" spans="1:41">
      <c r="A148">
        <v>52</v>
      </c>
      <c r="B148" s="1">
        <v>27052</v>
      </c>
      <c r="C148">
        <v>1</v>
      </c>
      <c r="D148" t="s">
        <v>52</v>
      </c>
      <c r="E148" t="s">
        <v>6141</v>
      </c>
      <c r="F148" s="1">
        <v>45120</v>
      </c>
      <c r="G148" t="s">
        <v>5354</v>
      </c>
      <c r="H148" t="s">
        <v>2457</v>
      </c>
      <c r="M148" t="s">
        <v>63</v>
      </c>
      <c r="N148" t="s">
        <v>5018</v>
      </c>
      <c r="O148" t="s">
        <v>2456</v>
      </c>
      <c r="P148" t="b">
        <v>0</v>
      </c>
      <c r="R148" t="s">
        <v>52</v>
      </c>
      <c r="S148" t="s">
        <v>6146</v>
      </c>
      <c r="T148" t="s">
        <v>6500</v>
      </c>
      <c r="U148" t="s">
        <v>6500</v>
      </c>
      <c r="V148" s="1">
        <v>46256</v>
      </c>
      <c r="W148" t="s">
        <v>5100</v>
      </c>
      <c r="X148" t="s">
        <v>6148</v>
      </c>
      <c r="Z148" s="2">
        <v>160</v>
      </c>
      <c r="AA148" t="s">
        <v>2457</v>
      </c>
      <c r="AB148" t="s">
        <v>52</v>
      </c>
      <c r="AC148" t="b">
        <v>0</v>
      </c>
      <c r="AD148" t="s">
        <v>6193</v>
      </c>
      <c r="AE148" t="s">
        <v>203</v>
      </c>
      <c r="AF148" t="s">
        <v>6151</v>
      </c>
      <c r="AG148" t="s">
        <v>5054</v>
      </c>
      <c r="AH148" t="s">
        <v>6723</v>
      </c>
      <c r="AI148" t="s">
        <v>6724</v>
      </c>
      <c r="AJ148" t="s">
        <v>6725</v>
      </c>
      <c r="AK148" t="s">
        <v>6154</v>
      </c>
      <c r="AL148">
        <v>1</v>
      </c>
      <c r="AN148" s="6" t="str">
        <f>Students[[#This Row],[Name]]&amp;"|"&amp;LOWER(TRIM(Students[[#This Row],[Guardian_Email__c]]))</f>
        <v>Isaac Taylor|</v>
      </c>
      <c r="AO148">
        <f>COUNTIF(Students[Dup Key],Students[[#This Row],[Dup Key]])</f>
        <v>1</v>
      </c>
    </row>
    <row r="149" spans="1:41">
      <c r="A149">
        <v>13</v>
      </c>
      <c r="B149" s="1">
        <v>41452</v>
      </c>
      <c r="C149">
        <v>1</v>
      </c>
      <c r="D149" t="s">
        <v>52</v>
      </c>
      <c r="E149" t="s">
        <v>6141</v>
      </c>
      <c r="F149" s="1">
        <v>45007</v>
      </c>
      <c r="G149" t="s">
        <v>5842</v>
      </c>
      <c r="H149" t="s">
        <v>2483</v>
      </c>
      <c r="I149" t="s">
        <v>6726</v>
      </c>
      <c r="J149" t="s">
        <v>5213</v>
      </c>
      <c r="K149" t="s">
        <v>5072</v>
      </c>
      <c r="L149" t="s">
        <v>6727</v>
      </c>
      <c r="M149" t="s">
        <v>150</v>
      </c>
      <c r="N149" t="s">
        <v>5014</v>
      </c>
      <c r="O149" t="s">
        <v>2482</v>
      </c>
      <c r="P149" t="b">
        <v>0</v>
      </c>
      <c r="R149" t="s">
        <v>52</v>
      </c>
      <c r="S149" t="s">
        <v>6146</v>
      </c>
      <c r="T149" t="s">
        <v>6728</v>
      </c>
      <c r="U149" t="s">
        <v>6728</v>
      </c>
      <c r="V149" s="1">
        <v>46164</v>
      </c>
      <c r="W149" t="s">
        <v>5072</v>
      </c>
      <c r="X149" t="s">
        <v>6148</v>
      </c>
      <c r="Y149" t="s">
        <v>6729</v>
      </c>
      <c r="Z149" s="2">
        <v>240</v>
      </c>
      <c r="AA149" t="s">
        <v>2483</v>
      </c>
      <c r="AB149" t="s">
        <v>52</v>
      </c>
      <c r="AC149" t="b">
        <v>0</v>
      </c>
      <c r="AD149" t="s">
        <v>6174</v>
      </c>
      <c r="AE149" t="s">
        <v>392</v>
      </c>
      <c r="AF149" t="s">
        <v>6157</v>
      </c>
      <c r="AG149" t="s">
        <v>5054</v>
      </c>
      <c r="AI149" t="s">
        <v>6730</v>
      </c>
      <c r="AK149" t="s">
        <v>6154</v>
      </c>
      <c r="AL149">
        <v>1</v>
      </c>
      <c r="AN149" s="6" t="str">
        <f>Students[[#This Row],[Name]]&amp;"|"&amp;LOWER(TRIM(Students[[#This Row],[Guardian_Email__c]]))</f>
        <v>Mei Sullivan|malachisullivan43@outlook.com</v>
      </c>
      <c r="AO149">
        <f>COUNTIF(Students[Dup Key],Students[[#This Row],[Dup Key]])</f>
        <v>1</v>
      </c>
    </row>
    <row r="150" spans="1:41">
      <c r="A150">
        <v>9</v>
      </c>
      <c r="B150" s="1">
        <v>43000</v>
      </c>
      <c r="C150">
        <v>0</v>
      </c>
      <c r="D150" t="s">
        <v>52</v>
      </c>
      <c r="E150" t="s">
        <v>6141</v>
      </c>
      <c r="F150" s="1">
        <v>44919</v>
      </c>
      <c r="G150" t="s">
        <v>6197</v>
      </c>
      <c r="H150" t="s">
        <v>6731</v>
      </c>
      <c r="I150" t="s">
        <v>6732</v>
      </c>
      <c r="J150" t="s">
        <v>5698</v>
      </c>
      <c r="K150" t="s">
        <v>5222</v>
      </c>
      <c r="L150" t="s">
        <v>6733</v>
      </c>
      <c r="M150" t="s">
        <v>83</v>
      </c>
      <c r="N150" t="s">
        <v>5016</v>
      </c>
      <c r="O150" t="s">
        <v>6734</v>
      </c>
      <c r="P150" t="b">
        <v>0</v>
      </c>
      <c r="R150" t="s">
        <v>52</v>
      </c>
      <c r="S150" t="s">
        <v>6223</v>
      </c>
      <c r="T150" t="s">
        <v>6228</v>
      </c>
      <c r="U150" t="s">
        <v>6228</v>
      </c>
      <c r="W150" t="s">
        <v>5222</v>
      </c>
      <c r="X150" t="s">
        <v>6189</v>
      </c>
      <c r="Z150" s="2">
        <v>220</v>
      </c>
      <c r="AA150" t="s">
        <v>6731</v>
      </c>
      <c r="AB150" t="s">
        <v>52</v>
      </c>
      <c r="AC150" t="b">
        <v>0</v>
      </c>
      <c r="AD150" t="s">
        <v>6174</v>
      </c>
      <c r="AE150" t="s">
        <v>147</v>
      </c>
      <c r="AF150" t="s">
        <v>6200</v>
      </c>
      <c r="AG150" t="s">
        <v>6224</v>
      </c>
      <c r="AI150" t="s">
        <v>6735</v>
      </c>
      <c r="AK150" t="s">
        <v>6154</v>
      </c>
      <c r="AL150">
        <v>0.5</v>
      </c>
      <c r="AM150" s="1">
        <v>46268</v>
      </c>
      <c r="AN150" s="6" t="str">
        <f>Students[[#This Row],[Name]]&amp;"|"&amp;LOWER(TRIM(Students[[#This Row],[Guardian_Email__c]]))</f>
        <v>Audrey Byrne|leo.byrne@outlook.com</v>
      </c>
      <c r="AO150">
        <f>COUNTIF(Students[Dup Key],Students[[#This Row],[Dup Key]])</f>
        <v>1</v>
      </c>
    </row>
    <row r="151" spans="1:41">
      <c r="A151">
        <v>11</v>
      </c>
      <c r="B151" s="1">
        <v>42247</v>
      </c>
      <c r="C151">
        <v>0</v>
      </c>
      <c r="D151" t="s">
        <v>52</v>
      </c>
      <c r="E151" t="s">
        <v>6141</v>
      </c>
      <c r="F151" s="1">
        <v>45880</v>
      </c>
      <c r="G151" t="s">
        <v>6061</v>
      </c>
      <c r="H151" t="s">
        <v>2503</v>
      </c>
      <c r="I151" t="s">
        <v>6736</v>
      </c>
      <c r="J151" t="s">
        <v>5682</v>
      </c>
      <c r="K151" t="s">
        <v>6601</v>
      </c>
      <c r="L151" t="s">
        <v>6737</v>
      </c>
      <c r="M151" t="s">
        <v>63</v>
      </c>
      <c r="N151" t="s">
        <v>5018</v>
      </c>
      <c r="O151" t="s">
        <v>2502</v>
      </c>
      <c r="P151" t="b">
        <v>0</v>
      </c>
      <c r="R151" t="s">
        <v>52</v>
      </c>
      <c r="S151" t="s">
        <v>6146</v>
      </c>
      <c r="T151" t="s">
        <v>6500</v>
      </c>
      <c r="U151" t="s">
        <v>6500</v>
      </c>
      <c r="W151" t="s">
        <v>6601</v>
      </c>
      <c r="X151" t="s">
        <v>6189</v>
      </c>
      <c r="Z151" s="2">
        <v>220</v>
      </c>
      <c r="AA151" t="s">
        <v>2503</v>
      </c>
      <c r="AB151" t="s">
        <v>52</v>
      </c>
      <c r="AC151" t="b">
        <v>0</v>
      </c>
      <c r="AD151" t="s">
        <v>6174</v>
      </c>
      <c r="AE151" t="s">
        <v>147</v>
      </c>
      <c r="AF151" t="s">
        <v>6151</v>
      </c>
      <c r="AG151" t="s">
        <v>5054</v>
      </c>
      <c r="AI151" t="s">
        <v>6738</v>
      </c>
      <c r="AK151" t="s">
        <v>6154</v>
      </c>
      <c r="AL151">
        <v>0.5</v>
      </c>
      <c r="AN151" s="6" t="str">
        <f>Students[[#This Row],[Name]]&amp;"|"&amp;LOWER(TRIM(Students[[#This Row],[Guardian_Email__c]]))</f>
        <v>Victoria Martinez|milesmartinez@hotmail.com</v>
      </c>
      <c r="AO151">
        <f>COUNTIF(Students[Dup Key],Students[[#This Row],[Dup Key]])</f>
        <v>1</v>
      </c>
    </row>
    <row r="152" spans="1:41">
      <c r="A152">
        <v>9</v>
      </c>
      <c r="B152" s="1">
        <v>42688</v>
      </c>
      <c r="C152">
        <v>0</v>
      </c>
      <c r="D152" t="s">
        <v>52</v>
      </c>
      <c r="E152" t="s">
        <v>6141</v>
      </c>
      <c r="F152" s="1">
        <v>45315</v>
      </c>
      <c r="G152" t="s">
        <v>5219</v>
      </c>
      <c r="H152" t="s">
        <v>6739</v>
      </c>
      <c r="I152" t="s">
        <v>6740</v>
      </c>
      <c r="J152" t="s">
        <v>6458</v>
      </c>
      <c r="K152" t="s">
        <v>6144</v>
      </c>
      <c r="L152" t="s">
        <v>6741</v>
      </c>
      <c r="M152" t="s">
        <v>63</v>
      </c>
      <c r="N152" t="s">
        <v>5018</v>
      </c>
      <c r="O152" t="s">
        <v>6742</v>
      </c>
      <c r="P152" t="b">
        <v>0</v>
      </c>
      <c r="R152" t="s">
        <v>52</v>
      </c>
      <c r="S152" t="s">
        <v>6223</v>
      </c>
      <c r="T152" t="s">
        <v>6228</v>
      </c>
      <c r="U152" t="s">
        <v>6228</v>
      </c>
      <c r="W152" t="s">
        <v>6144</v>
      </c>
      <c r="X152" t="s">
        <v>6148</v>
      </c>
      <c r="Z152" s="2">
        <v>200</v>
      </c>
      <c r="AA152" t="s">
        <v>6739</v>
      </c>
      <c r="AB152" t="s">
        <v>52</v>
      </c>
      <c r="AC152" t="b">
        <v>0</v>
      </c>
      <c r="AD152" t="s">
        <v>6169</v>
      </c>
      <c r="AE152" t="s">
        <v>461</v>
      </c>
      <c r="AF152" t="s">
        <v>6151</v>
      </c>
      <c r="AG152" t="s">
        <v>6224</v>
      </c>
      <c r="AI152" t="s">
        <v>6743</v>
      </c>
      <c r="AK152" t="s">
        <v>6154</v>
      </c>
      <c r="AL152">
        <v>1</v>
      </c>
      <c r="AM152" s="1">
        <v>46078</v>
      </c>
      <c r="AN152" s="6" t="str">
        <f>Students[[#This Row],[Name]]&amp;"|"&amp;LOWER(TRIM(Students[[#This Row],[Guardian_Email__c]]))</f>
        <v>Adrian White|ryanwhite@outlook.com</v>
      </c>
      <c r="AO152">
        <f>COUNTIF(Students[Dup Key],Students[[#This Row],[Dup Key]])</f>
        <v>1</v>
      </c>
    </row>
    <row r="153" spans="1:41">
      <c r="A153">
        <v>12</v>
      </c>
      <c r="B153" s="1">
        <v>41883</v>
      </c>
      <c r="C153">
        <v>0</v>
      </c>
      <c r="D153" t="s">
        <v>52</v>
      </c>
      <c r="E153" t="s">
        <v>6141</v>
      </c>
      <c r="F153" s="1">
        <v>44775</v>
      </c>
      <c r="G153" t="s">
        <v>5292</v>
      </c>
      <c r="H153" t="s">
        <v>2511</v>
      </c>
      <c r="I153" t="s">
        <v>6744</v>
      </c>
      <c r="J153" t="s">
        <v>5125</v>
      </c>
      <c r="K153" t="s">
        <v>5448</v>
      </c>
      <c r="L153" t="s">
        <v>6745</v>
      </c>
      <c r="M153" t="s">
        <v>83</v>
      </c>
      <c r="N153" t="s">
        <v>5016</v>
      </c>
      <c r="O153" t="s">
        <v>2510</v>
      </c>
      <c r="P153" t="b">
        <v>0</v>
      </c>
      <c r="R153" t="s">
        <v>52</v>
      </c>
      <c r="S153" t="s">
        <v>6146</v>
      </c>
      <c r="T153" t="s">
        <v>6500</v>
      </c>
      <c r="U153" t="s">
        <v>6500</v>
      </c>
      <c r="W153" t="s">
        <v>5448</v>
      </c>
      <c r="X153" t="s">
        <v>6189</v>
      </c>
      <c r="Z153" s="2">
        <v>220</v>
      </c>
      <c r="AA153" t="s">
        <v>2511</v>
      </c>
      <c r="AB153" t="s">
        <v>52</v>
      </c>
      <c r="AC153" t="b">
        <v>0</v>
      </c>
      <c r="AD153" t="s">
        <v>6174</v>
      </c>
      <c r="AE153" t="s">
        <v>203</v>
      </c>
      <c r="AF153" t="s">
        <v>6157</v>
      </c>
      <c r="AG153" t="s">
        <v>5054</v>
      </c>
      <c r="AI153" t="s">
        <v>6746</v>
      </c>
      <c r="AK153" t="s">
        <v>6154</v>
      </c>
      <c r="AL153">
        <v>0.5</v>
      </c>
      <c r="AN153" s="6" t="str">
        <f>Students[[#This Row],[Name]]&amp;"|"&amp;LOWER(TRIM(Students[[#This Row],[Guardian_Email__c]]))</f>
        <v>Yusuf King|jking@hotmail.com</v>
      </c>
      <c r="AO153">
        <f>COUNTIF(Students[Dup Key],Students[[#This Row],[Dup Key]])</f>
        <v>1</v>
      </c>
    </row>
    <row r="154" spans="1:41">
      <c r="A154">
        <v>17</v>
      </c>
      <c r="B154" s="1">
        <v>39982</v>
      </c>
      <c r="C154">
        <v>3</v>
      </c>
      <c r="D154" t="s">
        <v>52</v>
      </c>
      <c r="E154" t="s">
        <v>6141</v>
      </c>
      <c r="F154" s="1">
        <v>45805</v>
      </c>
      <c r="G154" t="s">
        <v>5070</v>
      </c>
      <c r="H154" t="s">
        <v>2522</v>
      </c>
      <c r="I154" t="s">
        <v>6747</v>
      </c>
      <c r="J154" t="s">
        <v>5199</v>
      </c>
      <c r="K154" t="s">
        <v>5263</v>
      </c>
      <c r="L154" t="s">
        <v>6748</v>
      </c>
      <c r="M154" t="s">
        <v>83</v>
      </c>
      <c r="N154" t="s">
        <v>5016</v>
      </c>
      <c r="O154" t="s">
        <v>2521</v>
      </c>
      <c r="P154" t="b">
        <v>0</v>
      </c>
      <c r="R154" t="s">
        <v>52</v>
      </c>
      <c r="S154" t="s">
        <v>6146</v>
      </c>
      <c r="T154" t="s">
        <v>6500</v>
      </c>
      <c r="U154" t="s">
        <v>6500</v>
      </c>
      <c r="V154" s="1">
        <v>46223</v>
      </c>
      <c r="W154" t="s">
        <v>5263</v>
      </c>
      <c r="X154" t="s">
        <v>6148</v>
      </c>
      <c r="Y154" t="s">
        <v>6749</v>
      </c>
      <c r="Z154" s="2">
        <v>200</v>
      </c>
      <c r="AA154" t="s">
        <v>2522</v>
      </c>
      <c r="AB154" t="s">
        <v>52</v>
      </c>
      <c r="AC154" t="b">
        <v>0</v>
      </c>
      <c r="AD154" t="s">
        <v>6174</v>
      </c>
      <c r="AE154" t="s">
        <v>650</v>
      </c>
      <c r="AF154" t="s">
        <v>6157</v>
      </c>
      <c r="AG154" t="s">
        <v>5054</v>
      </c>
      <c r="AI154" t="s">
        <v>6750</v>
      </c>
      <c r="AK154" t="s">
        <v>6154</v>
      </c>
      <c r="AL154">
        <v>1</v>
      </c>
      <c r="AN154" s="6" t="str">
        <f>Students[[#This Row],[Name]]&amp;"|"&amp;LOWER(TRIM(Students[[#This Row],[Guardian_Email__c]]))</f>
        <v>Layla Ramirez|sofiaramirez@yahoo.com</v>
      </c>
      <c r="AO154">
        <f>COUNTIF(Students[Dup Key],Students[[#This Row],[Dup Key]])</f>
        <v>1</v>
      </c>
    </row>
    <row r="155" spans="1:41">
      <c r="A155">
        <v>13</v>
      </c>
      <c r="B155" s="1">
        <v>41305</v>
      </c>
      <c r="C155">
        <v>0</v>
      </c>
      <c r="D155" t="s">
        <v>52</v>
      </c>
      <c r="E155" t="s">
        <v>6141</v>
      </c>
      <c r="F155" s="1">
        <v>45468</v>
      </c>
      <c r="G155" t="s">
        <v>5431</v>
      </c>
      <c r="H155" t="s">
        <v>6751</v>
      </c>
      <c r="I155" t="s">
        <v>6752</v>
      </c>
      <c r="J155" t="s">
        <v>5420</v>
      </c>
      <c r="K155" t="s">
        <v>6626</v>
      </c>
      <c r="L155" t="s">
        <v>6753</v>
      </c>
      <c r="M155" t="s">
        <v>63</v>
      </c>
      <c r="N155" t="s">
        <v>5018</v>
      </c>
      <c r="O155" t="s">
        <v>6754</v>
      </c>
      <c r="P155" t="b">
        <v>0</v>
      </c>
      <c r="R155" t="s">
        <v>52</v>
      </c>
      <c r="S155" t="s">
        <v>6223</v>
      </c>
      <c r="T155" t="s">
        <v>6500</v>
      </c>
      <c r="U155" t="s">
        <v>6500</v>
      </c>
      <c r="W155" t="s">
        <v>6626</v>
      </c>
      <c r="X155" t="s">
        <v>6148</v>
      </c>
      <c r="Y155" t="s">
        <v>6755</v>
      </c>
      <c r="Z155" s="2">
        <v>200</v>
      </c>
      <c r="AA155" t="s">
        <v>6751</v>
      </c>
      <c r="AB155" t="s">
        <v>52</v>
      </c>
      <c r="AC155" t="b">
        <v>0</v>
      </c>
      <c r="AD155" t="s">
        <v>6150</v>
      </c>
      <c r="AE155" t="s">
        <v>107</v>
      </c>
      <c r="AF155" t="s">
        <v>6157</v>
      </c>
      <c r="AG155" t="s">
        <v>6224</v>
      </c>
      <c r="AI155" t="s">
        <v>6756</v>
      </c>
      <c r="AK155" t="s">
        <v>6154</v>
      </c>
      <c r="AL155">
        <v>1</v>
      </c>
      <c r="AM155" s="1">
        <v>46054</v>
      </c>
      <c r="AN155" s="6" t="str">
        <f>Students[[#This Row],[Name]]&amp;"|"&amp;LOWER(TRIM(Students[[#This Row],[Guardian_Email__c]]))</f>
        <v>Naomi Nguyen|savannahnguyen47@gmail.com</v>
      </c>
      <c r="AO155">
        <f>COUNTIF(Students[Dup Key],Students[[#This Row],[Dup Key]])</f>
        <v>1</v>
      </c>
    </row>
    <row r="156" spans="1:41">
      <c r="A156">
        <v>12</v>
      </c>
      <c r="B156" s="1">
        <v>41862</v>
      </c>
      <c r="C156">
        <v>1</v>
      </c>
      <c r="D156" t="s">
        <v>52</v>
      </c>
      <c r="E156" t="s">
        <v>6141</v>
      </c>
      <c r="F156" s="1">
        <v>46027</v>
      </c>
      <c r="G156" t="s">
        <v>5610</v>
      </c>
      <c r="H156" t="s">
        <v>2542</v>
      </c>
      <c r="I156" t="s">
        <v>6757</v>
      </c>
      <c r="J156" t="s">
        <v>5877</v>
      </c>
      <c r="K156" t="s">
        <v>5448</v>
      </c>
      <c r="L156" t="s">
        <v>6758</v>
      </c>
      <c r="M156" t="s">
        <v>83</v>
      </c>
      <c r="N156" t="s">
        <v>5016</v>
      </c>
      <c r="O156" t="s">
        <v>2541</v>
      </c>
      <c r="P156" t="b">
        <v>0</v>
      </c>
      <c r="R156" t="s">
        <v>52</v>
      </c>
      <c r="S156" t="s">
        <v>6146</v>
      </c>
      <c r="T156" t="s">
        <v>6228</v>
      </c>
      <c r="U156" t="s">
        <v>6228</v>
      </c>
      <c r="V156" s="1">
        <v>46277</v>
      </c>
      <c r="W156" t="s">
        <v>5448</v>
      </c>
      <c r="X156" t="s">
        <v>6189</v>
      </c>
      <c r="Z156" s="2">
        <v>240</v>
      </c>
      <c r="AA156" t="s">
        <v>2542</v>
      </c>
      <c r="AB156" t="s">
        <v>52</v>
      </c>
      <c r="AC156" t="b">
        <v>0</v>
      </c>
      <c r="AD156" t="s">
        <v>6166</v>
      </c>
      <c r="AE156" t="s">
        <v>461</v>
      </c>
      <c r="AF156" t="s">
        <v>6157</v>
      </c>
      <c r="AG156" t="s">
        <v>5054</v>
      </c>
      <c r="AI156" t="s">
        <v>6759</v>
      </c>
      <c r="AK156" t="s">
        <v>6154</v>
      </c>
      <c r="AL156">
        <v>0.5</v>
      </c>
      <c r="AN156" s="6" t="str">
        <f>Students[[#This Row],[Name]]&amp;"|"&amp;LOWER(TRIM(Students[[#This Row],[Guardian_Email__c]]))</f>
        <v>Declan King|malachiking7@outlook.com</v>
      </c>
      <c r="AO156">
        <f>COUNTIF(Students[Dup Key],Students[[#This Row],[Dup Key]])</f>
        <v>1</v>
      </c>
    </row>
    <row r="157" spans="1:41">
      <c r="A157">
        <v>24</v>
      </c>
      <c r="B157" s="1">
        <v>37325</v>
      </c>
      <c r="C157">
        <v>2</v>
      </c>
      <c r="D157" t="s">
        <v>52</v>
      </c>
      <c r="E157" t="s">
        <v>6141</v>
      </c>
      <c r="F157" s="1">
        <v>46098</v>
      </c>
      <c r="G157" t="s">
        <v>5979</v>
      </c>
      <c r="H157" t="s">
        <v>2568</v>
      </c>
      <c r="M157" t="s">
        <v>150</v>
      </c>
      <c r="N157" t="s">
        <v>5014</v>
      </c>
      <c r="O157" t="s">
        <v>2567</v>
      </c>
      <c r="P157" t="b">
        <v>0</v>
      </c>
      <c r="R157" t="s">
        <v>52</v>
      </c>
      <c r="S157" t="s">
        <v>6146</v>
      </c>
      <c r="T157" t="s">
        <v>6500</v>
      </c>
      <c r="U157" t="s">
        <v>6500</v>
      </c>
      <c r="V157" s="1">
        <v>46167</v>
      </c>
      <c r="W157" t="s">
        <v>5052</v>
      </c>
      <c r="X157" t="s">
        <v>6148</v>
      </c>
      <c r="Z157" s="2">
        <v>200</v>
      </c>
      <c r="AA157" t="s">
        <v>2568</v>
      </c>
      <c r="AB157" t="s">
        <v>52</v>
      </c>
      <c r="AC157" t="b">
        <v>0</v>
      </c>
      <c r="AD157" t="s">
        <v>6193</v>
      </c>
      <c r="AE157" t="s">
        <v>461</v>
      </c>
      <c r="AF157" t="s">
        <v>6157</v>
      </c>
      <c r="AG157" t="s">
        <v>5054</v>
      </c>
      <c r="AH157" t="s">
        <v>6760</v>
      </c>
      <c r="AI157" t="s">
        <v>6761</v>
      </c>
      <c r="AJ157" t="s">
        <v>6762</v>
      </c>
      <c r="AK157" t="s">
        <v>6154</v>
      </c>
      <c r="AL157">
        <v>1</v>
      </c>
      <c r="AN157" s="6" t="str">
        <f>Students[[#This Row],[Name]]&amp;"|"&amp;LOWER(TRIM(Students[[#This Row],[Guardian_Email__c]]))</f>
        <v>Josiah Rodriguez|</v>
      </c>
      <c r="AO157">
        <f>COUNTIF(Students[Dup Key],Students[[#This Row],[Dup Key]])</f>
        <v>1</v>
      </c>
    </row>
    <row r="158" spans="1:41">
      <c r="A158">
        <v>9</v>
      </c>
      <c r="B158" s="1">
        <v>42687</v>
      </c>
      <c r="C158">
        <v>1</v>
      </c>
      <c r="D158" t="s">
        <v>52</v>
      </c>
      <c r="E158" t="s">
        <v>6141</v>
      </c>
      <c r="F158" s="1">
        <v>44948</v>
      </c>
      <c r="G158" t="s">
        <v>6376</v>
      </c>
      <c r="H158" t="s">
        <v>2579</v>
      </c>
      <c r="I158" t="s">
        <v>6763</v>
      </c>
      <c r="J158" t="s">
        <v>5056</v>
      </c>
      <c r="K158" t="s">
        <v>5272</v>
      </c>
      <c r="L158" t="s">
        <v>6764</v>
      </c>
      <c r="M158" t="s">
        <v>63</v>
      </c>
      <c r="N158" t="s">
        <v>5018</v>
      </c>
      <c r="O158" t="s">
        <v>2578</v>
      </c>
      <c r="P158" t="b">
        <v>0</v>
      </c>
      <c r="R158" t="s">
        <v>52</v>
      </c>
      <c r="S158" t="s">
        <v>6146</v>
      </c>
      <c r="T158" t="s">
        <v>6500</v>
      </c>
      <c r="U158" t="s">
        <v>6500</v>
      </c>
      <c r="V158" s="1">
        <v>46237</v>
      </c>
      <c r="W158" t="s">
        <v>5272</v>
      </c>
      <c r="X158" t="s">
        <v>6189</v>
      </c>
      <c r="Z158" s="2">
        <v>180</v>
      </c>
      <c r="AA158" t="s">
        <v>2579</v>
      </c>
      <c r="AB158" t="s">
        <v>52</v>
      </c>
      <c r="AC158" t="b">
        <v>0</v>
      </c>
      <c r="AD158" t="s">
        <v>6193</v>
      </c>
      <c r="AE158" t="s">
        <v>527</v>
      </c>
      <c r="AF158" t="s">
        <v>6157</v>
      </c>
      <c r="AG158" t="s">
        <v>5054</v>
      </c>
      <c r="AI158" t="s">
        <v>6765</v>
      </c>
      <c r="AK158" t="s">
        <v>6154</v>
      </c>
      <c r="AL158">
        <v>0.5</v>
      </c>
      <c r="AN158" s="6" t="str">
        <f>Students[[#This Row],[Name]]&amp;"|"&amp;LOWER(TRIM(Students[[#This Row],[Guardian_Email__c]]))</f>
        <v>Marcus Nelson|jordan.nelson@gmail.com</v>
      </c>
      <c r="AO158">
        <f>COUNTIF(Students[Dup Key],Students[[#This Row],[Dup Key]])</f>
        <v>1</v>
      </c>
    </row>
    <row r="159" spans="1:41">
      <c r="A159">
        <v>9</v>
      </c>
      <c r="B159" s="1">
        <v>42780</v>
      </c>
      <c r="C159">
        <v>2</v>
      </c>
      <c r="D159" t="s">
        <v>52</v>
      </c>
      <c r="E159" t="s">
        <v>6141</v>
      </c>
      <c r="F159" s="1">
        <v>46031</v>
      </c>
      <c r="G159" t="s">
        <v>5354</v>
      </c>
      <c r="H159" t="s">
        <v>2593</v>
      </c>
      <c r="I159" t="s">
        <v>6766</v>
      </c>
      <c r="J159" t="s">
        <v>5921</v>
      </c>
      <c r="K159" t="s">
        <v>5797</v>
      </c>
      <c r="L159" t="s">
        <v>6767</v>
      </c>
      <c r="M159" t="s">
        <v>83</v>
      </c>
      <c r="N159" t="s">
        <v>5016</v>
      </c>
      <c r="O159" t="s">
        <v>2592</v>
      </c>
      <c r="P159" t="b">
        <v>0</v>
      </c>
      <c r="R159" t="s">
        <v>52</v>
      </c>
      <c r="S159" t="s">
        <v>6146</v>
      </c>
      <c r="T159" t="s">
        <v>6500</v>
      </c>
      <c r="U159" t="s">
        <v>6500</v>
      </c>
      <c r="V159" s="1">
        <v>46138</v>
      </c>
      <c r="W159" t="s">
        <v>5797</v>
      </c>
      <c r="X159" t="s">
        <v>6148</v>
      </c>
      <c r="Z159" s="2">
        <v>180</v>
      </c>
      <c r="AA159" t="s">
        <v>2593</v>
      </c>
      <c r="AB159" t="s">
        <v>52</v>
      </c>
      <c r="AC159" t="b">
        <v>0</v>
      </c>
      <c r="AD159" t="s">
        <v>6193</v>
      </c>
      <c r="AE159" t="s">
        <v>461</v>
      </c>
      <c r="AF159" t="s">
        <v>6200</v>
      </c>
      <c r="AG159" t="s">
        <v>5054</v>
      </c>
      <c r="AI159" t="s">
        <v>6768</v>
      </c>
      <c r="AK159" t="s">
        <v>6154</v>
      </c>
      <c r="AL159">
        <v>1</v>
      </c>
      <c r="AN159" s="6" t="str">
        <f>Students[[#This Row],[Name]]&amp;"|"&amp;LOWER(TRIM(Students[[#This Row],[Guardian_Email__c]]))</f>
        <v>Isaac Young|layla.young@outlook.com</v>
      </c>
      <c r="AO159">
        <f>COUNTIF(Students[Dup Key],Students[[#This Row],[Dup Key]])</f>
        <v>1</v>
      </c>
    </row>
    <row r="160" spans="1:41">
      <c r="A160">
        <v>7</v>
      </c>
      <c r="B160" s="1">
        <v>43582</v>
      </c>
      <c r="C160">
        <v>0</v>
      </c>
      <c r="D160" t="s">
        <v>52</v>
      </c>
      <c r="E160" t="s">
        <v>6141</v>
      </c>
      <c r="F160" s="1">
        <v>46240</v>
      </c>
      <c r="G160" t="s">
        <v>5566</v>
      </c>
      <c r="H160" t="s">
        <v>2610</v>
      </c>
      <c r="I160" t="s">
        <v>6769</v>
      </c>
      <c r="J160" t="s">
        <v>5921</v>
      </c>
      <c r="K160" t="s">
        <v>5569</v>
      </c>
      <c r="L160" t="s">
        <v>6770</v>
      </c>
      <c r="M160" t="s">
        <v>150</v>
      </c>
      <c r="N160" t="s">
        <v>5014</v>
      </c>
      <c r="O160" t="s">
        <v>2609</v>
      </c>
      <c r="P160" t="b">
        <v>0</v>
      </c>
      <c r="R160" t="s">
        <v>52</v>
      </c>
      <c r="S160" t="s">
        <v>6146</v>
      </c>
      <c r="T160" t="s">
        <v>6500</v>
      </c>
      <c r="U160" t="s">
        <v>6500</v>
      </c>
      <c r="W160" t="s">
        <v>5569</v>
      </c>
      <c r="X160" t="s">
        <v>6148</v>
      </c>
      <c r="Z160" s="2">
        <v>200</v>
      </c>
      <c r="AA160" t="s">
        <v>2610</v>
      </c>
      <c r="AB160" t="s">
        <v>52</v>
      </c>
      <c r="AC160" t="b">
        <v>0</v>
      </c>
      <c r="AD160" t="s">
        <v>6193</v>
      </c>
      <c r="AE160" t="s">
        <v>392</v>
      </c>
      <c r="AF160" t="s">
        <v>6200</v>
      </c>
      <c r="AG160" t="s">
        <v>5054</v>
      </c>
      <c r="AI160" t="s">
        <v>6771</v>
      </c>
      <c r="AK160" t="s">
        <v>6154</v>
      </c>
      <c r="AL160">
        <v>1</v>
      </c>
      <c r="AN160" s="6" t="str">
        <f>Students[[#This Row],[Name]]&amp;"|"&amp;LOWER(TRIM(Students[[#This Row],[Guardian_Email__c]]))</f>
        <v>Lucy Kowalski|logan.kowalski@yahoo.com</v>
      </c>
      <c r="AO160">
        <f>COUNTIF(Students[Dup Key],Students[[#This Row],[Dup Key]])</f>
        <v>1</v>
      </c>
    </row>
    <row r="161" spans="1:41">
      <c r="A161">
        <v>14</v>
      </c>
      <c r="B161" s="1">
        <v>40883</v>
      </c>
      <c r="C161">
        <v>1</v>
      </c>
      <c r="D161" t="s">
        <v>52</v>
      </c>
      <c r="E161" t="s">
        <v>6141</v>
      </c>
      <c r="F161" s="1">
        <v>45659</v>
      </c>
      <c r="G161" t="s">
        <v>5380</v>
      </c>
      <c r="H161" t="s">
        <v>2621</v>
      </c>
      <c r="I161" t="s">
        <v>6772</v>
      </c>
      <c r="J161" t="s">
        <v>5572</v>
      </c>
      <c r="K161" t="s">
        <v>5201</v>
      </c>
      <c r="L161" t="s">
        <v>6773</v>
      </c>
      <c r="M161" t="s">
        <v>150</v>
      </c>
      <c r="N161" t="s">
        <v>5014</v>
      </c>
      <c r="O161" t="s">
        <v>2620</v>
      </c>
      <c r="P161" t="b">
        <v>0</v>
      </c>
      <c r="R161" t="s">
        <v>52</v>
      </c>
      <c r="S161" t="s">
        <v>6146</v>
      </c>
      <c r="T161" t="s">
        <v>6500</v>
      </c>
      <c r="U161" t="s">
        <v>6500</v>
      </c>
      <c r="V161" s="1">
        <v>46203</v>
      </c>
      <c r="W161" t="s">
        <v>5201</v>
      </c>
      <c r="X161" t="s">
        <v>6148</v>
      </c>
      <c r="Y161" t="s">
        <v>6774</v>
      </c>
      <c r="Z161" s="2">
        <v>240</v>
      </c>
      <c r="AA161" t="s">
        <v>2621</v>
      </c>
      <c r="AB161" t="s">
        <v>52</v>
      </c>
      <c r="AC161" t="b">
        <v>0</v>
      </c>
      <c r="AD161" t="s">
        <v>6166</v>
      </c>
      <c r="AE161" t="s">
        <v>461</v>
      </c>
      <c r="AF161" t="s">
        <v>6157</v>
      </c>
      <c r="AG161" t="s">
        <v>5054</v>
      </c>
      <c r="AI161" t="s">
        <v>6775</v>
      </c>
      <c r="AK161" t="s">
        <v>6154</v>
      </c>
      <c r="AL161">
        <v>1</v>
      </c>
      <c r="AN161" s="6" t="str">
        <f>Students[[#This Row],[Name]]&amp;"|"&amp;LOWER(TRIM(Students[[#This Row],[Guardian_Email__c]]))</f>
        <v>Paisley Davis|ethandavis40@icloud.com</v>
      </c>
      <c r="AO161">
        <f>COUNTIF(Students[Dup Key],Students[[#This Row],[Dup Key]])</f>
        <v>1</v>
      </c>
    </row>
    <row r="162" spans="1:41">
      <c r="A162">
        <v>11</v>
      </c>
      <c r="B162" s="1">
        <v>42131</v>
      </c>
      <c r="C162">
        <v>1</v>
      </c>
      <c r="D162" t="s">
        <v>52</v>
      </c>
      <c r="E162" t="s">
        <v>6141</v>
      </c>
      <c r="F162" s="1">
        <v>46072</v>
      </c>
      <c r="G162" t="s">
        <v>5080</v>
      </c>
      <c r="H162" t="s">
        <v>2629</v>
      </c>
      <c r="I162" t="s">
        <v>6776</v>
      </c>
      <c r="J162" t="s">
        <v>5146</v>
      </c>
      <c r="K162" t="s">
        <v>5106</v>
      </c>
      <c r="L162" t="s">
        <v>6777</v>
      </c>
      <c r="M162" t="s">
        <v>63</v>
      </c>
      <c r="N162" t="s">
        <v>5018</v>
      </c>
      <c r="O162" t="s">
        <v>2628</v>
      </c>
      <c r="P162" t="b">
        <v>0</v>
      </c>
      <c r="R162" t="s">
        <v>52</v>
      </c>
      <c r="S162" t="s">
        <v>6146</v>
      </c>
      <c r="T162" t="s">
        <v>6228</v>
      </c>
      <c r="U162" t="s">
        <v>6228</v>
      </c>
      <c r="V162" s="1">
        <v>46250</v>
      </c>
      <c r="W162" t="s">
        <v>5106</v>
      </c>
      <c r="X162" t="s">
        <v>6148</v>
      </c>
      <c r="Z162" s="2">
        <v>240</v>
      </c>
      <c r="AA162" t="s">
        <v>2629</v>
      </c>
      <c r="AB162" t="s">
        <v>52</v>
      </c>
      <c r="AC162" t="b">
        <v>0</v>
      </c>
      <c r="AD162" t="s">
        <v>6169</v>
      </c>
      <c r="AE162" t="s">
        <v>147</v>
      </c>
      <c r="AF162" t="s">
        <v>6157</v>
      </c>
      <c r="AG162" t="s">
        <v>5054</v>
      </c>
      <c r="AI162" t="s">
        <v>6778</v>
      </c>
      <c r="AK162" t="s">
        <v>6154</v>
      </c>
      <c r="AL162">
        <v>1</v>
      </c>
      <c r="AN162" s="6" t="str">
        <f>Students[[#This Row],[Name]]&amp;"|"&amp;LOWER(TRIM(Students[[#This Row],[Guardian_Email__c]]))</f>
        <v>Fatima Nakamura|anakamura@yahoo.com</v>
      </c>
      <c r="AO162">
        <f>COUNTIF(Students[Dup Key],Students[[#This Row],[Dup Key]])</f>
        <v>1</v>
      </c>
    </row>
    <row r="163" spans="1:41">
      <c r="A163">
        <v>16</v>
      </c>
      <c r="B163" s="1">
        <v>40439</v>
      </c>
      <c r="C163">
        <v>1</v>
      </c>
      <c r="D163" t="s">
        <v>52</v>
      </c>
      <c r="E163" t="s">
        <v>6141</v>
      </c>
      <c r="F163" s="1">
        <v>45236</v>
      </c>
      <c r="G163" t="s">
        <v>6779</v>
      </c>
      <c r="H163" t="s">
        <v>2643</v>
      </c>
      <c r="I163" t="s">
        <v>6780</v>
      </c>
      <c r="J163" t="s">
        <v>5836</v>
      </c>
      <c r="K163" t="s">
        <v>5792</v>
      </c>
      <c r="L163" t="s">
        <v>6781</v>
      </c>
      <c r="M163" t="s">
        <v>83</v>
      </c>
      <c r="N163" t="s">
        <v>5016</v>
      </c>
      <c r="O163" t="s">
        <v>2642</v>
      </c>
      <c r="P163" t="b">
        <v>0</v>
      </c>
      <c r="R163" t="s">
        <v>52</v>
      </c>
      <c r="S163" t="s">
        <v>6146</v>
      </c>
      <c r="T163" t="s">
        <v>6228</v>
      </c>
      <c r="U163" t="s">
        <v>6228</v>
      </c>
      <c r="V163" s="1">
        <v>46192</v>
      </c>
      <c r="W163" t="s">
        <v>5792</v>
      </c>
      <c r="X163" t="s">
        <v>6148</v>
      </c>
      <c r="Y163" t="s">
        <v>6782</v>
      </c>
      <c r="Z163" s="2">
        <v>160</v>
      </c>
      <c r="AA163" t="s">
        <v>2643</v>
      </c>
      <c r="AB163" t="s">
        <v>52</v>
      </c>
      <c r="AC163" t="b">
        <v>0</v>
      </c>
      <c r="AD163" t="s">
        <v>6193</v>
      </c>
      <c r="AE163" t="s">
        <v>284</v>
      </c>
      <c r="AF163" t="s">
        <v>6200</v>
      </c>
      <c r="AG163" t="s">
        <v>5054</v>
      </c>
      <c r="AI163" t="s">
        <v>6783</v>
      </c>
      <c r="AK163" t="s">
        <v>6154</v>
      </c>
      <c r="AL163">
        <v>1</v>
      </c>
      <c r="AN163" s="6" t="str">
        <f>Students[[#This Row],[Name]]&amp;"|"&amp;LOWER(TRIM(Students[[#This Row],[Guardian_Email__c]]))</f>
        <v>Camila Roberts|sroberts@outlook.com</v>
      </c>
      <c r="AO163">
        <f>COUNTIF(Students[Dup Key],Students[[#This Row],[Dup Key]])</f>
        <v>1</v>
      </c>
    </row>
    <row r="164" spans="1:41">
      <c r="A164">
        <v>12</v>
      </c>
      <c r="B164" s="1">
        <v>41668</v>
      </c>
      <c r="C164">
        <v>2</v>
      </c>
      <c r="D164" t="s">
        <v>52</v>
      </c>
      <c r="E164" t="s">
        <v>6141</v>
      </c>
      <c r="F164" s="1">
        <v>45511</v>
      </c>
      <c r="G164" t="s">
        <v>5225</v>
      </c>
      <c r="H164" t="s">
        <v>2669</v>
      </c>
      <c r="I164" t="s">
        <v>6784</v>
      </c>
      <c r="J164" t="s">
        <v>6654</v>
      </c>
      <c r="K164" t="s">
        <v>5542</v>
      </c>
      <c r="L164" t="s">
        <v>6785</v>
      </c>
      <c r="M164" t="s">
        <v>83</v>
      </c>
      <c r="N164" t="s">
        <v>5016</v>
      </c>
      <c r="O164" t="s">
        <v>2668</v>
      </c>
      <c r="P164" t="b">
        <v>0</v>
      </c>
      <c r="R164" t="s">
        <v>52</v>
      </c>
      <c r="S164" t="s">
        <v>6146</v>
      </c>
      <c r="T164" t="s">
        <v>6500</v>
      </c>
      <c r="U164" t="s">
        <v>6500</v>
      </c>
      <c r="V164" s="1">
        <v>46279</v>
      </c>
      <c r="W164" t="s">
        <v>5542</v>
      </c>
      <c r="X164" t="s">
        <v>6189</v>
      </c>
      <c r="Z164" s="2">
        <v>220</v>
      </c>
      <c r="AA164" t="s">
        <v>2669</v>
      </c>
      <c r="AB164" t="s">
        <v>52</v>
      </c>
      <c r="AC164" t="b">
        <v>0</v>
      </c>
      <c r="AD164" t="s">
        <v>6169</v>
      </c>
      <c r="AE164" t="s">
        <v>284</v>
      </c>
      <c r="AF164" t="s">
        <v>6157</v>
      </c>
      <c r="AG164" t="s">
        <v>5054</v>
      </c>
      <c r="AI164" t="s">
        <v>6786</v>
      </c>
      <c r="AK164" t="s">
        <v>6154</v>
      </c>
      <c r="AL164">
        <v>0.5</v>
      </c>
      <c r="AN164" s="6" t="str">
        <f>Students[[#This Row],[Name]]&amp;"|"&amp;LOWER(TRIM(Students[[#This Row],[Guardian_Email__c]]))</f>
        <v>Kai Ahmed|novaahmed@icloud.com</v>
      </c>
      <c r="AO164">
        <f>COUNTIF(Students[Dup Key],Students[[#This Row],[Dup Key]])</f>
        <v>1</v>
      </c>
    </row>
    <row r="165" spans="1:41">
      <c r="A165">
        <v>45</v>
      </c>
      <c r="B165" s="1">
        <v>29737</v>
      </c>
      <c r="C165">
        <v>2</v>
      </c>
      <c r="D165" t="s">
        <v>52</v>
      </c>
      <c r="E165" t="s">
        <v>6141</v>
      </c>
      <c r="F165" s="1">
        <v>44991</v>
      </c>
      <c r="G165" t="s">
        <v>5452</v>
      </c>
      <c r="H165" t="s">
        <v>2689</v>
      </c>
      <c r="M165" t="s">
        <v>63</v>
      </c>
      <c r="N165" t="s">
        <v>5018</v>
      </c>
      <c r="O165" t="s">
        <v>2688</v>
      </c>
      <c r="P165" t="b">
        <v>0</v>
      </c>
      <c r="R165" t="s">
        <v>52</v>
      </c>
      <c r="S165" t="s">
        <v>6146</v>
      </c>
      <c r="T165" t="s">
        <v>6500</v>
      </c>
      <c r="U165" t="s">
        <v>6500</v>
      </c>
      <c r="V165" s="1">
        <v>46222</v>
      </c>
      <c r="W165" t="s">
        <v>5797</v>
      </c>
      <c r="X165" t="s">
        <v>6189</v>
      </c>
      <c r="Z165" s="2">
        <v>160</v>
      </c>
      <c r="AA165" t="s">
        <v>2689</v>
      </c>
      <c r="AB165" t="s">
        <v>52</v>
      </c>
      <c r="AC165" t="b">
        <v>0</v>
      </c>
      <c r="AD165" t="s">
        <v>6193</v>
      </c>
      <c r="AE165" t="s">
        <v>147</v>
      </c>
      <c r="AF165" t="s">
        <v>6151</v>
      </c>
      <c r="AG165" t="s">
        <v>5054</v>
      </c>
      <c r="AH165" t="s">
        <v>6787</v>
      </c>
      <c r="AI165" t="s">
        <v>6788</v>
      </c>
      <c r="AJ165" t="s">
        <v>6789</v>
      </c>
      <c r="AK165" t="s">
        <v>6154</v>
      </c>
      <c r="AL165">
        <v>0.5</v>
      </c>
      <c r="AN165" s="6" t="str">
        <f>Students[[#This Row],[Name]]&amp;"|"&amp;LOWER(TRIM(Students[[#This Row],[Guardian_Email__c]]))</f>
        <v>Nathan Young|</v>
      </c>
      <c r="AO165">
        <f>COUNTIF(Students[Dup Key],Students[[#This Row],[Dup Key]])</f>
        <v>1</v>
      </c>
    </row>
    <row r="166" spans="1:41">
      <c r="A166">
        <v>10</v>
      </c>
      <c r="B166" s="1">
        <v>42355</v>
      </c>
      <c r="C166">
        <v>0</v>
      </c>
      <c r="D166" t="s">
        <v>52</v>
      </c>
      <c r="E166" t="s">
        <v>6141</v>
      </c>
      <c r="F166" s="1">
        <v>45620</v>
      </c>
      <c r="G166" t="s">
        <v>6779</v>
      </c>
      <c r="H166" t="s">
        <v>2718</v>
      </c>
      <c r="I166" t="s">
        <v>6790</v>
      </c>
      <c r="J166" t="s">
        <v>6311</v>
      </c>
      <c r="K166" t="s">
        <v>5243</v>
      </c>
      <c r="L166" t="s">
        <v>6791</v>
      </c>
      <c r="M166" t="s">
        <v>63</v>
      </c>
      <c r="N166" t="s">
        <v>5018</v>
      </c>
      <c r="O166" t="s">
        <v>2717</v>
      </c>
      <c r="P166" t="b">
        <v>0</v>
      </c>
      <c r="R166" t="s">
        <v>52</v>
      </c>
      <c r="S166" t="s">
        <v>6146</v>
      </c>
      <c r="T166" t="s">
        <v>6228</v>
      </c>
      <c r="U166" t="s">
        <v>6228</v>
      </c>
      <c r="W166" t="s">
        <v>5243</v>
      </c>
      <c r="X166" t="s">
        <v>6148</v>
      </c>
      <c r="Z166" s="2">
        <v>180</v>
      </c>
      <c r="AA166" t="s">
        <v>2718</v>
      </c>
      <c r="AB166" t="s">
        <v>52</v>
      </c>
      <c r="AC166" t="b">
        <v>0</v>
      </c>
      <c r="AD166" t="s">
        <v>6193</v>
      </c>
      <c r="AE166" t="s">
        <v>107</v>
      </c>
      <c r="AF166" t="s">
        <v>6200</v>
      </c>
      <c r="AG166" t="s">
        <v>5054</v>
      </c>
      <c r="AI166" t="s">
        <v>6792</v>
      </c>
      <c r="AK166" t="s">
        <v>6154</v>
      </c>
      <c r="AL166">
        <v>1</v>
      </c>
      <c r="AN166" s="6" t="str">
        <f>Students[[#This Row],[Name]]&amp;"|"&amp;LOWER(TRIM(Students[[#This Row],[Guardian_Email__c]]))</f>
        <v>Camila Jones|levi.jones@outlook.com</v>
      </c>
      <c r="AO166">
        <f>COUNTIF(Students[Dup Key],Students[[#This Row],[Dup Key]])</f>
        <v>1</v>
      </c>
    </row>
    <row r="167" spans="1:41">
      <c r="A167">
        <v>13</v>
      </c>
      <c r="B167" s="1">
        <v>41428</v>
      </c>
      <c r="C167">
        <v>1</v>
      </c>
      <c r="D167" t="s">
        <v>52</v>
      </c>
      <c r="E167" t="s">
        <v>6141</v>
      </c>
      <c r="F167" s="1">
        <v>45741</v>
      </c>
      <c r="G167" t="s">
        <v>5538</v>
      </c>
      <c r="H167" t="s">
        <v>2726</v>
      </c>
      <c r="I167" t="s">
        <v>6793</v>
      </c>
      <c r="J167" t="s">
        <v>5636</v>
      </c>
      <c r="K167" t="s">
        <v>5206</v>
      </c>
      <c r="L167" t="s">
        <v>6794</v>
      </c>
      <c r="M167" t="s">
        <v>63</v>
      </c>
      <c r="N167" t="s">
        <v>5018</v>
      </c>
      <c r="O167" t="s">
        <v>2725</v>
      </c>
      <c r="P167" t="b">
        <v>0</v>
      </c>
      <c r="R167" t="s">
        <v>52</v>
      </c>
      <c r="S167" t="s">
        <v>6146</v>
      </c>
      <c r="T167" t="s">
        <v>6500</v>
      </c>
      <c r="U167" t="s">
        <v>6500</v>
      </c>
      <c r="V167" s="1">
        <v>46137</v>
      </c>
      <c r="W167" t="s">
        <v>5206</v>
      </c>
      <c r="X167" t="s">
        <v>6189</v>
      </c>
      <c r="Y167" t="s">
        <v>6795</v>
      </c>
      <c r="Z167" s="2">
        <v>220</v>
      </c>
      <c r="AA167" t="s">
        <v>2726</v>
      </c>
      <c r="AB167" t="s">
        <v>52</v>
      </c>
      <c r="AC167" t="b">
        <v>0</v>
      </c>
      <c r="AD167" t="s">
        <v>6166</v>
      </c>
      <c r="AE167" t="s">
        <v>284</v>
      </c>
      <c r="AF167" t="s">
        <v>6200</v>
      </c>
      <c r="AG167" t="s">
        <v>5054</v>
      </c>
      <c r="AI167" t="s">
        <v>6796</v>
      </c>
      <c r="AK167" t="s">
        <v>6154</v>
      </c>
      <c r="AL167">
        <v>0.5</v>
      </c>
      <c r="AN167" s="6" t="str">
        <f>Students[[#This Row],[Name]]&amp;"|"&amp;LOWER(TRIM(Students[[#This Row],[Guardian_Email__c]]))</f>
        <v>Sebastian Wilson|lincolnwilson@icloud.com</v>
      </c>
      <c r="AO167">
        <f>COUNTIF(Students[Dup Key],Students[[#This Row],[Dup Key]])</f>
        <v>1</v>
      </c>
    </row>
    <row r="168" spans="1:41">
      <c r="A168">
        <v>24</v>
      </c>
      <c r="B168" s="1">
        <v>37205</v>
      </c>
      <c r="C168">
        <v>3</v>
      </c>
      <c r="D168" t="s">
        <v>52</v>
      </c>
      <c r="E168" t="s">
        <v>6141</v>
      </c>
      <c r="F168" s="1">
        <v>45734</v>
      </c>
      <c r="G168" t="s">
        <v>5158</v>
      </c>
      <c r="H168" t="s">
        <v>2746</v>
      </c>
      <c r="M168" t="s">
        <v>83</v>
      </c>
      <c r="N168" t="s">
        <v>5016</v>
      </c>
      <c r="O168" t="s">
        <v>2745</v>
      </c>
      <c r="P168" t="b">
        <v>0</v>
      </c>
      <c r="R168" t="s">
        <v>52</v>
      </c>
      <c r="S168" t="s">
        <v>6146</v>
      </c>
      <c r="T168" t="s">
        <v>6500</v>
      </c>
      <c r="U168" t="s">
        <v>6500</v>
      </c>
      <c r="V168" s="1">
        <v>46195</v>
      </c>
      <c r="W168" t="s">
        <v>5128</v>
      </c>
      <c r="X168" t="s">
        <v>6148</v>
      </c>
      <c r="Z168" s="2">
        <v>240</v>
      </c>
      <c r="AA168" t="s">
        <v>2746</v>
      </c>
      <c r="AB168" t="s">
        <v>52</v>
      </c>
      <c r="AC168" t="b">
        <v>0</v>
      </c>
      <c r="AD168" t="s">
        <v>6174</v>
      </c>
      <c r="AE168" t="s">
        <v>237</v>
      </c>
      <c r="AF168" t="s">
        <v>6157</v>
      </c>
      <c r="AG168" t="s">
        <v>5054</v>
      </c>
      <c r="AH168" t="s">
        <v>6797</v>
      </c>
      <c r="AI168" t="s">
        <v>6798</v>
      </c>
      <c r="AJ168" t="s">
        <v>6799</v>
      </c>
      <c r="AK168" t="s">
        <v>6154</v>
      </c>
      <c r="AL168">
        <v>1</v>
      </c>
      <c r="AN168" s="6" t="str">
        <f>Students[[#This Row],[Name]]&amp;"|"&amp;LOWER(TRIM(Students[[#This Row],[Guardian_Email__c]]))</f>
        <v>Miles Silva|</v>
      </c>
      <c r="AO168">
        <f>COUNTIF(Students[Dup Key],Students[[#This Row],[Dup Key]])</f>
        <v>1</v>
      </c>
    </row>
    <row r="169" spans="1:41">
      <c r="A169">
        <v>16</v>
      </c>
      <c r="B169" s="1">
        <v>40393</v>
      </c>
      <c r="C169">
        <v>2</v>
      </c>
      <c r="D169" t="s">
        <v>52</v>
      </c>
      <c r="E169" t="s">
        <v>6141</v>
      </c>
      <c r="F169" s="1">
        <v>46132</v>
      </c>
      <c r="G169" t="s">
        <v>5572</v>
      </c>
      <c r="H169" t="s">
        <v>2766</v>
      </c>
      <c r="I169" t="s">
        <v>6800</v>
      </c>
      <c r="J169" t="s">
        <v>6142</v>
      </c>
      <c r="K169" t="s">
        <v>5461</v>
      </c>
      <c r="L169" t="s">
        <v>6801</v>
      </c>
      <c r="M169" t="s">
        <v>83</v>
      </c>
      <c r="N169" t="s">
        <v>5016</v>
      </c>
      <c r="O169" t="s">
        <v>2765</v>
      </c>
      <c r="P169" t="b">
        <v>0</v>
      </c>
      <c r="R169" t="s">
        <v>52</v>
      </c>
      <c r="S169" t="s">
        <v>6146</v>
      </c>
      <c r="T169" t="s">
        <v>6500</v>
      </c>
      <c r="U169" t="s">
        <v>6500</v>
      </c>
      <c r="V169" s="1">
        <v>46257</v>
      </c>
      <c r="W169" t="s">
        <v>5461</v>
      </c>
      <c r="X169" t="s">
        <v>6189</v>
      </c>
      <c r="Y169" t="s">
        <v>6802</v>
      </c>
      <c r="Z169" s="2">
        <v>220</v>
      </c>
      <c r="AA169" t="s">
        <v>2766</v>
      </c>
      <c r="AB169" t="s">
        <v>52</v>
      </c>
      <c r="AC169" t="b">
        <v>0</v>
      </c>
      <c r="AD169" t="s">
        <v>6150</v>
      </c>
      <c r="AE169" t="s">
        <v>392</v>
      </c>
      <c r="AF169" t="s">
        <v>6157</v>
      </c>
      <c r="AG169" t="s">
        <v>5054</v>
      </c>
      <c r="AI169" t="s">
        <v>6803</v>
      </c>
      <c r="AK169" t="s">
        <v>6154</v>
      </c>
      <c r="AL169">
        <v>0.5</v>
      </c>
      <c r="AN169" s="6" t="str">
        <f>Students[[#This Row],[Name]]&amp;"|"&amp;LOWER(TRIM(Students[[#This Row],[Guardian_Email__c]]))</f>
        <v>Matthew Thomas|laylathomas17@gmail.com</v>
      </c>
      <c r="AO169">
        <f>COUNTIF(Students[Dup Key],Students[[#This Row],[Dup Key]])</f>
        <v>1</v>
      </c>
    </row>
    <row r="170" spans="1:41">
      <c r="A170">
        <v>11</v>
      </c>
      <c r="B170" s="1">
        <v>42051</v>
      </c>
      <c r="C170">
        <v>1</v>
      </c>
      <c r="D170" t="s">
        <v>52</v>
      </c>
      <c r="E170" t="s">
        <v>6141</v>
      </c>
      <c r="F170" s="1">
        <v>44706</v>
      </c>
      <c r="G170" t="s">
        <v>6458</v>
      </c>
      <c r="H170" t="s">
        <v>2789</v>
      </c>
      <c r="I170" t="s">
        <v>6804</v>
      </c>
      <c r="J170" t="s">
        <v>5070</v>
      </c>
      <c r="K170" t="s">
        <v>5083</v>
      </c>
      <c r="L170" t="s">
        <v>6805</v>
      </c>
      <c r="M170" t="s">
        <v>63</v>
      </c>
      <c r="N170" t="s">
        <v>5018</v>
      </c>
      <c r="O170" t="s">
        <v>2788</v>
      </c>
      <c r="P170" t="b">
        <v>0</v>
      </c>
      <c r="R170" t="s">
        <v>52</v>
      </c>
      <c r="S170" t="s">
        <v>6146</v>
      </c>
      <c r="T170" t="s">
        <v>6228</v>
      </c>
      <c r="U170" t="s">
        <v>6228</v>
      </c>
      <c r="V170" s="1">
        <v>46116</v>
      </c>
      <c r="W170" t="s">
        <v>5083</v>
      </c>
      <c r="X170" t="s">
        <v>6148</v>
      </c>
      <c r="Z170" s="2">
        <v>180</v>
      </c>
      <c r="AA170" t="s">
        <v>2789</v>
      </c>
      <c r="AB170" t="s">
        <v>52</v>
      </c>
      <c r="AC170" t="b">
        <v>0</v>
      </c>
      <c r="AD170" t="s">
        <v>6174</v>
      </c>
      <c r="AE170" t="s">
        <v>284</v>
      </c>
      <c r="AF170" t="s">
        <v>6200</v>
      </c>
      <c r="AG170" t="s">
        <v>5054</v>
      </c>
      <c r="AI170" t="s">
        <v>6806</v>
      </c>
      <c r="AK170" t="s">
        <v>6154</v>
      </c>
      <c r="AL170">
        <v>1</v>
      </c>
      <c r="AN170" s="6" t="str">
        <f>Students[[#This Row],[Name]]&amp;"|"&amp;LOWER(TRIM(Students[[#This Row],[Guardian_Email__c]]))</f>
        <v>Emma Lewis|lucaslewis@icloud.com</v>
      </c>
      <c r="AO170">
        <f>COUNTIF(Students[Dup Key],Students[[#This Row],[Dup Key]])</f>
        <v>1</v>
      </c>
    </row>
    <row r="171" spans="1:41">
      <c r="A171">
        <v>8</v>
      </c>
      <c r="B171" s="1">
        <v>43322</v>
      </c>
      <c r="C171">
        <v>0</v>
      </c>
      <c r="D171" t="s">
        <v>52</v>
      </c>
      <c r="E171" t="s">
        <v>6141</v>
      </c>
      <c r="F171" s="1">
        <v>45340</v>
      </c>
      <c r="G171" t="s">
        <v>5158</v>
      </c>
      <c r="H171" t="s">
        <v>2797</v>
      </c>
      <c r="I171" t="s">
        <v>6807</v>
      </c>
      <c r="J171" t="s">
        <v>5164</v>
      </c>
      <c r="K171" t="s">
        <v>5155</v>
      </c>
      <c r="L171" t="s">
        <v>6808</v>
      </c>
      <c r="M171" t="s">
        <v>83</v>
      </c>
      <c r="N171" t="s">
        <v>5016</v>
      </c>
      <c r="O171" t="s">
        <v>2796</v>
      </c>
      <c r="P171" t="b">
        <v>0</v>
      </c>
      <c r="R171" t="s">
        <v>52</v>
      </c>
      <c r="S171" t="s">
        <v>6146</v>
      </c>
      <c r="T171" t="s">
        <v>6500</v>
      </c>
      <c r="U171" t="s">
        <v>6500</v>
      </c>
      <c r="W171" t="s">
        <v>5155</v>
      </c>
      <c r="X171" t="s">
        <v>6148</v>
      </c>
      <c r="Z171" s="2">
        <v>180</v>
      </c>
      <c r="AA171" t="s">
        <v>2797</v>
      </c>
      <c r="AB171" t="s">
        <v>52</v>
      </c>
      <c r="AC171" t="b">
        <v>0</v>
      </c>
      <c r="AD171" t="s">
        <v>6166</v>
      </c>
      <c r="AE171" t="s">
        <v>284</v>
      </c>
      <c r="AF171" t="s">
        <v>6200</v>
      </c>
      <c r="AG171" t="s">
        <v>5054</v>
      </c>
      <c r="AI171" t="s">
        <v>6809</v>
      </c>
      <c r="AK171" t="s">
        <v>6154</v>
      </c>
      <c r="AL171">
        <v>1</v>
      </c>
      <c r="AN171" s="6" t="str">
        <f>Students[[#This Row],[Name]]&amp;"|"&amp;LOWER(TRIM(Students[[#This Row],[Guardian_Email__c]]))</f>
        <v>Miles Hill|ehill@yahoo.com</v>
      </c>
      <c r="AO171">
        <f>COUNTIF(Students[Dup Key],Students[[#This Row],[Dup Key]])</f>
        <v>1</v>
      </c>
    </row>
    <row r="172" spans="1:41">
      <c r="A172">
        <v>16</v>
      </c>
      <c r="B172" s="1">
        <v>40332</v>
      </c>
      <c r="C172">
        <v>0</v>
      </c>
      <c r="D172" t="s">
        <v>52</v>
      </c>
      <c r="E172" t="s">
        <v>6141</v>
      </c>
      <c r="F172" s="1">
        <v>45462</v>
      </c>
      <c r="G172" t="s">
        <v>5240</v>
      </c>
      <c r="H172" t="s">
        <v>6810</v>
      </c>
      <c r="I172" t="s">
        <v>6811</v>
      </c>
      <c r="J172" t="s">
        <v>5187</v>
      </c>
      <c r="K172" t="s">
        <v>5263</v>
      </c>
      <c r="L172" t="s">
        <v>6812</v>
      </c>
      <c r="M172" t="s">
        <v>83</v>
      </c>
      <c r="N172" t="s">
        <v>5016</v>
      </c>
      <c r="O172" t="s">
        <v>6813</v>
      </c>
      <c r="P172" t="b">
        <v>0</v>
      </c>
      <c r="R172" t="s">
        <v>52</v>
      </c>
      <c r="S172" t="s">
        <v>6223</v>
      </c>
      <c r="T172" t="s">
        <v>6500</v>
      </c>
      <c r="U172" t="s">
        <v>6500</v>
      </c>
      <c r="W172" t="s">
        <v>5263</v>
      </c>
      <c r="X172" t="s">
        <v>6148</v>
      </c>
      <c r="Y172" t="s">
        <v>6814</v>
      </c>
      <c r="Z172" s="2">
        <v>220</v>
      </c>
      <c r="AA172" t="s">
        <v>6810</v>
      </c>
      <c r="AB172" t="s">
        <v>52</v>
      </c>
      <c r="AC172" t="b">
        <v>0</v>
      </c>
      <c r="AD172" t="s">
        <v>6193</v>
      </c>
      <c r="AE172" t="s">
        <v>107</v>
      </c>
      <c r="AF172" t="s">
        <v>6157</v>
      </c>
      <c r="AG172" t="s">
        <v>6224</v>
      </c>
      <c r="AI172" t="s">
        <v>6815</v>
      </c>
      <c r="AK172" t="s">
        <v>6154</v>
      </c>
      <c r="AL172">
        <v>1</v>
      </c>
      <c r="AM172" s="1">
        <v>45725</v>
      </c>
      <c r="AN172" s="6" t="str">
        <f>Students[[#This Row],[Name]]&amp;"|"&amp;LOWER(TRIM(Students[[#This Row],[Guardian_Email__c]]))</f>
        <v>Rowan Ramirez|liamramirez@icloud.com</v>
      </c>
      <c r="AO172">
        <f>COUNTIF(Students[Dup Key],Students[[#This Row],[Dup Key]])</f>
        <v>1</v>
      </c>
    </row>
    <row r="173" spans="1:41">
      <c r="A173">
        <v>17</v>
      </c>
      <c r="B173" s="1">
        <v>40019</v>
      </c>
      <c r="C173">
        <v>1</v>
      </c>
      <c r="D173" t="s">
        <v>52</v>
      </c>
      <c r="E173" t="s">
        <v>6141</v>
      </c>
      <c r="F173" s="1">
        <v>46244</v>
      </c>
      <c r="G173" t="s">
        <v>6654</v>
      </c>
      <c r="H173" t="s">
        <v>2817</v>
      </c>
      <c r="I173" t="s">
        <v>6816</v>
      </c>
      <c r="J173" t="s">
        <v>5070</v>
      </c>
      <c r="K173" t="s">
        <v>5247</v>
      </c>
      <c r="L173" t="s">
        <v>6817</v>
      </c>
      <c r="M173" t="s">
        <v>83</v>
      </c>
      <c r="N173" t="s">
        <v>5016</v>
      </c>
      <c r="O173" t="s">
        <v>2816</v>
      </c>
      <c r="P173" t="b">
        <v>0</v>
      </c>
      <c r="R173" t="s">
        <v>52</v>
      </c>
      <c r="S173" t="s">
        <v>6146</v>
      </c>
      <c r="T173" t="s">
        <v>6228</v>
      </c>
      <c r="U173" t="s">
        <v>6228</v>
      </c>
      <c r="V173" s="1">
        <v>46117</v>
      </c>
      <c r="W173" t="s">
        <v>5247</v>
      </c>
      <c r="X173" t="s">
        <v>6148</v>
      </c>
      <c r="Y173" t="s">
        <v>6818</v>
      </c>
      <c r="Z173" s="2">
        <v>180</v>
      </c>
      <c r="AA173" t="s">
        <v>2817</v>
      </c>
      <c r="AB173" t="s">
        <v>52</v>
      </c>
      <c r="AC173" t="b">
        <v>0</v>
      </c>
      <c r="AD173" t="s">
        <v>6239</v>
      </c>
      <c r="AE173" t="s">
        <v>284</v>
      </c>
      <c r="AF173" t="s">
        <v>6200</v>
      </c>
      <c r="AG173" t="s">
        <v>5054</v>
      </c>
      <c r="AI173" t="s">
        <v>6819</v>
      </c>
      <c r="AK173" t="s">
        <v>6154</v>
      </c>
      <c r="AL173">
        <v>1</v>
      </c>
      <c r="AN173" s="6" t="str">
        <f>Students[[#This Row],[Name]]&amp;"|"&amp;LOWER(TRIM(Students[[#This Row],[Guardian_Email__c]]))</f>
        <v>Diego Kelly|fkelly@yahoo.com</v>
      </c>
      <c r="AO173">
        <f>COUNTIF(Students[Dup Key],Students[[#This Row],[Dup Key]])</f>
        <v>1</v>
      </c>
    </row>
    <row r="174" spans="1:41">
      <c r="A174">
        <v>11</v>
      </c>
      <c r="B174" s="1">
        <v>42000</v>
      </c>
      <c r="C174">
        <v>1</v>
      </c>
      <c r="D174" t="s">
        <v>52</v>
      </c>
      <c r="E174" t="s">
        <v>6141</v>
      </c>
      <c r="F174" s="1">
        <v>44868</v>
      </c>
      <c r="G174" t="s">
        <v>5125</v>
      </c>
      <c r="H174" t="s">
        <v>2831</v>
      </c>
      <c r="I174" t="s">
        <v>6820</v>
      </c>
      <c r="J174" t="s">
        <v>5294</v>
      </c>
      <c r="K174" t="s">
        <v>5302</v>
      </c>
      <c r="L174" t="s">
        <v>6821</v>
      </c>
      <c r="M174" t="s">
        <v>63</v>
      </c>
      <c r="N174" t="s">
        <v>5018</v>
      </c>
      <c r="O174" t="s">
        <v>2830</v>
      </c>
      <c r="P174" t="b">
        <v>0</v>
      </c>
      <c r="R174" t="s">
        <v>52</v>
      </c>
      <c r="S174" t="s">
        <v>6146</v>
      </c>
      <c r="T174" t="s">
        <v>6500</v>
      </c>
      <c r="U174" t="s">
        <v>6500</v>
      </c>
      <c r="V174" s="1">
        <v>46036</v>
      </c>
      <c r="W174" t="s">
        <v>5302</v>
      </c>
      <c r="X174" t="s">
        <v>6189</v>
      </c>
      <c r="Z174" s="2">
        <v>180</v>
      </c>
      <c r="AA174" t="s">
        <v>2831</v>
      </c>
      <c r="AB174" t="s">
        <v>52</v>
      </c>
      <c r="AC174" t="b">
        <v>0</v>
      </c>
      <c r="AD174" t="s">
        <v>6193</v>
      </c>
      <c r="AE174" t="s">
        <v>147</v>
      </c>
      <c r="AF174" t="s">
        <v>6151</v>
      </c>
      <c r="AG174" t="s">
        <v>5054</v>
      </c>
      <c r="AI174" t="s">
        <v>6822</v>
      </c>
      <c r="AK174" t="s">
        <v>6154</v>
      </c>
      <c r="AL174">
        <v>0.5</v>
      </c>
      <c r="AN174" s="6" t="str">
        <f>Students[[#This Row],[Name]]&amp;"|"&amp;LOWER(TRIM(Students[[#This Row],[Guardian_Email__c]]))</f>
        <v>Savannah Patel|henrypatel67@hotmail.com</v>
      </c>
      <c r="AO174">
        <f>COUNTIF(Students[Dup Key],Students[[#This Row],[Dup Key]])</f>
        <v>1</v>
      </c>
    </row>
    <row r="175" spans="1:41">
      <c r="A175">
        <v>6</v>
      </c>
      <c r="B175" s="1">
        <v>43803</v>
      </c>
      <c r="C175">
        <v>2</v>
      </c>
      <c r="D175" t="s">
        <v>52</v>
      </c>
      <c r="E175" t="s">
        <v>6141</v>
      </c>
      <c r="F175" s="1">
        <v>46232</v>
      </c>
      <c r="G175" t="s">
        <v>5420</v>
      </c>
      <c r="H175" t="s">
        <v>2843</v>
      </c>
      <c r="I175" t="s">
        <v>6823</v>
      </c>
      <c r="J175" t="s">
        <v>5836</v>
      </c>
      <c r="K175" t="s">
        <v>5143</v>
      </c>
      <c r="L175" t="s">
        <v>6824</v>
      </c>
      <c r="M175" t="s">
        <v>63</v>
      </c>
      <c r="N175" t="s">
        <v>5018</v>
      </c>
      <c r="O175" t="s">
        <v>2842</v>
      </c>
      <c r="P175" t="b">
        <v>0</v>
      </c>
      <c r="R175" t="s">
        <v>52</v>
      </c>
      <c r="S175" t="s">
        <v>6146</v>
      </c>
      <c r="T175" t="s">
        <v>6500</v>
      </c>
      <c r="U175" t="s">
        <v>6500</v>
      </c>
      <c r="V175" s="1">
        <v>46246</v>
      </c>
      <c r="W175" t="s">
        <v>5143</v>
      </c>
      <c r="X175" t="s">
        <v>6189</v>
      </c>
      <c r="Z175" s="2">
        <v>180</v>
      </c>
      <c r="AA175" t="s">
        <v>2843</v>
      </c>
      <c r="AB175" t="s">
        <v>52</v>
      </c>
      <c r="AC175" t="b">
        <v>0</v>
      </c>
      <c r="AD175" t="s">
        <v>6239</v>
      </c>
      <c r="AE175" t="s">
        <v>237</v>
      </c>
      <c r="AF175" t="s">
        <v>6157</v>
      </c>
      <c r="AG175" t="s">
        <v>5054</v>
      </c>
      <c r="AI175" t="s">
        <v>6825</v>
      </c>
      <c r="AK175" t="s">
        <v>6154</v>
      </c>
      <c r="AL175">
        <v>0.5</v>
      </c>
      <c r="AN175" s="6" t="str">
        <f>Students[[#This Row],[Name]]&amp;"|"&amp;LOWER(TRIM(Students[[#This Row],[Guardian_Email__c]]))</f>
        <v>Jonah Clark|paisley.clark@hotmail.com</v>
      </c>
      <c r="AO175">
        <f>COUNTIF(Students[Dup Key],Students[[#This Row],[Dup Key]])</f>
        <v>1</v>
      </c>
    </row>
    <row r="176" spans="1:41">
      <c r="A176">
        <v>13</v>
      </c>
      <c r="B176" s="1">
        <v>41360</v>
      </c>
      <c r="C176">
        <v>0</v>
      </c>
      <c r="D176" t="s">
        <v>52</v>
      </c>
      <c r="E176" t="s">
        <v>6141</v>
      </c>
      <c r="F176" s="1">
        <v>45402</v>
      </c>
      <c r="G176" t="s">
        <v>5719</v>
      </c>
      <c r="H176" t="s">
        <v>6826</v>
      </c>
      <c r="I176" t="s">
        <v>6827</v>
      </c>
      <c r="J176" t="s">
        <v>5169</v>
      </c>
      <c r="K176" t="s">
        <v>5252</v>
      </c>
      <c r="L176" t="s">
        <v>6828</v>
      </c>
      <c r="M176" t="s">
        <v>63</v>
      </c>
      <c r="N176" t="s">
        <v>5018</v>
      </c>
      <c r="O176" t="s">
        <v>6829</v>
      </c>
      <c r="P176" t="b">
        <v>0</v>
      </c>
      <c r="R176" t="s">
        <v>52</v>
      </c>
      <c r="S176" t="s">
        <v>6223</v>
      </c>
      <c r="T176" t="s">
        <v>6500</v>
      </c>
      <c r="U176" t="s">
        <v>6500</v>
      </c>
      <c r="W176" t="s">
        <v>5252</v>
      </c>
      <c r="X176" t="s">
        <v>6148</v>
      </c>
      <c r="Y176" t="s">
        <v>6830</v>
      </c>
      <c r="Z176" s="2">
        <v>240</v>
      </c>
      <c r="AA176" t="s">
        <v>6826</v>
      </c>
      <c r="AB176" t="s">
        <v>52</v>
      </c>
      <c r="AC176" t="b">
        <v>0</v>
      </c>
      <c r="AD176" t="s">
        <v>6169</v>
      </c>
      <c r="AE176" t="s">
        <v>78</v>
      </c>
      <c r="AF176" t="s">
        <v>6157</v>
      </c>
      <c r="AG176" t="s">
        <v>6224</v>
      </c>
      <c r="AI176" t="s">
        <v>6831</v>
      </c>
      <c r="AK176" t="s">
        <v>6154</v>
      </c>
      <c r="AL176">
        <v>1</v>
      </c>
      <c r="AM176" s="1">
        <v>45584</v>
      </c>
      <c r="AN176" s="6" t="str">
        <f>Students[[#This Row],[Name]]&amp;"|"&amp;LOWER(TRIM(Students[[#This Row],[Guardian_Email__c]]))</f>
        <v>Skylar Baker|brandon.baker@icloud.com</v>
      </c>
      <c r="AO176">
        <f>COUNTIF(Students[Dup Key],Students[[#This Row],[Dup Key]])</f>
        <v>1</v>
      </c>
    </row>
    <row r="177" spans="1:41">
      <c r="A177">
        <v>9</v>
      </c>
      <c r="B177" s="1">
        <v>42712</v>
      </c>
      <c r="C177">
        <v>0</v>
      </c>
      <c r="D177" t="s">
        <v>52</v>
      </c>
      <c r="E177" t="s">
        <v>6141</v>
      </c>
      <c r="F177" s="1">
        <v>45091</v>
      </c>
      <c r="G177" t="s">
        <v>5323</v>
      </c>
      <c r="H177" t="s">
        <v>6832</v>
      </c>
      <c r="I177" t="s">
        <v>6833</v>
      </c>
      <c r="J177" t="s">
        <v>5396</v>
      </c>
      <c r="K177" t="s">
        <v>5272</v>
      </c>
      <c r="L177" t="s">
        <v>6834</v>
      </c>
      <c r="M177" t="s">
        <v>83</v>
      </c>
      <c r="N177" t="s">
        <v>5016</v>
      </c>
      <c r="O177" t="s">
        <v>6835</v>
      </c>
      <c r="P177" t="b">
        <v>0</v>
      </c>
      <c r="R177" t="s">
        <v>52</v>
      </c>
      <c r="S177" t="s">
        <v>6223</v>
      </c>
      <c r="T177" t="s">
        <v>6500</v>
      </c>
      <c r="U177" t="s">
        <v>6500</v>
      </c>
      <c r="W177" t="s">
        <v>5272</v>
      </c>
      <c r="X177" t="s">
        <v>6148</v>
      </c>
      <c r="Z177" s="2">
        <v>240</v>
      </c>
      <c r="AA177" t="s">
        <v>6832</v>
      </c>
      <c r="AB177" t="s">
        <v>52</v>
      </c>
      <c r="AC177" t="b">
        <v>0</v>
      </c>
      <c r="AD177" t="s">
        <v>6166</v>
      </c>
      <c r="AE177" t="s">
        <v>237</v>
      </c>
      <c r="AF177" t="s">
        <v>6200</v>
      </c>
      <c r="AG177" t="s">
        <v>6224</v>
      </c>
      <c r="AI177" t="s">
        <v>6836</v>
      </c>
      <c r="AK177" t="s">
        <v>6154</v>
      </c>
      <c r="AL177">
        <v>1</v>
      </c>
      <c r="AM177" s="1">
        <v>45997</v>
      </c>
      <c r="AN177" s="6" t="str">
        <f>Students[[#This Row],[Name]]&amp;"|"&amp;LOWER(TRIM(Students[[#This Row],[Guardian_Email__c]]))</f>
        <v>Malachi Nelson|liam.nelson@outlook.com</v>
      </c>
      <c r="AO177">
        <f>COUNTIF(Students[Dup Key],Students[[#This Row],[Dup Key]])</f>
        <v>1</v>
      </c>
    </row>
    <row r="178" spans="1:41">
      <c r="A178">
        <v>13</v>
      </c>
      <c r="B178" s="1">
        <v>41445</v>
      </c>
      <c r="C178">
        <v>1</v>
      </c>
      <c r="D178" t="s">
        <v>52</v>
      </c>
      <c r="E178" t="s">
        <v>6141</v>
      </c>
      <c r="F178" s="1">
        <v>45217</v>
      </c>
      <c r="G178" t="s">
        <v>5204</v>
      </c>
      <c r="H178" t="s">
        <v>2869</v>
      </c>
      <c r="I178" t="s">
        <v>6837</v>
      </c>
      <c r="J178" t="s">
        <v>5275</v>
      </c>
      <c r="K178" t="s">
        <v>5252</v>
      </c>
      <c r="L178" t="s">
        <v>6838</v>
      </c>
      <c r="M178" t="s">
        <v>63</v>
      </c>
      <c r="N178" t="s">
        <v>5018</v>
      </c>
      <c r="O178" t="s">
        <v>2868</v>
      </c>
      <c r="P178" t="b">
        <v>0</v>
      </c>
      <c r="R178" t="s">
        <v>52</v>
      </c>
      <c r="S178" t="s">
        <v>6146</v>
      </c>
      <c r="T178" t="s">
        <v>6500</v>
      </c>
      <c r="U178" t="s">
        <v>6500</v>
      </c>
      <c r="V178" s="1">
        <v>46036</v>
      </c>
      <c r="W178" t="s">
        <v>5252</v>
      </c>
      <c r="X178" t="s">
        <v>6189</v>
      </c>
      <c r="Y178" t="s">
        <v>6839</v>
      </c>
      <c r="Z178" s="2">
        <v>200</v>
      </c>
      <c r="AA178" t="s">
        <v>2869</v>
      </c>
      <c r="AB178" t="s">
        <v>52</v>
      </c>
      <c r="AC178" t="b">
        <v>0</v>
      </c>
      <c r="AD178" t="s">
        <v>6169</v>
      </c>
      <c r="AE178" t="s">
        <v>392</v>
      </c>
      <c r="AF178" t="s">
        <v>6157</v>
      </c>
      <c r="AG178" t="s">
        <v>5054</v>
      </c>
      <c r="AI178" t="s">
        <v>6840</v>
      </c>
      <c r="AK178" t="s">
        <v>6154</v>
      </c>
      <c r="AL178">
        <v>0.5</v>
      </c>
      <c r="AN178" s="6" t="str">
        <f>Students[[#This Row],[Name]]&amp;"|"&amp;LOWER(TRIM(Students[[#This Row],[Guardian_Email__c]]))</f>
        <v>Penelope Baker|lbaker@outlook.com</v>
      </c>
      <c r="AO178">
        <f>COUNTIF(Students[Dup Key],Students[[#This Row],[Dup Key]])</f>
        <v>1</v>
      </c>
    </row>
    <row r="179" spans="1:41">
      <c r="A179">
        <v>7</v>
      </c>
      <c r="B179" s="1">
        <v>43631</v>
      </c>
      <c r="C179">
        <v>0</v>
      </c>
      <c r="D179" t="s">
        <v>52</v>
      </c>
      <c r="E179" t="s">
        <v>6141</v>
      </c>
      <c r="F179" s="1">
        <v>44769</v>
      </c>
      <c r="G179" t="s">
        <v>5275</v>
      </c>
      <c r="H179" t="s">
        <v>2877</v>
      </c>
      <c r="I179" t="s">
        <v>6841</v>
      </c>
      <c r="J179" t="s">
        <v>5560</v>
      </c>
      <c r="K179" t="s">
        <v>5272</v>
      </c>
      <c r="L179" t="s">
        <v>6842</v>
      </c>
      <c r="M179" t="s">
        <v>83</v>
      </c>
      <c r="N179" t="s">
        <v>5016</v>
      </c>
      <c r="O179" t="s">
        <v>2876</v>
      </c>
      <c r="P179" t="b">
        <v>0</v>
      </c>
      <c r="R179" t="s">
        <v>52</v>
      </c>
      <c r="S179" t="s">
        <v>6146</v>
      </c>
      <c r="T179" t="s">
        <v>6500</v>
      </c>
      <c r="U179" t="s">
        <v>6500</v>
      </c>
      <c r="W179" t="s">
        <v>5272</v>
      </c>
      <c r="X179" t="s">
        <v>6148</v>
      </c>
      <c r="Z179" s="2">
        <v>240</v>
      </c>
      <c r="AA179" t="s">
        <v>2877</v>
      </c>
      <c r="AB179" t="s">
        <v>52</v>
      </c>
      <c r="AC179" t="b">
        <v>0</v>
      </c>
      <c r="AD179" t="s">
        <v>6150</v>
      </c>
      <c r="AE179" t="s">
        <v>263</v>
      </c>
      <c r="AF179" t="s">
        <v>6157</v>
      </c>
      <c r="AG179" t="s">
        <v>5054</v>
      </c>
      <c r="AI179" t="s">
        <v>6843</v>
      </c>
      <c r="AK179" t="s">
        <v>6154</v>
      </c>
      <c r="AL179">
        <v>1</v>
      </c>
      <c r="AN179" s="6" t="str">
        <f>Students[[#This Row],[Name]]&amp;"|"&amp;LOWER(TRIM(Students[[#This Row],[Guardian_Email__c]]))</f>
        <v>Sofia Nelson|ryan.nelson@outlook.com</v>
      </c>
      <c r="AO179">
        <f>COUNTIF(Students[Dup Key],Students[[#This Row],[Dup Key]])</f>
        <v>1</v>
      </c>
    </row>
    <row r="180" spans="1:41">
      <c r="A180">
        <v>11</v>
      </c>
      <c r="B180" s="1">
        <v>42264</v>
      </c>
      <c r="C180">
        <v>3</v>
      </c>
      <c r="D180" t="s">
        <v>52</v>
      </c>
      <c r="E180" t="s">
        <v>6141</v>
      </c>
      <c r="F180" s="1">
        <v>45333</v>
      </c>
      <c r="G180" t="s">
        <v>5452</v>
      </c>
      <c r="H180" t="s">
        <v>342</v>
      </c>
      <c r="I180" t="s">
        <v>6208</v>
      </c>
      <c r="J180" t="s">
        <v>5866</v>
      </c>
      <c r="K180" t="s">
        <v>5542</v>
      </c>
      <c r="L180" t="s">
        <v>6209</v>
      </c>
      <c r="M180" t="s">
        <v>150</v>
      </c>
      <c r="N180" t="s">
        <v>5014</v>
      </c>
      <c r="O180" t="s">
        <v>2884</v>
      </c>
      <c r="P180" t="b">
        <v>0</v>
      </c>
      <c r="R180" t="s">
        <v>52</v>
      </c>
      <c r="S180" t="s">
        <v>6146</v>
      </c>
      <c r="T180" t="s">
        <v>6500</v>
      </c>
      <c r="U180" t="s">
        <v>6500</v>
      </c>
      <c r="V180" s="1">
        <v>46252</v>
      </c>
      <c r="W180" t="s">
        <v>5542</v>
      </c>
      <c r="X180" t="s">
        <v>6189</v>
      </c>
      <c r="Z180" s="2">
        <v>200</v>
      </c>
      <c r="AA180" t="s">
        <v>342</v>
      </c>
      <c r="AB180" t="s">
        <v>52</v>
      </c>
      <c r="AC180" t="b">
        <v>0</v>
      </c>
      <c r="AD180" t="s">
        <v>6174</v>
      </c>
      <c r="AE180" t="s">
        <v>284</v>
      </c>
      <c r="AF180" t="s">
        <v>6157</v>
      </c>
      <c r="AG180" t="s">
        <v>5054</v>
      </c>
      <c r="AI180" t="s">
        <v>6844</v>
      </c>
      <c r="AK180" t="s">
        <v>6154</v>
      </c>
      <c r="AL180">
        <v>0.5</v>
      </c>
      <c r="AN180" s="6" t="str">
        <f>Students[[#This Row],[Name]]&amp;"|"&amp;LOWER(TRIM(Students[[#This Row],[Guardian_Email__c]]))</f>
        <v>Nathan Ahmed|yahmed@outlook.com</v>
      </c>
      <c r="AO180">
        <f>COUNTIF(Students[Dup Key],Students[[#This Row],[Dup Key]])</f>
        <v>2</v>
      </c>
    </row>
    <row r="181" spans="1:41">
      <c r="A181">
        <v>10</v>
      </c>
      <c r="B181" s="1">
        <v>42570</v>
      </c>
      <c r="C181">
        <v>1</v>
      </c>
      <c r="D181" t="s">
        <v>52</v>
      </c>
      <c r="E181" t="s">
        <v>6141</v>
      </c>
      <c r="F181" s="1">
        <v>45810</v>
      </c>
      <c r="G181" t="s">
        <v>5275</v>
      </c>
      <c r="H181" t="s">
        <v>1034</v>
      </c>
      <c r="I181" t="s">
        <v>6406</v>
      </c>
      <c r="J181" t="s">
        <v>5093</v>
      </c>
      <c r="K181" t="s">
        <v>5111</v>
      </c>
      <c r="L181" t="s">
        <v>6407</v>
      </c>
      <c r="M181" t="s">
        <v>83</v>
      </c>
      <c r="N181" t="s">
        <v>5016</v>
      </c>
      <c r="O181" t="s">
        <v>2906</v>
      </c>
      <c r="P181" t="b">
        <v>0</v>
      </c>
      <c r="R181" t="s">
        <v>52</v>
      </c>
      <c r="S181" t="s">
        <v>6146</v>
      </c>
      <c r="T181" t="s">
        <v>6500</v>
      </c>
      <c r="U181" t="s">
        <v>6500</v>
      </c>
      <c r="V181" s="1">
        <v>46197</v>
      </c>
      <c r="W181" t="s">
        <v>5111</v>
      </c>
      <c r="X181" t="s">
        <v>6148</v>
      </c>
      <c r="Z181" s="2">
        <v>180</v>
      </c>
      <c r="AA181" t="s">
        <v>1034</v>
      </c>
      <c r="AB181" t="s">
        <v>52</v>
      </c>
      <c r="AC181" t="b">
        <v>0</v>
      </c>
      <c r="AD181" t="s">
        <v>6166</v>
      </c>
      <c r="AE181" t="s">
        <v>78</v>
      </c>
      <c r="AF181" t="s">
        <v>6157</v>
      </c>
      <c r="AG181" t="s">
        <v>5054</v>
      </c>
      <c r="AI181" t="s">
        <v>6845</v>
      </c>
      <c r="AK181" t="s">
        <v>6154</v>
      </c>
      <c r="AL181">
        <v>1</v>
      </c>
      <c r="AN181" s="6" t="str">
        <f>Students[[#This Row],[Name]]&amp;"|"&amp;LOWER(TRIM(Students[[#This Row],[Guardian_Email__c]]))</f>
        <v>Sofia Johnson|tylerjohnson79@yahoo.com</v>
      </c>
      <c r="AO181">
        <f>COUNTIF(Students[Dup Key],Students[[#This Row],[Dup Key]])</f>
        <v>2</v>
      </c>
    </row>
    <row r="182" spans="1:41">
      <c r="A182">
        <v>60</v>
      </c>
      <c r="B182" s="1">
        <v>24167</v>
      </c>
      <c r="C182">
        <v>2</v>
      </c>
      <c r="D182" t="s">
        <v>52</v>
      </c>
      <c r="E182" t="s">
        <v>6141</v>
      </c>
      <c r="F182" s="1">
        <v>46269</v>
      </c>
      <c r="G182" t="s">
        <v>6846</v>
      </c>
      <c r="H182" t="s">
        <v>2923</v>
      </c>
      <c r="M182" t="s">
        <v>83</v>
      </c>
      <c r="N182" t="s">
        <v>5016</v>
      </c>
      <c r="O182" t="s">
        <v>2922</v>
      </c>
      <c r="P182" t="b">
        <v>0</v>
      </c>
      <c r="R182" t="s">
        <v>52</v>
      </c>
      <c r="S182" t="s">
        <v>6847</v>
      </c>
      <c r="T182" t="s">
        <v>6848</v>
      </c>
      <c r="U182" t="s">
        <v>6848</v>
      </c>
      <c r="V182" s="1">
        <v>46138</v>
      </c>
      <c r="W182" t="s">
        <v>5278</v>
      </c>
      <c r="X182" t="s">
        <v>6189</v>
      </c>
      <c r="Z182" s="2">
        <v>220</v>
      </c>
      <c r="AA182" t="s">
        <v>2923</v>
      </c>
      <c r="AB182" t="s">
        <v>52</v>
      </c>
      <c r="AC182" t="b">
        <v>0</v>
      </c>
      <c r="AD182" t="s">
        <v>6193</v>
      </c>
      <c r="AE182" t="s">
        <v>237</v>
      </c>
      <c r="AF182" t="s">
        <v>6200</v>
      </c>
      <c r="AG182" t="s">
        <v>5054</v>
      </c>
      <c r="AH182" t="s">
        <v>6566</v>
      </c>
      <c r="AI182" t="s">
        <v>6849</v>
      </c>
      <c r="AJ182" t="s">
        <v>6568</v>
      </c>
      <c r="AK182" t="s">
        <v>6847</v>
      </c>
      <c r="AL182">
        <v>0.5</v>
      </c>
      <c r="AN182" s="6" t="str">
        <f>Students[[#This Row],[Name]]&amp;"|"&amp;LOWER(TRIM(Students[[#This Row],[Guardian_Email__c]]))</f>
        <v>LOGAN Harris|</v>
      </c>
      <c r="AO182">
        <f>COUNTIF(Students[Dup Key],Students[[#This Row],[Dup Key]])</f>
        <v>2</v>
      </c>
    </row>
    <row r="183" spans="1:41">
      <c r="A183">
        <v>9</v>
      </c>
      <c r="B183" s="1">
        <v>42919</v>
      </c>
      <c r="C183">
        <v>0</v>
      </c>
      <c r="D183" t="s">
        <v>52</v>
      </c>
      <c r="E183" t="s">
        <v>6114</v>
      </c>
      <c r="F183" s="1">
        <v>46296</v>
      </c>
      <c r="G183" t="s">
        <v>5131</v>
      </c>
      <c r="H183" t="s">
        <v>6112</v>
      </c>
      <c r="I183" t="s">
        <v>6111</v>
      </c>
      <c r="J183" t="s">
        <v>6850</v>
      </c>
      <c r="K183" t="s">
        <v>6116</v>
      </c>
      <c r="L183">
        <v>7897897890</v>
      </c>
      <c r="M183" t="s">
        <v>83</v>
      </c>
      <c r="N183" t="s">
        <v>5016</v>
      </c>
      <c r="O183" t="s">
        <v>6109</v>
      </c>
      <c r="P183" t="b">
        <v>0</v>
      </c>
      <c r="R183" t="s">
        <v>52</v>
      </c>
      <c r="S183" t="s">
        <v>6114</v>
      </c>
      <c r="T183" t="s">
        <v>6851</v>
      </c>
      <c r="U183" t="s">
        <v>6851</v>
      </c>
      <c r="W183" t="s">
        <v>6116</v>
      </c>
      <c r="X183" t="s">
        <v>6148</v>
      </c>
      <c r="Y183" t="s">
        <v>6852</v>
      </c>
      <c r="Z183" s="2"/>
      <c r="AA183" t="s">
        <v>6112</v>
      </c>
      <c r="AB183" t="s">
        <v>52</v>
      </c>
      <c r="AC183" t="b">
        <v>0</v>
      </c>
      <c r="AD183" t="s">
        <v>6174</v>
      </c>
      <c r="AE183" t="s">
        <v>237</v>
      </c>
      <c r="AF183" t="s">
        <v>6157</v>
      </c>
      <c r="AG183" t="s">
        <v>5054</v>
      </c>
      <c r="AK183" t="s">
        <v>6114</v>
      </c>
      <c r="AL183">
        <v>1</v>
      </c>
      <c r="AN183" s="6" t="str">
        <f>Students[[#This Row],[Name]]&amp;"|"&amp;LOWER(TRIM(Students[[#This Row],[Guardian_Email__c]]))</f>
        <v>Leo Ortiz|danaortiz@gmail.com</v>
      </c>
      <c r="AO183">
        <f>COUNTIF(Students[Dup Key],Students[[#This Row],[Dup Key]])</f>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1"/>
  <sheetViews>
    <sheetView tabSelected="1" workbookViewId="0">
      <selection activeCell="D5" sqref="D5"/>
    </sheetView>
  </sheetViews>
  <sheetFormatPr defaultRowHeight="15"/>
  <cols>
    <col min="1" max="1" width="57.140625" bestFit="1" customWidth="1"/>
    <col min="2" max="2" width="6.42578125" bestFit="1" customWidth="1"/>
    <col min="3" max="3" width="77.7109375" bestFit="1" customWidth="1"/>
    <col min="4" max="4" width="39.42578125" customWidth="1"/>
    <col min="6" max="6" width="13.5703125" customWidth="1"/>
  </cols>
  <sheetData>
    <row r="1" spans="1:6">
      <c r="A1" t="s">
        <v>6853</v>
      </c>
      <c r="B1" t="s">
        <v>6854</v>
      </c>
      <c r="C1" t="s">
        <v>6855</v>
      </c>
      <c r="D1" t="s">
        <v>6856</v>
      </c>
      <c r="E1" t="s">
        <v>6857</v>
      </c>
      <c r="F1" s="1">
        <f>DATE(2026,10,14)</f>
        <v>46309</v>
      </c>
    </row>
    <row r="2" spans="1:6" ht="45.75">
      <c r="A2" t="s">
        <v>6858</v>
      </c>
      <c r="B2">
        <f>COUNTIFS(Lessons!W:W, "Scheduled", Lessons!O:O, "&lt;"&amp;$F$1)</f>
        <v>5</v>
      </c>
      <c r="C2" s="7" t="s">
        <v>6859</v>
      </c>
      <c r="D2" s="7" t="s">
        <v>6860</v>
      </c>
      <c r="F2" s="1"/>
    </row>
    <row r="3" spans="1:6" ht="91.5">
      <c r="A3" t="s">
        <v>6861</v>
      </c>
      <c r="B3">
        <f>COUNTIFS(EnrollmentInquiries!Y:Y, "Converted", EnrollmentInquiries!A:A, "")</f>
        <v>40</v>
      </c>
      <c r="C3" s="7" t="s">
        <v>6862</v>
      </c>
      <c r="D3" s="7" t="s">
        <v>6863</v>
      </c>
      <c r="F3" s="1"/>
    </row>
    <row r="4" spans="1:6" ht="121.5">
      <c r="A4" t="s">
        <v>6864</v>
      </c>
      <c r="B4">
        <f>COUNTIF(Students[Dup Count],"&gt;1")</f>
        <v>6</v>
      </c>
      <c r="C4" s="7" t="s">
        <v>6865</v>
      </c>
      <c r="D4" s="7" t="s">
        <v>6866</v>
      </c>
      <c r="F4" s="1"/>
    </row>
    <row r="5" spans="1:6" ht="60.75">
      <c r="A5" t="s">
        <v>6867</v>
      </c>
      <c r="B5">
        <f>COUNTIF(Inquiries[Dup Count],"&gt;1")</f>
        <v>2</v>
      </c>
      <c r="C5" s="7" t="s">
        <v>6868</v>
      </c>
      <c r="D5" s="7" t="s">
        <v>6869</v>
      </c>
      <c r="F5" s="1"/>
    </row>
    <row r="6" spans="1:6" ht="76.5">
      <c r="A6" t="s">
        <v>6870</v>
      </c>
      <c r="B6">
        <f>COUNTIF(Lessons[Does the Instructor teach that Instrument?], "FALSE")</f>
        <v>7</v>
      </c>
      <c r="C6" s="7" t="s">
        <v>6871</v>
      </c>
      <c r="D6" s="7" t="s">
        <v>6872</v>
      </c>
      <c r="F6" s="1"/>
    </row>
    <row r="7" spans="1:6" ht="76.5">
      <c r="A7" t="s">
        <v>6873</v>
      </c>
      <c r="B7">
        <f>COUNTIF(Lessons[Double Booked?],"&gt;1")</f>
        <v>2</v>
      </c>
      <c r="C7" s="7" t="s">
        <v>6874</v>
      </c>
      <c r="D7" s="7" t="s">
        <v>6875</v>
      </c>
      <c r="F7" s="1"/>
    </row>
    <row r="8" spans="1:6" ht="45.75">
      <c r="A8" t="s">
        <v>6876</v>
      </c>
      <c r="B8">
        <f>COUNTIF(Instructors[Dup Email Count],"&gt;1")</f>
        <v>2</v>
      </c>
      <c r="C8" s="7" t="s">
        <v>6877</v>
      </c>
      <c r="D8" s="7" t="s">
        <v>6878</v>
      </c>
      <c r="F8" s="1"/>
    </row>
    <row r="9" spans="1:6" ht="45.75">
      <c r="A9" t="s">
        <v>6879</v>
      </c>
      <c r="B9">
        <f>COUNTIF(Inquiries[Days to First Response],"&lt;0")</f>
        <v>2</v>
      </c>
      <c r="C9" s="7" t="s">
        <v>6880</v>
      </c>
      <c r="D9" s="7" t="s">
        <v>6881</v>
      </c>
      <c r="F9" s="1"/>
    </row>
    <row r="10" spans="1:6" ht="45.75">
      <c r="A10" t="s">
        <v>6882</v>
      </c>
      <c r="B10">
        <f>COUNTIFS(Students!F:F, "&gt;"&amp;$F$1)</f>
        <v>1</v>
      </c>
      <c r="C10" s="7" t="s">
        <v>6883</v>
      </c>
      <c r="D10" s="7" t="s">
        <v>6884</v>
      </c>
      <c r="F10" s="1"/>
    </row>
    <row r="11" spans="1:6" ht="76.5">
      <c r="A11" t="s">
        <v>6885</v>
      </c>
      <c r="B11">
        <f>COUNTIFS(Lessons[Makeup_Required__c], "TRUE", Lessons[Makeup_Scheduled__c], "FALSE")</f>
        <v>15</v>
      </c>
      <c r="C11" s="7" t="s">
        <v>6886</v>
      </c>
      <c r="D11" s="7" t="s">
        <v>6887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3"/>
  <sheetViews>
    <sheetView workbookViewId="0">
      <selection activeCell="C4" sqref="C4"/>
    </sheetView>
  </sheetViews>
  <sheetFormatPr defaultRowHeight="15"/>
  <cols>
    <col min="1" max="1" width="18.7109375" bestFit="1" customWidth="1"/>
    <col min="2" max="2" width="12.85546875" bestFit="1" customWidth="1"/>
    <col min="3" max="3" width="10.42578125" bestFit="1" customWidth="1"/>
    <col min="4" max="4" width="5.28515625" bestFit="1" customWidth="1"/>
    <col min="5" max="5" width="14.28515625" bestFit="1" customWidth="1"/>
    <col min="6" max="6" width="14.85546875" bestFit="1" customWidth="1"/>
    <col min="7" max="7" width="13.42578125" bestFit="1" customWidth="1"/>
    <col min="8" max="8" width="11.7109375" bestFit="1" customWidth="1"/>
    <col min="9" max="9" width="11.7109375" customWidth="1"/>
    <col min="10" max="10" width="33.85546875" customWidth="1"/>
    <col min="11" max="11" width="28.28515625" customWidth="1"/>
    <col min="12" max="12" width="25.140625" customWidth="1"/>
    <col min="13" max="13" width="14.5703125" bestFit="1" customWidth="1"/>
    <col min="14" max="14" width="20" customWidth="1"/>
    <col min="15" max="22" width="8.28515625" bestFit="1" customWidth="1"/>
    <col min="23" max="23" width="11.7109375" bestFit="1" customWidth="1"/>
    <col min="24" max="24" width="27" customWidth="1"/>
    <col min="25" max="25" width="27.28515625" customWidth="1"/>
    <col min="30" max="30" width="11.42578125" bestFit="1" customWidth="1"/>
  </cols>
  <sheetData>
    <row r="1" spans="1:25">
      <c r="A1" s="8" t="s">
        <v>5007</v>
      </c>
      <c r="B1" s="8" t="s">
        <v>42</v>
      </c>
      <c r="M1" s="8" t="s">
        <v>5007</v>
      </c>
      <c r="N1" s="8" t="s">
        <v>5319</v>
      </c>
    </row>
    <row r="2" spans="1:25">
      <c r="A2" s="8" t="s">
        <v>5311</v>
      </c>
      <c r="B2" t="s">
        <v>5977</v>
      </c>
      <c r="C2" t="s">
        <v>5332</v>
      </c>
      <c r="D2" t="s">
        <v>5368</v>
      </c>
      <c r="E2" t="s">
        <v>5343</v>
      </c>
      <c r="F2" t="s">
        <v>5883</v>
      </c>
      <c r="G2" t="s">
        <v>5360</v>
      </c>
      <c r="H2" t="s">
        <v>5011</v>
      </c>
      <c r="I2" t="s">
        <v>6888</v>
      </c>
      <c r="J2" t="s">
        <v>6889</v>
      </c>
      <c r="K2" t="s">
        <v>6890</v>
      </c>
      <c r="L2" t="s">
        <v>6891</v>
      </c>
      <c r="M2" s="8" t="s">
        <v>42</v>
      </c>
      <c r="N2" t="s">
        <v>5017</v>
      </c>
      <c r="O2" t="s">
        <v>5019</v>
      </c>
      <c r="P2" t="s">
        <v>5020</v>
      </c>
      <c r="Q2" t="s">
        <v>5021</v>
      </c>
      <c r="R2" t="s">
        <v>5022</v>
      </c>
      <c r="S2" t="s">
        <v>5023</v>
      </c>
      <c r="T2" t="s">
        <v>5024</v>
      </c>
      <c r="U2" t="s">
        <v>5025</v>
      </c>
      <c r="V2" t="s">
        <v>6892</v>
      </c>
      <c r="W2" t="s">
        <v>5011</v>
      </c>
      <c r="X2" t="s">
        <v>6893</v>
      </c>
      <c r="Y2" t="s">
        <v>6894</v>
      </c>
    </row>
    <row r="3" spans="1:25">
      <c r="A3" t="s">
        <v>5329</v>
      </c>
      <c r="B3" s="6"/>
      <c r="C3" s="6">
        <v>6</v>
      </c>
      <c r="D3" s="6">
        <v>2</v>
      </c>
      <c r="E3" s="6">
        <v>7</v>
      </c>
      <c r="F3" s="6"/>
      <c r="G3" s="6">
        <v>3</v>
      </c>
      <c r="H3" s="6">
        <v>18</v>
      </c>
      <c r="I3" s="13" t="s">
        <v>5329</v>
      </c>
      <c r="J3" s="9" cm="1">
        <f t="array" ref="J3">COUNTIFS(Inquiries[Lead_Source__c],$A3,Inquiries[Status__c],"Converted")/SUM(COUNTIFS(Inquiries[Lead_Source__c],$A3,Inquiries[Status__c],{"Converted","Not Interested","Unresponsive"}))</f>
        <v>0.375</v>
      </c>
      <c r="K3" s="10">
        <f>AVERAGEIFS(Inquiries[Days to First Response], Inquiries[Lead_Source__c], $A3, Inquiries[Days to First Response], "&gt;="&amp;0)</f>
        <v>7.4375</v>
      </c>
      <c r="L3">
        <f>COUNTIFS(Inquiries[Lead_Source__c], $A3, Inquiries[First_Response_Date__c], "")</f>
        <v>2</v>
      </c>
      <c r="M3" t="s">
        <v>5977</v>
      </c>
      <c r="N3" s="6"/>
      <c r="O3" s="6"/>
      <c r="P3" s="6">
        <v>1</v>
      </c>
      <c r="Q3" s="6"/>
      <c r="R3" s="6"/>
      <c r="S3" s="6"/>
      <c r="T3" s="6"/>
      <c r="U3" s="6"/>
      <c r="V3" s="6"/>
      <c r="W3" s="6">
        <v>1</v>
      </c>
      <c r="X3" t="s">
        <v>5014</v>
      </c>
      <c r="Y3" s="9">
        <f>COUNTIFS(Inquiries[Requested Location by Name], $X3, Inquiries[Status__c], "Converted") / (COUNTIFS(Inquiries[Requested Location by Name], $X3, Inquiries[Status__c], "Converted") + COUNTIFS(Inquiries[Requested Location by Name], $X3, Inquiries[Status__c], "Not Interested") + COUNTIFS(Inquiries[Requested Location by Name], $X3, Inquiries[Status__c], "Unresponsive"))</f>
        <v>0.30769230769230771</v>
      </c>
    </row>
    <row r="4" spans="1:25">
      <c r="A4" t="s">
        <v>5340</v>
      </c>
      <c r="B4" s="6"/>
      <c r="C4" s="6">
        <v>3</v>
      </c>
      <c r="D4" s="6">
        <v>3</v>
      </c>
      <c r="E4" s="6">
        <v>5</v>
      </c>
      <c r="F4" s="6"/>
      <c r="G4" s="6">
        <v>6</v>
      </c>
      <c r="H4" s="6">
        <v>17</v>
      </c>
      <c r="I4" s="13" t="s">
        <v>5340</v>
      </c>
      <c r="J4" s="9" cm="1">
        <f t="array" ref="J4">COUNTIFS(Inquiries[Lead_Source__c],$A4,Inquiries[Status__c],"Converted")/SUM(COUNTIFS(Inquiries[Lead_Source__c],$A4,Inquiries[Status__c],{"Converted","Not Interested","Unresponsive"}))</f>
        <v>0.21428571428571427</v>
      </c>
      <c r="K4" s="10">
        <f>AVERAGEIFS(Inquiries[Days to First Response], Inquiries[Lead_Source__c], $A4, Inquiries[Days to First Response], "&gt;="&amp;0)</f>
        <v>2.2857142857142856</v>
      </c>
      <c r="L4">
        <f>COUNTIFS(Inquiries[Lead_Source__c], $A4, Inquiries[First_Response_Date__c], "")</f>
        <v>3</v>
      </c>
      <c r="M4" t="s">
        <v>5332</v>
      </c>
      <c r="N4" s="6">
        <v>8</v>
      </c>
      <c r="O4" s="6">
        <v>5</v>
      </c>
      <c r="P4" s="6">
        <v>6</v>
      </c>
      <c r="Q4" s="6">
        <v>7</v>
      </c>
      <c r="R4" s="6">
        <v>5</v>
      </c>
      <c r="S4" s="6">
        <v>2</v>
      </c>
      <c r="T4" s="6">
        <v>7</v>
      </c>
      <c r="U4" s="6"/>
      <c r="V4" s="6">
        <v>1</v>
      </c>
      <c r="W4" s="6">
        <v>41</v>
      </c>
      <c r="X4" t="s">
        <v>5016</v>
      </c>
      <c r="Y4" s="9">
        <f>COUNTIFS(Inquiries[Requested Location by Name], $X4, Inquiries[Status__c], "Converted") / (COUNTIFS(Inquiries[Requested Location by Name], $X4, Inquiries[Status__c], "Converted") + COUNTIFS(Inquiries[Requested Location by Name], $X4, Inquiries[Status__c], "Not Interested") + COUNTIFS(Inquiries[Requested Location by Name], $X4, Inquiries[Status__c], "Unresponsive"))</f>
        <v>0.35714285714285715</v>
      </c>
    </row>
    <row r="5" spans="1:25">
      <c r="A5" t="s">
        <v>5350</v>
      </c>
      <c r="B5" s="6"/>
      <c r="C5" s="6">
        <v>6</v>
      </c>
      <c r="D5" s="6">
        <v>2</v>
      </c>
      <c r="E5" s="6">
        <v>5</v>
      </c>
      <c r="F5" s="6"/>
      <c r="G5" s="6">
        <v>3</v>
      </c>
      <c r="H5" s="6">
        <v>16</v>
      </c>
      <c r="I5" s="13" t="s">
        <v>5350</v>
      </c>
      <c r="J5" s="9" cm="1">
        <f t="array" ref="J5">COUNTIFS(Inquiries[Lead_Source__c],$A5,Inquiries[Status__c],"Converted")/SUM(COUNTIFS(Inquiries[Lead_Source__c],$A5,Inquiries[Status__c],{"Converted","Not Interested","Unresponsive"}))</f>
        <v>0.42857142857142855</v>
      </c>
      <c r="K5" s="10">
        <f>AVERAGEIFS(Inquiries[Days to First Response], Inquiries[Lead_Source__c], $A5, Inquiries[Days to First Response], "&gt;="&amp;0)</f>
        <v>3.1428571428571428</v>
      </c>
      <c r="L5">
        <f>COUNTIFS(Inquiries[Lead_Source__c], $A5, Inquiries[First_Response_Date__c], "")</f>
        <v>2</v>
      </c>
      <c r="M5" t="s">
        <v>5368</v>
      </c>
      <c r="N5" s="6">
        <v>4</v>
      </c>
      <c r="O5" s="6">
        <v>3</v>
      </c>
      <c r="P5" s="6">
        <v>1</v>
      </c>
      <c r="Q5" s="6">
        <v>4</v>
      </c>
      <c r="R5" s="6">
        <v>2</v>
      </c>
      <c r="S5" s="6">
        <v>2</v>
      </c>
      <c r="T5" s="6">
        <v>2</v>
      </c>
      <c r="U5" s="6">
        <v>1</v>
      </c>
      <c r="V5" s="6"/>
      <c r="W5" s="6">
        <v>19</v>
      </c>
      <c r="X5" t="s">
        <v>5018</v>
      </c>
      <c r="Y5" s="9">
        <f>COUNTIFS(Inquiries[Requested Location by Name], $X5, Inquiries[Status__c], "Converted") / (COUNTIFS(Inquiries[Requested Location by Name], $X5, Inquiries[Status__c], "Converted") + COUNTIFS(Inquiries[Requested Location by Name], $X5, Inquiries[Status__c], "Not Interested") + COUNTIFS(Inquiries[Requested Location by Name], $X5, Inquiries[Status__c], "Unresponsive"))</f>
        <v>0.35294117647058826</v>
      </c>
    </row>
    <row r="6" spans="1:25">
      <c r="A6" t="s">
        <v>5393</v>
      </c>
      <c r="B6" s="6">
        <v>1</v>
      </c>
      <c r="C6" s="6">
        <v>6</v>
      </c>
      <c r="D6" s="6">
        <v>1</v>
      </c>
      <c r="E6" s="6">
        <v>6</v>
      </c>
      <c r="F6" s="6">
        <v>1</v>
      </c>
      <c r="G6" s="6">
        <v>3</v>
      </c>
      <c r="H6" s="6">
        <v>18</v>
      </c>
      <c r="I6" s="13" t="s">
        <v>5393</v>
      </c>
      <c r="J6" s="9" cm="1">
        <f t="array" ref="J6">COUNTIFS(Inquiries[Lead_Source__c],$A6,Inquiries[Status__c],"Converted")/SUM(COUNTIFS(Inquiries[Lead_Source__c],$A6,Inquiries[Status__c],{"Converted","Not Interested","Unresponsive"}))</f>
        <v>0.4</v>
      </c>
      <c r="K6" s="10">
        <f>AVERAGEIFS(Inquiries[Days to First Response], Inquiries[Lead_Source__c], $A6, Inquiries[Days to First Response], "&gt;="&amp;0)</f>
        <v>22.294117647058822</v>
      </c>
      <c r="L6">
        <f>COUNTIFS(Inquiries[Lead_Source__c], $A6, Inquiries[First_Response_Date__c], "")</f>
        <v>1</v>
      </c>
      <c r="M6" t="s">
        <v>5343</v>
      </c>
      <c r="N6" s="6">
        <v>5</v>
      </c>
      <c r="O6" s="6">
        <v>5</v>
      </c>
      <c r="P6" s="6">
        <v>6</v>
      </c>
      <c r="Q6" s="6">
        <v>7</v>
      </c>
      <c r="R6" s="6">
        <v>3</v>
      </c>
      <c r="S6" s="6">
        <v>3</v>
      </c>
      <c r="T6" s="6">
        <v>8</v>
      </c>
      <c r="U6" s="6">
        <v>2</v>
      </c>
      <c r="V6" s="6"/>
      <c r="W6" s="6">
        <v>39</v>
      </c>
    </row>
    <row r="7" spans="1:25">
      <c r="A7" t="s">
        <v>5358</v>
      </c>
      <c r="B7" s="6"/>
      <c r="C7" s="6">
        <v>7</v>
      </c>
      <c r="D7" s="6">
        <v>4</v>
      </c>
      <c r="E7" s="6">
        <v>7</v>
      </c>
      <c r="F7" s="6"/>
      <c r="G7" s="6">
        <v>6</v>
      </c>
      <c r="H7" s="6">
        <v>24</v>
      </c>
      <c r="I7" s="13" t="s">
        <v>5358</v>
      </c>
      <c r="J7" s="9" cm="1">
        <f t="array" ref="J7">COUNTIFS(Inquiries[Lead_Source__c],$A7,Inquiries[Status__c],"Converted")/SUM(COUNTIFS(Inquiries[Lead_Source__c],$A7,Inquiries[Status__c],{"Converted","Not Interested","Unresponsive"}))</f>
        <v>0.35</v>
      </c>
      <c r="K7" s="10">
        <f>AVERAGEIFS(Inquiries[Days to First Response], Inquiries[Lead_Source__c], $A7, Inquiries[Days to First Response], "&gt;="&amp;0)</f>
        <v>1.25</v>
      </c>
      <c r="L7">
        <f>COUNTIFS(Inquiries[Lead_Source__c], $A7, Inquiries[First_Response_Date__c], "")</f>
        <v>4</v>
      </c>
      <c r="M7" t="s">
        <v>5883</v>
      </c>
      <c r="N7" s="6"/>
      <c r="O7" s="6">
        <v>1</v>
      </c>
      <c r="P7" s="6"/>
      <c r="Q7" s="6"/>
      <c r="R7" s="6"/>
      <c r="S7" s="6"/>
      <c r="T7" s="6"/>
      <c r="U7" s="6"/>
      <c r="V7" s="6"/>
      <c r="W7" s="6">
        <v>1</v>
      </c>
    </row>
    <row r="8" spans="1:25">
      <c r="A8" t="s">
        <v>5435</v>
      </c>
      <c r="B8" s="6"/>
      <c r="C8" s="6">
        <v>3</v>
      </c>
      <c r="D8" s="6">
        <v>1</v>
      </c>
      <c r="E8" s="6">
        <v>4</v>
      </c>
      <c r="F8" s="6"/>
      <c r="G8" s="6">
        <v>10</v>
      </c>
      <c r="H8" s="6">
        <v>18</v>
      </c>
      <c r="I8" s="13" t="s">
        <v>5435</v>
      </c>
      <c r="J8" s="9" cm="1">
        <f t="array" ref="J8">COUNTIFS(Inquiries[Lead_Source__c],$A8,Inquiries[Status__c],"Converted")/SUM(COUNTIFS(Inquiries[Lead_Source__c],$A8,Inquiries[Status__c],{"Converted","Not Interested","Unresponsive"}))</f>
        <v>0.17647058823529413</v>
      </c>
      <c r="K8" s="10">
        <f>AVERAGEIFS(Inquiries[Days to First Response], Inquiries[Lead_Source__c], $A8, Inquiries[Days to First Response], "&gt;="&amp;0)</f>
        <v>1.8235294117647058</v>
      </c>
      <c r="L8">
        <f>COUNTIFS(Inquiries[Lead_Source__c], $A8, Inquiries[First_Response_Date__c], "")</f>
        <v>1</v>
      </c>
      <c r="M8" t="s">
        <v>5360</v>
      </c>
      <c r="N8" s="6">
        <v>5</v>
      </c>
      <c r="O8" s="6">
        <v>7</v>
      </c>
      <c r="P8" s="6">
        <v>1</v>
      </c>
      <c r="Q8" s="6">
        <v>5</v>
      </c>
      <c r="R8" s="6">
        <v>10</v>
      </c>
      <c r="S8" s="6">
        <v>6</v>
      </c>
      <c r="T8" s="6">
        <v>3</v>
      </c>
      <c r="U8" s="6">
        <v>2</v>
      </c>
      <c r="V8" s="6"/>
      <c r="W8" s="6">
        <v>39</v>
      </c>
    </row>
    <row r="9" spans="1:25">
      <c r="A9" t="s">
        <v>5485</v>
      </c>
      <c r="B9" s="6"/>
      <c r="C9" s="6">
        <v>3</v>
      </c>
      <c r="D9" s="6">
        <v>5</v>
      </c>
      <c r="E9" s="6">
        <v>2</v>
      </c>
      <c r="F9" s="6"/>
      <c r="G9" s="6">
        <v>4</v>
      </c>
      <c r="H9" s="6">
        <v>14</v>
      </c>
      <c r="I9" s="13" t="s">
        <v>5485</v>
      </c>
      <c r="J9" s="9" cm="1">
        <f t="array" ref="J9">COUNTIFS(Inquiries[Lead_Source__c],$A9,Inquiries[Status__c],"Converted")/SUM(COUNTIFS(Inquiries[Lead_Source__c],$A9,Inquiries[Status__c],{"Converted","Not Interested","Unresponsive"}))</f>
        <v>0.33333333333333331</v>
      </c>
      <c r="K9" s="10">
        <f>AVERAGEIFS(Inquiries[Days to First Response], Inquiries[Lead_Source__c], $A9, Inquiries[Days to First Response], "&gt;="&amp;0)</f>
        <v>0.375</v>
      </c>
      <c r="L9">
        <f>COUNTIFS(Inquiries[Lead_Source__c], $A9, Inquiries[First_Response_Date__c], "")</f>
        <v>5</v>
      </c>
      <c r="M9" t="s">
        <v>5011</v>
      </c>
      <c r="N9" s="6">
        <v>22</v>
      </c>
      <c r="O9" s="6">
        <v>21</v>
      </c>
      <c r="P9" s="6">
        <v>15</v>
      </c>
      <c r="Q9" s="6">
        <v>23</v>
      </c>
      <c r="R9" s="6">
        <v>20</v>
      </c>
      <c r="S9" s="6">
        <v>13</v>
      </c>
      <c r="T9" s="6">
        <v>20</v>
      </c>
      <c r="U9" s="6">
        <v>5</v>
      </c>
      <c r="V9" s="6">
        <v>1</v>
      </c>
      <c r="W9" s="6">
        <v>140</v>
      </c>
    </row>
    <row r="10" spans="1:25">
      <c r="A10" t="s">
        <v>5400</v>
      </c>
      <c r="B10" s="6"/>
      <c r="C10" s="6">
        <v>7</v>
      </c>
      <c r="D10" s="6">
        <v>1</v>
      </c>
      <c r="E10" s="6">
        <v>2</v>
      </c>
      <c r="F10" s="6"/>
      <c r="G10" s="6">
        <v>4</v>
      </c>
      <c r="H10" s="6">
        <v>14</v>
      </c>
      <c r="I10" s="13" t="s">
        <v>5400</v>
      </c>
      <c r="J10" s="9" cm="1">
        <f t="array" ref="J10">COUNTIFS(Inquiries[Lead_Source__c],$A10,Inquiries[Status__c],"Converted")/SUM(COUNTIFS(Inquiries[Lead_Source__c],$A10,Inquiries[Status__c],{"Converted","Not Interested","Unresponsive"}))</f>
        <v>0.53846153846153844</v>
      </c>
      <c r="K10" s="10">
        <f>AVERAGEIFS(Inquiries[Days to First Response], Inquiries[Lead_Source__c], $A10, Inquiries[Days to First Response], "&gt;="&amp;0)</f>
        <v>2</v>
      </c>
      <c r="L10">
        <f>COUNTIFS(Inquiries[Lead_Source__c], $A10, Inquiries[First_Response_Date__c], "")</f>
        <v>1</v>
      </c>
    </row>
    <row r="11" spans="1:25">
      <c r="A11" t="s">
        <v>6895</v>
      </c>
      <c r="B11" s="6"/>
      <c r="C11" s="6"/>
      <c r="D11" s="6"/>
      <c r="E11" s="6">
        <v>1</v>
      </c>
      <c r="F11" s="6"/>
      <c r="G11" s="6"/>
      <c r="H11" s="6">
        <v>1</v>
      </c>
      <c r="I11" s="6"/>
      <c r="J11" s="9"/>
      <c r="K11" s="10"/>
    </row>
    <row r="12" spans="1:25">
      <c r="A12" t="s">
        <v>5011</v>
      </c>
      <c r="B12" s="6">
        <v>1</v>
      </c>
      <c r="C12" s="6">
        <v>41</v>
      </c>
      <c r="D12" s="6">
        <v>19</v>
      </c>
      <c r="E12" s="6">
        <v>39</v>
      </c>
      <c r="F12" s="6">
        <v>1</v>
      </c>
      <c r="G12" s="6">
        <v>39</v>
      </c>
      <c r="H12" s="6">
        <v>140</v>
      </c>
      <c r="I12" s="6"/>
      <c r="J12" s="9" cm="1">
        <f t="array" ref="J12">COUNTIFS(Inquiries[Status__c],"Converted")/SUM(COUNTIFS(Inquiries[Status__c],{"Converted","Not Interested","Unresponsive"}))</f>
        <v>0.34453781512605042</v>
      </c>
      <c r="K12" s="10">
        <f>AVERAGEIFS(Inquiries[Days to First Response], Inquiries[Days to First Response], "&gt;=0")</f>
        <v>5.5294117647058822</v>
      </c>
      <c r="L12">
        <f>COUNTIF(Inquiries[First_Response_Date__c], "")</f>
        <v>19</v>
      </c>
    </row>
    <row r="13" spans="1:25">
      <c r="L13" t="s">
        <v>6896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4"/>
  <sheetViews>
    <sheetView workbookViewId="0">
      <selection activeCell="C2" sqref="C2:D4"/>
    </sheetView>
  </sheetViews>
  <sheetFormatPr defaultRowHeight="15"/>
  <cols>
    <col min="1" max="1" width="24" customWidth="1"/>
    <col min="2" max="2" width="16" customWidth="1"/>
    <col min="3" max="3" width="20.42578125" customWidth="1"/>
    <col min="4" max="4" width="31.5703125" customWidth="1"/>
  </cols>
  <sheetData>
    <row r="1" spans="1:33">
      <c r="A1" s="3" t="s">
        <v>6897</v>
      </c>
      <c r="B1" s="3" t="s">
        <v>49</v>
      </c>
      <c r="C1" t="s">
        <v>6898</v>
      </c>
      <c r="D1" t="s">
        <v>6899</v>
      </c>
      <c r="G1" s="4"/>
    </row>
    <row r="2" spans="1:33">
      <c r="A2" s="5" t="s">
        <v>63</v>
      </c>
      <c r="B2" s="5" t="s">
        <v>5018</v>
      </c>
      <c r="C2" s="17">
        <f>SUMIFS(Students[Monthly_Rate__c], Students[Home_Picklist__c], $B2, Students[Status__c], "Active" )</f>
        <v>12860</v>
      </c>
      <c r="D2" s="17">
        <f>SUMIFS(Students[Monthly_Rate__c], Students[Home_Picklist__c], $B2, Students[Status__c], "Paused" )</f>
        <v>1840</v>
      </c>
      <c r="AG2" t="s">
        <v>6900</v>
      </c>
    </row>
    <row r="3" spans="1:33">
      <c r="A3" s="5" t="s">
        <v>83</v>
      </c>
      <c r="B3" s="5" t="s">
        <v>5016</v>
      </c>
      <c r="C3" s="17">
        <f>SUMIFS(Students[Monthly_Rate__c], Students[Home_Picklist__c], $B3, Students[Status__c], "Active" )</f>
        <v>9900</v>
      </c>
      <c r="D3" s="17">
        <f>SUMIFS(Students[Monthly_Rate__c], Students[Home_Picklist__c], $B3, Students[Status__c], "Paused" )</f>
        <v>1060</v>
      </c>
    </row>
    <row r="4" spans="1:33">
      <c r="A4" s="5" t="s">
        <v>150</v>
      </c>
      <c r="B4" s="5" t="s">
        <v>5014</v>
      </c>
      <c r="C4" s="17">
        <f>SUMIFS(Students[Monthly_Rate__c], Students[Home_Picklist__c], $B4, Students[Status__c], "Active" )</f>
        <v>5300</v>
      </c>
      <c r="D4" s="17">
        <f>SUMIFS(Students[Monthly_Rate__c], Students[Home_Picklist__c], $B4, Students[Status__c], "Paused" )</f>
        <v>160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2026-10-14T14:44:15Z</dcterms:created>
  <dcterms:modified xsi:type="dcterms:W3CDTF">2026-10-15T03:39:40Z</dcterms:modified>
  <cp:category/>
  <cp:contentStatus/>
</cp:coreProperties>
</file>